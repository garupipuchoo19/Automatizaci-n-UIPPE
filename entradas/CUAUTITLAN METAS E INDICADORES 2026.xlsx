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F:\CUAUTITLAN IZCALLI\2026\SISTEMA\"/>
    </mc:Choice>
  </mc:AlternateContent>
  <xr:revisionPtr revIDLastSave="0" documentId="8_{85A4733A-F0FD-43ED-A2B5-E8F61166254F}" xr6:coauthVersionLast="47" xr6:coauthVersionMax="47" xr10:uidLastSave="{00000000-0000-0000-0000-000000000000}"/>
  <bookViews>
    <workbookView xWindow="-120" yWindow="-120" windowWidth="29040" windowHeight="15990" activeTab="1" xr2:uid="{F14A089A-AA8E-4EC6-BE02-968A18A089A4}"/>
  </bookViews>
  <sheets>
    <sheet name="METAS" sheetId="1" r:id="rId1"/>
    <sheet name="INDICADORES" sheetId="2" r:id="rId2"/>
    <sheet name="resultados general" sheetId="4" r:id="rId3"/>
  </sheets>
  <externalReferences>
    <externalReference r:id="rId4"/>
  </externalReferences>
  <definedNames>
    <definedName name="_xlnm._FilterDatabase" localSheetId="2" hidden="1">'resultados general'!$A$1:$K$67</definedName>
    <definedName name="_xlcn.WorksheetConnection_IndicadoresyMetas2019_comportamiento.xlsmDEPENDENCIAS1" hidden="1">#REF!</definedName>
    <definedName name="_xlcn.WorksheetConnection_IndicadoresyMetas2019_comportamiento.xlsmFINANCIERO1" localSheetId="1" hidden="1">#REF!</definedName>
    <definedName name="_xlcn.WorksheetConnection_IndicadoresyMetas2019_comportamiento.xlsmFINANCIERO1" hidden="1">#REF!</definedName>
    <definedName name="_xlcn.WorksheetConnection_IndicadoresyMetas2019_comportamiento.xlsmFISICO1" localSheetId="1" hidden="1">INDICADORES!$A$4:$AW$235</definedName>
    <definedName name="_xlcn.WorksheetConnection_IndicadoresyMetas2019_comportamiento.xlsmFISICO1" localSheetId="0" hidden="1">METAS!$A$4:$AP$250</definedName>
    <definedName name="_xlcn.WorksheetConnection_IndicadoresyMetas2019_comportamiento.xlsmFISICO1" hidden="1">#REF!</definedName>
    <definedName name="_xlcn.WorksheetConnection_IndicadoresyMetas2019_FINAL.xlsmFINANCIERO61" localSheetId="1" hidden="1">#REF!</definedName>
    <definedName name="_xlcn.WorksheetConnection_IndicadoresyMetas2019_FINAL.xlsmFINANCIERO61" hidden="1">#REF!</definedName>
    <definedName name="_xlnm.Print_Area" localSheetId="1">INDICADORES!$A$1:$BB$236</definedName>
    <definedName name="_xlnm.Print_Area" localSheetId="0">METAS!$A$1:$AV$250</definedName>
    <definedName name="AVANCE_1°._TRIM" localSheetId="2">[1]!TABLA_AVANCE_INDICADORES[AVANCE 1°. TRIM]</definedName>
    <definedName name="AVANCE_1°._TRIM">TABLA_AVANCE_INDICADORES[AVANCE 1°. TRIM]</definedName>
    <definedName name="AVANCE_2°._TRIM" localSheetId="2">[1]!TABLA_AVANCE_INDICADORES[AVANCE 2°. TRIM]</definedName>
    <definedName name="AVANCE_2°._TRIM">TABLA_AVANCE_INDICADORES[AVANCE 2°. TRIM]</definedName>
    <definedName name="AVANCE_3°._TRIM" localSheetId="2">[1]!TABLA_AVANCE_INDICADORES[AVANCE 3°. TRIM]</definedName>
    <definedName name="AVANCE_3°._TRIM">TABLA_AVANCE_INDICADORES[AVANCE 3°. TRIM]</definedName>
    <definedName name="AVANCE_4°._TRIM" localSheetId="2">[1]!TABLA_AVANCE_INDICADORES[AVANCE 4°. TRIM]</definedName>
    <definedName name="AVANCE_4°._TRIM">TABLA_AVANCE_INDICADORES[AVANCE 4°. TRIM]</definedName>
    <definedName name="AVANCE_ACUM_ANUAL" localSheetId="1">TABLA_AVANCE_INDICADORES[AVANCE ACUM. ANUAL]</definedName>
    <definedName name="AVANCES230315" hidden="1">#REF!</definedName>
    <definedName name="CLAVE_UNICA" localSheetId="1">TABLA_AVANCE_INDICADORES[CLAVE]</definedName>
    <definedName name="d" hidden="1">#REF!</definedName>
    <definedName name="DESCRIPCIÓN_DEL_INDICADOR" localSheetId="2">[1]!TABLA_AVANCE_INDICADORES[DESCRIPCIÓN DEL INDICADOR]</definedName>
    <definedName name="DESCRIPCIÓN_DEL_INDICADOR">TABLA_AVANCE_INDICADORES[DESCRIPCIÓN DEL INDICADOR]</definedName>
    <definedName name="ESTRUCTURA_PROGRAMA" localSheetId="2">[1]!TABLA_AVANCE_INDICADORES[ESTR. PROGRAMA]</definedName>
    <definedName name="ESTRUCTURA_PROGRAMA">TABLA_AVANCE_INDICADORES[ESTR. PROGRAMA]</definedName>
    <definedName name="FREC._MEDICIÓN" localSheetId="2">[1]!TABLA_AVANCE_INDICADORES[FRECUENCIA DE MEDICIÓN]</definedName>
    <definedName name="FREC._MEDICIÓN">TABLA_AVANCE_INDICADORES[FRECUENCIA DE MEDICIÓN]</definedName>
    <definedName name="NIVEL" localSheetId="2">[1]!TABLA_AVANCE_INDICADORES[NIVEL]</definedName>
    <definedName name="NIVEL">TABLA_AVANCE_INDICADORES[NIVEL]</definedName>
    <definedName name="PROGR._1°_TRIM" localSheetId="2">[1]!TABLA_AVANCE_INDICADORES[PROGR. 1° TRIM]</definedName>
    <definedName name="PROGR._1°_TRIM">TABLA_AVANCE_INDICADORES[PROGR. 1° TRIM]</definedName>
    <definedName name="PROGR._2°_TRIM" localSheetId="2">[1]!TABLA_AVANCE_INDICADORES[PROGR. 2° TRIM]</definedName>
    <definedName name="PROGR._2°_TRIM">TABLA_AVANCE_INDICADORES[PROGR. 2° TRIM]</definedName>
    <definedName name="PROGR._3°_TRIM" localSheetId="2">[1]!TABLA_AVANCE_INDICADORES[PROGR. 3° TRIM]</definedName>
    <definedName name="PROGR._3°_TRIM">TABLA_AVANCE_INDICADORES[PROGR. 3° TRIM]</definedName>
    <definedName name="PROGR._4°_TRIM" localSheetId="2">[1]!TABLA_AVANCE_INDICADORES[PROGR. 4° TRIM]</definedName>
    <definedName name="PROGR._4°_TRIM">TABLA_AVANCE_INDICADORES[PROGR. 4° TRIM]</definedName>
    <definedName name="PROGRAMADO" localSheetId="2">[1]!TABLA_AVANCE_INDICADORES[PROGRAMADO ANUAL]</definedName>
    <definedName name="PROGRAMADO">TABLA_AVANCE_INDICADORES[PROGRAMADO ANUAL]</definedName>
    <definedName name="UNIDAD_DE_MEDIDA" localSheetId="2">[1]!TABLA_AVANCE_INDICADORES[UNIDAD DE MEDIDA]</definedName>
    <definedName name="UNIDAD_DE_MEDIDA">TABLA_AVANCE_INDICADORES[UNIDAD DE MEDIDA]</definedName>
    <definedName name="Z_AB32CF44_E42A_4F3F_9ABF_C5E46489ED35_.wvu.FilterData" localSheetId="1" hidden="1">INDICADORES!$W$3:$AW$3</definedName>
    <definedName name="Z_AB32CF44_E42A_4F3F_9ABF_C5E46489ED35_.wvu.FilterData" localSheetId="0" hidden="1">METAS!$P$3:$AP$3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J67" i="4" l="1"/>
  <c r="I67" i="4"/>
  <c r="H67" i="4"/>
  <c r="K67" i="4" s="1"/>
  <c r="J66" i="4"/>
  <c r="I66" i="4"/>
  <c r="H66" i="4"/>
  <c r="K66" i="4" s="1"/>
  <c r="J65" i="4"/>
  <c r="I65" i="4"/>
  <c r="H65" i="4"/>
  <c r="K65" i="4" s="1"/>
  <c r="J64" i="4"/>
  <c r="I64" i="4"/>
  <c r="H64" i="4"/>
  <c r="K64" i="4" s="1"/>
  <c r="J63" i="4"/>
  <c r="I63" i="4"/>
  <c r="H63" i="4"/>
  <c r="K63" i="4" s="1"/>
  <c r="J62" i="4"/>
  <c r="I62" i="4"/>
  <c r="H62" i="4"/>
  <c r="K62" i="4" s="1"/>
  <c r="J61" i="4"/>
  <c r="I61" i="4"/>
  <c r="H61" i="4"/>
  <c r="K61" i="4" s="1"/>
  <c r="J60" i="4"/>
  <c r="M60" i="4" s="1"/>
  <c r="I60" i="4"/>
  <c r="J59" i="4"/>
  <c r="H59" i="4" s="1"/>
  <c r="K59" i="4" s="1"/>
  <c r="I59" i="4"/>
  <c r="J58" i="4"/>
  <c r="H58" i="4" s="1"/>
  <c r="K58" i="4" s="1"/>
  <c r="I58" i="4"/>
  <c r="J57" i="4"/>
  <c r="H57" i="4" s="1"/>
  <c r="K57" i="4" s="1"/>
  <c r="I57" i="4"/>
  <c r="J56" i="4"/>
  <c r="H56" i="4" s="1"/>
  <c r="K56" i="4" s="1"/>
  <c r="I56" i="4"/>
  <c r="J55" i="4"/>
  <c r="H55" i="4" s="1"/>
  <c r="K55" i="4" s="1"/>
  <c r="I55" i="4"/>
  <c r="J54" i="4"/>
  <c r="H54" i="4" s="1"/>
  <c r="K54" i="4" s="1"/>
  <c r="I54" i="4"/>
  <c r="J53" i="4"/>
  <c r="H53" i="4" s="1"/>
  <c r="K53" i="4" s="1"/>
  <c r="I53" i="4"/>
  <c r="J52" i="4"/>
  <c r="H52" i="4" s="1"/>
  <c r="K52" i="4" s="1"/>
  <c r="I52" i="4"/>
  <c r="J51" i="4"/>
  <c r="H51" i="4" s="1"/>
  <c r="K51" i="4" s="1"/>
  <c r="I51" i="4"/>
  <c r="J50" i="4"/>
  <c r="H50" i="4" s="1"/>
  <c r="K50" i="4" s="1"/>
  <c r="I50" i="4"/>
  <c r="J49" i="4"/>
  <c r="H49" i="4" s="1"/>
  <c r="K49" i="4" s="1"/>
  <c r="I49" i="4"/>
  <c r="J48" i="4"/>
  <c r="H48" i="4" s="1"/>
  <c r="K48" i="4" s="1"/>
  <c r="I48" i="4"/>
  <c r="J47" i="4"/>
  <c r="H47" i="4" s="1"/>
  <c r="K47" i="4" s="1"/>
  <c r="I47" i="4"/>
  <c r="J46" i="4"/>
  <c r="H46" i="4" s="1"/>
  <c r="K46" i="4" s="1"/>
  <c r="I46" i="4"/>
  <c r="J45" i="4"/>
  <c r="H45" i="4" s="1"/>
  <c r="K45" i="4" s="1"/>
  <c r="I45" i="4"/>
  <c r="J44" i="4"/>
  <c r="H44" i="4" s="1"/>
  <c r="K44" i="4" s="1"/>
  <c r="I44" i="4"/>
  <c r="J43" i="4"/>
  <c r="H43" i="4" s="1"/>
  <c r="K43" i="4" s="1"/>
  <c r="I43" i="4"/>
  <c r="J42" i="4"/>
  <c r="H42" i="4" s="1"/>
  <c r="K42" i="4" s="1"/>
  <c r="I42" i="4"/>
  <c r="J41" i="4"/>
  <c r="H41" i="4" s="1"/>
  <c r="K41" i="4" s="1"/>
  <c r="I41" i="4"/>
  <c r="J40" i="4"/>
  <c r="H40" i="4" s="1"/>
  <c r="K40" i="4" s="1"/>
  <c r="I40" i="4"/>
  <c r="J39" i="4"/>
  <c r="H39" i="4" s="1"/>
  <c r="K39" i="4" s="1"/>
  <c r="I39" i="4"/>
  <c r="J38" i="4"/>
  <c r="H38" i="4" s="1"/>
  <c r="K38" i="4" s="1"/>
  <c r="I38" i="4"/>
  <c r="J37" i="4"/>
  <c r="H37" i="4" s="1"/>
  <c r="K37" i="4" s="1"/>
  <c r="I37" i="4"/>
  <c r="J36" i="4"/>
  <c r="H36" i="4" s="1"/>
  <c r="K36" i="4" s="1"/>
  <c r="I36" i="4"/>
  <c r="J35" i="4"/>
  <c r="H35" i="4" s="1"/>
  <c r="K35" i="4" s="1"/>
  <c r="I35" i="4"/>
  <c r="J34" i="4"/>
  <c r="H34" i="4" s="1"/>
  <c r="K34" i="4" s="1"/>
  <c r="I34" i="4"/>
  <c r="J33" i="4"/>
  <c r="H33" i="4" s="1"/>
  <c r="K33" i="4" s="1"/>
  <c r="I33" i="4"/>
  <c r="J32" i="4"/>
  <c r="H32" i="4" s="1"/>
  <c r="K32" i="4" s="1"/>
  <c r="I32" i="4"/>
  <c r="J31" i="4"/>
  <c r="H31" i="4" s="1"/>
  <c r="K31" i="4" s="1"/>
  <c r="I31" i="4"/>
  <c r="K30" i="4"/>
  <c r="J30" i="4"/>
  <c r="I30" i="4"/>
  <c r="H30" i="4"/>
  <c r="K29" i="4"/>
  <c r="J29" i="4"/>
  <c r="I29" i="4"/>
  <c r="H29" i="4"/>
  <c r="K28" i="4"/>
  <c r="J28" i="4"/>
  <c r="I28" i="4"/>
  <c r="H28" i="4"/>
  <c r="K27" i="4"/>
  <c r="J27" i="4"/>
  <c r="I27" i="4"/>
  <c r="H27" i="4"/>
  <c r="K26" i="4"/>
  <c r="J26" i="4"/>
  <c r="I26" i="4"/>
  <c r="H26" i="4"/>
  <c r="J25" i="4"/>
  <c r="H25" i="4" s="1"/>
  <c r="K25" i="4" s="1"/>
  <c r="I25" i="4"/>
  <c r="J24" i="4"/>
  <c r="H24" i="4" s="1"/>
  <c r="K24" i="4" s="1"/>
  <c r="I24" i="4"/>
  <c r="J23" i="4"/>
  <c r="H23" i="4" s="1"/>
  <c r="K23" i="4" s="1"/>
  <c r="I23" i="4"/>
  <c r="J22" i="4"/>
  <c r="H22" i="4" s="1"/>
  <c r="K22" i="4" s="1"/>
  <c r="I22" i="4"/>
  <c r="J21" i="4"/>
  <c r="H21" i="4" s="1"/>
  <c r="K21" i="4" s="1"/>
  <c r="I21" i="4"/>
  <c r="J20" i="4"/>
  <c r="H20" i="4" s="1"/>
  <c r="K20" i="4" s="1"/>
  <c r="I20" i="4"/>
  <c r="J19" i="4"/>
  <c r="H19" i="4" s="1"/>
  <c r="K19" i="4" s="1"/>
  <c r="I19" i="4"/>
  <c r="J18" i="4"/>
  <c r="H18" i="4" s="1"/>
  <c r="K18" i="4" s="1"/>
  <c r="I18" i="4"/>
  <c r="J17" i="4"/>
  <c r="H17" i="4" s="1"/>
  <c r="K17" i="4" s="1"/>
  <c r="I17" i="4"/>
  <c r="J16" i="4"/>
  <c r="H16" i="4" s="1"/>
  <c r="K16" i="4" s="1"/>
  <c r="I16" i="4"/>
  <c r="J15" i="4"/>
  <c r="H15" i="4" s="1"/>
  <c r="K15" i="4" s="1"/>
  <c r="I15" i="4"/>
  <c r="J14" i="4"/>
  <c r="H14" i="4" s="1"/>
  <c r="K14" i="4" s="1"/>
  <c r="I14" i="4"/>
  <c r="J13" i="4"/>
  <c r="H13" i="4" s="1"/>
  <c r="K13" i="4" s="1"/>
  <c r="I13" i="4"/>
  <c r="J12" i="4"/>
  <c r="H12" i="4" s="1"/>
  <c r="K12" i="4" s="1"/>
  <c r="I12" i="4"/>
  <c r="J11" i="4"/>
  <c r="H11" i="4" s="1"/>
  <c r="K11" i="4" s="1"/>
  <c r="I11" i="4"/>
  <c r="J10" i="4"/>
  <c r="H10" i="4" s="1"/>
  <c r="K10" i="4" s="1"/>
  <c r="I10" i="4"/>
  <c r="J9" i="4"/>
  <c r="H9" i="4" s="1"/>
  <c r="K9" i="4" s="1"/>
  <c r="I9" i="4"/>
  <c r="J8" i="4"/>
  <c r="H8" i="4" s="1"/>
  <c r="K8" i="4" s="1"/>
  <c r="I8" i="4"/>
  <c r="J7" i="4"/>
  <c r="H7" i="4" s="1"/>
  <c r="K7" i="4" s="1"/>
  <c r="I7" i="4"/>
  <c r="J6" i="4"/>
  <c r="H6" i="4" s="1"/>
  <c r="K6" i="4" s="1"/>
  <c r="I6" i="4"/>
  <c r="J5" i="4"/>
  <c r="H5" i="4" s="1"/>
  <c r="K5" i="4" s="1"/>
  <c r="I5" i="4"/>
  <c r="J4" i="4"/>
  <c r="H4" i="4" s="1"/>
  <c r="K4" i="4" s="1"/>
  <c r="I4" i="4"/>
  <c r="J3" i="4"/>
  <c r="H3" i="4" s="1"/>
  <c r="K3" i="4" s="1"/>
  <c r="I3" i="4"/>
  <c r="J2" i="4"/>
  <c r="M44" i="4" s="1"/>
  <c r="I2" i="4"/>
  <c r="BB235" i="2"/>
  <c r="AL235" i="2"/>
  <c r="AK235" i="2"/>
  <c r="AH235" i="2"/>
  <c r="AG235" i="2"/>
  <c r="AD235" i="2"/>
  <c r="AC235" i="2"/>
  <c r="Z235" i="2"/>
  <c r="Y235" i="2"/>
  <c r="BB234" i="2"/>
  <c r="AL234" i="2"/>
  <c r="AK234" i="2"/>
  <c r="AH234" i="2"/>
  <c r="AG234" i="2"/>
  <c r="AD234" i="2"/>
  <c r="AC234" i="2"/>
  <c r="Z234" i="2"/>
  <c r="Y234" i="2"/>
  <c r="AL233" i="2"/>
  <c r="AK233" i="2"/>
  <c r="AH233" i="2"/>
  <c r="AG233" i="2"/>
  <c r="AD233" i="2"/>
  <c r="AC233" i="2"/>
  <c r="Z233" i="2"/>
  <c r="Y233" i="2"/>
  <c r="AL232" i="2"/>
  <c r="AK232" i="2"/>
  <c r="AH232" i="2"/>
  <c r="AG232" i="2"/>
  <c r="AD232" i="2"/>
  <c r="AC232" i="2"/>
  <c r="Z232" i="2"/>
  <c r="Y232" i="2"/>
  <c r="AJ231" i="2"/>
  <c r="AK231" i="2" s="1"/>
  <c r="AL231" i="2" s="1"/>
  <c r="AG231" i="2"/>
  <c r="AH231" i="2" s="1"/>
  <c r="AF231" i="2"/>
  <c r="AD231" i="2"/>
  <c r="AC231" i="2"/>
  <c r="Z231" i="2"/>
  <c r="Y231" i="2"/>
  <c r="AL230" i="2"/>
  <c r="AK230" i="2"/>
  <c r="AH230" i="2"/>
  <c r="AG230" i="2"/>
  <c r="AD230" i="2"/>
  <c r="AC230" i="2"/>
  <c r="Z230" i="2"/>
  <c r="Y230" i="2"/>
  <c r="BB229" i="2"/>
  <c r="AL229" i="2"/>
  <c r="AK229" i="2"/>
  <c r="AH229" i="2"/>
  <c r="AG229" i="2"/>
  <c r="AD229" i="2"/>
  <c r="AC229" i="2"/>
  <c r="Z229" i="2"/>
  <c r="Y229" i="2"/>
  <c r="BB228" i="2"/>
  <c r="AL228" i="2"/>
  <c r="AK228" i="2"/>
  <c r="AH228" i="2"/>
  <c r="AG228" i="2"/>
  <c r="AD228" i="2"/>
  <c r="AC228" i="2"/>
  <c r="Z228" i="2"/>
  <c r="Y228" i="2"/>
  <c r="AL227" i="2"/>
  <c r="AK227" i="2"/>
  <c r="AH227" i="2"/>
  <c r="AG227" i="2"/>
  <c r="AD227" i="2"/>
  <c r="AC227" i="2"/>
  <c r="Z227" i="2"/>
  <c r="Y227" i="2"/>
  <c r="AL226" i="2"/>
  <c r="AK226" i="2"/>
  <c r="AH226" i="2"/>
  <c r="AG226" i="2"/>
  <c r="AD226" i="2"/>
  <c r="AC226" i="2"/>
  <c r="Z226" i="2"/>
  <c r="Y226" i="2"/>
  <c r="BB225" i="2"/>
  <c r="AL225" i="2"/>
  <c r="AK225" i="2"/>
  <c r="AH225" i="2"/>
  <c r="AG225" i="2"/>
  <c r="AD225" i="2"/>
  <c r="AC225" i="2"/>
  <c r="Z225" i="2"/>
  <c r="Y225" i="2"/>
  <c r="BB224" i="2"/>
  <c r="AL224" i="2"/>
  <c r="AK224" i="2"/>
  <c r="AH224" i="2"/>
  <c r="AG224" i="2"/>
  <c r="AD224" i="2"/>
  <c r="AC224" i="2"/>
  <c r="Z224" i="2"/>
  <c r="Y224" i="2"/>
  <c r="BB223" i="2"/>
  <c r="AL223" i="2"/>
  <c r="AK223" i="2"/>
  <c r="AH223" i="2"/>
  <c r="AG223" i="2"/>
  <c r="AD223" i="2"/>
  <c r="AC223" i="2"/>
  <c r="Z223" i="2"/>
  <c r="Y223" i="2"/>
  <c r="BB222" i="2"/>
  <c r="AL222" i="2"/>
  <c r="AK222" i="2"/>
  <c r="AH222" i="2"/>
  <c r="AG222" i="2"/>
  <c r="AD222" i="2"/>
  <c r="AC222" i="2"/>
  <c r="Z222" i="2"/>
  <c r="Y222" i="2"/>
  <c r="BB221" i="2"/>
  <c r="AL221" i="2"/>
  <c r="AK221" i="2"/>
  <c r="AH221" i="2"/>
  <c r="AG221" i="2"/>
  <c r="AD221" i="2"/>
  <c r="AC221" i="2"/>
  <c r="Z221" i="2"/>
  <c r="Y221" i="2"/>
  <c r="BB220" i="2"/>
  <c r="AL220" i="2"/>
  <c r="AK220" i="2"/>
  <c r="AH220" i="2"/>
  <c r="AG220" i="2"/>
  <c r="AD220" i="2"/>
  <c r="AC220" i="2"/>
  <c r="Z220" i="2"/>
  <c r="Y220" i="2"/>
  <c r="BB219" i="2"/>
  <c r="AJ219" i="2"/>
  <c r="AK219" i="2" s="1"/>
  <c r="AL219" i="2" s="1"/>
  <c r="AG219" i="2"/>
  <c r="AH219" i="2" s="1"/>
  <c r="AF219" i="2"/>
  <c r="AD219" i="2"/>
  <c r="AC219" i="2"/>
  <c r="Z219" i="2"/>
  <c r="Y219" i="2"/>
  <c r="BB218" i="2"/>
  <c r="AL218" i="2"/>
  <c r="AK218" i="2"/>
  <c r="AH218" i="2"/>
  <c r="AG218" i="2"/>
  <c r="AD218" i="2"/>
  <c r="AC218" i="2"/>
  <c r="Z218" i="2"/>
  <c r="Y218" i="2"/>
  <c r="BB217" i="2"/>
  <c r="AL217" i="2"/>
  <c r="AK217" i="2"/>
  <c r="AH217" i="2"/>
  <c r="AG217" i="2"/>
  <c r="AD217" i="2"/>
  <c r="AC217" i="2"/>
  <c r="Z217" i="2"/>
  <c r="Y217" i="2"/>
  <c r="BB216" i="2"/>
  <c r="AL216" i="2"/>
  <c r="AK216" i="2"/>
  <c r="AH216" i="2"/>
  <c r="AG216" i="2"/>
  <c r="AD216" i="2"/>
  <c r="AC216" i="2"/>
  <c r="Z216" i="2"/>
  <c r="Y216" i="2"/>
  <c r="AL215" i="2"/>
  <c r="AK215" i="2"/>
  <c r="AH215" i="2"/>
  <c r="AG215" i="2"/>
  <c r="AD215" i="2"/>
  <c r="AC215" i="2"/>
  <c r="Z215" i="2"/>
  <c r="Y215" i="2"/>
  <c r="BB214" i="2"/>
  <c r="AL214" i="2"/>
  <c r="AK214" i="2"/>
  <c r="AH214" i="2"/>
  <c r="AG214" i="2"/>
  <c r="AD214" i="2"/>
  <c r="AC214" i="2"/>
  <c r="Z214" i="2"/>
  <c r="Y214" i="2"/>
  <c r="BB213" i="2"/>
  <c r="AL213" i="2"/>
  <c r="AK213" i="2"/>
  <c r="AH213" i="2"/>
  <c r="AG213" i="2"/>
  <c r="AD213" i="2"/>
  <c r="AC213" i="2"/>
  <c r="Z213" i="2"/>
  <c r="Y213" i="2"/>
  <c r="BB212" i="2"/>
  <c r="AL212" i="2"/>
  <c r="AK212" i="2"/>
  <c r="AH212" i="2"/>
  <c r="AG212" i="2"/>
  <c r="AD212" i="2"/>
  <c r="AC212" i="2"/>
  <c r="Z212" i="2"/>
  <c r="Y212" i="2"/>
  <c r="BB211" i="2"/>
  <c r="AL211" i="2"/>
  <c r="AK211" i="2"/>
  <c r="AH211" i="2"/>
  <c r="AG211" i="2"/>
  <c r="AD211" i="2"/>
  <c r="AC211" i="2"/>
  <c r="Z211" i="2"/>
  <c r="Y211" i="2"/>
  <c r="BB210" i="2"/>
  <c r="AL210" i="2"/>
  <c r="AK210" i="2"/>
  <c r="AH210" i="2"/>
  <c r="AG210" i="2"/>
  <c r="AD210" i="2"/>
  <c r="AC210" i="2"/>
  <c r="Z210" i="2"/>
  <c r="Y210" i="2"/>
  <c r="BB209" i="2"/>
  <c r="AK209" i="2"/>
  <c r="AL209" i="2" s="1"/>
  <c r="AH209" i="2"/>
  <c r="AG209" i="2"/>
  <c r="AC209" i="2"/>
  <c r="AD209" i="2" s="1"/>
  <c r="Z209" i="2"/>
  <c r="Y209" i="2"/>
  <c r="BB208" i="2"/>
  <c r="AK208" i="2"/>
  <c r="AL208" i="2" s="1"/>
  <c r="AG208" i="2"/>
  <c r="AH208" i="2" s="1"/>
  <c r="AC208" i="2"/>
  <c r="AD208" i="2" s="1"/>
  <c r="Y208" i="2"/>
  <c r="Z208" i="2" s="1"/>
  <c r="BB207" i="2"/>
  <c r="AK207" i="2"/>
  <c r="AL207" i="2" s="1"/>
  <c r="AG207" i="2"/>
  <c r="AH207" i="2" s="1"/>
  <c r="AC207" i="2"/>
  <c r="AD207" i="2" s="1"/>
  <c r="Y207" i="2"/>
  <c r="Z207" i="2" s="1"/>
  <c r="BB206" i="2"/>
  <c r="AK206" i="2"/>
  <c r="AL206" i="2" s="1"/>
  <c r="AG206" i="2"/>
  <c r="AH206" i="2" s="1"/>
  <c r="AC206" i="2"/>
  <c r="AD206" i="2" s="1"/>
  <c r="Y206" i="2"/>
  <c r="Z206" i="2" s="1"/>
  <c r="BB205" i="2"/>
  <c r="AK205" i="2"/>
  <c r="AL205" i="2" s="1"/>
  <c r="AJ205" i="2"/>
  <c r="AH205" i="2"/>
  <c r="AF205" i="2"/>
  <c r="AG205" i="2" s="1"/>
  <c r="AC205" i="2"/>
  <c r="AD205" i="2" s="1"/>
  <c r="Y205" i="2"/>
  <c r="Z205" i="2" s="1"/>
  <c r="BB204" i="2"/>
  <c r="AK204" i="2"/>
  <c r="AL204" i="2" s="1"/>
  <c r="AG204" i="2"/>
  <c r="AH204" i="2" s="1"/>
  <c r="AC204" i="2"/>
  <c r="AD204" i="2" s="1"/>
  <c r="Y204" i="2"/>
  <c r="Z204" i="2" s="1"/>
  <c r="BB203" i="2"/>
  <c r="AK203" i="2"/>
  <c r="AL203" i="2" s="1"/>
  <c r="AG203" i="2"/>
  <c r="AH203" i="2" s="1"/>
  <c r="AC203" i="2"/>
  <c r="AD203" i="2" s="1"/>
  <c r="Y203" i="2"/>
  <c r="Z203" i="2" s="1"/>
  <c r="BB202" i="2"/>
  <c r="AK202" i="2"/>
  <c r="AL202" i="2" s="1"/>
  <c r="AG202" i="2"/>
  <c r="AH202" i="2" s="1"/>
  <c r="AC202" i="2"/>
  <c r="AD202" i="2" s="1"/>
  <c r="Y202" i="2"/>
  <c r="Z202" i="2" s="1"/>
  <c r="BB201" i="2"/>
  <c r="AK201" i="2"/>
  <c r="AL201" i="2" s="1"/>
  <c r="AG201" i="2"/>
  <c r="AH201" i="2" s="1"/>
  <c r="AC201" i="2"/>
  <c r="AD201" i="2" s="1"/>
  <c r="Y201" i="2"/>
  <c r="Z201" i="2" s="1"/>
  <c r="BB200" i="2"/>
  <c r="AK200" i="2"/>
  <c r="AL200" i="2" s="1"/>
  <c r="AG200" i="2"/>
  <c r="AH200" i="2" s="1"/>
  <c r="AC200" i="2"/>
  <c r="AD200" i="2" s="1"/>
  <c r="Y200" i="2"/>
  <c r="Z200" i="2" s="1"/>
  <c r="BB199" i="2"/>
  <c r="AK199" i="2"/>
  <c r="AL199" i="2" s="1"/>
  <c r="AG199" i="2"/>
  <c r="AH199" i="2" s="1"/>
  <c r="AC199" i="2"/>
  <c r="AD199" i="2" s="1"/>
  <c r="Y199" i="2"/>
  <c r="Z199" i="2" s="1"/>
  <c r="BB198" i="2"/>
  <c r="AK198" i="2"/>
  <c r="AL198" i="2" s="1"/>
  <c r="AG198" i="2"/>
  <c r="AH198" i="2" s="1"/>
  <c r="AD198" i="2"/>
  <c r="AC198" i="2"/>
  <c r="Y198" i="2"/>
  <c r="Z198" i="2" s="1"/>
  <c r="BB197" i="2"/>
  <c r="AL197" i="2"/>
  <c r="AK197" i="2"/>
  <c r="AG197" i="2"/>
  <c r="AH197" i="2" s="1"/>
  <c r="AC197" i="2"/>
  <c r="AD197" i="2" s="1"/>
  <c r="Y197" i="2"/>
  <c r="Z197" i="2" s="1"/>
  <c r="BB196" i="2"/>
  <c r="AK196" i="2"/>
  <c r="AL196" i="2" s="1"/>
  <c r="AG196" i="2"/>
  <c r="AH196" i="2" s="1"/>
  <c r="AD196" i="2"/>
  <c r="AC196" i="2"/>
  <c r="Y196" i="2"/>
  <c r="Z196" i="2" s="1"/>
  <c r="BB195" i="2"/>
  <c r="AL195" i="2"/>
  <c r="AK195" i="2"/>
  <c r="AJ195" i="2"/>
  <c r="AG195" i="2"/>
  <c r="AH195" i="2" s="1"/>
  <c r="AF195" i="2"/>
  <c r="AC195" i="2"/>
  <c r="AD195" i="2" s="1"/>
  <c r="Y195" i="2"/>
  <c r="Z195" i="2" s="1"/>
  <c r="X195" i="2"/>
  <c r="BB194" i="2"/>
  <c r="AK194" i="2"/>
  <c r="AL194" i="2" s="1"/>
  <c r="AG194" i="2"/>
  <c r="AH194" i="2" s="1"/>
  <c r="AC194" i="2"/>
  <c r="AD194" i="2" s="1"/>
  <c r="Y194" i="2"/>
  <c r="Z194" i="2" s="1"/>
  <c r="BB193" i="2"/>
  <c r="AK193" i="2"/>
  <c r="AL193" i="2" s="1"/>
  <c r="AJ193" i="2"/>
  <c r="AF193" i="2"/>
  <c r="AG193" i="2" s="1"/>
  <c r="AH193" i="2" s="1"/>
  <c r="AC193" i="2"/>
  <c r="AD193" i="2" s="1"/>
  <c r="Y193" i="2"/>
  <c r="Z193" i="2" s="1"/>
  <c r="X193" i="2"/>
  <c r="BB192" i="2"/>
  <c r="AL192" i="2"/>
  <c r="AK192" i="2"/>
  <c r="AH192" i="2"/>
  <c r="AG192" i="2"/>
  <c r="AD192" i="2"/>
  <c r="AC192" i="2"/>
  <c r="Z192" i="2"/>
  <c r="Y192" i="2"/>
  <c r="BB191" i="2"/>
  <c r="AL191" i="2"/>
  <c r="AK191" i="2"/>
  <c r="AH191" i="2"/>
  <c r="AG191" i="2"/>
  <c r="AD191" i="2"/>
  <c r="AC191" i="2"/>
  <c r="Z191" i="2"/>
  <c r="Y191" i="2"/>
  <c r="BB190" i="2"/>
  <c r="AL190" i="2"/>
  <c r="AK190" i="2"/>
  <c r="AH190" i="2"/>
  <c r="AG190" i="2"/>
  <c r="AD190" i="2"/>
  <c r="AC190" i="2"/>
  <c r="Z190" i="2"/>
  <c r="Y190" i="2"/>
  <c r="BB189" i="2"/>
  <c r="AL189" i="2"/>
  <c r="AK189" i="2"/>
  <c r="AH189" i="2"/>
  <c r="AG189" i="2"/>
  <c r="AD189" i="2"/>
  <c r="AC189" i="2"/>
  <c r="Z189" i="2"/>
  <c r="Y189" i="2"/>
  <c r="BB188" i="2"/>
  <c r="AL188" i="2"/>
  <c r="AK188" i="2"/>
  <c r="AH188" i="2"/>
  <c r="AG188" i="2"/>
  <c r="AD188" i="2"/>
  <c r="AC188" i="2"/>
  <c r="Z188" i="2"/>
  <c r="Y188" i="2"/>
  <c r="BB187" i="2"/>
  <c r="AJ187" i="2"/>
  <c r="AK187" i="2" s="1"/>
  <c r="AL187" i="2" s="1"/>
  <c r="AG187" i="2"/>
  <c r="AH187" i="2" s="1"/>
  <c r="AF187" i="2"/>
  <c r="AD187" i="2"/>
  <c r="AC187" i="2"/>
  <c r="Z187" i="2"/>
  <c r="Y187" i="2"/>
  <c r="BB186" i="2"/>
  <c r="AL186" i="2"/>
  <c r="AK186" i="2"/>
  <c r="AH186" i="2"/>
  <c r="AG186" i="2"/>
  <c r="AD186" i="2"/>
  <c r="AC186" i="2"/>
  <c r="Z186" i="2"/>
  <c r="Y186" i="2"/>
  <c r="BB185" i="2"/>
  <c r="AJ185" i="2"/>
  <c r="AK185" i="2" s="1"/>
  <c r="AL185" i="2" s="1"/>
  <c r="AG185" i="2"/>
  <c r="AH185" i="2" s="1"/>
  <c r="AF185" i="2"/>
  <c r="AD185" i="2"/>
  <c r="AC185" i="2"/>
  <c r="Z185" i="2"/>
  <c r="Y185" i="2"/>
  <c r="BB184" i="2"/>
  <c r="AL184" i="2"/>
  <c r="AK184" i="2"/>
  <c r="AH184" i="2"/>
  <c r="AG184" i="2"/>
  <c r="AD184" i="2"/>
  <c r="AC184" i="2"/>
  <c r="Z184" i="2"/>
  <c r="Y184" i="2"/>
  <c r="BB183" i="2"/>
  <c r="AJ183" i="2"/>
  <c r="AK183" i="2" s="1"/>
  <c r="AL183" i="2" s="1"/>
  <c r="AG183" i="2"/>
  <c r="AH183" i="2" s="1"/>
  <c r="AF183" i="2"/>
  <c r="AD183" i="2"/>
  <c r="AC183" i="2"/>
  <c r="Z183" i="2"/>
  <c r="Y183" i="2"/>
  <c r="BB182" i="2"/>
  <c r="AL182" i="2"/>
  <c r="AK182" i="2"/>
  <c r="AH182" i="2"/>
  <c r="AG182" i="2"/>
  <c r="AD182" i="2"/>
  <c r="AC182" i="2"/>
  <c r="Z182" i="2"/>
  <c r="Y182" i="2"/>
  <c r="BB181" i="2"/>
  <c r="AJ181" i="2"/>
  <c r="AK181" i="2" s="1"/>
  <c r="AL181" i="2" s="1"/>
  <c r="AG181" i="2"/>
  <c r="AH181" i="2" s="1"/>
  <c r="AF181" i="2"/>
  <c r="AD181" i="2"/>
  <c r="AC181" i="2"/>
  <c r="Z181" i="2"/>
  <c r="Y181" i="2"/>
  <c r="BB180" i="2"/>
  <c r="AL180" i="2"/>
  <c r="AK180" i="2"/>
  <c r="AH180" i="2"/>
  <c r="AG180" i="2"/>
  <c r="AD180" i="2"/>
  <c r="AC180" i="2"/>
  <c r="Z180" i="2"/>
  <c r="Y180" i="2"/>
  <c r="BB179" i="2"/>
  <c r="AL179" i="2"/>
  <c r="AK179" i="2"/>
  <c r="AH179" i="2"/>
  <c r="AG179" i="2"/>
  <c r="AD179" i="2"/>
  <c r="AC179" i="2"/>
  <c r="Z179" i="2"/>
  <c r="Y179" i="2"/>
  <c r="BB178" i="2"/>
  <c r="AK178" i="2"/>
  <c r="AL178" i="2" s="1"/>
  <c r="AH178" i="2"/>
  <c r="AG178" i="2"/>
  <c r="AC178" i="2"/>
  <c r="AD178" i="2" s="1"/>
  <c r="Z178" i="2"/>
  <c r="Y178" i="2"/>
  <c r="BB177" i="2"/>
  <c r="AL177" i="2"/>
  <c r="AK177" i="2"/>
  <c r="AJ177" i="2"/>
  <c r="AF177" i="2"/>
  <c r="AG177" i="2" s="1"/>
  <c r="AH177" i="2" s="1"/>
  <c r="AD177" i="2"/>
  <c r="AC177" i="2"/>
  <c r="Y177" i="2"/>
  <c r="Z177" i="2" s="1"/>
  <c r="BB176" i="2"/>
  <c r="AL176" i="2"/>
  <c r="AK176" i="2"/>
  <c r="AG176" i="2"/>
  <c r="AH176" i="2" s="1"/>
  <c r="AD176" i="2"/>
  <c r="AC176" i="2"/>
  <c r="Y176" i="2"/>
  <c r="Z176" i="2" s="1"/>
  <c r="BB175" i="2"/>
  <c r="AJ175" i="2"/>
  <c r="AK175" i="2" s="1"/>
  <c r="AL175" i="2" s="1"/>
  <c r="AH175" i="2"/>
  <c r="AG175" i="2"/>
  <c r="AF175" i="2"/>
  <c r="AC175" i="2"/>
  <c r="AD175" i="2" s="1"/>
  <c r="Z175" i="2"/>
  <c r="Y175" i="2"/>
  <c r="BB174" i="2"/>
  <c r="AK174" i="2"/>
  <c r="AL174" i="2" s="1"/>
  <c r="AH174" i="2"/>
  <c r="AG174" i="2"/>
  <c r="AC174" i="2"/>
  <c r="AD174" i="2" s="1"/>
  <c r="Z174" i="2"/>
  <c r="Y174" i="2"/>
  <c r="BB173" i="2"/>
  <c r="AK173" i="2"/>
  <c r="AL173" i="2" s="1"/>
  <c r="AH173" i="2"/>
  <c r="AG173" i="2"/>
  <c r="AC173" i="2"/>
  <c r="AD173" i="2" s="1"/>
  <c r="Z173" i="2"/>
  <c r="Y173" i="2"/>
  <c r="BB172" i="2"/>
  <c r="AK172" i="2"/>
  <c r="AL172" i="2" s="1"/>
  <c r="AH172" i="2"/>
  <c r="AG172" i="2"/>
  <c r="AC172" i="2"/>
  <c r="AD172" i="2" s="1"/>
  <c r="Z172" i="2"/>
  <c r="Y172" i="2"/>
  <c r="BB171" i="2"/>
  <c r="AK171" i="2"/>
  <c r="AL171" i="2" s="1"/>
  <c r="AJ171" i="2"/>
  <c r="AF171" i="2"/>
  <c r="AG171" i="2" s="1"/>
  <c r="AH171" i="2" s="1"/>
  <c r="AD171" i="2"/>
  <c r="AC171" i="2"/>
  <c r="Y171" i="2"/>
  <c r="Z171" i="2" s="1"/>
  <c r="BB170" i="2"/>
  <c r="AL170" i="2"/>
  <c r="AK170" i="2"/>
  <c r="AG170" i="2"/>
  <c r="AH170" i="2" s="1"/>
  <c r="AD170" i="2"/>
  <c r="AC170" i="2"/>
  <c r="Y170" i="2"/>
  <c r="Z170" i="2" s="1"/>
  <c r="BB169" i="2"/>
  <c r="AL169" i="2"/>
  <c r="AK169" i="2"/>
  <c r="AJ169" i="2"/>
  <c r="AG169" i="2"/>
  <c r="AH169" i="2" s="1"/>
  <c r="AF169" i="2"/>
  <c r="AC169" i="2"/>
  <c r="AD169" i="2" s="1"/>
  <c r="Z169" i="2"/>
  <c r="Y169" i="2"/>
  <c r="BB168" i="2"/>
  <c r="AL168" i="2"/>
  <c r="AK168" i="2"/>
  <c r="AG168" i="2"/>
  <c r="AH168" i="2" s="1"/>
  <c r="AD168" i="2"/>
  <c r="AC168" i="2"/>
  <c r="Y168" i="2"/>
  <c r="Z168" i="2" s="1"/>
  <c r="BB167" i="2"/>
  <c r="AL167" i="2"/>
  <c r="AJ167" i="2"/>
  <c r="AK167" i="2" s="1"/>
  <c r="AH167" i="2"/>
  <c r="AG167" i="2"/>
  <c r="AF167" i="2"/>
  <c r="AC167" i="2"/>
  <c r="AD167" i="2" s="1"/>
  <c r="Z167" i="2"/>
  <c r="Y167" i="2"/>
  <c r="BB166" i="2"/>
  <c r="AK166" i="2"/>
  <c r="AL166" i="2" s="1"/>
  <c r="AH166" i="2"/>
  <c r="AG166" i="2"/>
  <c r="AC166" i="2"/>
  <c r="AD166" i="2" s="1"/>
  <c r="Z166" i="2"/>
  <c r="Y166" i="2"/>
  <c r="AK165" i="2"/>
  <c r="AL165" i="2" s="1"/>
  <c r="AH165" i="2"/>
  <c r="AG165" i="2"/>
  <c r="AC165" i="2"/>
  <c r="AD165" i="2" s="1"/>
  <c r="Z165" i="2"/>
  <c r="Y165" i="2"/>
  <c r="BB164" i="2"/>
  <c r="AK164" i="2"/>
  <c r="AL164" i="2" s="1"/>
  <c r="AH164" i="2"/>
  <c r="AG164" i="2"/>
  <c r="AC164" i="2"/>
  <c r="AD164" i="2" s="1"/>
  <c r="Z164" i="2"/>
  <c r="Y164" i="2"/>
  <c r="BB163" i="2"/>
  <c r="AJ163" i="2"/>
  <c r="AK163" i="2" s="1"/>
  <c r="AL163" i="2" s="1"/>
  <c r="AF163" i="2"/>
  <c r="AG163" i="2" s="1"/>
  <c r="AH163" i="2" s="1"/>
  <c r="AD163" i="2"/>
  <c r="AC163" i="2"/>
  <c r="Y163" i="2"/>
  <c r="Z163" i="2" s="1"/>
  <c r="BB162" i="2"/>
  <c r="AL162" i="2"/>
  <c r="AK162" i="2"/>
  <c r="AG162" i="2"/>
  <c r="AH162" i="2" s="1"/>
  <c r="AD162" i="2"/>
  <c r="AC162" i="2"/>
  <c r="Y162" i="2"/>
  <c r="Z162" i="2" s="1"/>
  <c r="BB161" i="2"/>
  <c r="AL161" i="2"/>
  <c r="AK161" i="2"/>
  <c r="AH161" i="2"/>
  <c r="AG161" i="2"/>
  <c r="AD161" i="2"/>
  <c r="AC161" i="2"/>
  <c r="Z161" i="2"/>
  <c r="Y161" i="2"/>
  <c r="BB160" i="2"/>
  <c r="AL160" i="2"/>
  <c r="AK160" i="2"/>
  <c r="AG160" i="2"/>
  <c r="AH160" i="2" s="1"/>
  <c r="AD160" i="2"/>
  <c r="AC160" i="2"/>
  <c r="Y160" i="2"/>
  <c r="Z160" i="2" s="1"/>
  <c r="BB159" i="2"/>
  <c r="AL159" i="2"/>
  <c r="AK159" i="2"/>
  <c r="AH159" i="2"/>
  <c r="AG159" i="2"/>
  <c r="AD159" i="2"/>
  <c r="AC159" i="2"/>
  <c r="Z159" i="2"/>
  <c r="Y159" i="2"/>
  <c r="BB158" i="2"/>
  <c r="AL158" i="2"/>
  <c r="AK158" i="2"/>
  <c r="AH158" i="2"/>
  <c r="AG158" i="2"/>
  <c r="AD158" i="2"/>
  <c r="AC158" i="2"/>
  <c r="Z158" i="2"/>
  <c r="Y158" i="2"/>
  <c r="BB157" i="2"/>
  <c r="AL157" i="2"/>
  <c r="AJ157" i="2"/>
  <c r="AK157" i="2" s="1"/>
  <c r="AG157" i="2"/>
  <c r="AH157" i="2" s="1"/>
  <c r="AF157" i="2"/>
  <c r="AD157" i="2"/>
  <c r="AC157" i="2"/>
  <c r="Z157" i="2"/>
  <c r="Y157" i="2"/>
  <c r="BB156" i="2"/>
  <c r="AL156" i="2"/>
  <c r="AK156" i="2"/>
  <c r="AH156" i="2"/>
  <c r="AG156" i="2"/>
  <c r="AD156" i="2"/>
  <c r="AC156" i="2"/>
  <c r="Z156" i="2"/>
  <c r="Y156" i="2"/>
  <c r="BB155" i="2"/>
  <c r="AJ155" i="2"/>
  <c r="AK155" i="2" s="1"/>
  <c r="AL155" i="2" s="1"/>
  <c r="AG155" i="2"/>
  <c r="AH155" i="2" s="1"/>
  <c r="AF155" i="2"/>
  <c r="AD155" i="2"/>
  <c r="AC155" i="2"/>
  <c r="Z155" i="2"/>
  <c r="Y155" i="2"/>
  <c r="BB154" i="2"/>
  <c r="AL154" i="2"/>
  <c r="AK154" i="2"/>
  <c r="AH154" i="2"/>
  <c r="AG154" i="2"/>
  <c r="AD154" i="2"/>
  <c r="AC154" i="2"/>
  <c r="Z154" i="2"/>
  <c r="Y154" i="2"/>
  <c r="BB153" i="2"/>
  <c r="AJ153" i="2"/>
  <c r="AK153" i="2" s="1"/>
  <c r="AL153" i="2" s="1"/>
  <c r="AG153" i="2"/>
  <c r="AH153" i="2" s="1"/>
  <c r="AF153" i="2"/>
  <c r="AD153" i="2"/>
  <c r="AC153" i="2"/>
  <c r="Z153" i="2"/>
  <c r="Y153" i="2"/>
  <c r="BB152" i="2"/>
  <c r="AL152" i="2"/>
  <c r="AK152" i="2"/>
  <c r="AH152" i="2"/>
  <c r="AG152" i="2"/>
  <c r="AD152" i="2"/>
  <c r="AC152" i="2"/>
  <c r="Z152" i="2"/>
  <c r="Y152" i="2"/>
  <c r="BB151" i="2"/>
  <c r="AL151" i="2"/>
  <c r="AK151" i="2"/>
  <c r="AH151" i="2"/>
  <c r="AG151" i="2"/>
  <c r="AD151" i="2"/>
  <c r="AC151" i="2"/>
  <c r="Z151" i="2"/>
  <c r="Y151" i="2"/>
  <c r="BB150" i="2"/>
  <c r="AL150" i="2"/>
  <c r="AK150" i="2"/>
  <c r="AH150" i="2"/>
  <c r="AG150" i="2"/>
  <c r="AD150" i="2"/>
  <c r="AC150" i="2"/>
  <c r="Z150" i="2"/>
  <c r="Y150" i="2"/>
  <c r="BB149" i="2"/>
  <c r="AL149" i="2"/>
  <c r="AK149" i="2"/>
  <c r="AH149" i="2"/>
  <c r="AG149" i="2"/>
  <c r="AD149" i="2"/>
  <c r="AC149" i="2"/>
  <c r="Z149" i="2"/>
  <c r="Y149" i="2"/>
  <c r="BB148" i="2"/>
  <c r="AL148" i="2"/>
  <c r="AK148" i="2"/>
  <c r="AH148" i="2"/>
  <c r="AG148" i="2"/>
  <c r="AD148" i="2"/>
  <c r="AC148" i="2"/>
  <c r="Z148" i="2"/>
  <c r="Y148" i="2"/>
  <c r="BB147" i="2"/>
  <c r="AJ147" i="2"/>
  <c r="AK147" i="2" s="1"/>
  <c r="AL147" i="2" s="1"/>
  <c r="AG147" i="2"/>
  <c r="AH147" i="2" s="1"/>
  <c r="AF147" i="2"/>
  <c r="AD147" i="2"/>
  <c r="AC147" i="2"/>
  <c r="Z147" i="2"/>
  <c r="Y147" i="2"/>
  <c r="BB146" i="2"/>
  <c r="AL146" i="2"/>
  <c r="AK146" i="2"/>
  <c r="AH146" i="2"/>
  <c r="AG146" i="2"/>
  <c r="AD146" i="2"/>
  <c r="AC146" i="2"/>
  <c r="Z146" i="2"/>
  <c r="Y146" i="2"/>
  <c r="BB145" i="2"/>
  <c r="AL145" i="2"/>
  <c r="AJ145" i="2"/>
  <c r="AK145" i="2" s="1"/>
  <c r="AG145" i="2"/>
  <c r="AH145" i="2" s="1"/>
  <c r="AF145" i="2"/>
  <c r="AD145" i="2"/>
  <c r="AC145" i="2"/>
  <c r="Z145" i="2"/>
  <c r="Y145" i="2"/>
  <c r="BB144" i="2"/>
  <c r="AL144" i="2"/>
  <c r="AK144" i="2"/>
  <c r="AH144" i="2"/>
  <c r="AG144" i="2"/>
  <c r="AD144" i="2"/>
  <c r="AC144" i="2"/>
  <c r="Z144" i="2"/>
  <c r="Y144" i="2"/>
  <c r="BB143" i="2"/>
  <c r="AL143" i="2"/>
  <c r="AK143" i="2"/>
  <c r="AH143" i="2"/>
  <c r="AG143" i="2"/>
  <c r="AD143" i="2"/>
  <c r="AC143" i="2"/>
  <c r="Z143" i="2"/>
  <c r="Y143" i="2"/>
  <c r="BB142" i="2"/>
  <c r="AL142" i="2"/>
  <c r="AK142" i="2"/>
  <c r="AH142" i="2"/>
  <c r="AG142" i="2"/>
  <c r="AD142" i="2"/>
  <c r="AC142" i="2"/>
  <c r="Z142" i="2"/>
  <c r="Y142" i="2"/>
  <c r="BB141" i="2"/>
  <c r="AL141" i="2"/>
  <c r="AK141" i="2"/>
  <c r="AH141" i="2"/>
  <c r="AG141" i="2"/>
  <c r="AD141" i="2"/>
  <c r="AC141" i="2"/>
  <c r="Z141" i="2"/>
  <c r="Y141" i="2"/>
  <c r="BB140" i="2"/>
  <c r="AL140" i="2"/>
  <c r="AK140" i="2"/>
  <c r="AH140" i="2"/>
  <c r="AG140" i="2"/>
  <c r="AD140" i="2"/>
  <c r="AC140" i="2"/>
  <c r="Z140" i="2"/>
  <c r="Y140" i="2"/>
  <c r="BB139" i="2"/>
  <c r="AL139" i="2"/>
  <c r="AK139" i="2"/>
  <c r="AH139" i="2"/>
  <c r="AG139" i="2"/>
  <c r="AD139" i="2"/>
  <c r="AC139" i="2"/>
  <c r="Z139" i="2"/>
  <c r="Y139" i="2"/>
  <c r="BB138" i="2"/>
  <c r="AL138" i="2"/>
  <c r="AK138" i="2"/>
  <c r="AH138" i="2"/>
  <c r="AG138" i="2"/>
  <c r="AD138" i="2"/>
  <c r="AC138" i="2"/>
  <c r="Z138" i="2"/>
  <c r="Y138" i="2"/>
  <c r="BB137" i="2"/>
  <c r="AJ137" i="2"/>
  <c r="AK137" i="2" s="1"/>
  <c r="AL137" i="2" s="1"/>
  <c r="AG137" i="2"/>
  <c r="AH137" i="2" s="1"/>
  <c r="AF137" i="2"/>
  <c r="AD137" i="2"/>
  <c r="AC137" i="2"/>
  <c r="Z137" i="2"/>
  <c r="Y137" i="2"/>
  <c r="BB136" i="2"/>
  <c r="AL136" i="2"/>
  <c r="AK136" i="2"/>
  <c r="AH136" i="2"/>
  <c r="AG136" i="2"/>
  <c r="AD136" i="2"/>
  <c r="AC136" i="2"/>
  <c r="Z136" i="2"/>
  <c r="Y136" i="2"/>
  <c r="BB135" i="2"/>
  <c r="AL135" i="2"/>
  <c r="AK135" i="2"/>
  <c r="AH135" i="2"/>
  <c r="AG135" i="2"/>
  <c r="AD135" i="2"/>
  <c r="AC135" i="2"/>
  <c r="Z135" i="2"/>
  <c r="Y135" i="2"/>
  <c r="BB134" i="2"/>
  <c r="AL134" i="2"/>
  <c r="AK134" i="2"/>
  <c r="AH134" i="2"/>
  <c r="AG134" i="2"/>
  <c r="AD134" i="2"/>
  <c r="AC134" i="2"/>
  <c r="Z134" i="2"/>
  <c r="Y134" i="2"/>
  <c r="BB133" i="2"/>
  <c r="AL133" i="2"/>
  <c r="AK133" i="2"/>
  <c r="AH133" i="2"/>
  <c r="AG133" i="2"/>
  <c r="AD133" i="2"/>
  <c r="AC133" i="2"/>
  <c r="Z133" i="2"/>
  <c r="Y133" i="2"/>
  <c r="BB132" i="2"/>
  <c r="AL132" i="2"/>
  <c r="AK132" i="2"/>
  <c r="AH132" i="2"/>
  <c r="AG132" i="2"/>
  <c r="AD132" i="2"/>
  <c r="AC132" i="2"/>
  <c r="Z132" i="2"/>
  <c r="Y132" i="2"/>
  <c r="AL131" i="2"/>
  <c r="AK131" i="2"/>
  <c r="AH131" i="2"/>
  <c r="AG131" i="2"/>
  <c r="AD131" i="2"/>
  <c r="AC131" i="2"/>
  <c r="Z131" i="2"/>
  <c r="Y131" i="2"/>
  <c r="BB130" i="2"/>
  <c r="AL130" i="2"/>
  <c r="AK130" i="2"/>
  <c r="AH130" i="2"/>
  <c r="AG130" i="2"/>
  <c r="AD130" i="2"/>
  <c r="AC130" i="2"/>
  <c r="Z130" i="2"/>
  <c r="Y130" i="2"/>
  <c r="BB129" i="2"/>
  <c r="AL129" i="2"/>
  <c r="AJ129" i="2"/>
  <c r="AK129" i="2" s="1"/>
  <c r="AG129" i="2"/>
  <c r="AH129" i="2" s="1"/>
  <c r="AC129" i="2"/>
  <c r="AD129" i="2" s="1"/>
  <c r="Y129" i="2"/>
  <c r="Z129" i="2" s="1"/>
  <c r="BB128" i="2"/>
  <c r="AK128" i="2"/>
  <c r="AL128" i="2" s="1"/>
  <c r="AG128" i="2"/>
  <c r="AH128" i="2" s="1"/>
  <c r="AC128" i="2"/>
  <c r="AD128" i="2" s="1"/>
  <c r="Y128" i="2"/>
  <c r="Z128" i="2" s="1"/>
  <c r="BB127" i="2"/>
  <c r="AK127" i="2"/>
  <c r="AL127" i="2" s="1"/>
  <c r="AG127" i="2"/>
  <c r="AH127" i="2" s="1"/>
  <c r="AC127" i="2"/>
  <c r="AD127" i="2" s="1"/>
  <c r="Z127" i="2"/>
  <c r="Y127" i="2"/>
  <c r="BB126" i="2"/>
  <c r="AK126" i="2"/>
  <c r="AL126" i="2" s="1"/>
  <c r="AG126" i="2"/>
  <c r="AH126" i="2" s="1"/>
  <c r="AC126" i="2"/>
  <c r="AD126" i="2" s="1"/>
  <c r="Z126" i="2"/>
  <c r="Y126" i="2"/>
  <c r="BB125" i="2"/>
  <c r="AK125" i="2"/>
  <c r="AL125" i="2" s="1"/>
  <c r="AG125" i="2"/>
  <c r="AH125" i="2" s="1"/>
  <c r="AC125" i="2"/>
  <c r="AD125" i="2" s="1"/>
  <c r="Z125" i="2"/>
  <c r="Y125" i="2"/>
  <c r="BB124" i="2"/>
  <c r="AK124" i="2"/>
  <c r="AL124" i="2" s="1"/>
  <c r="AG124" i="2"/>
  <c r="AH124" i="2" s="1"/>
  <c r="AC124" i="2"/>
  <c r="AD124" i="2" s="1"/>
  <c r="Z124" i="2"/>
  <c r="Y124" i="2"/>
  <c r="BB123" i="2"/>
  <c r="AK123" i="2"/>
  <c r="AL123" i="2" s="1"/>
  <c r="AG123" i="2"/>
  <c r="AH123" i="2" s="1"/>
  <c r="AC123" i="2"/>
  <c r="AD123" i="2" s="1"/>
  <c r="Z123" i="2"/>
  <c r="Y123" i="2"/>
  <c r="BB122" i="2"/>
  <c r="AK122" i="2"/>
  <c r="AL122" i="2" s="1"/>
  <c r="AG122" i="2"/>
  <c r="AH122" i="2" s="1"/>
  <c r="AC122" i="2"/>
  <c r="AD122" i="2" s="1"/>
  <c r="Z122" i="2"/>
  <c r="Y122" i="2"/>
  <c r="BB121" i="2"/>
  <c r="AK121" i="2"/>
  <c r="AL121" i="2" s="1"/>
  <c r="AJ121" i="2"/>
  <c r="AH121" i="2"/>
  <c r="AF121" i="2"/>
  <c r="AG121" i="2" s="1"/>
  <c r="AD121" i="2"/>
  <c r="AC121" i="2"/>
  <c r="Y121" i="2"/>
  <c r="Z121" i="2" s="1"/>
  <c r="BB120" i="2"/>
  <c r="AL120" i="2"/>
  <c r="AK120" i="2"/>
  <c r="AG120" i="2"/>
  <c r="AH120" i="2" s="1"/>
  <c r="AC120" i="2"/>
  <c r="AD120" i="2" s="1"/>
  <c r="Y120" i="2"/>
  <c r="Z120" i="2" s="1"/>
  <c r="BB119" i="2"/>
  <c r="AK119" i="2"/>
  <c r="AL119" i="2" s="1"/>
  <c r="AJ119" i="2"/>
  <c r="AF119" i="2"/>
  <c r="AG119" i="2" s="1"/>
  <c r="AH119" i="2" s="1"/>
  <c r="AC119" i="2"/>
  <c r="AD119" i="2" s="1"/>
  <c r="Z119" i="2"/>
  <c r="Y119" i="2"/>
  <c r="BB118" i="2"/>
  <c r="AK118" i="2"/>
  <c r="AL118" i="2" s="1"/>
  <c r="AG118" i="2"/>
  <c r="AH118" i="2" s="1"/>
  <c r="AC118" i="2"/>
  <c r="AD118" i="2" s="1"/>
  <c r="Z118" i="2"/>
  <c r="Y118" i="2"/>
  <c r="BB117" i="2"/>
  <c r="AJ117" i="2"/>
  <c r="AK117" i="2" s="1"/>
  <c r="AL117" i="2" s="1"/>
  <c r="AG117" i="2"/>
  <c r="AH117" i="2" s="1"/>
  <c r="AF117" i="2"/>
  <c r="AD117" i="2"/>
  <c r="AC117" i="2"/>
  <c r="Z117" i="2"/>
  <c r="Y117" i="2"/>
  <c r="BB116" i="2"/>
  <c r="AL116" i="2"/>
  <c r="AK116" i="2"/>
  <c r="AH116" i="2"/>
  <c r="AG116" i="2"/>
  <c r="AD116" i="2"/>
  <c r="AC116" i="2"/>
  <c r="Z116" i="2"/>
  <c r="Y116" i="2"/>
  <c r="BB115" i="2"/>
  <c r="AL115" i="2"/>
  <c r="AK115" i="2"/>
  <c r="AH115" i="2"/>
  <c r="AG115" i="2"/>
  <c r="AD115" i="2"/>
  <c r="AC115" i="2"/>
  <c r="Z115" i="2"/>
  <c r="Y115" i="2"/>
  <c r="BB114" i="2"/>
  <c r="AL114" i="2"/>
  <c r="AK114" i="2"/>
  <c r="AH114" i="2"/>
  <c r="AG114" i="2"/>
  <c r="AD114" i="2"/>
  <c r="AC114" i="2"/>
  <c r="Z114" i="2"/>
  <c r="Y114" i="2"/>
  <c r="BB113" i="2"/>
  <c r="AJ113" i="2"/>
  <c r="AK113" i="2" s="1"/>
  <c r="AL113" i="2" s="1"/>
  <c r="AG113" i="2"/>
  <c r="AH113" i="2" s="1"/>
  <c r="AF113" i="2"/>
  <c r="AD113" i="2"/>
  <c r="AC113" i="2"/>
  <c r="Z113" i="2"/>
  <c r="Y113" i="2"/>
  <c r="BB112" i="2"/>
  <c r="AL112" i="2"/>
  <c r="AK112" i="2"/>
  <c r="AH112" i="2"/>
  <c r="AG112" i="2"/>
  <c r="AD112" i="2"/>
  <c r="AC112" i="2"/>
  <c r="Z112" i="2"/>
  <c r="Y112" i="2"/>
  <c r="BB111" i="2"/>
  <c r="AJ111" i="2"/>
  <c r="AK111" i="2" s="1"/>
  <c r="AL111" i="2" s="1"/>
  <c r="AG111" i="2"/>
  <c r="AH111" i="2" s="1"/>
  <c r="AF111" i="2"/>
  <c r="AD111" i="2"/>
  <c r="AC111" i="2"/>
  <c r="Z111" i="2"/>
  <c r="Y111" i="2"/>
  <c r="BB110" i="2"/>
  <c r="AL110" i="2"/>
  <c r="AK110" i="2"/>
  <c r="AH110" i="2"/>
  <c r="AG110" i="2"/>
  <c r="AD110" i="2"/>
  <c r="AC110" i="2"/>
  <c r="Z110" i="2"/>
  <c r="Y110" i="2"/>
  <c r="BB109" i="2"/>
  <c r="AL109" i="2"/>
  <c r="AK109" i="2"/>
  <c r="AH109" i="2"/>
  <c r="AG109" i="2"/>
  <c r="AD109" i="2"/>
  <c r="AC109" i="2"/>
  <c r="Z109" i="2"/>
  <c r="Y109" i="2"/>
  <c r="BB108" i="2"/>
  <c r="AL108" i="2"/>
  <c r="AK108" i="2"/>
  <c r="AH108" i="2"/>
  <c r="AG108" i="2"/>
  <c r="AD108" i="2"/>
  <c r="AC108" i="2"/>
  <c r="Z108" i="2"/>
  <c r="Y108" i="2"/>
  <c r="BB107" i="2"/>
  <c r="AL107" i="2"/>
  <c r="AK107" i="2"/>
  <c r="AH107" i="2"/>
  <c r="AG107" i="2"/>
  <c r="AD107" i="2"/>
  <c r="AC107" i="2"/>
  <c r="Z107" i="2"/>
  <c r="Y107" i="2"/>
  <c r="BB106" i="2"/>
  <c r="AL106" i="2"/>
  <c r="AK106" i="2"/>
  <c r="AH106" i="2"/>
  <c r="AG106" i="2"/>
  <c r="AD106" i="2"/>
  <c r="AC106" i="2"/>
  <c r="Z106" i="2"/>
  <c r="Y106" i="2"/>
  <c r="BB105" i="2"/>
  <c r="AL105" i="2"/>
  <c r="AK105" i="2"/>
  <c r="AH105" i="2"/>
  <c r="AG105" i="2"/>
  <c r="AD105" i="2"/>
  <c r="AC105" i="2"/>
  <c r="Z105" i="2"/>
  <c r="Y105" i="2"/>
  <c r="BB104" i="2"/>
  <c r="AL104" i="2"/>
  <c r="AK104" i="2"/>
  <c r="AH104" i="2"/>
  <c r="AG104" i="2"/>
  <c r="AD104" i="2"/>
  <c r="AC104" i="2"/>
  <c r="Z104" i="2"/>
  <c r="Y104" i="2"/>
  <c r="BB103" i="2"/>
  <c r="AJ103" i="2"/>
  <c r="AK103" i="2" s="1"/>
  <c r="AL103" i="2" s="1"/>
  <c r="AG103" i="2"/>
  <c r="AH103" i="2" s="1"/>
  <c r="AF103" i="2"/>
  <c r="AD103" i="2"/>
  <c r="AC103" i="2"/>
  <c r="Z103" i="2"/>
  <c r="Y103" i="2"/>
  <c r="BB102" i="2"/>
  <c r="AL102" i="2"/>
  <c r="AK102" i="2"/>
  <c r="AH102" i="2"/>
  <c r="AG102" i="2"/>
  <c r="AD102" i="2"/>
  <c r="AC102" i="2"/>
  <c r="Z102" i="2"/>
  <c r="Y102" i="2"/>
  <c r="BB101" i="2"/>
  <c r="AL101" i="2"/>
  <c r="AK101" i="2"/>
  <c r="AH101" i="2"/>
  <c r="AG101" i="2"/>
  <c r="AD101" i="2"/>
  <c r="AC101" i="2"/>
  <c r="Z101" i="2"/>
  <c r="Y101" i="2"/>
  <c r="BB100" i="2"/>
  <c r="AL100" i="2"/>
  <c r="AK100" i="2"/>
  <c r="AH100" i="2"/>
  <c r="AG100" i="2"/>
  <c r="AD100" i="2"/>
  <c r="AC100" i="2"/>
  <c r="Z100" i="2"/>
  <c r="Y100" i="2"/>
  <c r="BB99" i="2"/>
  <c r="AJ99" i="2"/>
  <c r="AK99" i="2" s="1"/>
  <c r="AL99" i="2" s="1"/>
  <c r="AG99" i="2"/>
  <c r="AH99" i="2" s="1"/>
  <c r="AF99" i="2"/>
  <c r="AD99" i="2"/>
  <c r="AC99" i="2"/>
  <c r="Z99" i="2"/>
  <c r="Y99" i="2"/>
  <c r="BB98" i="2"/>
  <c r="AL98" i="2"/>
  <c r="AK98" i="2"/>
  <c r="AH98" i="2"/>
  <c r="AG98" i="2"/>
  <c r="AD98" i="2"/>
  <c r="AC98" i="2"/>
  <c r="Z98" i="2"/>
  <c r="Y98" i="2"/>
  <c r="BB97" i="2"/>
  <c r="AJ97" i="2"/>
  <c r="AK97" i="2" s="1"/>
  <c r="AL97" i="2" s="1"/>
  <c r="AG97" i="2"/>
  <c r="AH97" i="2" s="1"/>
  <c r="AF97" i="2"/>
  <c r="AD97" i="2"/>
  <c r="AC97" i="2"/>
  <c r="Z97" i="2"/>
  <c r="Y97" i="2"/>
  <c r="BB96" i="2"/>
  <c r="AL96" i="2"/>
  <c r="AK96" i="2"/>
  <c r="AH96" i="2"/>
  <c r="AG96" i="2"/>
  <c r="AD96" i="2"/>
  <c r="AC96" i="2"/>
  <c r="Z96" i="2"/>
  <c r="Y96" i="2"/>
  <c r="BB95" i="2"/>
  <c r="AL95" i="2"/>
  <c r="AK95" i="2"/>
  <c r="AH95" i="2"/>
  <c r="AG95" i="2"/>
  <c r="AD95" i="2"/>
  <c r="AC95" i="2"/>
  <c r="Z95" i="2"/>
  <c r="Y95" i="2"/>
  <c r="BB94" i="2"/>
  <c r="AL94" i="2"/>
  <c r="AK94" i="2"/>
  <c r="AH94" i="2"/>
  <c r="AG94" i="2"/>
  <c r="AD94" i="2"/>
  <c r="AC94" i="2"/>
  <c r="Z94" i="2"/>
  <c r="Y94" i="2"/>
  <c r="BB93" i="2"/>
  <c r="AL93" i="2"/>
  <c r="AK93" i="2"/>
  <c r="AH93" i="2"/>
  <c r="AG93" i="2"/>
  <c r="AD93" i="2"/>
  <c r="AC93" i="2"/>
  <c r="Z93" i="2"/>
  <c r="Y93" i="2"/>
  <c r="BB92" i="2"/>
  <c r="AL92" i="2"/>
  <c r="AK92" i="2"/>
  <c r="AH92" i="2"/>
  <c r="AG92" i="2"/>
  <c r="AD92" i="2"/>
  <c r="AC92" i="2"/>
  <c r="Z92" i="2"/>
  <c r="Y92" i="2"/>
  <c r="BB91" i="2"/>
  <c r="AL91" i="2"/>
  <c r="AK91" i="2"/>
  <c r="AH91" i="2"/>
  <c r="AG91" i="2"/>
  <c r="AD91" i="2"/>
  <c r="AC91" i="2"/>
  <c r="Z91" i="2"/>
  <c r="Y91" i="2"/>
  <c r="BB90" i="2"/>
  <c r="AL90" i="2"/>
  <c r="AK90" i="2"/>
  <c r="AH90" i="2"/>
  <c r="AG90" i="2"/>
  <c r="AD90" i="2"/>
  <c r="AC90" i="2"/>
  <c r="Z90" i="2"/>
  <c r="Y90" i="2"/>
  <c r="BB89" i="2"/>
  <c r="AL89" i="2"/>
  <c r="AK89" i="2"/>
  <c r="AH89" i="2"/>
  <c r="AG89" i="2"/>
  <c r="AD89" i="2"/>
  <c r="AC89" i="2"/>
  <c r="Z89" i="2"/>
  <c r="Y89" i="2"/>
  <c r="BB88" i="2"/>
  <c r="AL88" i="2"/>
  <c r="AK88" i="2"/>
  <c r="AH88" i="2"/>
  <c r="AG88" i="2"/>
  <c r="AD88" i="2"/>
  <c r="AC88" i="2"/>
  <c r="Z88" i="2"/>
  <c r="Y88" i="2"/>
  <c r="BB87" i="2"/>
  <c r="AJ87" i="2"/>
  <c r="AK87" i="2" s="1"/>
  <c r="AL87" i="2" s="1"/>
  <c r="AG87" i="2"/>
  <c r="AH87" i="2" s="1"/>
  <c r="AF87" i="2"/>
  <c r="AD87" i="2"/>
  <c r="AC87" i="2"/>
  <c r="Z87" i="2"/>
  <c r="Y87" i="2"/>
  <c r="BB86" i="2"/>
  <c r="AL86" i="2"/>
  <c r="AK86" i="2"/>
  <c r="AH86" i="2"/>
  <c r="AG86" i="2"/>
  <c r="AD86" i="2"/>
  <c r="AC86" i="2"/>
  <c r="Z86" i="2"/>
  <c r="Y86" i="2"/>
  <c r="BB85" i="2"/>
  <c r="AK85" i="2"/>
  <c r="AL85" i="2" s="1"/>
  <c r="AH85" i="2"/>
  <c r="AG85" i="2"/>
  <c r="AC85" i="2"/>
  <c r="AD85" i="2" s="1"/>
  <c r="Z85" i="2"/>
  <c r="Y85" i="2"/>
  <c r="BB84" i="2"/>
  <c r="AK84" i="2"/>
  <c r="AL84" i="2" s="1"/>
  <c r="AH84" i="2"/>
  <c r="AG84" i="2"/>
  <c r="AC84" i="2"/>
  <c r="AD84" i="2" s="1"/>
  <c r="Z84" i="2"/>
  <c r="Y84" i="2"/>
  <c r="BB83" i="2"/>
  <c r="AL83" i="2"/>
  <c r="AK83" i="2"/>
  <c r="AJ83" i="2"/>
  <c r="AF83" i="2"/>
  <c r="AG83" i="2" s="1"/>
  <c r="AH83" i="2" s="1"/>
  <c r="AD83" i="2"/>
  <c r="AC83" i="2"/>
  <c r="Y83" i="2"/>
  <c r="Z83" i="2" s="1"/>
  <c r="BB82" i="2"/>
  <c r="AK82" i="2"/>
  <c r="AL82" i="2" s="1"/>
  <c r="AG82" i="2"/>
  <c r="AH82" i="2" s="1"/>
  <c r="AD82" i="2"/>
  <c r="AC82" i="2"/>
  <c r="Y82" i="2"/>
  <c r="Z82" i="2" s="1"/>
  <c r="BB81" i="2"/>
  <c r="AL81" i="2"/>
  <c r="AK81" i="2"/>
  <c r="AJ81" i="2"/>
  <c r="AG81" i="2"/>
  <c r="AH81" i="2" s="1"/>
  <c r="AD81" i="2"/>
  <c r="AC81" i="2"/>
  <c r="Y81" i="2"/>
  <c r="Z81" i="2" s="1"/>
  <c r="BB80" i="2"/>
  <c r="AL80" i="2"/>
  <c r="AK80" i="2"/>
  <c r="AH80" i="2"/>
  <c r="AG80" i="2"/>
  <c r="AD80" i="2"/>
  <c r="AC80" i="2"/>
  <c r="Z80" i="2"/>
  <c r="Y80" i="2"/>
  <c r="BB79" i="2"/>
  <c r="AJ79" i="2"/>
  <c r="AK79" i="2" s="1"/>
  <c r="AL79" i="2" s="1"/>
  <c r="AG79" i="2"/>
  <c r="AH79" i="2" s="1"/>
  <c r="AF79" i="2"/>
  <c r="AD79" i="2"/>
  <c r="AC79" i="2"/>
  <c r="Z79" i="2"/>
  <c r="Y79" i="2"/>
  <c r="BB78" i="2"/>
  <c r="AK78" i="2"/>
  <c r="AL78" i="2" s="1"/>
  <c r="AH78" i="2"/>
  <c r="AG78" i="2"/>
  <c r="AC78" i="2"/>
  <c r="AD78" i="2" s="1"/>
  <c r="Z78" i="2"/>
  <c r="Y78" i="2"/>
  <c r="BB77" i="2"/>
  <c r="AL77" i="2"/>
  <c r="AK77" i="2"/>
  <c r="AH77" i="2"/>
  <c r="AG77" i="2"/>
  <c r="AD77" i="2"/>
  <c r="AC77" i="2"/>
  <c r="Z77" i="2"/>
  <c r="Y77" i="2"/>
  <c r="BB76" i="2"/>
  <c r="AK76" i="2"/>
  <c r="AL76" i="2" s="1"/>
  <c r="AH76" i="2"/>
  <c r="AG76" i="2"/>
  <c r="AC76" i="2"/>
  <c r="AD76" i="2" s="1"/>
  <c r="Z76" i="2"/>
  <c r="Y76" i="2"/>
  <c r="BB75" i="2"/>
  <c r="AL75" i="2"/>
  <c r="AK75" i="2"/>
  <c r="AH75" i="2"/>
  <c r="AG75" i="2"/>
  <c r="AD75" i="2"/>
  <c r="AC75" i="2"/>
  <c r="Z75" i="2"/>
  <c r="Y75" i="2"/>
  <c r="BB74" i="2"/>
  <c r="AK74" i="2"/>
  <c r="AL74" i="2" s="1"/>
  <c r="AH74" i="2"/>
  <c r="AG74" i="2"/>
  <c r="AC74" i="2"/>
  <c r="AD74" i="2" s="1"/>
  <c r="Z74" i="2"/>
  <c r="Y74" i="2"/>
  <c r="BB73" i="2"/>
  <c r="AL73" i="2"/>
  <c r="AK73" i="2"/>
  <c r="AH73" i="2"/>
  <c r="AG73" i="2"/>
  <c r="AD73" i="2"/>
  <c r="AC73" i="2"/>
  <c r="Z73" i="2"/>
  <c r="Y73" i="2"/>
  <c r="BB72" i="2"/>
  <c r="AK72" i="2"/>
  <c r="AL72" i="2" s="1"/>
  <c r="AH72" i="2"/>
  <c r="AG72" i="2"/>
  <c r="AC72" i="2"/>
  <c r="AD72" i="2" s="1"/>
  <c r="Z72" i="2"/>
  <c r="Y72" i="2"/>
  <c r="BB71" i="2"/>
  <c r="AJ71" i="2"/>
  <c r="AK71" i="2" s="1"/>
  <c r="AL71" i="2" s="1"/>
  <c r="AF71" i="2"/>
  <c r="AG71" i="2" s="1"/>
  <c r="AH71" i="2" s="1"/>
  <c r="AD71" i="2"/>
  <c r="AC71" i="2"/>
  <c r="Y71" i="2"/>
  <c r="Z71" i="2" s="1"/>
  <c r="BB70" i="2"/>
  <c r="AL70" i="2"/>
  <c r="AK70" i="2"/>
  <c r="AH70" i="2"/>
  <c r="AG70" i="2"/>
  <c r="AD70" i="2"/>
  <c r="AC70" i="2"/>
  <c r="Z70" i="2"/>
  <c r="Y70" i="2"/>
  <c r="BB69" i="2"/>
  <c r="AJ69" i="2"/>
  <c r="AK69" i="2" s="1"/>
  <c r="AL69" i="2" s="1"/>
  <c r="AG69" i="2"/>
  <c r="AH69" i="2" s="1"/>
  <c r="AF69" i="2"/>
  <c r="AD69" i="2"/>
  <c r="AC69" i="2"/>
  <c r="Z69" i="2"/>
  <c r="Y69" i="2"/>
  <c r="BB68" i="2"/>
  <c r="AK68" i="2"/>
  <c r="AL68" i="2" s="1"/>
  <c r="AH68" i="2"/>
  <c r="AG68" i="2"/>
  <c r="AC68" i="2"/>
  <c r="AD68" i="2" s="1"/>
  <c r="Z68" i="2"/>
  <c r="Y68" i="2"/>
  <c r="BB67" i="2"/>
  <c r="AL67" i="2"/>
  <c r="AK67" i="2"/>
  <c r="AH67" i="2"/>
  <c r="AG67" i="2"/>
  <c r="AD67" i="2"/>
  <c r="AC67" i="2"/>
  <c r="Z67" i="2"/>
  <c r="Y67" i="2"/>
  <c r="BB66" i="2"/>
  <c r="AK66" i="2"/>
  <c r="AL66" i="2" s="1"/>
  <c r="AH66" i="2"/>
  <c r="AG66" i="2"/>
  <c r="AC66" i="2"/>
  <c r="AD66" i="2" s="1"/>
  <c r="Z66" i="2"/>
  <c r="Y66" i="2"/>
  <c r="BB65" i="2"/>
  <c r="AL65" i="2"/>
  <c r="AK65" i="2"/>
  <c r="AH65" i="2"/>
  <c r="AG65" i="2"/>
  <c r="AD65" i="2"/>
  <c r="AC65" i="2"/>
  <c r="Z65" i="2"/>
  <c r="Y65" i="2"/>
  <c r="BB64" i="2"/>
  <c r="AK64" i="2"/>
  <c r="AL64" i="2" s="1"/>
  <c r="AH64" i="2"/>
  <c r="AG64" i="2"/>
  <c r="AC64" i="2"/>
  <c r="AD64" i="2" s="1"/>
  <c r="Z64" i="2"/>
  <c r="Y64" i="2"/>
  <c r="BB63" i="2"/>
  <c r="AJ63" i="2"/>
  <c r="AK63" i="2" s="1"/>
  <c r="AL63" i="2" s="1"/>
  <c r="AF63" i="2"/>
  <c r="AG63" i="2" s="1"/>
  <c r="AH63" i="2" s="1"/>
  <c r="AD63" i="2"/>
  <c r="AC63" i="2"/>
  <c r="Y63" i="2"/>
  <c r="Z63" i="2" s="1"/>
  <c r="BB62" i="2"/>
  <c r="AN62" i="2"/>
  <c r="AL62" i="2"/>
  <c r="AK62" i="2"/>
  <c r="AH62" i="2"/>
  <c r="AG62" i="2"/>
  <c r="AD62" i="2"/>
  <c r="AC62" i="2"/>
  <c r="Z62" i="2"/>
  <c r="Y62" i="2"/>
  <c r="BB61" i="2"/>
  <c r="AL61" i="2"/>
  <c r="AK61" i="2"/>
  <c r="AG61" i="2"/>
  <c r="AH61" i="2" s="1"/>
  <c r="AF61" i="2"/>
  <c r="AC61" i="2"/>
  <c r="AD61" i="2" s="1"/>
  <c r="Y61" i="2"/>
  <c r="Z61" i="2" s="1"/>
  <c r="BB60" i="2"/>
  <c r="AM60" i="2"/>
  <c r="AK60" i="2"/>
  <c r="AL60" i="2" s="1"/>
  <c r="AH60" i="2"/>
  <c r="AG60" i="2"/>
  <c r="AC60" i="2"/>
  <c r="AD60" i="2" s="1"/>
  <c r="Y60" i="2"/>
  <c r="Z60" i="2" s="1"/>
  <c r="BB59" i="2"/>
  <c r="AM59" i="2"/>
  <c r="AK59" i="2"/>
  <c r="AL59" i="2" s="1"/>
  <c r="AH59" i="2"/>
  <c r="AG59" i="2"/>
  <c r="AC59" i="2"/>
  <c r="AD59" i="2" s="1"/>
  <c r="Y59" i="2"/>
  <c r="Z59" i="2" s="1"/>
  <c r="BB58" i="2"/>
  <c r="AM58" i="2"/>
  <c r="AK58" i="2"/>
  <c r="AL58" i="2" s="1"/>
  <c r="AH58" i="2"/>
  <c r="AG58" i="2"/>
  <c r="AC58" i="2"/>
  <c r="AD58" i="2" s="1"/>
  <c r="Y58" i="2"/>
  <c r="Z58" i="2" s="1"/>
  <c r="BB57" i="2"/>
  <c r="AM57" i="2"/>
  <c r="AJ57" i="2"/>
  <c r="AK57" i="2" s="1"/>
  <c r="AL57" i="2" s="1"/>
  <c r="AF57" i="2"/>
  <c r="AG57" i="2" s="1"/>
  <c r="AH57" i="2" s="1"/>
  <c r="AC57" i="2"/>
  <c r="AD57" i="2" s="1"/>
  <c r="Y57" i="2"/>
  <c r="Z57" i="2" s="1"/>
  <c r="BB56" i="2"/>
  <c r="AS56" i="2"/>
  <c r="AV56" i="2" s="1"/>
  <c r="AW56" i="2" s="1"/>
  <c r="AM56" i="2"/>
  <c r="AK56" i="2"/>
  <c r="AL56" i="2" s="1"/>
  <c r="AG56" i="2"/>
  <c r="AH56" i="2" s="1"/>
  <c r="AD56" i="2"/>
  <c r="AC56" i="2"/>
  <c r="Y56" i="2"/>
  <c r="Z56" i="2" s="1"/>
  <c r="AM55" i="2"/>
  <c r="AK55" i="2"/>
  <c r="AL55" i="2" s="1"/>
  <c r="AJ55" i="2"/>
  <c r="AF55" i="2"/>
  <c r="AG55" i="2" s="1"/>
  <c r="AH55" i="2" s="1"/>
  <c r="AC55" i="2"/>
  <c r="AD55" i="2" s="1"/>
  <c r="Y55" i="2"/>
  <c r="Z55" i="2" s="1"/>
  <c r="AS54" i="2"/>
  <c r="AV54" i="2" s="1"/>
  <c r="AW54" i="2" s="1"/>
  <c r="AK54" i="2"/>
  <c r="AL54" i="2" s="1"/>
  <c r="AG54" i="2"/>
  <c r="AH54" i="2" s="1"/>
  <c r="AC54" i="2"/>
  <c r="AD54" i="2" s="1"/>
  <c r="Y54" i="2"/>
  <c r="Z54" i="2" s="1"/>
  <c r="AS53" i="2"/>
  <c r="AV53" i="2" s="1"/>
  <c r="AW53" i="2" s="1"/>
  <c r="AK53" i="2"/>
  <c r="AL53" i="2" s="1"/>
  <c r="AG53" i="2"/>
  <c r="AH53" i="2" s="1"/>
  <c r="AC53" i="2"/>
  <c r="AD53" i="2" s="1"/>
  <c r="Y53" i="2"/>
  <c r="Z53" i="2" s="1"/>
  <c r="AS52" i="2"/>
  <c r="AV52" i="2" s="1"/>
  <c r="AW52" i="2" s="1"/>
  <c r="AK52" i="2"/>
  <c r="AL52" i="2" s="1"/>
  <c r="AG52" i="2"/>
  <c r="AH52" i="2" s="1"/>
  <c r="AC52" i="2"/>
  <c r="AD52" i="2" s="1"/>
  <c r="Y52" i="2"/>
  <c r="Z52" i="2" s="1"/>
  <c r="AS51" i="2"/>
  <c r="AV51" i="2" s="1"/>
  <c r="AW51" i="2" s="1"/>
  <c r="AK51" i="2"/>
  <c r="AL51" i="2" s="1"/>
  <c r="AJ51" i="2"/>
  <c r="AH51" i="2"/>
  <c r="AG51" i="2"/>
  <c r="AD51" i="2"/>
  <c r="AC51" i="2"/>
  <c r="Z51" i="2"/>
  <c r="Y51" i="2"/>
  <c r="BB50" i="2"/>
  <c r="AL50" i="2"/>
  <c r="AK50" i="2"/>
  <c r="AH50" i="2"/>
  <c r="AG50" i="2"/>
  <c r="AD50" i="2"/>
  <c r="AC50" i="2"/>
  <c r="Z50" i="2"/>
  <c r="Y50" i="2"/>
  <c r="BB49" i="2"/>
  <c r="AJ49" i="2"/>
  <c r="AK49" i="2" s="1"/>
  <c r="AL49" i="2" s="1"/>
  <c r="AG49" i="2"/>
  <c r="AH49" i="2" s="1"/>
  <c r="AC49" i="2"/>
  <c r="AD49" i="2" s="1"/>
  <c r="Y49" i="2"/>
  <c r="Z49" i="2" s="1"/>
  <c r="BB48" i="2"/>
  <c r="AM48" i="2"/>
  <c r="AK48" i="2"/>
  <c r="AL48" i="2" s="1"/>
  <c r="AG48" i="2"/>
  <c r="AH48" i="2" s="1"/>
  <c r="AC48" i="2"/>
  <c r="AD48" i="2" s="1"/>
  <c r="Y48" i="2"/>
  <c r="Z48" i="2" s="1"/>
  <c r="AM47" i="2"/>
  <c r="AK47" i="2"/>
  <c r="AL47" i="2" s="1"/>
  <c r="AJ47" i="2"/>
  <c r="AH47" i="2"/>
  <c r="AG47" i="2"/>
  <c r="AD47" i="2"/>
  <c r="AC47" i="2"/>
  <c r="Z47" i="2"/>
  <c r="Y47" i="2"/>
  <c r="AN46" i="2"/>
  <c r="AL46" i="2"/>
  <c r="AK46" i="2"/>
  <c r="AH46" i="2"/>
  <c r="AG46" i="2"/>
  <c r="AD46" i="2"/>
  <c r="AC46" i="2"/>
  <c r="Z46" i="2"/>
  <c r="Y46" i="2"/>
  <c r="BB45" i="2"/>
  <c r="AN45" i="2"/>
  <c r="AL45" i="2"/>
  <c r="AK45" i="2"/>
  <c r="AH45" i="2"/>
  <c r="AG45" i="2"/>
  <c r="AD45" i="2"/>
  <c r="AC45" i="2"/>
  <c r="Z45" i="2"/>
  <c r="Y45" i="2"/>
  <c r="BB44" i="2"/>
  <c r="AN44" i="2"/>
  <c r="AL44" i="2"/>
  <c r="AK44" i="2"/>
  <c r="AH44" i="2"/>
  <c r="AG44" i="2"/>
  <c r="AD44" i="2"/>
  <c r="AC44" i="2"/>
  <c r="Z44" i="2"/>
  <c r="Y44" i="2"/>
  <c r="BB43" i="2"/>
  <c r="AN43" i="2"/>
  <c r="AL43" i="2"/>
  <c r="AK43" i="2"/>
  <c r="AH43" i="2"/>
  <c r="AG43" i="2"/>
  <c r="AD43" i="2"/>
  <c r="AC43" i="2"/>
  <c r="Z43" i="2"/>
  <c r="Y43" i="2"/>
  <c r="BB42" i="2"/>
  <c r="AN42" i="2"/>
  <c r="AL42" i="2"/>
  <c r="AK42" i="2"/>
  <c r="AH42" i="2"/>
  <c r="AG42" i="2"/>
  <c r="AD42" i="2"/>
  <c r="AC42" i="2"/>
  <c r="Z42" i="2"/>
  <c r="Y42" i="2"/>
  <c r="BB41" i="2"/>
  <c r="AN41" i="2"/>
  <c r="AJ41" i="2"/>
  <c r="AK41" i="2" s="1"/>
  <c r="AL41" i="2" s="1"/>
  <c r="AG41" i="2"/>
  <c r="AH41" i="2" s="1"/>
  <c r="AF41" i="2"/>
  <c r="AD41" i="2"/>
  <c r="AC41" i="2"/>
  <c r="Z41" i="2"/>
  <c r="Y41" i="2"/>
  <c r="BB40" i="2"/>
  <c r="AL40" i="2"/>
  <c r="AK40" i="2"/>
  <c r="AH40" i="2"/>
  <c r="AG40" i="2"/>
  <c r="AD40" i="2"/>
  <c r="AC40" i="2"/>
  <c r="Z40" i="2"/>
  <c r="Y40" i="2"/>
  <c r="BB39" i="2"/>
  <c r="AL39" i="2"/>
  <c r="AK39" i="2"/>
  <c r="AH39" i="2"/>
  <c r="AG39" i="2"/>
  <c r="AD39" i="2"/>
  <c r="AC39" i="2"/>
  <c r="Z39" i="2"/>
  <c r="Y39" i="2"/>
  <c r="BB38" i="2"/>
  <c r="AL38" i="2"/>
  <c r="AK38" i="2"/>
  <c r="AH38" i="2"/>
  <c r="AG38" i="2"/>
  <c r="AD38" i="2"/>
  <c r="AC38" i="2"/>
  <c r="Z38" i="2"/>
  <c r="Y38" i="2"/>
  <c r="BB37" i="2"/>
  <c r="AL37" i="2"/>
  <c r="AK37" i="2"/>
  <c r="AH37" i="2"/>
  <c r="AG37" i="2"/>
  <c r="AD37" i="2"/>
  <c r="AC37" i="2"/>
  <c r="Z37" i="2"/>
  <c r="Y37" i="2"/>
  <c r="BB36" i="2"/>
  <c r="AL36" i="2"/>
  <c r="AK36" i="2"/>
  <c r="AH36" i="2"/>
  <c r="AG36" i="2"/>
  <c r="AD36" i="2"/>
  <c r="AC36" i="2"/>
  <c r="Z36" i="2"/>
  <c r="Y36" i="2"/>
  <c r="BB35" i="2"/>
  <c r="AL35" i="2"/>
  <c r="AK35" i="2"/>
  <c r="AH35" i="2"/>
  <c r="AG35" i="2"/>
  <c r="AD35" i="2"/>
  <c r="AC35" i="2"/>
  <c r="Z35" i="2"/>
  <c r="Y35" i="2"/>
  <c r="BB34" i="2"/>
  <c r="AL34" i="2"/>
  <c r="AK34" i="2"/>
  <c r="AH34" i="2"/>
  <c r="AG34" i="2"/>
  <c r="AD34" i="2"/>
  <c r="AC34" i="2"/>
  <c r="Z34" i="2"/>
  <c r="Y34" i="2"/>
  <c r="BB33" i="2"/>
  <c r="AL33" i="2"/>
  <c r="AK33" i="2"/>
  <c r="AH33" i="2"/>
  <c r="AG33" i="2"/>
  <c r="AD33" i="2"/>
  <c r="AC33" i="2"/>
  <c r="Z33" i="2"/>
  <c r="Y33" i="2"/>
  <c r="BB32" i="2"/>
  <c r="AL32" i="2"/>
  <c r="AK32" i="2"/>
  <c r="AH32" i="2"/>
  <c r="AG32" i="2"/>
  <c r="AD32" i="2"/>
  <c r="AC32" i="2"/>
  <c r="Z32" i="2"/>
  <c r="Y32" i="2"/>
  <c r="BB31" i="2"/>
  <c r="AL31" i="2"/>
  <c r="AJ31" i="2"/>
  <c r="AK31" i="2" s="1"/>
  <c r="AG31" i="2"/>
  <c r="AH31" i="2" s="1"/>
  <c r="AF31" i="2"/>
  <c r="AD31" i="2"/>
  <c r="AC31" i="2"/>
  <c r="Z31" i="2"/>
  <c r="Y31" i="2"/>
  <c r="BB30" i="2"/>
  <c r="AN30" i="2"/>
  <c r="AL30" i="2"/>
  <c r="AK30" i="2"/>
  <c r="AH30" i="2"/>
  <c r="AG30" i="2"/>
  <c r="AD30" i="2"/>
  <c r="AC30" i="2"/>
  <c r="Z30" i="2"/>
  <c r="Y30" i="2"/>
  <c r="BB29" i="2"/>
  <c r="AN29" i="2"/>
  <c r="AJ29" i="2"/>
  <c r="AK29" i="2" s="1"/>
  <c r="AL29" i="2" s="1"/>
  <c r="AG29" i="2"/>
  <c r="AH29" i="2" s="1"/>
  <c r="AF29" i="2"/>
  <c r="AD29" i="2"/>
  <c r="AC29" i="2"/>
  <c r="Z29" i="2"/>
  <c r="Y29" i="2"/>
  <c r="BB28" i="2"/>
  <c r="AL28" i="2"/>
  <c r="AK28" i="2"/>
  <c r="AH28" i="2"/>
  <c r="AG28" i="2"/>
  <c r="AD28" i="2"/>
  <c r="AC28" i="2"/>
  <c r="Z28" i="2"/>
  <c r="Y28" i="2"/>
  <c r="BB27" i="2"/>
  <c r="AJ27" i="2"/>
  <c r="AK27" i="2" s="1"/>
  <c r="AL27" i="2" s="1"/>
  <c r="AG27" i="2"/>
  <c r="AH27" i="2" s="1"/>
  <c r="AF27" i="2"/>
  <c r="AD27" i="2"/>
  <c r="AC27" i="2"/>
  <c r="Z27" i="2"/>
  <c r="Y27" i="2"/>
  <c r="BB26" i="2"/>
  <c r="AN26" i="2"/>
  <c r="AL26" i="2"/>
  <c r="AK26" i="2"/>
  <c r="AH26" i="2"/>
  <c r="AG26" i="2"/>
  <c r="AD26" i="2"/>
  <c r="AC26" i="2"/>
  <c r="Z26" i="2"/>
  <c r="Y26" i="2"/>
  <c r="BB25" i="2"/>
  <c r="AN25" i="2"/>
  <c r="AJ25" i="2"/>
  <c r="AK25" i="2" s="1"/>
  <c r="AL25" i="2" s="1"/>
  <c r="AG25" i="2"/>
  <c r="AH25" i="2" s="1"/>
  <c r="AF25" i="2"/>
  <c r="AD25" i="2"/>
  <c r="AC25" i="2"/>
  <c r="Z25" i="2"/>
  <c r="Y25" i="2"/>
  <c r="BB24" i="2"/>
  <c r="AL24" i="2"/>
  <c r="AK24" i="2"/>
  <c r="AH24" i="2"/>
  <c r="AG24" i="2"/>
  <c r="AD24" i="2"/>
  <c r="AC24" i="2"/>
  <c r="Z24" i="2"/>
  <c r="Y24" i="2"/>
  <c r="BB23" i="2"/>
  <c r="AL23" i="2"/>
  <c r="AJ23" i="2"/>
  <c r="AK23" i="2" s="1"/>
  <c r="AG23" i="2"/>
  <c r="AH23" i="2" s="1"/>
  <c r="AF23" i="2"/>
  <c r="AD23" i="2"/>
  <c r="AC23" i="2"/>
  <c r="Z23" i="2"/>
  <c r="Y23" i="2"/>
  <c r="BB22" i="2"/>
  <c r="AN22" i="2"/>
  <c r="AL22" i="2"/>
  <c r="AK22" i="2"/>
  <c r="AH22" i="2"/>
  <c r="AG22" i="2"/>
  <c r="AD22" i="2"/>
  <c r="AC22" i="2"/>
  <c r="Z22" i="2"/>
  <c r="Y22" i="2"/>
  <c r="BB21" i="2"/>
  <c r="AN21" i="2"/>
  <c r="AL21" i="2"/>
  <c r="AK21" i="2"/>
  <c r="AH21" i="2"/>
  <c r="AG21" i="2"/>
  <c r="AD21" i="2"/>
  <c r="AC21" i="2"/>
  <c r="Z21" i="2"/>
  <c r="Y21" i="2"/>
  <c r="BB20" i="2"/>
  <c r="AN20" i="2"/>
  <c r="AL20" i="2"/>
  <c r="AK20" i="2"/>
  <c r="AH20" i="2"/>
  <c r="AG20" i="2"/>
  <c r="AD20" i="2"/>
  <c r="AC20" i="2"/>
  <c r="Z20" i="2"/>
  <c r="Y20" i="2"/>
  <c r="BB19" i="2"/>
  <c r="AN19" i="2"/>
  <c r="AL19" i="2"/>
  <c r="AK19" i="2"/>
  <c r="AH19" i="2"/>
  <c r="AG19" i="2"/>
  <c r="AD19" i="2"/>
  <c r="AC19" i="2"/>
  <c r="Z19" i="2"/>
  <c r="Y19" i="2"/>
  <c r="BB18" i="2"/>
  <c r="AN18" i="2"/>
  <c r="AL18" i="2"/>
  <c r="AK18" i="2"/>
  <c r="AH18" i="2"/>
  <c r="AG18" i="2"/>
  <c r="AD18" i="2"/>
  <c r="AC18" i="2"/>
  <c r="Z18" i="2"/>
  <c r="Y18" i="2"/>
  <c r="BB17" i="2"/>
  <c r="AN17" i="2"/>
  <c r="AL17" i="2"/>
  <c r="AK17" i="2"/>
  <c r="AH17" i="2"/>
  <c r="AG17" i="2"/>
  <c r="AD17" i="2"/>
  <c r="AC17" i="2"/>
  <c r="Z17" i="2"/>
  <c r="Y17" i="2"/>
  <c r="BB16" i="2"/>
  <c r="AN16" i="2"/>
  <c r="AL16" i="2"/>
  <c r="AK16" i="2"/>
  <c r="AH16" i="2"/>
  <c r="AG16" i="2"/>
  <c r="AD16" i="2"/>
  <c r="AC16" i="2"/>
  <c r="Z16" i="2"/>
  <c r="Y16" i="2"/>
  <c r="BB15" i="2"/>
  <c r="AN15" i="2"/>
  <c r="AL15" i="2"/>
  <c r="AK15" i="2"/>
  <c r="AH15" i="2"/>
  <c r="AG15" i="2"/>
  <c r="AD15" i="2"/>
  <c r="AC15" i="2"/>
  <c r="Z15" i="2"/>
  <c r="Y15" i="2"/>
  <c r="BB14" i="2"/>
  <c r="AN14" i="2"/>
  <c r="AL14" i="2"/>
  <c r="AK14" i="2"/>
  <c r="AH14" i="2"/>
  <c r="AG14" i="2"/>
  <c r="AD14" i="2"/>
  <c r="AC14" i="2"/>
  <c r="Z14" i="2"/>
  <c r="Y14" i="2"/>
  <c r="BB13" i="2"/>
  <c r="AN13" i="2"/>
  <c r="AJ13" i="2"/>
  <c r="AK13" i="2" s="1"/>
  <c r="AL13" i="2" s="1"/>
  <c r="AG13" i="2"/>
  <c r="AH13" i="2" s="1"/>
  <c r="AF13" i="2"/>
  <c r="AD13" i="2"/>
  <c r="AC13" i="2"/>
  <c r="Z13" i="2"/>
  <c r="Y13" i="2"/>
  <c r="BB12" i="2"/>
  <c r="AL12" i="2"/>
  <c r="AK12" i="2"/>
  <c r="AH12" i="2"/>
  <c r="AG12" i="2"/>
  <c r="AD12" i="2"/>
  <c r="AC12" i="2"/>
  <c r="Z12" i="2"/>
  <c r="Y12" i="2"/>
  <c r="BB11" i="2"/>
  <c r="AL11" i="2"/>
  <c r="AK11" i="2"/>
  <c r="AH11" i="2"/>
  <c r="AG11" i="2"/>
  <c r="AD11" i="2"/>
  <c r="AC11" i="2"/>
  <c r="Z11" i="2"/>
  <c r="Y11" i="2"/>
  <c r="BB10" i="2"/>
  <c r="AL10" i="2"/>
  <c r="AK10" i="2"/>
  <c r="AH10" i="2"/>
  <c r="AG10" i="2"/>
  <c r="AD10" i="2"/>
  <c r="AC10" i="2"/>
  <c r="Z10" i="2"/>
  <c r="Y10" i="2"/>
  <c r="BB9" i="2"/>
  <c r="AJ9" i="2"/>
  <c r="AK9" i="2" s="1"/>
  <c r="AL9" i="2" s="1"/>
  <c r="AG9" i="2"/>
  <c r="AH9" i="2" s="1"/>
  <c r="AF9" i="2"/>
  <c r="AD9" i="2"/>
  <c r="AC9" i="2"/>
  <c r="Z9" i="2"/>
  <c r="Y9" i="2"/>
  <c r="BB8" i="2"/>
  <c r="AN8" i="2"/>
  <c r="AL8" i="2"/>
  <c r="AK8" i="2"/>
  <c r="AH8" i="2"/>
  <c r="AG8" i="2"/>
  <c r="AD8" i="2"/>
  <c r="AC8" i="2"/>
  <c r="Z8" i="2"/>
  <c r="Y8" i="2"/>
  <c r="BB7" i="2"/>
  <c r="AN7" i="2"/>
  <c r="AL7" i="2"/>
  <c r="AK7" i="2"/>
  <c r="AH7" i="2"/>
  <c r="AG7" i="2"/>
  <c r="AD7" i="2"/>
  <c r="AC7" i="2"/>
  <c r="Z7" i="2"/>
  <c r="Y7" i="2"/>
  <c r="BB6" i="2"/>
  <c r="AN6" i="2"/>
  <c r="AL6" i="2"/>
  <c r="AK6" i="2"/>
  <c r="AH6" i="2"/>
  <c r="AG6" i="2"/>
  <c r="AD6" i="2"/>
  <c r="AC6" i="2"/>
  <c r="Z6" i="2"/>
  <c r="Y6" i="2"/>
  <c r="BB5" i="2"/>
  <c r="AN5" i="2"/>
  <c r="AL5" i="2"/>
  <c r="AK5" i="2"/>
  <c r="AH5" i="2"/>
  <c r="AG5" i="2"/>
  <c r="AD5" i="2"/>
  <c r="AC5" i="2"/>
  <c r="Z5" i="2"/>
  <c r="Y5" i="2"/>
  <c r="BB4" i="2"/>
  <c r="AN4" i="2"/>
  <c r="AL4" i="2"/>
  <c r="AK4" i="2"/>
  <c r="AH4" i="2"/>
  <c r="AG4" i="2"/>
  <c r="AD4" i="2"/>
  <c r="AC4" i="2"/>
  <c r="Z4" i="2"/>
  <c r="Y4" i="2"/>
  <c r="AM2" i="2"/>
  <c r="AN116" i="2" s="1"/>
  <c r="AU250" i="1"/>
  <c r="AO250" i="1"/>
  <c r="AP250" i="1" s="1"/>
  <c r="AM250" i="1"/>
  <c r="AN250" i="1" s="1"/>
  <c r="AL250" i="1"/>
  <c r="AG250" i="1"/>
  <c r="AH250" i="1" s="1"/>
  <c r="AI250" i="1" s="1"/>
  <c r="AG250" i="1" a="1"/>
  <c r="AF250" i="1"/>
  <c r="AF250" i="1" a="1"/>
  <c r="AE250" i="1"/>
  <c r="AD250" i="1"/>
  <c r="W250" i="1"/>
  <c r="V250" i="1"/>
  <c r="S250" i="1"/>
  <c r="R250" i="1"/>
  <c r="A250" i="1"/>
  <c r="AU249" i="1"/>
  <c r="AL249" i="1"/>
  <c r="AM249" i="1" s="1"/>
  <c r="AN249" i="1" s="1"/>
  <c r="AG249" i="1" a="1"/>
  <c r="AG249" i="1" s="1"/>
  <c r="AF249" i="1" a="1"/>
  <c r="AF249" i="1" s="1"/>
  <c r="AD249" i="1"/>
  <c r="AE249" i="1" s="1"/>
  <c r="V249" i="1"/>
  <c r="W249" i="1" s="1"/>
  <c r="R249" i="1"/>
  <c r="S249" i="1" s="1"/>
  <c r="A249" i="1"/>
  <c r="AU248" i="1"/>
  <c r="AO248" i="1"/>
  <c r="AP248" i="1" s="1"/>
  <c r="AM248" i="1"/>
  <c r="AN248" i="1" s="1"/>
  <c r="AL248" i="1"/>
  <c r="AG248" i="1"/>
  <c r="AJ248" i="1" s="1"/>
  <c r="AK248" i="1" s="1"/>
  <c r="AG248" i="1" a="1"/>
  <c r="AF248" i="1"/>
  <c r="AF248" i="1" a="1"/>
  <c r="AE248" i="1"/>
  <c r="AD248" i="1"/>
  <c r="W248" i="1"/>
  <c r="V248" i="1"/>
  <c r="S248" i="1"/>
  <c r="R248" i="1"/>
  <c r="A248" i="1"/>
  <c r="AU247" i="1"/>
  <c r="AL247" i="1"/>
  <c r="AO247" i="1" s="1"/>
  <c r="AP247" i="1" s="1"/>
  <c r="AG247" i="1" a="1"/>
  <c r="AG247" i="1" s="1"/>
  <c r="AF247" i="1" a="1"/>
  <c r="AF247" i="1" s="1"/>
  <c r="AD247" i="1"/>
  <c r="AE247" i="1" s="1"/>
  <c r="V247" i="1"/>
  <c r="W247" i="1" s="1"/>
  <c r="R247" i="1"/>
  <c r="S247" i="1" s="1"/>
  <c r="A247" i="1"/>
  <c r="AU246" i="1"/>
  <c r="AO246" i="1"/>
  <c r="AP246" i="1" s="1"/>
  <c r="AM246" i="1"/>
  <c r="AN246" i="1" s="1"/>
  <c r="AL246" i="1"/>
  <c r="AG246" i="1"/>
  <c r="AH246" i="1" s="1"/>
  <c r="AI246" i="1" s="1"/>
  <c r="AG246" i="1" a="1"/>
  <c r="AF246" i="1"/>
  <c r="AF246" i="1" a="1"/>
  <c r="AE246" i="1"/>
  <c r="AD246" i="1"/>
  <c r="W246" i="1"/>
  <c r="V246" i="1"/>
  <c r="S246" i="1"/>
  <c r="R246" i="1"/>
  <c r="A246" i="1"/>
  <c r="AU245" i="1"/>
  <c r="AL245" i="1"/>
  <c r="AM245" i="1" s="1"/>
  <c r="AN245" i="1" s="1"/>
  <c r="AG245" i="1" a="1"/>
  <c r="AG245" i="1" s="1"/>
  <c r="AF245" i="1" a="1"/>
  <c r="AF245" i="1" s="1"/>
  <c r="AD245" i="1"/>
  <c r="AE245" i="1" s="1"/>
  <c r="V245" i="1"/>
  <c r="W245" i="1" s="1"/>
  <c r="R245" i="1"/>
  <c r="S245" i="1" s="1"/>
  <c r="A245" i="1"/>
  <c r="AU244" i="1"/>
  <c r="AO244" i="1"/>
  <c r="AP244" i="1" s="1"/>
  <c r="AM244" i="1"/>
  <c r="AN244" i="1" s="1"/>
  <c r="AL244" i="1"/>
  <c r="AG244" i="1"/>
  <c r="AJ244" i="1" s="1"/>
  <c r="AK244" i="1" s="1"/>
  <c r="AG244" i="1" a="1"/>
  <c r="AF244" i="1"/>
  <c r="AF244" i="1" a="1"/>
  <c r="AE244" i="1"/>
  <c r="AD244" i="1"/>
  <c r="W244" i="1"/>
  <c r="V244" i="1"/>
  <c r="S244" i="1"/>
  <c r="R244" i="1"/>
  <c r="A244" i="1"/>
  <c r="AU243" i="1"/>
  <c r="AL243" i="1"/>
  <c r="AO243" i="1" s="1"/>
  <c r="AP243" i="1" s="1"/>
  <c r="AG243" i="1" a="1"/>
  <c r="AG243" i="1" s="1"/>
  <c r="AF243" i="1" a="1"/>
  <c r="AF243" i="1" s="1"/>
  <c r="AD243" i="1"/>
  <c r="AE243" i="1" s="1"/>
  <c r="V243" i="1"/>
  <c r="W243" i="1" s="1"/>
  <c r="R243" i="1"/>
  <c r="S243" i="1" s="1"/>
  <c r="A243" i="1"/>
  <c r="AU242" i="1"/>
  <c r="AO242" i="1"/>
  <c r="AP242" i="1" s="1"/>
  <c r="AM242" i="1"/>
  <c r="AN242" i="1" s="1"/>
  <c r="AL242" i="1"/>
  <c r="AG242" i="1"/>
  <c r="AH242" i="1" s="1"/>
  <c r="AI242" i="1" s="1"/>
  <c r="AG242" i="1" a="1"/>
  <c r="AF242" i="1"/>
  <c r="AF242" i="1" a="1"/>
  <c r="AE242" i="1"/>
  <c r="AD242" i="1"/>
  <c r="W242" i="1"/>
  <c r="V242" i="1"/>
  <c r="S242" i="1"/>
  <c r="R242" i="1"/>
  <c r="A242" i="1"/>
  <c r="AU241" i="1"/>
  <c r="AL241" i="1"/>
  <c r="AM241" i="1" s="1"/>
  <c r="AN241" i="1" s="1"/>
  <c r="AG241" i="1" a="1"/>
  <c r="AG241" i="1" s="1"/>
  <c r="AF241" i="1" a="1"/>
  <c r="AF241" i="1" s="1"/>
  <c r="AD241" i="1"/>
  <c r="AE241" i="1" s="1"/>
  <c r="V241" i="1"/>
  <c r="W241" i="1" s="1"/>
  <c r="R241" i="1"/>
  <c r="S241" i="1" s="1"/>
  <c r="A241" i="1"/>
  <c r="AU240" i="1"/>
  <c r="AG240" i="1" a="1"/>
  <c r="AG240" i="1" s="1"/>
  <c r="AH240" i="1" s="1"/>
  <c r="AI240" i="1" s="1"/>
  <c r="AF240" i="1" a="1"/>
  <c r="AF240" i="1" s="1"/>
  <c r="V240" i="1"/>
  <c r="W240" i="1" s="1"/>
  <c r="A240" i="1"/>
  <c r="AU239" i="1"/>
  <c r="AO239" i="1"/>
  <c r="AP239" i="1" s="1"/>
  <c r="AM239" i="1"/>
  <c r="AN239" i="1" s="1"/>
  <c r="AL239" i="1"/>
  <c r="AG239" i="1"/>
  <c r="AH239" i="1" s="1"/>
  <c r="AI239" i="1" s="1"/>
  <c r="AG239" i="1" a="1"/>
  <c r="AF239" i="1"/>
  <c r="AF239" i="1" a="1"/>
  <c r="AE239" i="1"/>
  <c r="AD239" i="1"/>
  <c r="W239" i="1"/>
  <c r="V239" i="1"/>
  <c r="S239" i="1"/>
  <c r="R239" i="1"/>
  <c r="A239" i="1"/>
  <c r="AU238" i="1"/>
  <c r="AL238" i="1"/>
  <c r="AM238" i="1" s="1"/>
  <c r="AN238" i="1" s="1"/>
  <c r="AG238" i="1" a="1"/>
  <c r="AG238" i="1" s="1"/>
  <c r="AF238" i="1" a="1"/>
  <c r="AF238" i="1" s="1"/>
  <c r="AD238" i="1"/>
  <c r="AE238" i="1" s="1"/>
  <c r="V238" i="1"/>
  <c r="W238" i="1" s="1"/>
  <c r="R238" i="1"/>
  <c r="S238" i="1" s="1"/>
  <c r="A238" i="1"/>
  <c r="AU237" i="1"/>
  <c r="AO237" i="1"/>
  <c r="AP237" i="1" s="1"/>
  <c r="AM237" i="1"/>
  <c r="AN237" i="1" s="1"/>
  <c r="AL237" i="1"/>
  <c r="AG237" i="1"/>
  <c r="AJ237" i="1" s="1"/>
  <c r="AK237" i="1" s="1"/>
  <c r="AG237" i="1" a="1"/>
  <c r="AF237" i="1"/>
  <c r="AF237" i="1" a="1"/>
  <c r="AE237" i="1"/>
  <c r="AD237" i="1"/>
  <c r="W237" i="1"/>
  <c r="V237" i="1"/>
  <c r="S237" i="1"/>
  <c r="R237" i="1"/>
  <c r="A237" i="1"/>
  <c r="AU236" i="1"/>
  <c r="AL236" i="1"/>
  <c r="AO236" i="1" s="1"/>
  <c r="AP236" i="1" s="1"/>
  <c r="AG236" i="1" a="1"/>
  <c r="AG236" i="1" s="1"/>
  <c r="AF236" i="1" a="1"/>
  <c r="AF236" i="1" s="1"/>
  <c r="AD236" i="1"/>
  <c r="AE236" i="1" s="1"/>
  <c r="V236" i="1"/>
  <c r="W236" i="1" s="1"/>
  <c r="R236" i="1"/>
  <c r="S236" i="1" s="1"/>
  <c r="A236" i="1"/>
  <c r="AU235" i="1"/>
  <c r="AO235" i="1"/>
  <c r="AP235" i="1" s="1"/>
  <c r="AM235" i="1"/>
  <c r="AN235" i="1" s="1"/>
  <c r="AL235" i="1"/>
  <c r="AG235" i="1"/>
  <c r="AH235" i="1" s="1"/>
  <c r="AI235" i="1" s="1"/>
  <c r="AG235" i="1" a="1"/>
  <c r="AF235" i="1"/>
  <c r="AF235" i="1" a="1"/>
  <c r="AE235" i="1"/>
  <c r="AD235" i="1"/>
  <c r="W235" i="1"/>
  <c r="V235" i="1"/>
  <c r="S235" i="1"/>
  <c r="R235" i="1"/>
  <c r="A235" i="1"/>
  <c r="AU234" i="1"/>
  <c r="AL234" i="1"/>
  <c r="AM234" i="1" s="1"/>
  <c r="AN234" i="1" s="1"/>
  <c r="AG234" i="1" a="1"/>
  <c r="AG234" i="1" s="1"/>
  <c r="AF234" i="1" a="1"/>
  <c r="AF234" i="1" s="1"/>
  <c r="AD234" i="1"/>
  <c r="AE234" i="1" s="1"/>
  <c r="V234" i="1"/>
  <c r="W234" i="1" s="1"/>
  <c r="R234" i="1"/>
  <c r="S234" i="1" s="1"/>
  <c r="A234" i="1"/>
  <c r="AU233" i="1"/>
  <c r="AO233" i="1"/>
  <c r="AP233" i="1" s="1"/>
  <c r="AM233" i="1"/>
  <c r="AN233" i="1" s="1"/>
  <c r="AL233" i="1"/>
  <c r="AG233" i="1"/>
  <c r="AJ233" i="1" s="1"/>
  <c r="AK233" i="1" s="1"/>
  <c r="AG233" i="1" a="1"/>
  <c r="AF233" i="1"/>
  <c r="AF233" i="1" a="1"/>
  <c r="AE233" i="1"/>
  <c r="AD233" i="1"/>
  <c r="W233" i="1"/>
  <c r="V233" i="1"/>
  <c r="S233" i="1"/>
  <c r="R233" i="1"/>
  <c r="A233" i="1"/>
  <c r="AU232" i="1"/>
  <c r="AL232" i="1"/>
  <c r="AG232" i="1" a="1"/>
  <c r="AG232" i="1" s="1"/>
  <c r="AJ232" i="1" s="1"/>
  <c r="AK232" i="1" s="1"/>
  <c r="AF232" i="1" a="1"/>
  <c r="AF232" i="1" s="1"/>
  <c r="AD232" i="1"/>
  <c r="AE232" i="1" s="1"/>
  <c r="V232" i="1"/>
  <c r="W232" i="1" s="1"/>
  <c r="R232" i="1"/>
  <c r="S232" i="1" s="1"/>
  <c r="A232" i="1"/>
  <c r="AU231" i="1"/>
  <c r="AO231" i="1"/>
  <c r="AP231" i="1" s="1"/>
  <c r="AM231" i="1"/>
  <c r="AN231" i="1" s="1"/>
  <c r="AL231" i="1"/>
  <c r="AG231" i="1"/>
  <c r="AG231" i="1" a="1"/>
  <c r="AF231" i="1"/>
  <c r="AF231" i="1" a="1"/>
  <c r="AE231" i="1"/>
  <c r="AD231" i="1"/>
  <c r="W231" i="1"/>
  <c r="V231" i="1"/>
  <c r="S231" i="1"/>
  <c r="R231" i="1"/>
  <c r="A231" i="1"/>
  <c r="AU230" i="1"/>
  <c r="AL230" i="1"/>
  <c r="AH230" i="1"/>
  <c r="AI230" i="1" s="1"/>
  <c r="AG230" i="1" a="1"/>
  <c r="AG230" i="1" s="1"/>
  <c r="AJ230" i="1" s="1"/>
  <c r="AK230" i="1" s="1"/>
  <c r="AF230" i="1" a="1"/>
  <c r="AF230" i="1" s="1"/>
  <c r="AD230" i="1"/>
  <c r="AE230" i="1" s="1"/>
  <c r="V230" i="1"/>
  <c r="W230" i="1" s="1"/>
  <c r="R230" i="1"/>
  <c r="S230" i="1" s="1"/>
  <c r="A230" i="1"/>
  <c r="AU229" i="1"/>
  <c r="AO229" i="1"/>
  <c r="AP229" i="1" s="1"/>
  <c r="AM229" i="1"/>
  <c r="AN229" i="1" s="1"/>
  <c r="AL229" i="1"/>
  <c r="AG229" i="1"/>
  <c r="AG229" i="1" a="1"/>
  <c r="AF229" i="1"/>
  <c r="AF229" i="1" a="1"/>
  <c r="AE229" i="1"/>
  <c r="AD229" i="1"/>
  <c r="W229" i="1"/>
  <c r="V229" i="1"/>
  <c r="S229" i="1"/>
  <c r="R229" i="1"/>
  <c r="A229" i="1"/>
  <c r="AU228" i="1"/>
  <c r="AL228" i="1"/>
  <c r="AJ228" i="1"/>
  <c r="AK228" i="1" s="1"/>
  <c r="AG228" i="1" a="1"/>
  <c r="AG228" i="1" s="1"/>
  <c r="AH228" i="1" s="1"/>
  <c r="AI228" i="1" s="1"/>
  <c r="AF228" i="1" a="1"/>
  <c r="AF228" i="1" s="1"/>
  <c r="AD228" i="1"/>
  <c r="AE228" i="1" s="1"/>
  <c r="V228" i="1"/>
  <c r="W228" i="1" s="1"/>
  <c r="R228" i="1"/>
  <c r="S228" i="1" s="1"/>
  <c r="A228" i="1"/>
  <c r="AU227" i="1"/>
  <c r="AO227" i="1"/>
  <c r="AP227" i="1" s="1"/>
  <c r="AM227" i="1"/>
  <c r="AN227" i="1" s="1"/>
  <c r="AL227" i="1"/>
  <c r="AG227" i="1"/>
  <c r="AG227" i="1" a="1"/>
  <c r="AF227" i="1"/>
  <c r="AF227" i="1" a="1"/>
  <c r="AE227" i="1"/>
  <c r="AD227" i="1"/>
  <c r="W227" i="1"/>
  <c r="V227" i="1"/>
  <c r="S227" i="1"/>
  <c r="R227" i="1"/>
  <c r="A227" i="1"/>
  <c r="AU226" i="1"/>
  <c r="AL226" i="1"/>
  <c r="AG226" i="1" a="1"/>
  <c r="AG226" i="1" s="1"/>
  <c r="AJ226" i="1" s="1"/>
  <c r="AK226" i="1" s="1"/>
  <c r="AF226" i="1" a="1"/>
  <c r="AF226" i="1" s="1"/>
  <c r="AH226" i="1" s="1"/>
  <c r="AI226" i="1" s="1"/>
  <c r="AD226" i="1"/>
  <c r="AE226" i="1" s="1"/>
  <c r="V226" i="1"/>
  <c r="W226" i="1" s="1"/>
  <c r="R226" i="1"/>
  <c r="S226" i="1" s="1"/>
  <c r="A226" i="1"/>
  <c r="AU225" i="1"/>
  <c r="AO225" i="1"/>
  <c r="AP225" i="1" s="1"/>
  <c r="AM225" i="1"/>
  <c r="AN225" i="1" s="1"/>
  <c r="AL225" i="1"/>
  <c r="AG225" i="1" a="1"/>
  <c r="AG225" i="1" s="1"/>
  <c r="AF225" i="1"/>
  <c r="AF225" i="1" a="1"/>
  <c r="AD225" i="1"/>
  <c r="AE225" i="1" s="1"/>
  <c r="W225" i="1"/>
  <c r="V225" i="1"/>
  <c r="R225" i="1"/>
  <c r="S225" i="1" s="1"/>
  <c r="A225" i="1"/>
  <c r="AU224" i="1"/>
  <c r="AL224" i="1"/>
  <c r="AM224" i="1" s="1"/>
  <c r="AN224" i="1" s="1"/>
  <c r="AG224" i="1"/>
  <c r="AJ224" i="1" s="1"/>
  <c r="AK224" i="1" s="1"/>
  <c r="AG224" i="1" a="1"/>
  <c r="AF224" i="1"/>
  <c r="AF224" i="1" a="1"/>
  <c r="AE224" i="1"/>
  <c r="AD224" i="1"/>
  <c r="W224" i="1"/>
  <c r="V224" i="1"/>
  <c r="S224" i="1"/>
  <c r="R224" i="1"/>
  <c r="A224" i="1"/>
  <c r="AU223" i="1"/>
  <c r="AL223" i="1"/>
  <c r="AO223" i="1" s="1"/>
  <c r="AP223" i="1" s="1"/>
  <c r="AG223" i="1" a="1"/>
  <c r="AG223" i="1" s="1"/>
  <c r="AF223" i="1" a="1"/>
  <c r="AF223" i="1" s="1"/>
  <c r="AD223" i="1"/>
  <c r="AE223" i="1" s="1"/>
  <c r="V223" i="1"/>
  <c r="W223" i="1" s="1"/>
  <c r="R223" i="1"/>
  <c r="S223" i="1" s="1"/>
  <c r="A223" i="1"/>
  <c r="AU222" i="1"/>
  <c r="AO222" i="1"/>
  <c r="AP222" i="1" s="1"/>
  <c r="AM222" i="1"/>
  <c r="AN222" i="1" s="1"/>
  <c r="AL222" i="1"/>
  <c r="AG222" i="1"/>
  <c r="AH222" i="1" s="1"/>
  <c r="AI222" i="1" s="1"/>
  <c r="AG222" i="1" a="1"/>
  <c r="AF222" i="1"/>
  <c r="AF222" i="1" a="1"/>
  <c r="AE222" i="1"/>
  <c r="AD222" i="1"/>
  <c r="W222" i="1"/>
  <c r="V222" i="1"/>
  <c r="S222" i="1"/>
  <c r="R222" i="1"/>
  <c r="A222" i="1"/>
  <c r="AU221" i="1"/>
  <c r="AL221" i="1"/>
  <c r="AM221" i="1" s="1"/>
  <c r="AN221" i="1" s="1"/>
  <c r="AG221" i="1" a="1"/>
  <c r="AG221" i="1" s="1"/>
  <c r="AF221" i="1" a="1"/>
  <c r="AF221" i="1" s="1"/>
  <c r="AD221" i="1"/>
  <c r="AE221" i="1" s="1"/>
  <c r="V221" i="1"/>
  <c r="W221" i="1" s="1"/>
  <c r="R221" i="1"/>
  <c r="S221" i="1" s="1"/>
  <c r="A221" i="1"/>
  <c r="AU220" i="1"/>
  <c r="AO220" i="1"/>
  <c r="AP220" i="1" s="1"/>
  <c r="AM220" i="1"/>
  <c r="AN220" i="1" s="1"/>
  <c r="AL220" i="1"/>
  <c r="AG220" i="1"/>
  <c r="AJ220" i="1" s="1"/>
  <c r="AK220" i="1" s="1"/>
  <c r="AG220" i="1" a="1"/>
  <c r="AF220" i="1"/>
  <c r="AF220" i="1" a="1"/>
  <c r="AE220" i="1"/>
  <c r="AD220" i="1"/>
  <c r="W220" i="1"/>
  <c r="V220" i="1"/>
  <c r="S220" i="1"/>
  <c r="R220" i="1"/>
  <c r="A220" i="1"/>
  <c r="AU219" i="1"/>
  <c r="AL219" i="1"/>
  <c r="AO219" i="1" s="1"/>
  <c r="AP219" i="1" s="1"/>
  <c r="AG219" i="1" a="1"/>
  <c r="AG219" i="1" s="1"/>
  <c r="AF219" i="1" a="1"/>
  <c r="AF219" i="1" s="1"/>
  <c r="AD219" i="1"/>
  <c r="AE219" i="1" s="1"/>
  <c r="V219" i="1"/>
  <c r="W219" i="1" s="1"/>
  <c r="R219" i="1"/>
  <c r="S219" i="1" s="1"/>
  <c r="A219" i="1"/>
  <c r="AU218" i="1"/>
  <c r="AO218" i="1"/>
  <c r="AP218" i="1" s="1"/>
  <c r="AM218" i="1"/>
  <c r="AN218" i="1" s="1"/>
  <c r="AL218" i="1"/>
  <c r="AG218" i="1"/>
  <c r="AH218" i="1" s="1"/>
  <c r="AI218" i="1" s="1"/>
  <c r="AG218" i="1" a="1"/>
  <c r="AF218" i="1"/>
  <c r="AF218" i="1" a="1"/>
  <c r="AE218" i="1"/>
  <c r="AD218" i="1"/>
  <c r="W218" i="1"/>
  <c r="V218" i="1"/>
  <c r="S218" i="1"/>
  <c r="R218" i="1"/>
  <c r="A218" i="1"/>
  <c r="AU217" i="1"/>
  <c r="AL217" i="1"/>
  <c r="AM217" i="1" s="1"/>
  <c r="AN217" i="1" s="1"/>
  <c r="AG217" i="1" a="1"/>
  <c r="AG217" i="1" s="1"/>
  <c r="AF217" i="1" a="1"/>
  <c r="AF217" i="1" s="1"/>
  <c r="AD217" i="1"/>
  <c r="AE217" i="1" s="1"/>
  <c r="V217" i="1"/>
  <c r="W217" i="1" s="1"/>
  <c r="R217" i="1"/>
  <c r="S217" i="1" s="1"/>
  <c r="A217" i="1"/>
  <c r="AU216" i="1"/>
  <c r="AO216" i="1"/>
  <c r="AP216" i="1" s="1"/>
  <c r="AM216" i="1"/>
  <c r="AN216" i="1" s="1"/>
  <c r="AL216" i="1"/>
  <c r="AG216" i="1"/>
  <c r="AJ216" i="1" s="1"/>
  <c r="AK216" i="1" s="1"/>
  <c r="AG216" i="1" a="1"/>
  <c r="AF216" i="1"/>
  <c r="AF216" i="1" a="1"/>
  <c r="AE216" i="1"/>
  <c r="AD216" i="1"/>
  <c r="W216" i="1"/>
  <c r="V216" i="1"/>
  <c r="S216" i="1"/>
  <c r="R216" i="1"/>
  <c r="A216" i="1"/>
  <c r="AU215" i="1"/>
  <c r="AL215" i="1"/>
  <c r="AO215" i="1" s="1"/>
  <c r="AP215" i="1" s="1"/>
  <c r="AG215" i="1" a="1"/>
  <c r="AG215" i="1" s="1"/>
  <c r="AF215" i="1" a="1"/>
  <c r="AF215" i="1" s="1"/>
  <c r="AD215" i="1"/>
  <c r="AE215" i="1" s="1"/>
  <c r="V215" i="1"/>
  <c r="W215" i="1" s="1"/>
  <c r="R215" i="1"/>
  <c r="S215" i="1" s="1"/>
  <c r="A215" i="1"/>
  <c r="AU214" i="1"/>
  <c r="AO214" i="1"/>
  <c r="AP214" i="1" s="1"/>
  <c r="AM214" i="1"/>
  <c r="AN214" i="1" s="1"/>
  <c r="AL214" i="1"/>
  <c r="AG214" i="1"/>
  <c r="AH214" i="1" s="1"/>
  <c r="AI214" i="1" s="1"/>
  <c r="AG214" i="1" a="1"/>
  <c r="AF214" i="1"/>
  <c r="AF214" i="1" a="1"/>
  <c r="AE214" i="1"/>
  <c r="AD214" i="1"/>
  <c r="W214" i="1"/>
  <c r="V214" i="1"/>
  <c r="S214" i="1"/>
  <c r="R214" i="1"/>
  <c r="A214" i="1"/>
  <c r="AU213" i="1"/>
  <c r="AL213" i="1"/>
  <c r="AM213" i="1" s="1"/>
  <c r="AN213" i="1" s="1"/>
  <c r="AG213" i="1" a="1"/>
  <c r="AG213" i="1" s="1"/>
  <c r="AF213" i="1" a="1"/>
  <c r="AF213" i="1" s="1"/>
  <c r="AD213" i="1"/>
  <c r="AE213" i="1" s="1"/>
  <c r="V213" i="1"/>
  <c r="W213" i="1" s="1"/>
  <c r="R213" i="1"/>
  <c r="S213" i="1" s="1"/>
  <c r="A213" i="1"/>
  <c r="AU212" i="1"/>
  <c r="AO212" i="1"/>
  <c r="AP212" i="1" s="1"/>
  <c r="AM212" i="1"/>
  <c r="AN212" i="1" s="1"/>
  <c r="AL212" i="1"/>
  <c r="AG212" i="1"/>
  <c r="AJ212" i="1" s="1"/>
  <c r="AK212" i="1" s="1"/>
  <c r="AG212" i="1" a="1"/>
  <c r="AF212" i="1"/>
  <c r="AF212" i="1" a="1"/>
  <c r="AE212" i="1"/>
  <c r="AD212" i="1"/>
  <c r="W212" i="1"/>
  <c r="V212" i="1"/>
  <c r="S212" i="1"/>
  <c r="R212" i="1"/>
  <c r="A212" i="1"/>
  <c r="AU211" i="1"/>
  <c r="AL211" i="1"/>
  <c r="AO211" i="1" s="1"/>
  <c r="AP211" i="1" s="1"/>
  <c r="AG211" i="1" a="1"/>
  <c r="AG211" i="1" s="1"/>
  <c r="AF211" i="1" a="1"/>
  <c r="AF211" i="1" s="1"/>
  <c r="AD211" i="1"/>
  <c r="AE211" i="1" s="1"/>
  <c r="V211" i="1"/>
  <c r="W211" i="1" s="1"/>
  <c r="R211" i="1"/>
  <c r="S211" i="1" s="1"/>
  <c r="A211" i="1"/>
  <c r="AU210" i="1"/>
  <c r="AO210" i="1"/>
  <c r="AP210" i="1" s="1"/>
  <c r="AM210" i="1"/>
  <c r="AN210" i="1" s="1"/>
  <c r="AL210" i="1"/>
  <c r="AG210" i="1"/>
  <c r="AH210" i="1" s="1"/>
  <c r="AI210" i="1" s="1"/>
  <c r="AG210" i="1" a="1"/>
  <c r="AF210" i="1"/>
  <c r="AF210" i="1" a="1"/>
  <c r="AE210" i="1"/>
  <c r="AD210" i="1"/>
  <c r="W210" i="1"/>
  <c r="V210" i="1"/>
  <c r="S210" i="1"/>
  <c r="R210" i="1"/>
  <c r="A210" i="1"/>
  <c r="AU209" i="1"/>
  <c r="AL209" i="1"/>
  <c r="AM209" i="1" s="1"/>
  <c r="AN209" i="1" s="1"/>
  <c r="AG209" i="1" a="1"/>
  <c r="AG209" i="1" s="1"/>
  <c r="AF209" i="1" a="1"/>
  <c r="AF209" i="1" s="1"/>
  <c r="AD209" i="1"/>
  <c r="AE209" i="1" s="1"/>
  <c r="V209" i="1"/>
  <c r="W209" i="1" s="1"/>
  <c r="R209" i="1"/>
  <c r="S209" i="1" s="1"/>
  <c r="A209" i="1"/>
  <c r="AU208" i="1"/>
  <c r="AO208" i="1"/>
  <c r="AP208" i="1" s="1"/>
  <c r="AM208" i="1"/>
  <c r="AN208" i="1" s="1"/>
  <c r="AL208" i="1"/>
  <c r="AG208" i="1"/>
  <c r="AG208" i="1" a="1"/>
  <c r="AF208" i="1"/>
  <c r="AF208" i="1" a="1"/>
  <c r="AE208" i="1"/>
  <c r="AD208" i="1"/>
  <c r="W208" i="1"/>
  <c r="V208" i="1"/>
  <c r="S208" i="1"/>
  <c r="R208" i="1"/>
  <c r="A208" i="1"/>
  <c r="AU207" i="1"/>
  <c r="AL207" i="1"/>
  <c r="AG207" i="1" a="1"/>
  <c r="AG207" i="1" s="1"/>
  <c r="AF207" i="1" a="1"/>
  <c r="AF207" i="1" s="1"/>
  <c r="AJ207" i="1" s="1"/>
  <c r="AK207" i="1" s="1"/>
  <c r="AD207" i="1"/>
  <c r="AE207" i="1" s="1"/>
  <c r="V207" i="1"/>
  <c r="W207" i="1" s="1"/>
  <c r="R207" i="1"/>
  <c r="S207" i="1" s="1"/>
  <c r="A207" i="1"/>
  <c r="AU206" i="1"/>
  <c r="AO206" i="1"/>
  <c r="AP206" i="1" s="1"/>
  <c r="AM206" i="1"/>
  <c r="AN206" i="1" s="1"/>
  <c r="AL206" i="1"/>
  <c r="AG206" i="1"/>
  <c r="AG206" i="1" a="1"/>
  <c r="AF206" i="1"/>
  <c r="AF206" i="1" a="1"/>
  <c r="AE206" i="1"/>
  <c r="AD206" i="1"/>
  <c r="W206" i="1"/>
  <c r="V206" i="1"/>
  <c r="S206" i="1"/>
  <c r="R206" i="1"/>
  <c r="A206" i="1"/>
  <c r="AU205" i="1"/>
  <c r="AL205" i="1"/>
  <c r="AG205" i="1" a="1"/>
  <c r="AG205" i="1" s="1"/>
  <c r="AJ205" i="1" s="1"/>
  <c r="AK205" i="1" s="1"/>
  <c r="AF205" i="1" a="1"/>
  <c r="AF205" i="1" s="1"/>
  <c r="AD205" i="1"/>
  <c r="AE205" i="1" s="1"/>
  <c r="V205" i="1"/>
  <c r="W205" i="1" s="1"/>
  <c r="R205" i="1"/>
  <c r="S205" i="1" s="1"/>
  <c r="A205" i="1"/>
  <c r="AU204" i="1"/>
  <c r="AO204" i="1"/>
  <c r="AP204" i="1" s="1"/>
  <c r="AM204" i="1"/>
  <c r="AN204" i="1" s="1"/>
  <c r="AL204" i="1"/>
  <c r="AG204" i="1"/>
  <c r="AG204" i="1" a="1"/>
  <c r="AF204" i="1"/>
  <c r="AF204" i="1" a="1"/>
  <c r="AE204" i="1"/>
  <c r="AD204" i="1"/>
  <c r="W204" i="1"/>
  <c r="V204" i="1"/>
  <c r="S204" i="1"/>
  <c r="R204" i="1"/>
  <c r="A204" i="1"/>
  <c r="AU203" i="1"/>
  <c r="AL203" i="1"/>
  <c r="AH203" i="1"/>
  <c r="AI203" i="1" s="1"/>
  <c r="AG203" i="1" a="1"/>
  <c r="AG203" i="1" s="1"/>
  <c r="AJ203" i="1" s="1"/>
  <c r="AK203" i="1" s="1"/>
  <c r="AF203" i="1" a="1"/>
  <c r="AF203" i="1" s="1"/>
  <c r="AD203" i="1"/>
  <c r="AE203" i="1" s="1"/>
  <c r="V203" i="1"/>
  <c r="W203" i="1" s="1"/>
  <c r="R203" i="1"/>
  <c r="S203" i="1" s="1"/>
  <c r="A203" i="1"/>
  <c r="AU202" i="1"/>
  <c r="AO202" i="1"/>
  <c r="AP202" i="1" s="1"/>
  <c r="AM202" i="1"/>
  <c r="AN202" i="1" s="1"/>
  <c r="AL202" i="1"/>
  <c r="AG202" i="1"/>
  <c r="AG202" i="1" a="1"/>
  <c r="AF202" i="1"/>
  <c r="AF202" i="1" a="1"/>
  <c r="AE202" i="1"/>
  <c r="AD202" i="1"/>
  <c r="V202" i="1"/>
  <c r="R202" i="1"/>
  <c r="S202" i="1" s="1"/>
  <c r="A202" i="1"/>
  <c r="AU201" i="1"/>
  <c r="AO201" i="1"/>
  <c r="AP201" i="1" s="1"/>
  <c r="AN201" i="1"/>
  <c r="AM201" i="1"/>
  <c r="AL201" i="1"/>
  <c r="AG201" i="1" a="1"/>
  <c r="AG201" i="1" s="1"/>
  <c r="AF201" i="1"/>
  <c r="AF201" i="1" a="1"/>
  <c r="AD201" i="1"/>
  <c r="AE201" i="1" s="1"/>
  <c r="V201" i="1"/>
  <c r="R201" i="1"/>
  <c r="S201" i="1" s="1"/>
  <c r="A201" i="1"/>
  <c r="AU200" i="1"/>
  <c r="AO200" i="1"/>
  <c r="AP200" i="1" s="1"/>
  <c r="AN200" i="1"/>
  <c r="AM200" i="1"/>
  <c r="AL200" i="1"/>
  <c r="AG200" i="1" a="1"/>
  <c r="AG200" i="1" s="1"/>
  <c r="AF200" i="1"/>
  <c r="AF200" i="1" a="1"/>
  <c r="AD200" i="1"/>
  <c r="AE200" i="1" s="1"/>
  <c r="V200" i="1"/>
  <c r="R200" i="1"/>
  <c r="S200" i="1" s="1"/>
  <c r="A200" i="1"/>
  <c r="AU199" i="1"/>
  <c r="AO199" i="1"/>
  <c r="AP199" i="1" s="1"/>
  <c r="AN199" i="1"/>
  <c r="AM199" i="1"/>
  <c r="AL199" i="1"/>
  <c r="AG199" i="1" a="1"/>
  <c r="AG199" i="1" s="1"/>
  <c r="AF199" i="1" a="1"/>
  <c r="AF199" i="1" s="1"/>
  <c r="AD199" i="1"/>
  <c r="AE199" i="1" s="1"/>
  <c r="V199" i="1"/>
  <c r="R199" i="1"/>
  <c r="S199" i="1" s="1"/>
  <c r="A199" i="1"/>
  <c r="AU198" i="1"/>
  <c r="AO198" i="1"/>
  <c r="AP198" i="1" s="1"/>
  <c r="AN198" i="1"/>
  <c r="AM198" i="1"/>
  <c r="AL198" i="1"/>
  <c r="AG198" i="1" a="1"/>
  <c r="AG198" i="1" s="1"/>
  <c r="AF198" i="1" a="1"/>
  <c r="AF198" i="1" s="1"/>
  <c r="AD198" i="1"/>
  <c r="AE198" i="1" s="1"/>
  <c r="V198" i="1"/>
  <c r="W198" i="1" s="1"/>
  <c r="R198" i="1"/>
  <c r="S198" i="1" s="1"/>
  <c r="A198" i="1"/>
  <c r="AU197" i="1"/>
  <c r="AO197" i="1"/>
  <c r="AP197" i="1" s="1"/>
  <c r="AL197" i="1"/>
  <c r="AM197" i="1" s="1"/>
  <c r="AN197" i="1" s="1"/>
  <c r="AG197" i="1"/>
  <c r="AG197" i="1" a="1"/>
  <c r="AF197" i="1" a="1"/>
  <c r="AF197" i="1" s="1"/>
  <c r="AE197" i="1"/>
  <c r="AD197" i="1"/>
  <c r="V197" i="1"/>
  <c r="W197" i="1" s="1"/>
  <c r="S197" i="1"/>
  <c r="R197" i="1"/>
  <c r="A197" i="1"/>
  <c r="AU196" i="1"/>
  <c r="AL196" i="1"/>
  <c r="AM196" i="1" s="1"/>
  <c r="AN196" i="1" s="1"/>
  <c r="AG196" i="1" a="1"/>
  <c r="AG196" i="1" s="1"/>
  <c r="AF196" i="1" a="1"/>
  <c r="AF196" i="1" s="1"/>
  <c r="AD196" i="1"/>
  <c r="AE196" i="1" s="1"/>
  <c r="V196" i="1"/>
  <c r="W196" i="1" s="1"/>
  <c r="R196" i="1"/>
  <c r="S196" i="1" s="1"/>
  <c r="A196" i="1"/>
  <c r="AU195" i="1"/>
  <c r="AO195" i="1"/>
  <c r="AP195" i="1" s="1"/>
  <c r="AM195" i="1"/>
  <c r="AN195" i="1" s="1"/>
  <c r="AL195" i="1"/>
  <c r="AG195" i="1" a="1"/>
  <c r="AG195" i="1" s="1"/>
  <c r="AF195" i="1"/>
  <c r="AF195" i="1" a="1"/>
  <c r="AD195" i="1"/>
  <c r="AE195" i="1" s="1"/>
  <c r="W195" i="1"/>
  <c r="V195" i="1"/>
  <c r="R195" i="1"/>
  <c r="S195" i="1" s="1"/>
  <c r="A195" i="1"/>
  <c r="AU194" i="1"/>
  <c r="AO194" i="1"/>
  <c r="AP194" i="1" s="1"/>
  <c r="AN194" i="1"/>
  <c r="AM194" i="1"/>
  <c r="AL194" i="1"/>
  <c r="AG194" i="1" a="1"/>
  <c r="AG194" i="1" s="1"/>
  <c r="AF194" i="1" a="1"/>
  <c r="AF194" i="1" s="1"/>
  <c r="AD194" i="1"/>
  <c r="AE194" i="1" s="1"/>
  <c r="V194" i="1"/>
  <c r="W194" i="1" s="1"/>
  <c r="R194" i="1"/>
  <c r="S194" i="1" s="1"/>
  <c r="A194" i="1"/>
  <c r="AU193" i="1"/>
  <c r="AO193" i="1"/>
  <c r="AP193" i="1" s="1"/>
  <c r="AL193" i="1"/>
  <c r="AM193" i="1" s="1"/>
  <c r="AN193" i="1" s="1"/>
  <c r="AG193" i="1"/>
  <c r="AH193" i="1" s="1"/>
  <c r="AI193" i="1" s="1"/>
  <c r="AG193" i="1" a="1"/>
  <c r="AF193" i="1" a="1"/>
  <c r="AF193" i="1" s="1"/>
  <c r="AE193" i="1"/>
  <c r="AD193" i="1"/>
  <c r="V193" i="1"/>
  <c r="W193" i="1" s="1"/>
  <c r="S193" i="1"/>
  <c r="R193" i="1"/>
  <c r="A193" i="1"/>
  <c r="AU192" i="1"/>
  <c r="AL192" i="1"/>
  <c r="AM192" i="1" s="1"/>
  <c r="AN192" i="1" s="1"/>
  <c r="AG192" i="1" a="1"/>
  <c r="AG192" i="1" s="1"/>
  <c r="AF192" i="1" a="1"/>
  <c r="AF192" i="1" s="1"/>
  <c r="AD192" i="1"/>
  <c r="AE192" i="1" s="1"/>
  <c r="V192" i="1"/>
  <c r="W192" i="1" s="1"/>
  <c r="R192" i="1"/>
  <c r="S192" i="1" s="1"/>
  <c r="A192" i="1"/>
  <c r="AU191" i="1"/>
  <c r="AO191" i="1"/>
  <c r="AP191" i="1" s="1"/>
  <c r="AM191" i="1"/>
  <c r="AN191" i="1" s="1"/>
  <c r="AL191" i="1"/>
  <c r="AG191" i="1" a="1"/>
  <c r="AG191" i="1" s="1"/>
  <c r="AF191" i="1"/>
  <c r="AF191" i="1" a="1"/>
  <c r="AD191" i="1"/>
  <c r="AE191" i="1" s="1"/>
  <c r="W191" i="1"/>
  <c r="V191" i="1"/>
  <c r="R191" i="1"/>
  <c r="S191" i="1" s="1"/>
  <c r="A191" i="1"/>
  <c r="AU190" i="1"/>
  <c r="AO190" i="1"/>
  <c r="AP190" i="1" s="1"/>
  <c r="AN190" i="1"/>
  <c r="AM190" i="1"/>
  <c r="AL190" i="1"/>
  <c r="AG190" i="1" a="1"/>
  <c r="AG190" i="1" s="1"/>
  <c r="AF190" i="1" a="1"/>
  <c r="AF190" i="1" s="1"/>
  <c r="AD190" i="1"/>
  <c r="AE190" i="1" s="1"/>
  <c r="V190" i="1"/>
  <c r="W190" i="1" s="1"/>
  <c r="R190" i="1"/>
  <c r="S190" i="1" s="1"/>
  <c r="A190" i="1"/>
  <c r="AU189" i="1"/>
  <c r="AO189" i="1"/>
  <c r="AP189" i="1" s="1"/>
  <c r="AL189" i="1"/>
  <c r="AM189" i="1" s="1"/>
  <c r="AN189" i="1" s="1"/>
  <c r="AG189" i="1"/>
  <c r="AH189" i="1" s="1"/>
  <c r="AI189" i="1" s="1"/>
  <c r="AG189" i="1" a="1"/>
  <c r="AF189" i="1" a="1"/>
  <c r="AF189" i="1" s="1"/>
  <c r="AE189" i="1"/>
  <c r="AD189" i="1"/>
  <c r="V189" i="1"/>
  <c r="W189" i="1" s="1"/>
  <c r="S189" i="1"/>
  <c r="R189" i="1"/>
  <c r="A189" i="1"/>
  <c r="AU188" i="1"/>
  <c r="AL188" i="1"/>
  <c r="AM188" i="1" s="1"/>
  <c r="AN188" i="1" s="1"/>
  <c r="AG188" i="1" a="1"/>
  <c r="AG188" i="1" s="1"/>
  <c r="AF188" i="1" a="1"/>
  <c r="AF188" i="1" s="1"/>
  <c r="AD188" i="1"/>
  <c r="AE188" i="1" s="1"/>
  <c r="V188" i="1"/>
  <c r="W188" i="1" s="1"/>
  <c r="R188" i="1"/>
  <c r="S188" i="1" s="1"/>
  <c r="A188" i="1"/>
  <c r="AU187" i="1"/>
  <c r="AO187" i="1"/>
  <c r="AP187" i="1" s="1"/>
  <c r="AM187" i="1"/>
  <c r="AN187" i="1" s="1"/>
  <c r="AL187" i="1"/>
  <c r="AG187" i="1" a="1"/>
  <c r="AG187" i="1" s="1"/>
  <c r="AF187" i="1"/>
  <c r="AF187" i="1" a="1"/>
  <c r="AD187" i="1"/>
  <c r="AE187" i="1" s="1"/>
  <c r="W187" i="1"/>
  <c r="V187" i="1"/>
  <c r="R187" i="1"/>
  <c r="S187" i="1" s="1"/>
  <c r="A187" i="1"/>
  <c r="AU186" i="1"/>
  <c r="AO186" i="1"/>
  <c r="AP186" i="1" s="1"/>
  <c r="AN186" i="1"/>
  <c r="AM186" i="1"/>
  <c r="AL186" i="1"/>
  <c r="AG186" i="1" a="1"/>
  <c r="AG186" i="1" s="1"/>
  <c r="AF186" i="1" a="1"/>
  <c r="AF186" i="1" s="1"/>
  <c r="AD186" i="1"/>
  <c r="AE186" i="1" s="1"/>
  <c r="V186" i="1"/>
  <c r="W186" i="1" s="1"/>
  <c r="R186" i="1"/>
  <c r="S186" i="1" s="1"/>
  <c r="A186" i="1"/>
  <c r="AU185" i="1"/>
  <c r="AO185" i="1"/>
  <c r="AP185" i="1" s="1"/>
  <c r="AL185" i="1"/>
  <c r="AM185" i="1" s="1"/>
  <c r="AN185" i="1" s="1"/>
  <c r="AG185" i="1"/>
  <c r="AH185" i="1" s="1"/>
  <c r="AI185" i="1" s="1"/>
  <c r="AG185" i="1" a="1"/>
  <c r="AF185" i="1" a="1"/>
  <c r="AF185" i="1" s="1"/>
  <c r="AE185" i="1"/>
  <c r="AD185" i="1"/>
  <c r="V185" i="1"/>
  <c r="W185" i="1" s="1"/>
  <c r="S185" i="1"/>
  <c r="R185" i="1"/>
  <c r="A185" i="1"/>
  <c r="AU184" i="1"/>
  <c r="AL184" i="1"/>
  <c r="AM184" i="1" s="1"/>
  <c r="AN184" i="1" s="1"/>
  <c r="AG184" i="1" a="1"/>
  <c r="AG184" i="1" s="1"/>
  <c r="AF184" i="1" a="1"/>
  <c r="AF184" i="1" s="1"/>
  <c r="AD184" i="1"/>
  <c r="AE184" i="1" s="1"/>
  <c r="V184" i="1"/>
  <c r="W184" i="1" s="1"/>
  <c r="R184" i="1"/>
  <c r="S184" i="1" s="1"/>
  <c r="A184" i="1"/>
  <c r="AU183" i="1"/>
  <c r="AO183" i="1"/>
  <c r="AP183" i="1" s="1"/>
  <c r="AM183" i="1"/>
  <c r="AN183" i="1" s="1"/>
  <c r="AL183" i="1"/>
  <c r="AG183" i="1" a="1"/>
  <c r="AG183" i="1" s="1"/>
  <c r="AF183" i="1"/>
  <c r="AF183" i="1" a="1"/>
  <c r="AD183" i="1"/>
  <c r="AE183" i="1" s="1"/>
  <c r="W183" i="1"/>
  <c r="V183" i="1"/>
  <c r="R183" i="1"/>
  <c r="S183" i="1" s="1"/>
  <c r="A183" i="1"/>
  <c r="AU182" i="1"/>
  <c r="AO182" i="1"/>
  <c r="AP182" i="1" s="1"/>
  <c r="AN182" i="1"/>
  <c r="AM182" i="1"/>
  <c r="AL182" i="1"/>
  <c r="AG182" i="1" a="1"/>
  <c r="AG182" i="1" s="1"/>
  <c r="AH182" i="1" s="1"/>
  <c r="AI182" i="1" s="1"/>
  <c r="AF182" i="1" a="1"/>
  <c r="AF182" i="1" s="1"/>
  <c r="AD182" i="1"/>
  <c r="AE182" i="1" s="1"/>
  <c r="V182" i="1"/>
  <c r="W182" i="1" s="1"/>
  <c r="R182" i="1"/>
  <c r="S182" i="1" s="1"/>
  <c r="A182" i="1"/>
  <c r="AU181" i="1"/>
  <c r="AO181" i="1"/>
  <c r="AP181" i="1" s="1"/>
  <c r="AL181" i="1"/>
  <c r="AM181" i="1" s="1"/>
  <c r="AN181" i="1" s="1"/>
  <c r="AG181" i="1"/>
  <c r="AG181" i="1" a="1"/>
  <c r="AF181" i="1" a="1"/>
  <c r="AF181" i="1" s="1"/>
  <c r="AE181" i="1"/>
  <c r="AD181" i="1"/>
  <c r="V181" i="1"/>
  <c r="W181" i="1" s="1"/>
  <c r="S181" i="1"/>
  <c r="R181" i="1"/>
  <c r="A181" i="1"/>
  <c r="AU180" i="1"/>
  <c r="AL180" i="1"/>
  <c r="AG180" i="1" a="1"/>
  <c r="AG180" i="1" s="1"/>
  <c r="AF180" i="1" a="1"/>
  <c r="AF180" i="1" s="1"/>
  <c r="AH180" i="1" s="1"/>
  <c r="AI180" i="1" s="1"/>
  <c r="AD180" i="1"/>
  <c r="AE180" i="1" s="1"/>
  <c r="V180" i="1"/>
  <c r="W180" i="1" s="1"/>
  <c r="R180" i="1"/>
  <c r="S180" i="1" s="1"/>
  <c r="A180" i="1"/>
  <c r="AU179" i="1"/>
  <c r="AO179" i="1"/>
  <c r="AP179" i="1" s="1"/>
  <c r="AM179" i="1"/>
  <c r="AN179" i="1" s="1"/>
  <c r="AL179" i="1"/>
  <c r="AG179" i="1" a="1"/>
  <c r="AG179" i="1" s="1"/>
  <c r="AF179" i="1"/>
  <c r="AF179" i="1" a="1"/>
  <c r="AD179" i="1"/>
  <c r="AE179" i="1" s="1"/>
  <c r="W179" i="1"/>
  <c r="V179" i="1"/>
  <c r="R179" i="1"/>
  <c r="S179" i="1" s="1"/>
  <c r="A179" i="1"/>
  <c r="AU178" i="1"/>
  <c r="AO178" i="1"/>
  <c r="AP178" i="1" s="1"/>
  <c r="AN178" i="1"/>
  <c r="AM178" i="1"/>
  <c r="AL178" i="1"/>
  <c r="AG178" i="1" a="1"/>
  <c r="AG178" i="1" s="1"/>
  <c r="AH178" i="1" s="1"/>
  <c r="AI178" i="1" s="1"/>
  <c r="AF178" i="1" a="1"/>
  <c r="AF178" i="1" s="1"/>
  <c r="AD178" i="1"/>
  <c r="AE178" i="1" s="1"/>
  <c r="V178" i="1"/>
  <c r="W178" i="1" s="1"/>
  <c r="R178" i="1"/>
  <c r="S178" i="1" s="1"/>
  <c r="A178" i="1"/>
  <c r="AU177" i="1"/>
  <c r="AO177" i="1"/>
  <c r="AP177" i="1" s="1"/>
  <c r="AL177" i="1"/>
  <c r="AM177" i="1" s="1"/>
  <c r="AN177" i="1" s="1"/>
  <c r="AG177" i="1"/>
  <c r="AG177" i="1" a="1"/>
  <c r="AF177" i="1" a="1"/>
  <c r="AF177" i="1" s="1"/>
  <c r="AE177" i="1"/>
  <c r="AD177" i="1"/>
  <c r="V177" i="1"/>
  <c r="W177" i="1" s="1"/>
  <c r="S177" i="1"/>
  <c r="R177" i="1"/>
  <c r="A177" i="1"/>
  <c r="AU176" i="1"/>
  <c r="AP176" i="1"/>
  <c r="AM176" i="1"/>
  <c r="AN176" i="1" s="1"/>
  <c r="AL176" i="1"/>
  <c r="AO176" i="1" s="1"/>
  <c r="AG176" i="1" a="1"/>
  <c r="AG176" i="1" s="1"/>
  <c r="AF176" i="1" a="1"/>
  <c r="AF176" i="1" s="1"/>
  <c r="AH176" i="1" s="1"/>
  <c r="AI176" i="1" s="1"/>
  <c r="AD176" i="1"/>
  <c r="AE176" i="1" s="1"/>
  <c r="W176" i="1"/>
  <c r="V176" i="1"/>
  <c r="R176" i="1"/>
  <c r="S176" i="1" s="1"/>
  <c r="A176" i="1"/>
  <c r="AU175" i="1"/>
  <c r="AO175" i="1"/>
  <c r="AP175" i="1" s="1"/>
  <c r="AM175" i="1"/>
  <c r="AN175" i="1" s="1"/>
  <c r="AL175" i="1"/>
  <c r="AG175" i="1" a="1"/>
  <c r="AG175" i="1" s="1"/>
  <c r="AH175" i="1" s="1"/>
  <c r="AI175" i="1" s="1"/>
  <c r="AF175" i="1"/>
  <c r="AF175" i="1" a="1"/>
  <c r="AD175" i="1"/>
  <c r="AE175" i="1" s="1"/>
  <c r="W175" i="1"/>
  <c r="V175" i="1"/>
  <c r="R175" i="1"/>
  <c r="S175" i="1" s="1"/>
  <c r="A175" i="1"/>
  <c r="AU174" i="1"/>
  <c r="AO174" i="1"/>
  <c r="AP174" i="1" s="1"/>
  <c r="AN174" i="1"/>
  <c r="AM174" i="1"/>
  <c r="AL174" i="1"/>
  <c r="AG174" i="1" a="1"/>
  <c r="AG174" i="1" s="1"/>
  <c r="AF174" i="1" a="1"/>
  <c r="AF174" i="1" s="1"/>
  <c r="AD174" i="1"/>
  <c r="AE174" i="1" s="1"/>
  <c r="V174" i="1"/>
  <c r="W174" i="1" s="1"/>
  <c r="S174" i="1"/>
  <c r="R174" i="1"/>
  <c r="A174" i="1"/>
  <c r="AU173" i="1"/>
  <c r="AM173" i="1"/>
  <c r="AN173" i="1" s="1"/>
  <c r="AL173" i="1"/>
  <c r="AO173" i="1" s="1"/>
  <c r="AP173" i="1" s="1"/>
  <c r="AG173" i="1" a="1"/>
  <c r="AG173" i="1" s="1"/>
  <c r="AF173" i="1"/>
  <c r="AF173" i="1" a="1"/>
  <c r="AD173" i="1"/>
  <c r="AE173" i="1" s="1"/>
  <c r="W173" i="1"/>
  <c r="V173" i="1"/>
  <c r="R173" i="1"/>
  <c r="S173" i="1" s="1"/>
  <c r="A173" i="1"/>
  <c r="AU172" i="1"/>
  <c r="AO172" i="1"/>
  <c r="AP172" i="1" s="1"/>
  <c r="AN172" i="1"/>
  <c r="AM172" i="1"/>
  <c r="AL172" i="1"/>
  <c r="AG172" i="1" a="1"/>
  <c r="AG172" i="1" s="1"/>
  <c r="AF172" i="1"/>
  <c r="AF172" i="1" a="1"/>
  <c r="AD172" i="1"/>
  <c r="AE172" i="1" s="1"/>
  <c r="W172" i="1"/>
  <c r="V172" i="1"/>
  <c r="R172" i="1"/>
  <c r="S172" i="1" s="1"/>
  <c r="A172" i="1"/>
  <c r="AU171" i="1"/>
  <c r="AO171" i="1"/>
  <c r="AP171" i="1" s="1"/>
  <c r="AL171" i="1"/>
  <c r="AM171" i="1" s="1"/>
  <c r="AN171" i="1" s="1"/>
  <c r="AG171" i="1"/>
  <c r="AG171" i="1" a="1"/>
  <c r="AF171" i="1" a="1"/>
  <c r="AF171" i="1" s="1"/>
  <c r="AE171" i="1"/>
  <c r="AD171" i="1"/>
  <c r="V171" i="1"/>
  <c r="R171" i="1"/>
  <c r="S171" i="1" s="1"/>
  <c r="A171" i="1"/>
  <c r="AU170" i="1"/>
  <c r="AO170" i="1"/>
  <c r="AP170" i="1" s="1"/>
  <c r="AL170" i="1"/>
  <c r="AM170" i="1" s="1"/>
  <c r="AN170" i="1" s="1"/>
  <c r="AG170" i="1"/>
  <c r="AH170" i="1" s="1"/>
  <c r="AI170" i="1" s="1"/>
  <c r="AG170" i="1" a="1"/>
  <c r="AF170" i="1" a="1"/>
  <c r="AF170" i="1" s="1"/>
  <c r="AE170" i="1"/>
  <c r="AD170" i="1"/>
  <c r="V170" i="1"/>
  <c r="R170" i="1"/>
  <c r="S170" i="1" s="1"/>
  <c r="A170" i="1"/>
  <c r="AU169" i="1"/>
  <c r="AO169" i="1"/>
  <c r="AP169" i="1" s="1"/>
  <c r="AL169" i="1"/>
  <c r="AM169" i="1" s="1"/>
  <c r="AN169" i="1" s="1"/>
  <c r="AG169" i="1"/>
  <c r="AH169" i="1" s="1"/>
  <c r="AI169" i="1" s="1"/>
  <c r="AG169" i="1" a="1"/>
  <c r="AF169" i="1" a="1"/>
  <c r="AF169" i="1" s="1"/>
  <c r="AE169" i="1"/>
  <c r="AD169" i="1"/>
  <c r="V169" i="1"/>
  <c r="R169" i="1"/>
  <c r="S169" i="1" s="1"/>
  <c r="A169" i="1"/>
  <c r="AU168" i="1"/>
  <c r="AO168" i="1"/>
  <c r="AP168" i="1" s="1"/>
  <c r="AL168" i="1"/>
  <c r="AM168" i="1" s="1"/>
  <c r="AN168" i="1" s="1"/>
  <c r="AG168" i="1"/>
  <c r="AG168" i="1" a="1"/>
  <c r="AF168" i="1" a="1"/>
  <c r="AF168" i="1" s="1"/>
  <c r="AE168" i="1"/>
  <c r="AD168" i="1"/>
  <c r="V168" i="1"/>
  <c r="R168" i="1"/>
  <c r="S168" i="1" s="1"/>
  <c r="A168" i="1"/>
  <c r="AU167" i="1"/>
  <c r="AO167" i="1"/>
  <c r="AP167" i="1" s="1"/>
  <c r="AL167" i="1"/>
  <c r="AM167" i="1" s="1"/>
  <c r="AN167" i="1" s="1"/>
  <c r="AG167" i="1"/>
  <c r="AG167" i="1" a="1"/>
  <c r="AF167" i="1" a="1"/>
  <c r="AF167" i="1" s="1"/>
  <c r="AE167" i="1"/>
  <c r="AD167" i="1"/>
  <c r="V167" i="1"/>
  <c r="R167" i="1"/>
  <c r="S167" i="1" s="1"/>
  <c r="A167" i="1"/>
  <c r="AU166" i="1"/>
  <c r="AO166" i="1"/>
  <c r="AP166" i="1" s="1"/>
  <c r="AL166" i="1"/>
  <c r="AM166" i="1" s="1"/>
  <c r="AN166" i="1" s="1"/>
  <c r="AG166" i="1"/>
  <c r="AH166" i="1" s="1"/>
  <c r="AI166" i="1" s="1"/>
  <c r="AG166" i="1" a="1"/>
  <c r="AF166" i="1" a="1"/>
  <c r="AF166" i="1" s="1"/>
  <c r="AE166" i="1"/>
  <c r="AD166" i="1"/>
  <c r="V166" i="1"/>
  <c r="R166" i="1"/>
  <c r="S166" i="1" s="1"/>
  <c r="A166" i="1"/>
  <c r="AU165" i="1"/>
  <c r="AO165" i="1"/>
  <c r="AP165" i="1" s="1"/>
  <c r="AL165" i="1"/>
  <c r="AM165" i="1" s="1"/>
  <c r="AN165" i="1" s="1"/>
  <c r="AG165" i="1"/>
  <c r="AH165" i="1" s="1"/>
  <c r="AI165" i="1" s="1"/>
  <c r="AG165" i="1" a="1"/>
  <c r="AF165" i="1" a="1"/>
  <c r="AF165" i="1" s="1"/>
  <c r="AE165" i="1"/>
  <c r="AD165" i="1"/>
  <c r="V165" i="1"/>
  <c r="W165" i="1" s="1"/>
  <c r="S165" i="1"/>
  <c r="R165" i="1"/>
  <c r="A165" i="1"/>
  <c r="AU164" i="1"/>
  <c r="AL164" i="1"/>
  <c r="AM164" i="1" s="1"/>
  <c r="AN164" i="1" s="1"/>
  <c r="AG164" i="1"/>
  <c r="AG164" i="1" a="1"/>
  <c r="AF164" i="1" a="1"/>
  <c r="AF164" i="1" s="1"/>
  <c r="AH164" i="1" s="1"/>
  <c r="AI164" i="1" s="1"/>
  <c r="AE164" i="1"/>
  <c r="AD164" i="1"/>
  <c r="V164" i="1"/>
  <c r="W164" i="1" s="1"/>
  <c r="S164" i="1"/>
  <c r="R164" i="1"/>
  <c r="A164" i="1"/>
  <c r="AU163" i="1"/>
  <c r="AM163" i="1"/>
  <c r="AN163" i="1" s="1"/>
  <c r="AL163" i="1"/>
  <c r="AO163" i="1" s="1"/>
  <c r="AP163" i="1" s="1"/>
  <c r="AG163" i="1" a="1"/>
  <c r="AG163" i="1" s="1"/>
  <c r="AF163" i="1"/>
  <c r="AF163" i="1" a="1"/>
  <c r="AD163" i="1"/>
  <c r="AE163" i="1" s="1"/>
  <c r="W163" i="1"/>
  <c r="V163" i="1"/>
  <c r="R163" i="1"/>
  <c r="S163" i="1" s="1"/>
  <c r="A163" i="1"/>
  <c r="AU162" i="1"/>
  <c r="AO162" i="1"/>
  <c r="AP162" i="1" s="1"/>
  <c r="AN162" i="1"/>
  <c r="AM162" i="1"/>
  <c r="AL162" i="1"/>
  <c r="AG162" i="1" a="1"/>
  <c r="AG162" i="1" s="1"/>
  <c r="AF162" i="1"/>
  <c r="AF162" i="1" a="1"/>
  <c r="AD162" i="1"/>
  <c r="AE162" i="1" s="1"/>
  <c r="W162" i="1"/>
  <c r="V162" i="1"/>
  <c r="R162" i="1"/>
  <c r="S162" i="1" s="1"/>
  <c r="A162" i="1"/>
  <c r="AU161" i="1"/>
  <c r="AO161" i="1"/>
  <c r="AP161" i="1" s="1"/>
  <c r="AL161" i="1"/>
  <c r="AM161" i="1" s="1"/>
  <c r="AN161" i="1" s="1"/>
  <c r="AG161" i="1"/>
  <c r="AG161" i="1" a="1"/>
  <c r="AF161" i="1" a="1"/>
  <c r="AF161" i="1" s="1"/>
  <c r="AE161" i="1"/>
  <c r="AD161" i="1"/>
  <c r="V161" i="1"/>
  <c r="W161" i="1" s="1"/>
  <c r="S161" i="1"/>
  <c r="R161" i="1"/>
  <c r="A161" i="1"/>
  <c r="AU160" i="1"/>
  <c r="AL160" i="1"/>
  <c r="AG160" i="1"/>
  <c r="AG160" i="1" a="1"/>
  <c r="AF160" i="1" a="1"/>
  <c r="AF160" i="1" s="1"/>
  <c r="AH160" i="1" s="1"/>
  <c r="AI160" i="1" s="1"/>
  <c r="AE160" i="1"/>
  <c r="AD160" i="1"/>
  <c r="V160" i="1"/>
  <c r="W160" i="1" s="1"/>
  <c r="S160" i="1"/>
  <c r="R160" i="1"/>
  <c r="A160" i="1"/>
  <c r="AU159" i="1"/>
  <c r="AM159" i="1"/>
  <c r="AN159" i="1" s="1"/>
  <c r="AL159" i="1"/>
  <c r="AO159" i="1" s="1"/>
  <c r="AP159" i="1" s="1"/>
  <c r="AG159" i="1" a="1"/>
  <c r="AG159" i="1" s="1"/>
  <c r="AF159" i="1"/>
  <c r="AF159" i="1" a="1"/>
  <c r="AD159" i="1"/>
  <c r="AE159" i="1" s="1"/>
  <c r="W159" i="1"/>
  <c r="V159" i="1"/>
  <c r="R159" i="1"/>
  <c r="S159" i="1" s="1"/>
  <c r="A159" i="1"/>
  <c r="AU158" i="1"/>
  <c r="AO158" i="1"/>
  <c r="AP158" i="1" s="1"/>
  <c r="AN158" i="1"/>
  <c r="AM158" i="1"/>
  <c r="AL158" i="1"/>
  <c r="AJ158" i="1"/>
  <c r="AK158" i="1" s="1"/>
  <c r="AG158" i="1" a="1"/>
  <c r="AG158" i="1" s="1"/>
  <c r="AH158" i="1" s="1"/>
  <c r="AI158" i="1" s="1"/>
  <c r="AF158" i="1"/>
  <c r="AF158" i="1" a="1"/>
  <c r="AD158" i="1"/>
  <c r="AE158" i="1" s="1"/>
  <c r="W158" i="1"/>
  <c r="V158" i="1"/>
  <c r="R158" i="1"/>
  <c r="S158" i="1" s="1"/>
  <c r="A158" i="1"/>
  <c r="AU157" i="1"/>
  <c r="AO157" i="1"/>
  <c r="AP157" i="1" s="1"/>
  <c r="AL157" i="1"/>
  <c r="AM157" i="1" s="1"/>
  <c r="AN157" i="1" s="1"/>
  <c r="AG157" i="1" a="1"/>
  <c r="AG157" i="1" s="1"/>
  <c r="AF157" i="1" a="1"/>
  <c r="AF157" i="1" s="1"/>
  <c r="AE157" i="1"/>
  <c r="AD157" i="1"/>
  <c r="V157" i="1"/>
  <c r="W157" i="1" s="1"/>
  <c r="R157" i="1"/>
  <c r="S157" i="1" s="1"/>
  <c r="A157" i="1"/>
  <c r="AU156" i="1"/>
  <c r="AO156" i="1"/>
  <c r="AP156" i="1" s="1"/>
  <c r="AL156" i="1"/>
  <c r="AM156" i="1" s="1"/>
  <c r="AN156" i="1" s="1"/>
  <c r="AG156" i="1"/>
  <c r="AG156" i="1" a="1"/>
  <c r="AF156" i="1" a="1"/>
  <c r="AF156" i="1" s="1"/>
  <c r="AE156" i="1"/>
  <c r="AD156" i="1"/>
  <c r="V156" i="1"/>
  <c r="W156" i="1" s="1"/>
  <c r="S156" i="1"/>
  <c r="R156" i="1"/>
  <c r="A156" i="1"/>
  <c r="AU155" i="1"/>
  <c r="AP155" i="1"/>
  <c r="AL155" i="1"/>
  <c r="AO155" i="1" s="1"/>
  <c r="AH155" i="1"/>
  <c r="AI155" i="1" s="1"/>
  <c r="AG155" i="1" a="1"/>
  <c r="AG155" i="1" s="1"/>
  <c r="AF155" i="1"/>
  <c r="AF155" i="1" a="1"/>
  <c r="AD155" i="1"/>
  <c r="AE155" i="1" s="1"/>
  <c r="V155" i="1"/>
  <c r="W155" i="1" s="1"/>
  <c r="R155" i="1"/>
  <c r="S155" i="1" s="1"/>
  <c r="A155" i="1"/>
  <c r="AU154" i="1"/>
  <c r="AO154" i="1"/>
  <c r="AP154" i="1" s="1"/>
  <c r="AM154" i="1"/>
  <c r="AN154" i="1" s="1"/>
  <c r="AL154" i="1"/>
  <c r="AG154" i="1" a="1"/>
  <c r="AG154" i="1" s="1"/>
  <c r="AF154" i="1"/>
  <c r="AF154" i="1" a="1"/>
  <c r="AD154" i="1"/>
  <c r="AE154" i="1" s="1"/>
  <c r="W154" i="1"/>
  <c r="V154" i="1"/>
  <c r="R154" i="1"/>
  <c r="S154" i="1" s="1"/>
  <c r="A154" i="1"/>
  <c r="AU153" i="1"/>
  <c r="AL153" i="1"/>
  <c r="AM153" i="1" s="1"/>
  <c r="AN153" i="1" s="1"/>
  <c r="AG153" i="1"/>
  <c r="AJ153" i="1" s="1"/>
  <c r="AK153" i="1" s="1"/>
  <c r="AG153" i="1" a="1"/>
  <c r="AF153" i="1" a="1"/>
  <c r="AF153" i="1" s="1"/>
  <c r="AD153" i="1"/>
  <c r="AE153" i="1" s="1"/>
  <c r="V153" i="1"/>
  <c r="W153" i="1" s="1"/>
  <c r="S153" i="1"/>
  <c r="R153" i="1"/>
  <c r="A153" i="1"/>
  <c r="AU152" i="1"/>
  <c r="AM152" i="1"/>
  <c r="AN152" i="1" s="1"/>
  <c r="AL152" i="1"/>
  <c r="AO152" i="1" s="1"/>
  <c r="AP152" i="1" s="1"/>
  <c r="AG152" i="1"/>
  <c r="AG152" i="1" a="1"/>
  <c r="AF152" i="1" a="1"/>
  <c r="AF152" i="1" s="1"/>
  <c r="AH152" i="1" s="1"/>
  <c r="AI152" i="1" s="1"/>
  <c r="AE152" i="1"/>
  <c r="AD152" i="1"/>
  <c r="V152" i="1"/>
  <c r="W152" i="1" s="1"/>
  <c r="S152" i="1"/>
  <c r="R152" i="1"/>
  <c r="A152" i="1"/>
  <c r="AU151" i="1"/>
  <c r="AL151" i="1"/>
  <c r="AO151" i="1" s="1"/>
  <c r="AP151" i="1" s="1"/>
  <c r="AG151" i="1" a="1"/>
  <c r="AG151" i="1" s="1"/>
  <c r="AF151" i="1" a="1"/>
  <c r="AF151" i="1" s="1"/>
  <c r="AD151" i="1"/>
  <c r="AE151" i="1" s="1"/>
  <c r="W151" i="1"/>
  <c r="V151" i="1"/>
  <c r="R151" i="1"/>
  <c r="S151" i="1" s="1"/>
  <c r="A151" i="1"/>
  <c r="AU150" i="1"/>
  <c r="AO150" i="1"/>
  <c r="AP150" i="1" s="1"/>
  <c r="AN150" i="1"/>
  <c r="AM150" i="1"/>
  <c r="AL150" i="1"/>
  <c r="AG150" i="1"/>
  <c r="AH150" i="1" s="1"/>
  <c r="AI150" i="1" s="1"/>
  <c r="AG150" i="1" a="1"/>
  <c r="AF150" i="1"/>
  <c r="AF150" i="1" a="1"/>
  <c r="AE150" i="1"/>
  <c r="AD150" i="1"/>
  <c r="W150" i="1"/>
  <c r="V150" i="1"/>
  <c r="S150" i="1"/>
  <c r="R150" i="1"/>
  <c r="A150" i="1"/>
  <c r="AU149" i="1"/>
  <c r="AP149" i="1"/>
  <c r="AO149" i="1"/>
  <c r="AN149" i="1"/>
  <c r="AL149" i="1"/>
  <c r="AM149" i="1" s="1"/>
  <c r="AG149" i="1"/>
  <c r="AJ149" i="1" s="1"/>
  <c r="AK149" i="1" s="1"/>
  <c r="AG149" i="1" a="1"/>
  <c r="AF149" i="1"/>
  <c r="AF149" i="1" a="1"/>
  <c r="AE149" i="1"/>
  <c r="AD149" i="1"/>
  <c r="W149" i="1"/>
  <c r="V149" i="1"/>
  <c r="S149" i="1"/>
  <c r="R149" i="1"/>
  <c r="A149" i="1"/>
  <c r="AU148" i="1"/>
  <c r="AL148" i="1"/>
  <c r="AO148" i="1" s="1"/>
  <c r="AP148" i="1" s="1"/>
  <c r="AG148" i="1" a="1"/>
  <c r="AG148" i="1" s="1"/>
  <c r="AF148" i="1" a="1"/>
  <c r="AF148" i="1" s="1"/>
  <c r="AD148" i="1"/>
  <c r="AE148" i="1" s="1"/>
  <c r="V148" i="1"/>
  <c r="W148" i="1" s="1"/>
  <c r="R148" i="1"/>
  <c r="S148" i="1" s="1"/>
  <c r="A148" i="1"/>
  <c r="AU147" i="1"/>
  <c r="AO147" i="1"/>
  <c r="AP147" i="1" s="1"/>
  <c r="AM147" i="1"/>
  <c r="AN147" i="1" s="1"/>
  <c r="AL147" i="1"/>
  <c r="AG147" i="1"/>
  <c r="AH147" i="1" s="1"/>
  <c r="AI147" i="1" s="1"/>
  <c r="AG147" i="1" a="1"/>
  <c r="AF147" i="1"/>
  <c r="AF147" i="1" a="1"/>
  <c r="AE147" i="1"/>
  <c r="AD147" i="1"/>
  <c r="W147" i="1"/>
  <c r="V147" i="1"/>
  <c r="S147" i="1"/>
  <c r="R147" i="1"/>
  <c r="A147" i="1"/>
  <c r="AU146" i="1"/>
  <c r="AL146" i="1"/>
  <c r="AM146" i="1" s="1"/>
  <c r="AN146" i="1" s="1"/>
  <c r="AG146" i="1" a="1"/>
  <c r="AG146" i="1" s="1"/>
  <c r="AF146" i="1" a="1"/>
  <c r="AF146" i="1" s="1"/>
  <c r="AD146" i="1"/>
  <c r="AE146" i="1" s="1"/>
  <c r="V146" i="1"/>
  <c r="W146" i="1" s="1"/>
  <c r="R146" i="1"/>
  <c r="S146" i="1" s="1"/>
  <c r="A146" i="1"/>
  <c r="AU145" i="1"/>
  <c r="AO145" i="1"/>
  <c r="AP145" i="1" s="1"/>
  <c r="AM145" i="1"/>
  <c r="AN145" i="1" s="1"/>
  <c r="AL145" i="1"/>
  <c r="AG145" i="1"/>
  <c r="AJ145" i="1" s="1"/>
  <c r="AK145" i="1" s="1"/>
  <c r="AG145" i="1" a="1"/>
  <c r="AF145" i="1"/>
  <c r="AF145" i="1" a="1"/>
  <c r="AE145" i="1"/>
  <c r="AD145" i="1"/>
  <c r="W145" i="1"/>
  <c r="V145" i="1"/>
  <c r="S145" i="1"/>
  <c r="R145" i="1"/>
  <c r="A145" i="1"/>
  <c r="AU144" i="1"/>
  <c r="AL144" i="1"/>
  <c r="AO144" i="1" s="1"/>
  <c r="AP144" i="1" s="1"/>
  <c r="AG144" i="1" a="1"/>
  <c r="AG144" i="1" s="1"/>
  <c r="AF144" i="1" a="1"/>
  <c r="AF144" i="1" s="1"/>
  <c r="AD144" i="1"/>
  <c r="AE144" i="1" s="1"/>
  <c r="V144" i="1"/>
  <c r="W144" i="1" s="1"/>
  <c r="R144" i="1"/>
  <c r="S144" i="1" s="1"/>
  <c r="A144" i="1"/>
  <c r="AU143" i="1"/>
  <c r="AO143" i="1"/>
  <c r="AP143" i="1" s="1"/>
  <c r="AM143" i="1"/>
  <c r="AN143" i="1" s="1"/>
  <c r="AL143" i="1"/>
  <c r="AG143" i="1"/>
  <c r="AH143" i="1" s="1"/>
  <c r="AI143" i="1" s="1"/>
  <c r="AG143" i="1" a="1"/>
  <c r="AF143" i="1"/>
  <c r="AF143" i="1" a="1"/>
  <c r="AE143" i="1"/>
  <c r="AD143" i="1"/>
  <c r="W143" i="1"/>
  <c r="V143" i="1"/>
  <c r="S143" i="1"/>
  <c r="R143" i="1"/>
  <c r="A143" i="1"/>
  <c r="AU142" i="1"/>
  <c r="AL142" i="1"/>
  <c r="AM142" i="1" s="1"/>
  <c r="AN142" i="1" s="1"/>
  <c r="AG142" i="1" a="1"/>
  <c r="AG142" i="1" s="1"/>
  <c r="AF142" i="1" a="1"/>
  <c r="AF142" i="1" s="1"/>
  <c r="AD142" i="1"/>
  <c r="AE142" i="1" s="1"/>
  <c r="V142" i="1"/>
  <c r="W142" i="1" s="1"/>
  <c r="R142" i="1"/>
  <c r="S142" i="1" s="1"/>
  <c r="A142" i="1"/>
  <c r="AU141" i="1"/>
  <c r="AO141" i="1"/>
  <c r="AP141" i="1" s="1"/>
  <c r="AM141" i="1"/>
  <c r="AN141" i="1" s="1"/>
  <c r="AL141" i="1"/>
  <c r="AG141" i="1"/>
  <c r="AJ141" i="1" s="1"/>
  <c r="AK141" i="1" s="1"/>
  <c r="AG141" i="1" a="1"/>
  <c r="AF141" i="1"/>
  <c r="AF141" i="1" a="1"/>
  <c r="AE141" i="1"/>
  <c r="AD141" i="1"/>
  <c r="W141" i="1"/>
  <c r="V141" i="1"/>
  <c r="S141" i="1"/>
  <c r="R141" i="1"/>
  <c r="A141" i="1"/>
  <c r="AU140" i="1"/>
  <c r="AL140" i="1"/>
  <c r="AO140" i="1" s="1"/>
  <c r="AP140" i="1" s="1"/>
  <c r="AG140" i="1" a="1"/>
  <c r="AG140" i="1" s="1"/>
  <c r="AF140" i="1" a="1"/>
  <c r="AF140" i="1" s="1"/>
  <c r="AD140" i="1"/>
  <c r="AE140" i="1" s="1"/>
  <c r="V140" i="1"/>
  <c r="W140" i="1" s="1"/>
  <c r="R140" i="1"/>
  <c r="S140" i="1" s="1"/>
  <c r="A140" i="1"/>
  <c r="AU139" i="1"/>
  <c r="AO139" i="1"/>
  <c r="AP139" i="1" s="1"/>
  <c r="AM139" i="1"/>
  <c r="AN139" i="1" s="1"/>
  <c r="AL139" i="1"/>
  <c r="AG139" i="1"/>
  <c r="AH139" i="1" s="1"/>
  <c r="AI139" i="1" s="1"/>
  <c r="AG139" i="1" a="1"/>
  <c r="AF139" i="1"/>
  <c r="AF139" i="1" a="1"/>
  <c r="AE139" i="1"/>
  <c r="AD139" i="1"/>
  <c r="W139" i="1"/>
  <c r="V139" i="1"/>
  <c r="S139" i="1"/>
  <c r="R139" i="1"/>
  <c r="A139" i="1"/>
  <c r="AU138" i="1"/>
  <c r="AL138" i="1"/>
  <c r="AM138" i="1" s="1"/>
  <c r="AN138" i="1" s="1"/>
  <c r="AG138" i="1" a="1"/>
  <c r="AG138" i="1" s="1"/>
  <c r="AF138" i="1" a="1"/>
  <c r="AF138" i="1" s="1"/>
  <c r="AD138" i="1"/>
  <c r="AE138" i="1" s="1"/>
  <c r="V138" i="1"/>
  <c r="W138" i="1" s="1"/>
  <c r="R138" i="1"/>
  <c r="S138" i="1" s="1"/>
  <c r="A138" i="1"/>
  <c r="AU137" i="1"/>
  <c r="AO137" i="1"/>
  <c r="AP137" i="1" s="1"/>
  <c r="AM137" i="1"/>
  <c r="AN137" i="1" s="1"/>
  <c r="AL137" i="1"/>
  <c r="AG137" i="1"/>
  <c r="AJ137" i="1" s="1"/>
  <c r="AK137" i="1" s="1"/>
  <c r="AG137" i="1" a="1"/>
  <c r="AF137" i="1"/>
  <c r="AF137" i="1" a="1"/>
  <c r="AE137" i="1"/>
  <c r="AD137" i="1"/>
  <c r="W137" i="1"/>
  <c r="V137" i="1"/>
  <c r="S137" i="1"/>
  <c r="R137" i="1"/>
  <c r="A137" i="1"/>
  <c r="AU136" i="1"/>
  <c r="AL136" i="1"/>
  <c r="AO136" i="1" s="1"/>
  <c r="AP136" i="1" s="1"/>
  <c r="AG136" i="1" a="1"/>
  <c r="AG136" i="1" s="1"/>
  <c r="AF136" i="1" a="1"/>
  <c r="AF136" i="1" s="1"/>
  <c r="AD136" i="1"/>
  <c r="AE136" i="1" s="1"/>
  <c r="V136" i="1"/>
  <c r="W136" i="1" s="1"/>
  <c r="R136" i="1"/>
  <c r="S136" i="1" s="1"/>
  <c r="A136" i="1"/>
  <c r="AU135" i="1"/>
  <c r="AO135" i="1"/>
  <c r="AP135" i="1" s="1"/>
  <c r="AM135" i="1"/>
  <c r="AN135" i="1" s="1"/>
  <c r="AL135" i="1"/>
  <c r="AG135" i="1"/>
  <c r="AH135" i="1" s="1"/>
  <c r="AI135" i="1" s="1"/>
  <c r="AG135" i="1" a="1"/>
  <c r="AF135" i="1"/>
  <c r="AF135" i="1" a="1"/>
  <c r="AE135" i="1"/>
  <c r="AD135" i="1"/>
  <c r="W135" i="1"/>
  <c r="V135" i="1"/>
  <c r="S135" i="1"/>
  <c r="R135" i="1"/>
  <c r="A135" i="1"/>
  <c r="AU134" i="1"/>
  <c r="AL134" i="1"/>
  <c r="AM134" i="1" s="1"/>
  <c r="AN134" i="1" s="1"/>
  <c r="AG134" i="1" a="1"/>
  <c r="AG134" i="1" s="1"/>
  <c r="AF134" i="1" a="1"/>
  <c r="AF134" i="1" s="1"/>
  <c r="AD134" i="1"/>
  <c r="AE134" i="1" s="1"/>
  <c r="V134" i="1"/>
  <c r="W134" i="1" s="1"/>
  <c r="R134" i="1"/>
  <c r="S134" i="1" s="1"/>
  <c r="A134" i="1"/>
  <c r="AU133" i="1"/>
  <c r="AO133" i="1"/>
  <c r="AP133" i="1" s="1"/>
  <c r="AM133" i="1"/>
  <c r="AN133" i="1" s="1"/>
  <c r="AL133" i="1"/>
  <c r="AG133" i="1"/>
  <c r="AJ133" i="1" s="1"/>
  <c r="AK133" i="1" s="1"/>
  <c r="AG133" i="1" a="1"/>
  <c r="AF133" i="1"/>
  <c r="AF133" i="1" a="1"/>
  <c r="AE133" i="1"/>
  <c r="AD133" i="1"/>
  <c r="W133" i="1"/>
  <c r="V133" i="1"/>
  <c r="S133" i="1"/>
  <c r="R133" i="1"/>
  <c r="A133" i="1"/>
  <c r="AU132" i="1"/>
  <c r="AL132" i="1"/>
  <c r="AO132" i="1" s="1"/>
  <c r="AP132" i="1" s="1"/>
  <c r="AG132" i="1" a="1"/>
  <c r="AG132" i="1" s="1"/>
  <c r="AF132" i="1" a="1"/>
  <c r="AF132" i="1" s="1"/>
  <c r="AD132" i="1"/>
  <c r="AE132" i="1" s="1"/>
  <c r="V132" i="1"/>
  <c r="W132" i="1" s="1"/>
  <c r="R132" i="1"/>
  <c r="S132" i="1" s="1"/>
  <c r="A132" i="1"/>
  <c r="AU131" i="1"/>
  <c r="AO131" i="1"/>
  <c r="AP131" i="1" s="1"/>
  <c r="AM131" i="1"/>
  <c r="AN131" i="1" s="1"/>
  <c r="AL131" i="1"/>
  <c r="AG131" i="1"/>
  <c r="AH131" i="1" s="1"/>
  <c r="AI131" i="1" s="1"/>
  <c r="AG131" i="1" a="1"/>
  <c r="AF131" i="1"/>
  <c r="AF131" i="1" a="1"/>
  <c r="AE131" i="1"/>
  <c r="AD131" i="1"/>
  <c r="W131" i="1"/>
  <c r="V131" i="1"/>
  <c r="S131" i="1"/>
  <c r="R131" i="1"/>
  <c r="A131" i="1"/>
  <c r="AU130" i="1"/>
  <c r="AL130" i="1"/>
  <c r="AM130" i="1" s="1"/>
  <c r="AN130" i="1" s="1"/>
  <c r="AG130" i="1" a="1"/>
  <c r="AG130" i="1" s="1"/>
  <c r="AF130" i="1" a="1"/>
  <c r="AF130" i="1" s="1"/>
  <c r="AD130" i="1"/>
  <c r="AE130" i="1" s="1"/>
  <c r="V130" i="1"/>
  <c r="W130" i="1" s="1"/>
  <c r="R130" i="1"/>
  <c r="S130" i="1" s="1"/>
  <c r="A130" i="1"/>
  <c r="AU129" i="1"/>
  <c r="AO129" i="1"/>
  <c r="AP129" i="1" s="1"/>
  <c r="AM129" i="1"/>
  <c r="AN129" i="1" s="1"/>
  <c r="AL129" i="1"/>
  <c r="AG129" i="1"/>
  <c r="AJ129" i="1" s="1"/>
  <c r="AK129" i="1" s="1"/>
  <c r="AG129" i="1" a="1"/>
  <c r="AF129" i="1"/>
  <c r="AF129" i="1" a="1"/>
  <c r="AE129" i="1"/>
  <c r="AD129" i="1"/>
  <c r="W129" i="1"/>
  <c r="V129" i="1"/>
  <c r="S129" i="1"/>
  <c r="R129" i="1"/>
  <c r="A129" i="1"/>
  <c r="AU128" i="1"/>
  <c r="AL128" i="1"/>
  <c r="AO128" i="1" s="1"/>
  <c r="AP128" i="1" s="1"/>
  <c r="AG128" i="1" a="1"/>
  <c r="AG128" i="1" s="1"/>
  <c r="AF128" i="1" a="1"/>
  <c r="AF128" i="1" s="1"/>
  <c r="AD128" i="1"/>
  <c r="AE128" i="1" s="1"/>
  <c r="V128" i="1"/>
  <c r="W128" i="1" s="1"/>
  <c r="R128" i="1"/>
  <c r="S128" i="1" s="1"/>
  <c r="A128" i="1"/>
  <c r="AU127" i="1"/>
  <c r="AO127" i="1"/>
  <c r="AP127" i="1" s="1"/>
  <c r="AM127" i="1"/>
  <c r="AN127" i="1" s="1"/>
  <c r="AL127" i="1"/>
  <c r="AG127" i="1"/>
  <c r="AH127" i="1" s="1"/>
  <c r="AI127" i="1" s="1"/>
  <c r="AG127" i="1" a="1"/>
  <c r="AF127" i="1"/>
  <c r="AF127" i="1" a="1"/>
  <c r="AE127" i="1"/>
  <c r="AD127" i="1"/>
  <c r="W127" i="1"/>
  <c r="V127" i="1"/>
  <c r="S127" i="1"/>
  <c r="R127" i="1"/>
  <c r="A127" i="1"/>
  <c r="AU126" i="1"/>
  <c r="AL126" i="1"/>
  <c r="AM126" i="1" s="1"/>
  <c r="AN126" i="1" s="1"/>
  <c r="AG126" i="1" a="1"/>
  <c r="AG126" i="1" s="1"/>
  <c r="AF126" i="1" a="1"/>
  <c r="AF126" i="1" s="1"/>
  <c r="AD126" i="1"/>
  <c r="AE126" i="1" s="1"/>
  <c r="V126" i="1"/>
  <c r="W126" i="1" s="1"/>
  <c r="R126" i="1"/>
  <c r="S126" i="1" s="1"/>
  <c r="A126" i="1"/>
  <c r="AU125" i="1"/>
  <c r="AO125" i="1"/>
  <c r="AP125" i="1" s="1"/>
  <c r="AM125" i="1"/>
  <c r="AN125" i="1" s="1"/>
  <c r="AL125" i="1"/>
  <c r="AG125" i="1"/>
  <c r="AJ125" i="1" s="1"/>
  <c r="AK125" i="1" s="1"/>
  <c r="AG125" i="1" a="1"/>
  <c r="AF125" i="1"/>
  <c r="AF125" i="1" a="1"/>
  <c r="AE125" i="1"/>
  <c r="AD125" i="1"/>
  <c r="W125" i="1"/>
  <c r="V125" i="1"/>
  <c r="S125" i="1"/>
  <c r="R125" i="1"/>
  <c r="A125" i="1"/>
  <c r="AU124" i="1"/>
  <c r="AL124" i="1"/>
  <c r="AO124" i="1" s="1"/>
  <c r="AP124" i="1" s="1"/>
  <c r="AG124" i="1" a="1"/>
  <c r="AG124" i="1" s="1"/>
  <c r="AF124" i="1" a="1"/>
  <c r="AF124" i="1" s="1"/>
  <c r="AD124" i="1"/>
  <c r="AE124" i="1" s="1"/>
  <c r="V124" i="1"/>
  <c r="W124" i="1" s="1"/>
  <c r="R124" i="1"/>
  <c r="S124" i="1" s="1"/>
  <c r="A124" i="1"/>
  <c r="AU123" i="1"/>
  <c r="AO123" i="1"/>
  <c r="AP123" i="1" s="1"/>
  <c r="AM123" i="1"/>
  <c r="AN123" i="1" s="1"/>
  <c r="AL123" i="1"/>
  <c r="AG123" i="1"/>
  <c r="AH123" i="1" s="1"/>
  <c r="AI123" i="1" s="1"/>
  <c r="AG123" i="1" a="1"/>
  <c r="AF123" i="1"/>
  <c r="AF123" i="1" a="1"/>
  <c r="AE123" i="1"/>
  <c r="AD123" i="1"/>
  <c r="W123" i="1"/>
  <c r="V123" i="1"/>
  <c r="S123" i="1"/>
  <c r="R123" i="1"/>
  <c r="A123" i="1"/>
  <c r="AU122" i="1"/>
  <c r="AL122" i="1"/>
  <c r="AM122" i="1" s="1"/>
  <c r="AN122" i="1" s="1"/>
  <c r="AG122" i="1" a="1"/>
  <c r="AG122" i="1" s="1"/>
  <c r="AF122" i="1" a="1"/>
  <c r="AF122" i="1" s="1"/>
  <c r="AD122" i="1"/>
  <c r="AE122" i="1" s="1"/>
  <c r="V122" i="1"/>
  <c r="W122" i="1" s="1"/>
  <c r="R122" i="1"/>
  <c r="S122" i="1" s="1"/>
  <c r="A122" i="1"/>
  <c r="AU121" i="1"/>
  <c r="AO121" i="1"/>
  <c r="AP121" i="1" s="1"/>
  <c r="AM121" i="1"/>
  <c r="AN121" i="1" s="1"/>
  <c r="AL121" i="1"/>
  <c r="AG121" i="1"/>
  <c r="AJ121" i="1" s="1"/>
  <c r="AK121" i="1" s="1"/>
  <c r="AG121" i="1" a="1"/>
  <c r="AF121" i="1"/>
  <c r="AF121" i="1" a="1"/>
  <c r="AE121" i="1"/>
  <c r="AD121" i="1"/>
  <c r="W121" i="1"/>
  <c r="V121" i="1"/>
  <c r="S121" i="1"/>
  <c r="R121" i="1"/>
  <c r="A121" i="1"/>
  <c r="AU120" i="1"/>
  <c r="AL120" i="1"/>
  <c r="AO120" i="1" s="1"/>
  <c r="AP120" i="1" s="1"/>
  <c r="AG120" i="1" a="1"/>
  <c r="AG120" i="1" s="1"/>
  <c r="AF120" i="1" a="1"/>
  <c r="AF120" i="1" s="1"/>
  <c r="AD120" i="1"/>
  <c r="AE120" i="1" s="1"/>
  <c r="V120" i="1"/>
  <c r="W120" i="1" s="1"/>
  <c r="R120" i="1"/>
  <c r="S120" i="1" s="1"/>
  <c r="A120" i="1"/>
  <c r="AU119" i="1"/>
  <c r="AO119" i="1"/>
  <c r="AP119" i="1" s="1"/>
  <c r="AM119" i="1"/>
  <c r="AN119" i="1" s="1"/>
  <c r="AL119" i="1"/>
  <c r="AG119" i="1"/>
  <c r="AH119" i="1" s="1"/>
  <c r="AI119" i="1" s="1"/>
  <c r="AG119" i="1" a="1"/>
  <c r="AF119" i="1"/>
  <c r="AF119" i="1" a="1"/>
  <c r="AE119" i="1"/>
  <c r="AD119" i="1"/>
  <c r="W119" i="1"/>
  <c r="V119" i="1"/>
  <c r="S119" i="1"/>
  <c r="R119" i="1"/>
  <c r="A119" i="1"/>
  <c r="AU118" i="1"/>
  <c r="AL118" i="1"/>
  <c r="AM118" i="1" s="1"/>
  <c r="AN118" i="1" s="1"/>
  <c r="AG118" i="1" a="1"/>
  <c r="AG118" i="1" s="1"/>
  <c r="AF118" i="1" a="1"/>
  <c r="AF118" i="1" s="1"/>
  <c r="AD118" i="1"/>
  <c r="AE118" i="1" s="1"/>
  <c r="V118" i="1"/>
  <c r="W118" i="1" s="1"/>
  <c r="R118" i="1"/>
  <c r="S118" i="1" s="1"/>
  <c r="A118" i="1"/>
  <c r="AU117" i="1"/>
  <c r="AO117" i="1"/>
  <c r="AP117" i="1" s="1"/>
  <c r="AM117" i="1"/>
  <c r="AN117" i="1" s="1"/>
  <c r="AL117" i="1"/>
  <c r="AG117" i="1"/>
  <c r="AG117" i="1" a="1"/>
  <c r="AF117" i="1"/>
  <c r="AF117" i="1" a="1"/>
  <c r="AE117" i="1"/>
  <c r="AD117" i="1"/>
  <c r="W117" i="1"/>
  <c r="V117" i="1"/>
  <c r="S117" i="1"/>
  <c r="R117" i="1"/>
  <c r="A117" i="1"/>
  <c r="AU116" i="1"/>
  <c r="AL116" i="1"/>
  <c r="AG116" i="1" a="1"/>
  <c r="AG116" i="1" s="1"/>
  <c r="AF116" i="1" a="1"/>
  <c r="AF116" i="1" s="1"/>
  <c r="AH116" i="1" s="1"/>
  <c r="AI116" i="1" s="1"/>
  <c r="AD116" i="1"/>
  <c r="V116" i="1"/>
  <c r="R116" i="1"/>
  <c r="A116" i="1"/>
  <c r="AU115" i="1"/>
  <c r="AL115" i="1"/>
  <c r="AG115" i="1" a="1"/>
  <c r="AG115" i="1" s="1"/>
  <c r="AJ115" i="1" s="1"/>
  <c r="AK115" i="1" s="1"/>
  <c r="AF115" i="1" a="1"/>
  <c r="AF115" i="1" s="1"/>
  <c r="AH115" i="1" s="1"/>
  <c r="AI115" i="1" s="1"/>
  <c r="AD115" i="1"/>
  <c r="AE115" i="1" s="1"/>
  <c r="V115" i="1"/>
  <c r="W115" i="1" s="1"/>
  <c r="R115" i="1"/>
  <c r="S115" i="1" s="1"/>
  <c r="A115" i="1"/>
  <c r="AU114" i="1"/>
  <c r="AO114" i="1"/>
  <c r="AP114" i="1" s="1"/>
  <c r="AM114" i="1"/>
  <c r="AN114" i="1" s="1"/>
  <c r="AL114" i="1"/>
  <c r="AG114" i="1"/>
  <c r="AG114" i="1" a="1"/>
  <c r="AF114" i="1"/>
  <c r="AF114" i="1" a="1"/>
  <c r="AE114" i="1"/>
  <c r="AD114" i="1"/>
  <c r="W114" i="1"/>
  <c r="V114" i="1"/>
  <c r="S114" i="1"/>
  <c r="R114" i="1"/>
  <c r="A114" i="1"/>
  <c r="AU113" i="1"/>
  <c r="AL113" i="1"/>
  <c r="AG113" i="1" a="1"/>
  <c r="AG113" i="1" s="1"/>
  <c r="AJ113" i="1" s="1"/>
  <c r="AK113" i="1" s="1"/>
  <c r="AF113" i="1" a="1"/>
  <c r="AF113" i="1" s="1"/>
  <c r="AD113" i="1"/>
  <c r="V113" i="1"/>
  <c r="R113" i="1"/>
  <c r="A113" i="1"/>
  <c r="AU112" i="1"/>
  <c r="AL112" i="1"/>
  <c r="AG112" i="1" a="1"/>
  <c r="AG112" i="1" s="1"/>
  <c r="AJ112" i="1" s="1"/>
  <c r="AK112" i="1" s="1"/>
  <c r="AF112" i="1" a="1"/>
  <c r="AF112" i="1" s="1"/>
  <c r="AD112" i="1"/>
  <c r="V112" i="1"/>
  <c r="R112" i="1"/>
  <c r="A112" i="1"/>
  <c r="AU111" i="1"/>
  <c r="AL111" i="1"/>
  <c r="AG111" i="1" a="1"/>
  <c r="AG111" i="1" s="1"/>
  <c r="AJ111" i="1" s="1"/>
  <c r="AK111" i="1" s="1"/>
  <c r="AF111" i="1" a="1"/>
  <c r="AF111" i="1" s="1"/>
  <c r="AD111" i="1"/>
  <c r="AE111" i="1" s="1"/>
  <c r="V111" i="1"/>
  <c r="W111" i="1" s="1"/>
  <c r="R111" i="1"/>
  <c r="S111" i="1" s="1"/>
  <c r="A111" i="1"/>
  <c r="AU110" i="1"/>
  <c r="AO110" i="1"/>
  <c r="AP110" i="1" s="1"/>
  <c r="AM110" i="1"/>
  <c r="AN110" i="1" s="1"/>
  <c r="AL110" i="1"/>
  <c r="AG110" i="1"/>
  <c r="AG110" i="1" a="1"/>
  <c r="AF110" i="1"/>
  <c r="AF110" i="1" a="1"/>
  <c r="AE110" i="1"/>
  <c r="AD110" i="1"/>
  <c r="W110" i="1"/>
  <c r="V110" i="1"/>
  <c r="S110" i="1"/>
  <c r="R110" i="1"/>
  <c r="A110" i="1"/>
  <c r="AU109" i="1"/>
  <c r="AL109" i="1"/>
  <c r="AH109" i="1"/>
  <c r="AI109" i="1" s="1"/>
  <c r="AG109" i="1" a="1"/>
  <c r="AG109" i="1" s="1"/>
  <c r="AJ109" i="1" s="1"/>
  <c r="AK109" i="1" s="1"/>
  <c r="AF109" i="1" a="1"/>
  <c r="AF109" i="1" s="1"/>
  <c r="AD109" i="1"/>
  <c r="AE109" i="1" s="1"/>
  <c r="V109" i="1"/>
  <c r="W109" i="1" s="1"/>
  <c r="R109" i="1"/>
  <c r="S109" i="1" s="1"/>
  <c r="A109" i="1"/>
  <c r="AU108" i="1"/>
  <c r="AO108" i="1"/>
  <c r="AP108" i="1" s="1"/>
  <c r="AM108" i="1"/>
  <c r="AN108" i="1" s="1"/>
  <c r="AL108" i="1"/>
  <c r="AG108" i="1"/>
  <c r="AG108" i="1" a="1"/>
  <c r="AF108" i="1"/>
  <c r="AF108" i="1" a="1"/>
  <c r="AE108" i="1"/>
  <c r="AD108" i="1"/>
  <c r="W108" i="1"/>
  <c r="V108" i="1"/>
  <c r="S108" i="1"/>
  <c r="R108" i="1"/>
  <c r="A108" i="1"/>
  <c r="AU107" i="1"/>
  <c r="AL107" i="1"/>
  <c r="AJ107" i="1"/>
  <c r="AK107" i="1" s="1"/>
  <c r="AG107" i="1" a="1"/>
  <c r="AG107" i="1" s="1"/>
  <c r="AH107" i="1" s="1"/>
  <c r="AI107" i="1" s="1"/>
  <c r="AF107" i="1" a="1"/>
  <c r="AF107" i="1" s="1"/>
  <c r="AD107" i="1"/>
  <c r="AE107" i="1" s="1"/>
  <c r="V107" i="1"/>
  <c r="W107" i="1" s="1"/>
  <c r="R107" i="1"/>
  <c r="S107" i="1" s="1"/>
  <c r="A107" i="1"/>
  <c r="AU106" i="1"/>
  <c r="AO106" i="1"/>
  <c r="AP106" i="1" s="1"/>
  <c r="AM106" i="1"/>
  <c r="AN106" i="1" s="1"/>
  <c r="AL106" i="1"/>
  <c r="AG106" i="1"/>
  <c r="AG106" i="1" a="1"/>
  <c r="AF106" i="1"/>
  <c r="AF106" i="1" a="1"/>
  <c r="AE106" i="1"/>
  <c r="AD106" i="1"/>
  <c r="W106" i="1"/>
  <c r="V106" i="1"/>
  <c r="S106" i="1"/>
  <c r="R106" i="1"/>
  <c r="A106" i="1"/>
  <c r="AU105" i="1"/>
  <c r="AL105" i="1"/>
  <c r="AG105" i="1" a="1"/>
  <c r="AG105" i="1" s="1"/>
  <c r="AJ105" i="1" s="1"/>
  <c r="AK105" i="1" s="1"/>
  <c r="AF105" i="1" a="1"/>
  <c r="AF105" i="1" s="1"/>
  <c r="AH105" i="1" s="1"/>
  <c r="AI105" i="1" s="1"/>
  <c r="AD105" i="1"/>
  <c r="AE105" i="1" s="1"/>
  <c r="V105" i="1"/>
  <c r="W105" i="1" s="1"/>
  <c r="R105" i="1"/>
  <c r="S105" i="1" s="1"/>
  <c r="A105" i="1"/>
  <c r="AU104" i="1"/>
  <c r="AO104" i="1"/>
  <c r="AP104" i="1" s="1"/>
  <c r="AM104" i="1"/>
  <c r="AN104" i="1" s="1"/>
  <c r="AL104" i="1"/>
  <c r="AG104" i="1"/>
  <c r="AG104" i="1" a="1"/>
  <c r="AF104" i="1"/>
  <c r="AF104" i="1" a="1"/>
  <c r="AD104" i="1"/>
  <c r="AE104" i="1" s="1"/>
  <c r="W104" i="1"/>
  <c r="V104" i="1"/>
  <c r="R104" i="1"/>
  <c r="S104" i="1" s="1"/>
  <c r="A104" i="1"/>
  <c r="AU103" i="1"/>
  <c r="AO103" i="1"/>
  <c r="AP103" i="1" s="1"/>
  <c r="AL103" i="1"/>
  <c r="AM103" i="1" s="1"/>
  <c r="AN103" i="1" s="1"/>
  <c r="AG103" i="1"/>
  <c r="AH103" i="1" s="1"/>
  <c r="AI103" i="1" s="1"/>
  <c r="AG103" i="1" a="1"/>
  <c r="AF103" i="1" a="1"/>
  <c r="AF103" i="1" s="1"/>
  <c r="AJ103" i="1" s="1"/>
  <c r="AK103" i="1" s="1"/>
  <c r="AD103" i="1"/>
  <c r="AE103" i="1" s="1"/>
  <c r="V103" i="1"/>
  <c r="W103" i="1" s="1"/>
  <c r="S103" i="1"/>
  <c r="R103" i="1"/>
  <c r="A103" i="1"/>
  <c r="AU102" i="1"/>
  <c r="AM102" i="1"/>
  <c r="AN102" i="1" s="1"/>
  <c r="AL102" i="1"/>
  <c r="AO102" i="1" s="1"/>
  <c r="AP102" i="1" s="1"/>
  <c r="AG102" i="1"/>
  <c r="AJ102" i="1" s="1"/>
  <c r="AK102" i="1" s="1"/>
  <c r="AG102" i="1" a="1"/>
  <c r="AF102" i="1" a="1"/>
  <c r="AF102" i="1" s="1"/>
  <c r="AE102" i="1"/>
  <c r="AD102" i="1"/>
  <c r="V102" i="1"/>
  <c r="W102" i="1" s="1"/>
  <c r="S102" i="1"/>
  <c r="R102" i="1"/>
  <c r="A102" i="1"/>
  <c r="AU101" i="1"/>
  <c r="AL101" i="1"/>
  <c r="AO101" i="1" s="1"/>
  <c r="AP101" i="1" s="1"/>
  <c r="AG101" i="1" a="1"/>
  <c r="AG101" i="1" s="1"/>
  <c r="AF101" i="1" a="1"/>
  <c r="AF101" i="1" s="1"/>
  <c r="AD101" i="1"/>
  <c r="AE101" i="1" s="1"/>
  <c r="V101" i="1"/>
  <c r="W101" i="1" s="1"/>
  <c r="R101" i="1"/>
  <c r="S101" i="1" s="1"/>
  <c r="A101" i="1"/>
  <c r="AU100" i="1"/>
  <c r="AO100" i="1"/>
  <c r="AP100" i="1" s="1"/>
  <c r="AM100" i="1"/>
  <c r="AN100" i="1" s="1"/>
  <c r="AL100" i="1"/>
  <c r="AG100" i="1" a="1"/>
  <c r="AG100" i="1" s="1"/>
  <c r="AF100" i="1"/>
  <c r="AF100" i="1" a="1"/>
  <c r="AD100" i="1"/>
  <c r="AE100" i="1" s="1"/>
  <c r="W100" i="1"/>
  <c r="V100" i="1"/>
  <c r="R100" i="1"/>
  <c r="S100" i="1" s="1"/>
  <c r="A100" i="1"/>
  <c r="AU99" i="1"/>
  <c r="AO99" i="1"/>
  <c r="AP99" i="1" s="1"/>
  <c r="AL99" i="1"/>
  <c r="AM99" i="1" s="1"/>
  <c r="AN99" i="1" s="1"/>
  <c r="AG99" i="1" a="1"/>
  <c r="AG99" i="1" s="1"/>
  <c r="AF99" i="1" a="1"/>
  <c r="AF99" i="1" s="1"/>
  <c r="AD99" i="1"/>
  <c r="AE99" i="1" s="1"/>
  <c r="V99" i="1"/>
  <c r="W99" i="1" s="1"/>
  <c r="R99" i="1"/>
  <c r="S99" i="1" s="1"/>
  <c r="A99" i="1"/>
  <c r="AU98" i="1"/>
  <c r="AO98" i="1"/>
  <c r="AP98" i="1" s="1"/>
  <c r="AM98" i="1"/>
  <c r="AN98" i="1" s="1"/>
  <c r="AL98" i="1"/>
  <c r="AG98" i="1"/>
  <c r="AG98" i="1" a="1"/>
  <c r="AF98" i="1" a="1"/>
  <c r="AF98" i="1" s="1"/>
  <c r="AE98" i="1"/>
  <c r="AD98" i="1"/>
  <c r="V98" i="1"/>
  <c r="W98" i="1" s="1"/>
  <c r="S98" i="1"/>
  <c r="R98" i="1"/>
  <c r="A98" i="1"/>
  <c r="AU97" i="1"/>
  <c r="AL97" i="1"/>
  <c r="AO97" i="1" s="1"/>
  <c r="AP97" i="1" s="1"/>
  <c r="AG97" i="1" a="1"/>
  <c r="AG97" i="1" s="1"/>
  <c r="AF97" i="1" a="1"/>
  <c r="AF97" i="1" s="1"/>
  <c r="AD97" i="1"/>
  <c r="AE97" i="1" s="1"/>
  <c r="V97" i="1"/>
  <c r="W97" i="1" s="1"/>
  <c r="R97" i="1"/>
  <c r="S97" i="1" s="1"/>
  <c r="A97" i="1"/>
  <c r="AU96" i="1"/>
  <c r="AO96" i="1"/>
  <c r="AP96" i="1" s="1"/>
  <c r="AM96" i="1"/>
  <c r="AN96" i="1" s="1"/>
  <c r="AL96" i="1"/>
  <c r="AG96" i="1" a="1"/>
  <c r="AG96" i="1" s="1"/>
  <c r="AF96" i="1"/>
  <c r="AF96" i="1" a="1"/>
  <c r="AD96" i="1"/>
  <c r="AE96" i="1" s="1"/>
  <c r="W96" i="1"/>
  <c r="V96" i="1"/>
  <c r="R96" i="1"/>
  <c r="S96" i="1" s="1"/>
  <c r="A96" i="1"/>
  <c r="AU95" i="1"/>
  <c r="AO95" i="1"/>
  <c r="AP95" i="1" s="1"/>
  <c r="AL95" i="1"/>
  <c r="AM95" i="1" s="1"/>
  <c r="AN95" i="1" s="1"/>
  <c r="AG95" i="1" a="1"/>
  <c r="AG95" i="1" s="1"/>
  <c r="AF95" i="1" a="1"/>
  <c r="AF95" i="1" s="1"/>
  <c r="AD95" i="1"/>
  <c r="AE95" i="1" s="1"/>
  <c r="V95" i="1"/>
  <c r="W95" i="1" s="1"/>
  <c r="R95" i="1"/>
  <c r="S95" i="1" s="1"/>
  <c r="A95" i="1"/>
  <c r="AU94" i="1"/>
  <c r="AO94" i="1"/>
  <c r="AP94" i="1" s="1"/>
  <c r="AM94" i="1"/>
  <c r="AN94" i="1" s="1"/>
  <c r="AL94" i="1"/>
  <c r="AG94" i="1"/>
  <c r="AJ94" i="1" s="1"/>
  <c r="AK94" i="1" s="1"/>
  <c r="AG94" i="1" a="1"/>
  <c r="AF94" i="1" a="1"/>
  <c r="AF94" i="1" s="1"/>
  <c r="AE94" i="1"/>
  <c r="AD94" i="1"/>
  <c r="V94" i="1"/>
  <c r="W94" i="1" s="1"/>
  <c r="S94" i="1"/>
  <c r="R94" i="1"/>
  <c r="A94" i="1"/>
  <c r="AU93" i="1"/>
  <c r="AL93" i="1"/>
  <c r="AO93" i="1" s="1"/>
  <c r="AP93" i="1" s="1"/>
  <c r="AG93" i="1" a="1"/>
  <c r="AG93" i="1" s="1"/>
  <c r="AF93" i="1" a="1"/>
  <c r="AF93" i="1" s="1"/>
  <c r="AD93" i="1"/>
  <c r="AE93" i="1" s="1"/>
  <c r="V93" i="1"/>
  <c r="W93" i="1" s="1"/>
  <c r="R93" i="1"/>
  <c r="S93" i="1" s="1"/>
  <c r="A93" i="1"/>
  <c r="AU92" i="1"/>
  <c r="AO92" i="1"/>
  <c r="AP92" i="1" s="1"/>
  <c r="AM92" i="1"/>
  <c r="AN92" i="1" s="1"/>
  <c r="AL92" i="1"/>
  <c r="AG92" i="1" a="1"/>
  <c r="AG92" i="1" s="1"/>
  <c r="AF92" i="1"/>
  <c r="AF92" i="1" a="1"/>
  <c r="AD92" i="1"/>
  <c r="AE92" i="1" s="1"/>
  <c r="W92" i="1"/>
  <c r="V92" i="1"/>
  <c r="R92" i="1"/>
  <c r="S92" i="1" s="1"/>
  <c r="A92" i="1"/>
  <c r="AU91" i="1"/>
  <c r="AO91" i="1"/>
  <c r="AP91" i="1" s="1"/>
  <c r="AL91" i="1"/>
  <c r="AM91" i="1" s="1"/>
  <c r="AN91" i="1" s="1"/>
  <c r="AG91" i="1" a="1"/>
  <c r="AG91" i="1" s="1"/>
  <c r="AF91" i="1" a="1"/>
  <c r="AF91" i="1" s="1"/>
  <c r="AD91" i="1"/>
  <c r="AE91" i="1" s="1"/>
  <c r="V91" i="1"/>
  <c r="W91" i="1" s="1"/>
  <c r="R91" i="1"/>
  <c r="S91" i="1" s="1"/>
  <c r="A91" i="1"/>
  <c r="AU90" i="1"/>
  <c r="AO90" i="1"/>
  <c r="AP90" i="1" s="1"/>
  <c r="AM90" i="1"/>
  <c r="AN90" i="1" s="1"/>
  <c r="AL90" i="1"/>
  <c r="AG90" i="1"/>
  <c r="AG90" i="1" a="1"/>
  <c r="AF90" i="1" a="1"/>
  <c r="AF90" i="1" s="1"/>
  <c r="AE90" i="1"/>
  <c r="AD90" i="1"/>
  <c r="V90" i="1"/>
  <c r="W90" i="1" s="1"/>
  <c r="S90" i="1"/>
  <c r="R90" i="1"/>
  <c r="A90" i="1"/>
  <c r="AU89" i="1"/>
  <c r="AL89" i="1"/>
  <c r="AO89" i="1" s="1"/>
  <c r="AP89" i="1" s="1"/>
  <c r="AG89" i="1" a="1"/>
  <c r="AG89" i="1" s="1"/>
  <c r="AF89" i="1" a="1"/>
  <c r="AF89" i="1" s="1"/>
  <c r="AD89" i="1"/>
  <c r="AE89" i="1" s="1"/>
  <c r="V89" i="1"/>
  <c r="W89" i="1" s="1"/>
  <c r="R89" i="1"/>
  <c r="S89" i="1" s="1"/>
  <c r="A89" i="1"/>
  <c r="AU88" i="1"/>
  <c r="AO88" i="1"/>
  <c r="AP88" i="1" s="1"/>
  <c r="AM88" i="1"/>
  <c r="AN88" i="1" s="1"/>
  <c r="AL88" i="1"/>
  <c r="AG88" i="1" a="1"/>
  <c r="AG88" i="1" s="1"/>
  <c r="AF88" i="1"/>
  <c r="AF88" i="1" a="1"/>
  <c r="AD88" i="1"/>
  <c r="AE88" i="1" s="1"/>
  <c r="W88" i="1"/>
  <c r="V88" i="1"/>
  <c r="R88" i="1"/>
  <c r="S88" i="1" s="1"/>
  <c r="A88" i="1"/>
  <c r="AU87" i="1"/>
  <c r="AO87" i="1"/>
  <c r="AP87" i="1" s="1"/>
  <c r="AL87" i="1"/>
  <c r="AM87" i="1" s="1"/>
  <c r="AN87" i="1" s="1"/>
  <c r="AG87" i="1" a="1"/>
  <c r="AG87" i="1" s="1"/>
  <c r="AF87" i="1" a="1"/>
  <c r="AF87" i="1" s="1"/>
  <c r="AD87" i="1"/>
  <c r="AE87" i="1" s="1"/>
  <c r="V87" i="1"/>
  <c r="W87" i="1" s="1"/>
  <c r="R87" i="1"/>
  <c r="S87" i="1" s="1"/>
  <c r="A87" i="1"/>
  <c r="AU86" i="1"/>
  <c r="AO86" i="1"/>
  <c r="AP86" i="1" s="1"/>
  <c r="AM86" i="1"/>
  <c r="AN86" i="1" s="1"/>
  <c r="AL86" i="1"/>
  <c r="AG86" i="1"/>
  <c r="AJ86" i="1" s="1"/>
  <c r="AK86" i="1" s="1"/>
  <c r="AG86" i="1" a="1"/>
  <c r="AF86" i="1"/>
  <c r="AF86" i="1" a="1"/>
  <c r="AE86" i="1"/>
  <c r="AD86" i="1"/>
  <c r="W86" i="1"/>
  <c r="V86" i="1"/>
  <c r="S86" i="1"/>
  <c r="R86" i="1"/>
  <c r="A86" i="1"/>
  <c r="AU85" i="1"/>
  <c r="AL85" i="1"/>
  <c r="AO85" i="1" s="1"/>
  <c r="AP85" i="1" s="1"/>
  <c r="AG85" i="1" a="1"/>
  <c r="AG85" i="1" s="1"/>
  <c r="AF85" i="1" a="1"/>
  <c r="AF85" i="1" s="1"/>
  <c r="AD85" i="1"/>
  <c r="V85" i="1"/>
  <c r="R85" i="1"/>
  <c r="A85" i="1"/>
  <c r="AU84" i="1"/>
  <c r="AL84" i="1"/>
  <c r="AM84" i="1" s="1"/>
  <c r="AN84" i="1" s="1"/>
  <c r="AG84" i="1" a="1"/>
  <c r="AG84" i="1" s="1"/>
  <c r="AF84" i="1" a="1"/>
  <c r="AF84" i="1" s="1"/>
  <c r="AD84" i="1"/>
  <c r="AE84" i="1" s="1"/>
  <c r="V84" i="1"/>
  <c r="W84" i="1" s="1"/>
  <c r="R84" i="1"/>
  <c r="S84" i="1" s="1"/>
  <c r="A84" i="1"/>
  <c r="AU83" i="1"/>
  <c r="AO83" i="1"/>
  <c r="AP83" i="1" s="1"/>
  <c r="AM83" i="1"/>
  <c r="AN83" i="1" s="1"/>
  <c r="AL83" i="1"/>
  <c r="AG83" i="1"/>
  <c r="AJ83" i="1" s="1"/>
  <c r="AK83" i="1" s="1"/>
  <c r="AG83" i="1" a="1"/>
  <c r="AF83" i="1"/>
  <c r="AF83" i="1" a="1"/>
  <c r="AE83" i="1"/>
  <c r="AD83" i="1"/>
  <c r="W83" i="1"/>
  <c r="V83" i="1"/>
  <c r="S83" i="1"/>
  <c r="R83" i="1"/>
  <c r="A83" i="1"/>
  <c r="AU82" i="1"/>
  <c r="AL82" i="1"/>
  <c r="AO82" i="1" s="1"/>
  <c r="AP82" i="1" s="1"/>
  <c r="AG82" i="1" a="1"/>
  <c r="AG82" i="1" s="1"/>
  <c r="AF82" i="1" a="1"/>
  <c r="AF82" i="1" s="1"/>
  <c r="AD82" i="1"/>
  <c r="AE82" i="1" s="1"/>
  <c r="V82" i="1"/>
  <c r="W82" i="1" s="1"/>
  <c r="R82" i="1"/>
  <c r="S82" i="1" s="1"/>
  <c r="A82" i="1"/>
  <c r="AU81" i="1"/>
  <c r="AO81" i="1"/>
  <c r="AP81" i="1" s="1"/>
  <c r="AM81" i="1"/>
  <c r="AN81" i="1" s="1"/>
  <c r="AL81" i="1"/>
  <c r="AG81" i="1"/>
  <c r="AH81" i="1" s="1"/>
  <c r="AI81" i="1" s="1"/>
  <c r="AG81" i="1" a="1"/>
  <c r="AF81" i="1"/>
  <c r="AF81" i="1" a="1"/>
  <c r="AE81" i="1"/>
  <c r="AD81" i="1"/>
  <c r="W81" i="1"/>
  <c r="V81" i="1"/>
  <c r="S81" i="1"/>
  <c r="R81" i="1"/>
  <c r="A81" i="1"/>
  <c r="AU80" i="1"/>
  <c r="AL80" i="1"/>
  <c r="AM80" i="1" s="1"/>
  <c r="AN80" i="1" s="1"/>
  <c r="AG80" i="1" a="1"/>
  <c r="AG80" i="1" s="1"/>
  <c r="AF80" i="1" a="1"/>
  <c r="AF80" i="1" s="1"/>
  <c r="AD80" i="1"/>
  <c r="AE80" i="1" s="1"/>
  <c r="V80" i="1"/>
  <c r="W80" i="1" s="1"/>
  <c r="R80" i="1"/>
  <c r="S80" i="1" s="1"/>
  <c r="A80" i="1"/>
  <c r="AU79" i="1"/>
  <c r="AO79" i="1"/>
  <c r="AP79" i="1" s="1"/>
  <c r="AM79" i="1"/>
  <c r="AN79" i="1" s="1"/>
  <c r="AL79" i="1"/>
  <c r="AG79" i="1"/>
  <c r="AJ79" i="1" s="1"/>
  <c r="AK79" i="1" s="1"/>
  <c r="AG79" i="1" a="1"/>
  <c r="AF79" i="1"/>
  <c r="AF79" i="1" a="1"/>
  <c r="AE79" i="1"/>
  <c r="AD79" i="1"/>
  <c r="W79" i="1"/>
  <c r="V79" i="1"/>
  <c r="S79" i="1"/>
  <c r="R79" i="1"/>
  <c r="A79" i="1"/>
  <c r="AU78" i="1"/>
  <c r="AL78" i="1"/>
  <c r="AO78" i="1" s="1"/>
  <c r="AP78" i="1" s="1"/>
  <c r="AG78" i="1" a="1"/>
  <c r="AG78" i="1" s="1"/>
  <c r="AF78" i="1" a="1"/>
  <c r="AF78" i="1" s="1"/>
  <c r="AD78" i="1"/>
  <c r="AE78" i="1" s="1"/>
  <c r="V78" i="1"/>
  <c r="W78" i="1" s="1"/>
  <c r="R78" i="1"/>
  <c r="S78" i="1" s="1"/>
  <c r="A78" i="1"/>
  <c r="AU77" i="1"/>
  <c r="AO77" i="1"/>
  <c r="AP77" i="1" s="1"/>
  <c r="AM77" i="1"/>
  <c r="AN77" i="1" s="1"/>
  <c r="AL77" i="1"/>
  <c r="AG77" i="1"/>
  <c r="AH77" i="1" s="1"/>
  <c r="AI77" i="1" s="1"/>
  <c r="AG77" i="1" a="1"/>
  <c r="AF77" i="1"/>
  <c r="AF77" i="1" a="1"/>
  <c r="AE77" i="1"/>
  <c r="AD77" i="1"/>
  <c r="W77" i="1"/>
  <c r="V77" i="1"/>
  <c r="S77" i="1"/>
  <c r="R77" i="1"/>
  <c r="A77" i="1"/>
  <c r="AU76" i="1"/>
  <c r="AL76" i="1"/>
  <c r="AM76" i="1" s="1"/>
  <c r="AN76" i="1" s="1"/>
  <c r="AG76" i="1" a="1"/>
  <c r="AG76" i="1" s="1"/>
  <c r="AF76" i="1" a="1"/>
  <c r="AF76" i="1" s="1"/>
  <c r="AD76" i="1"/>
  <c r="AE76" i="1" s="1"/>
  <c r="V76" i="1"/>
  <c r="W76" i="1" s="1"/>
  <c r="R76" i="1"/>
  <c r="S76" i="1" s="1"/>
  <c r="A76" i="1"/>
  <c r="AU75" i="1"/>
  <c r="AO75" i="1"/>
  <c r="AP75" i="1" s="1"/>
  <c r="AM75" i="1"/>
  <c r="AN75" i="1" s="1"/>
  <c r="AL75" i="1"/>
  <c r="AG75" i="1"/>
  <c r="AJ75" i="1" s="1"/>
  <c r="AK75" i="1" s="1"/>
  <c r="AG75" i="1" a="1"/>
  <c r="AF75" i="1"/>
  <c r="AF75" i="1" a="1"/>
  <c r="AE75" i="1"/>
  <c r="AD75" i="1"/>
  <c r="W75" i="1"/>
  <c r="V75" i="1"/>
  <c r="S75" i="1"/>
  <c r="R75" i="1"/>
  <c r="A75" i="1"/>
  <c r="AU74" i="1"/>
  <c r="AL74" i="1"/>
  <c r="AO74" i="1" s="1"/>
  <c r="AP74" i="1" s="1"/>
  <c r="AG74" i="1" a="1"/>
  <c r="AG74" i="1" s="1"/>
  <c r="AF74" i="1" a="1"/>
  <c r="AF74" i="1" s="1"/>
  <c r="AD74" i="1"/>
  <c r="AE74" i="1" s="1"/>
  <c r="V74" i="1"/>
  <c r="W74" i="1" s="1"/>
  <c r="R74" i="1"/>
  <c r="S74" i="1" s="1"/>
  <c r="A74" i="1"/>
  <c r="AU73" i="1"/>
  <c r="AO73" i="1"/>
  <c r="AP73" i="1" s="1"/>
  <c r="AM73" i="1"/>
  <c r="AN73" i="1" s="1"/>
  <c r="AL73" i="1"/>
  <c r="AG73" i="1"/>
  <c r="AH73" i="1" s="1"/>
  <c r="AI73" i="1" s="1"/>
  <c r="AG73" i="1" a="1"/>
  <c r="AF73" i="1"/>
  <c r="AF73" i="1" a="1"/>
  <c r="AE73" i="1"/>
  <c r="AD73" i="1"/>
  <c r="W73" i="1"/>
  <c r="V73" i="1"/>
  <c r="S73" i="1"/>
  <c r="R73" i="1"/>
  <c r="A73" i="1"/>
  <c r="AU72" i="1"/>
  <c r="AL72" i="1"/>
  <c r="AM72" i="1" s="1"/>
  <c r="AN72" i="1" s="1"/>
  <c r="AG72" i="1" a="1"/>
  <c r="AG72" i="1" s="1"/>
  <c r="AF72" i="1" a="1"/>
  <c r="AF72" i="1" s="1"/>
  <c r="AD72" i="1"/>
  <c r="AE72" i="1" s="1"/>
  <c r="V72" i="1"/>
  <c r="W72" i="1" s="1"/>
  <c r="R72" i="1"/>
  <c r="S72" i="1" s="1"/>
  <c r="A72" i="1"/>
  <c r="AU71" i="1"/>
  <c r="AO71" i="1"/>
  <c r="AP71" i="1" s="1"/>
  <c r="AM71" i="1"/>
  <c r="AN71" i="1" s="1"/>
  <c r="AL71" i="1"/>
  <c r="AG71" i="1"/>
  <c r="AJ71" i="1" s="1"/>
  <c r="AK71" i="1" s="1"/>
  <c r="AG71" i="1" a="1"/>
  <c r="AF71" i="1"/>
  <c r="AF71" i="1" a="1"/>
  <c r="AE71" i="1"/>
  <c r="AD71" i="1"/>
  <c r="W71" i="1"/>
  <c r="V71" i="1"/>
  <c r="S71" i="1"/>
  <c r="R71" i="1"/>
  <c r="A71" i="1"/>
  <c r="AU70" i="1"/>
  <c r="AL70" i="1"/>
  <c r="AG70" i="1" a="1"/>
  <c r="AG70" i="1" s="1"/>
  <c r="AF70" i="1" a="1"/>
  <c r="AF70" i="1" s="1"/>
  <c r="AD70" i="1"/>
  <c r="AE70" i="1" s="1"/>
  <c r="V70" i="1"/>
  <c r="W70" i="1" s="1"/>
  <c r="R70" i="1"/>
  <c r="S70" i="1" s="1"/>
  <c r="A70" i="1"/>
  <c r="AU69" i="1"/>
  <c r="AO69" i="1"/>
  <c r="AP69" i="1" s="1"/>
  <c r="AM69" i="1"/>
  <c r="AN69" i="1" s="1"/>
  <c r="AL69" i="1"/>
  <c r="AG69" i="1"/>
  <c r="AG69" i="1" a="1"/>
  <c r="AF69" i="1"/>
  <c r="AF69" i="1" a="1"/>
  <c r="AE69" i="1"/>
  <c r="AD69" i="1"/>
  <c r="W69" i="1"/>
  <c r="V69" i="1"/>
  <c r="S69" i="1"/>
  <c r="R69" i="1"/>
  <c r="A69" i="1"/>
  <c r="AU68" i="1"/>
  <c r="AL68" i="1"/>
  <c r="AM68" i="1" s="1"/>
  <c r="AN68" i="1" s="1"/>
  <c r="AJ68" i="1"/>
  <c r="AK68" i="1" s="1"/>
  <c r="AG68" i="1" a="1"/>
  <c r="AG68" i="1" s="1"/>
  <c r="AH68" i="1" s="1"/>
  <c r="AI68" i="1" s="1"/>
  <c r="AF68" i="1" a="1"/>
  <c r="AF68" i="1" s="1"/>
  <c r="AD68" i="1"/>
  <c r="AE68" i="1" s="1"/>
  <c r="V68" i="1"/>
  <c r="W68" i="1" s="1"/>
  <c r="R68" i="1"/>
  <c r="S68" i="1" s="1"/>
  <c r="A68" i="1"/>
  <c r="AU67" i="1"/>
  <c r="AO67" i="1"/>
  <c r="AP67" i="1" s="1"/>
  <c r="AM67" i="1"/>
  <c r="AN67" i="1" s="1"/>
  <c r="AL67" i="1"/>
  <c r="AG67" i="1"/>
  <c r="AG67" i="1" a="1"/>
  <c r="AF67" i="1"/>
  <c r="AF67" i="1" a="1"/>
  <c r="AE67" i="1"/>
  <c r="AD67" i="1"/>
  <c r="W67" i="1"/>
  <c r="V67" i="1"/>
  <c r="S67" i="1"/>
  <c r="R67" i="1"/>
  <c r="A67" i="1"/>
  <c r="AU66" i="1"/>
  <c r="AL66" i="1"/>
  <c r="AG66" i="1" a="1"/>
  <c r="AG66" i="1" s="1"/>
  <c r="AF66" i="1" a="1"/>
  <c r="AF66" i="1" s="1"/>
  <c r="AD66" i="1"/>
  <c r="AE66" i="1" s="1"/>
  <c r="V66" i="1"/>
  <c r="W66" i="1" s="1"/>
  <c r="R66" i="1"/>
  <c r="S66" i="1" s="1"/>
  <c r="A66" i="1"/>
  <c r="AU65" i="1"/>
  <c r="AO65" i="1"/>
  <c r="AP65" i="1" s="1"/>
  <c r="AM65" i="1"/>
  <c r="AN65" i="1" s="1"/>
  <c r="AL65" i="1"/>
  <c r="AG65" i="1"/>
  <c r="AG65" i="1" a="1"/>
  <c r="AF65" i="1"/>
  <c r="AF65" i="1" a="1"/>
  <c r="AE65" i="1"/>
  <c r="AD65" i="1"/>
  <c r="W65" i="1"/>
  <c r="V65" i="1"/>
  <c r="S65" i="1"/>
  <c r="R65" i="1"/>
  <c r="A65" i="1"/>
  <c r="AU64" i="1"/>
  <c r="AL64" i="1"/>
  <c r="AM64" i="1" s="1"/>
  <c r="AN64" i="1" s="1"/>
  <c r="AJ64" i="1"/>
  <c r="AK64" i="1" s="1"/>
  <c r="AG64" i="1" a="1"/>
  <c r="AG64" i="1" s="1"/>
  <c r="AH64" i="1" s="1"/>
  <c r="AI64" i="1" s="1"/>
  <c r="AF64" i="1" a="1"/>
  <c r="AF64" i="1" s="1"/>
  <c r="AD64" i="1"/>
  <c r="AE64" i="1" s="1"/>
  <c r="V64" i="1"/>
  <c r="W64" i="1" s="1"/>
  <c r="R64" i="1"/>
  <c r="S64" i="1" s="1"/>
  <c r="A64" i="1"/>
  <c r="AU63" i="1"/>
  <c r="AO63" i="1"/>
  <c r="AP63" i="1" s="1"/>
  <c r="AM63" i="1"/>
  <c r="AN63" i="1" s="1"/>
  <c r="AL63" i="1"/>
  <c r="AG63" i="1"/>
  <c r="AG63" i="1" a="1"/>
  <c r="AF63" i="1"/>
  <c r="AF63" i="1" a="1"/>
  <c r="AE63" i="1"/>
  <c r="AD63" i="1"/>
  <c r="W63" i="1"/>
  <c r="V63" i="1"/>
  <c r="S63" i="1"/>
  <c r="R63" i="1"/>
  <c r="A63" i="1"/>
  <c r="AU62" i="1"/>
  <c r="AL62" i="1"/>
  <c r="AJ62" i="1"/>
  <c r="AK62" i="1" s="1"/>
  <c r="AH62" i="1"/>
  <c r="AI62" i="1" s="1"/>
  <c r="AG62" i="1" a="1"/>
  <c r="AG62" i="1" s="1"/>
  <c r="AF62" i="1" a="1"/>
  <c r="AF62" i="1" s="1"/>
  <c r="AD62" i="1"/>
  <c r="AE62" i="1" s="1"/>
  <c r="V62" i="1"/>
  <c r="W62" i="1" s="1"/>
  <c r="R62" i="1"/>
  <c r="S62" i="1" s="1"/>
  <c r="A62" i="1"/>
  <c r="AU61" i="1"/>
  <c r="AO61" i="1"/>
  <c r="AP61" i="1" s="1"/>
  <c r="AM61" i="1"/>
  <c r="AN61" i="1" s="1"/>
  <c r="AL61" i="1"/>
  <c r="AG61" i="1"/>
  <c r="AG61" i="1" a="1"/>
  <c r="AF61" i="1"/>
  <c r="AF61" i="1" a="1"/>
  <c r="AE61" i="1"/>
  <c r="AD61" i="1"/>
  <c r="W61" i="1"/>
  <c r="V61" i="1"/>
  <c r="S61" i="1"/>
  <c r="R61" i="1"/>
  <c r="A61" i="1"/>
  <c r="AU60" i="1"/>
  <c r="AL60" i="1"/>
  <c r="AG60" i="1" a="1"/>
  <c r="AG60" i="1" s="1"/>
  <c r="AH60" i="1" s="1"/>
  <c r="AI60" i="1" s="1"/>
  <c r="AF60" i="1" a="1"/>
  <c r="AF60" i="1" s="1"/>
  <c r="AJ60" i="1" s="1"/>
  <c r="AK60" i="1" s="1"/>
  <c r="AD60" i="1"/>
  <c r="AE60" i="1" s="1"/>
  <c r="V60" i="1"/>
  <c r="W60" i="1" s="1"/>
  <c r="R60" i="1"/>
  <c r="S60" i="1" s="1"/>
  <c r="A60" i="1"/>
  <c r="AU59" i="1"/>
  <c r="AO59" i="1"/>
  <c r="AP59" i="1" s="1"/>
  <c r="AM59" i="1"/>
  <c r="AN59" i="1" s="1"/>
  <c r="AL59" i="1"/>
  <c r="AG59" i="1"/>
  <c r="AG59" i="1" a="1"/>
  <c r="AF59" i="1"/>
  <c r="AF59" i="1" a="1"/>
  <c r="AE59" i="1"/>
  <c r="AD59" i="1"/>
  <c r="W59" i="1"/>
  <c r="V59" i="1"/>
  <c r="S59" i="1"/>
  <c r="R59" i="1"/>
  <c r="A59" i="1"/>
  <c r="AU58" i="1"/>
  <c r="AL58" i="1"/>
  <c r="AG58" i="1" a="1"/>
  <c r="AG58" i="1" s="1"/>
  <c r="AJ58" i="1" s="1"/>
  <c r="AK58" i="1" s="1"/>
  <c r="AF58" i="1" a="1"/>
  <c r="AF58" i="1" s="1"/>
  <c r="AD58" i="1"/>
  <c r="AE58" i="1" s="1"/>
  <c r="V58" i="1"/>
  <c r="W58" i="1" s="1"/>
  <c r="R58" i="1"/>
  <c r="S58" i="1" s="1"/>
  <c r="A58" i="1"/>
  <c r="AU57" i="1"/>
  <c r="AO57" i="1"/>
  <c r="AP57" i="1" s="1"/>
  <c r="AM57" i="1"/>
  <c r="AN57" i="1" s="1"/>
  <c r="AL57" i="1"/>
  <c r="AG57" i="1"/>
  <c r="AG57" i="1" a="1"/>
  <c r="AF57" i="1"/>
  <c r="AF57" i="1" a="1"/>
  <c r="AE57" i="1"/>
  <c r="AD57" i="1"/>
  <c r="W57" i="1"/>
  <c r="V57" i="1"/>
  <c r="S57" i="1"/>
  <c r="R57" i="1"/>
  <c r="A57" i="1"/>
  <c r="AU56" i="1"/>
  <c r="AL56" i="1"/>
  <c r="AH56" i="1"/>
  <c r="AI56" i="1" s="1"/>
  <c r="AG56" i="1" a="1"/>
  <c r="AG56" i="1" s="1"/>
  <c r="AJ56" i="1" s="1"/>
  <c r="AK56" i="1" s="1"/>
  <c r="AF56" i="1" a="1"/>
  <c r="AF56" i="1" s="1"/>
  <c r="AD56" i="1"/>
  <c r="AE56" i="1" s="1"/>
  <c r="V56" i="1"/>
  <c r="W56" i="1" s="1"/>
  <c r="R56" i="1"/>
  <c r="S56" i="1" s="1"/>
  <c r="A56" i="1"/>
  <c r="AU55" i="1"/>
  <c r="AO55" i="1"/>
  <c r="AP55" i="1" s="1"/>
  <c r="AM55" i="1"/>
  <c r="AN55" i="1" s="1"/>
  <c r="AL55" i="1"/>
  <c r="AG55" i="1"/>
  <c r="AG55" i="1" a="1"/>
  <c r="AF55" i="1" a="1"/>
  <c r="AF55" i="1" s="1"/>
  <c r="AE55" i="1"/>
  <c r="AD55" i="1"/>
  <c r="V55" i="1"/>
  <c r="W55" i="1" s="1"/>
  <c r="S55" i="1"/>
  <c r="R55" i="1"/>
  <c r="A55" i="1"/>
  <c r="AU54" i="1"/>
  <c r="AM54" i="1"/>
  <c r="AN54" i="1" s="1"/>
  <c r="AL54" i="1"/>
  <c r="AO54" i="1" s="1"/>
  <c r="AP54" i="1" s="1"/>
  <c r="AG54" i="1" a="1"/>
  <c r="AG54" i="1" s="1"/>
  <c r="AF54" i="1"/>
  <c r="AF54" i="1" a="1"/>
  <c r="AD54" i="1"/>
  <c r="AE54" i="1" s="1"/>
  <c r="W54" i="1"/>
  <c r="V54" i="1"/>
  <c r="R54" i="1"/>
  <c r="S54" i="1" s="1"/>
  <c r="A54" i="1"/>
  <c r="AU53" i="1"/>
  <c r="AO53" i="1"/>
  <c r="AP53" i="1" s="1"/>
  <c r="AN53" i="1"/>
  <c r="AM53" i="1"/>
  <c r="AL53" i="1"/>
  <c r="AG53" i="1" a="1"/>
  <c r="AG53" i="1" s="1"/>
  <c r="AF53" i="1"/>
  <c r="AF53" i="1" a="1"/>
  <c r="AD53" i="1"/>
  <c r="AE53" i="1" s="1"/>
  <c r="W53" i="1"/>
  <c r="V53" i="1"/>
  <c r="R53" i="1"/>
  <c r="S53" i="1" s="1"/>
  <c r="A53" i="1"/>
  <c r="AU52" i="1"/>
  <c r="AO52" i="1"/>
  <c r="AP52" i="1" s="1"/>
  <c r="AL52" i="1"/>
  <c r="AM52" i="1" s="1"/>
  <c r="AN52" i="1" s="1"/>
  <c r="AG52" i="1"/>
  <c r="AG52" i="1" a="1"/>
  <c r="AF52" i="1" a="1"/>
  <c r="AF52" i="1" s="1"/>
  <c r="AE52" i="1"/>
  <c r="AD52" i="1"/>
  <c r="V52" i="1"/>
  <c r="W52" i="1" s="1"/>
  <c r="S52" i="1"/>
  <c r="R52" i="1"/>
  <c r="A52" i="1"/>
  <c r="AU51" i="1"/>
  <c r="AL51" i="1"/>
  <c r="AO51" i="1" s="1"/>
  <c r="AP51" i="1" s="1"/>
  <c r="AG51" i="1"/>
  <c r="AJ51" i="1" s="1"/>
  <c r="AK51" i="1" s="1"/>
  <c r="AG51" i="1" a="1"/>
  <c r="AF51" i="1" a="1"/>
  <c r="AF51" i="1" s="1"/>
  <c r="AH51" i="1" s="1"/>
  <c r="AI51" i="1" s="1"/>
  <c r="AE51" i="1"/>
  <c r="AD51" i="1"/>
  <c r="V51" i="1"/>
  <c r="W51" i="1" s="1"/>
  <c r="S51" i="1"/>
  <c r="R51" i="1"/>
  <c r="A51" i="1"/>
  <c r="AU50" i="1"/>
  <c r="AM50" i="1"/>
  <c r="AN50" i="1" s="1"/>
  <c r="AL50" i="1"/>
  <c r="AO50" i="1" s="1"/>
  <c r="AP50" i="1" s="1"/>
  <c r="AG50" i="1" a="1"/>
  <c r="AG50" i="1" s="1"/>
  <c r="AF50" i="1"/>
  <c r="AF50" i="1" a="1"/>
  <c r="AD50" i="1"/>
  <c r="AE50" i="1" s="1"/>
  <c r="W50" i="1"/>
  <c r="V50" i="1"/>
  <c r="R50" i="1"/>
  <c r="S50" i="1" s="1"/>
  <c r="A50" i="1"/>
  <c r="AU49" i="1"/>
  <c r="AO49" i="1"/>
  <c r="AP49" i="1" s="1"/>
  <c r="AN49" i="1"/>
  <c r="AM49" i="1"/>
  <c r="AL49" i="1"/>
  <c r="AG49" i="1" a="1"/>
  <c r="AG49" i="1" s="1"/>
  <c r="AF49" i="1"/>
  <c r="AF49" i="1" a="1"/>
  <c r="AD49" i="1"/>
  <c r="AE49" i="1" s="1"/>
  <c r="W49" i="1"/>
  <c r="V49" i="1"/>
  <c r="R49" i="1"/>
  <c r="S49" i="1" s="1"/>
  <c r="A49" i="1"/>
  <c r="AU48" i="1"/>
  <c r="AO48" i="1"/>
  <c r="AP48" i="1" s="1"/>
  <c r="AL48" i="1"/>
  <c r="AM48" i="1" s="1"/>
  <c r="AN48" i="1" s="1"/>
  <c r="AG48" i="1"/>
  <c r="AG48" i="1" a="1"/>
  <c r="AF48" i="1" a="1"/>
  <c r="AF48" i="1" s="1"/>
  <c r="AE48" i="1"/>
  <c r="AD48" i="1"/>
  <c r="V48" i="1"/>
  <c r="W48" i="1" s="1"/>
  <c r="S48" i="1"/>
  <c r="R48" i="1"/>
  <c r="A48" i="1"/>
  <c r="AU47" i="1"/>
  <c r="AL47" i="1"/>
  <c r="AO47" i="1" s="1"/>
  <c r="AP47" i="1" s="1"/>
  <c r="AG47" i="1"/>
  <c r="AJ47" i="1" s="1"/>
  <c r="AK47" i="1" s="1"/>
  <c r="AG47" i="1" a="1"/>
  <c r="AF47" i="1" a="1"/>
  <c r="AF47" i="1" s="1"/>
  <c r="AH47" i="1" s="1"/>
  <c r="AI47" i="1" s="1"/>
  <c r="AE47" i="1"/>
  <c r="AD47" i="1"/>
  <c r="V47" i="1"/>
  <c r="W47" i="1" s="1"/>
  <c r="S47" i="1"/>
  <c r="R47" i="1"/>
  <c r="A47" i="1"/>
  <c r="AU46" i="1"/>
  <c r="AM46" i="1"/>
  <c r="AN46" i="1" s="1"/>
  <c r="AL46" i="1"/>
  <c r="AO46" i="1" s="1"/>
  <c r="AP46" i="1" s="1"/>
  <c r="AG46" i="1" a="1"/>
  <c r="AG46" i="1" s="1"/>
  <c r="AF46" i="1"/>
  <c r="AF46" i="1" a="1"/>
  <c r="AD46" i="1"/>
  <c r="AE46" i="1" s="1"/>
  <c r="W46" i="1"/>
  <c r="V46" i="1"/>
  <c r="R46" i="1"/>
  <c r="S46" i="1" s="1"/>
  <c r="A46" i="1"/>
  <c r="AU45" i="1"/>
  <c r="AO45" i="1"/>
  <c r="AP45" i="1" s="1"/>
  <c r="AN45" i="1"/>
  <c r="AM45" i="1"/>
  <c r="AL45" i="1"/>
  <c r="AG45" i="1" a="1"/>
  <c r="AG45" i="1" s="1"/>
  <c r="AF45" i="1"/>
  <c r="AF45" i="1" a="1"/>
  <c r="AD45" i="1"/>
  <c r="AE45" i="1" s="1"/>
  <c r="W45" i="1"/>
  <c r="V45" i="1"/>
  <c r="R45" i="1"/>
  <c r="S45" i="1" s="1"/>
  <c r="A45" i="1"/>
  <c r="AU44" i="1"/>
  <c r="AO44" i="1"/>
  <c r="AP44" i="1" s="1"/>
  <c r="AL44" i="1"/>
  <c r="AM44" i="1" s="1"/>
  <c r="AN44" i="1" s="1"/>
  <c r="AG44" i="1"/>
  <c r="AJ44" i="1" s="1"/>
  <c r="AK44" i="1" s="1"/>
  <c r="AG44" i="1" a="1"/>
  <c r="AF44" i="1" a="1"/>
  <c r="AF44" i="1" s="1"/>
  <c r="AE44" i="1"/>
  <c r="AD44" i="1"/>
  <c r="V44" i="1"/>
  <c r="W44" i="1" s="1"/>
  <c r="S44" i="1"/>
  <c r="R44" i="1"/>
  <c r="A44" i="1"/>
  <c r="AU43" i="1"/>
  <c r="AL43" i="1"/>
  <c r="AO43" i="1" s="1"/>
  <c r="AP43" i="1" s="1"/>
  <c r="AG43" i="1"/>
  <c r="AJ43" i="1" s="1"/>
  <c r="AK43" i="1" s="1"/>
  <c r="AG43" i="1" a="1"/>
  <c r="AF43" i="1" a="1"/>
  <c r="AF43" i="1" s="1"/>
  <c r="AH43" i="1" s="1"/>
  <c r="AI43" i="1" s="1"/>
  <c r="AE43" i="1"/>
  <c r="AD43" i="1"/>
  <c r="V43" i="1"/>
  <c r="W43" i="1" s="1"/>
  <c r="S43" i="1"/>
  <c r="R43" i="1"/>
  <c r="A43" i="1"/>
  <c r="AU42" i="1"/>
  <c r="AM42" i="1"/>
  <c r="AN42" i="1" s="1"/>
  <c r="AL42" i="1"/>
  <c r="AO42" i="1" s="1"/>
  <c r="AP42" i="1" s="1"/>
  <c r="AG42" i="1" a="1"/>
  <c r="AG42" i="1" s="1"/>
  <c r="AF42" i="1"/>
  <c r="AF42" i="1" a="1"/>
  <c r="AD42" i="1"/>
  <c r="AE42" i="1" s="1"/>
  <c r="W42" i="1"/>
  <c r="V42" i="1"/>
  <c r="R42" i="1"/>
  <c r="S42" i="1" s="1"/>
  <c r="A42" i="1"/>
  <c r="AU41" i="1"/>
  <c r="AO41" i="1"/>
  <c r="AP41" i="1" s="1"/>
  <c r="AN41" i="1"/>
  <c r="AM41" i="1"/>
  <c r="AL41" i="1"/>
  <c r="AG41" i="1" a="1"/>
  <c r="AG41" i="1" s="1"/>
  <c r="AF41" i="1"/>
  <c r="AF41" i="1" a="1"/>
  <c r="AD41" i="1"/>
  <c r="AE41" i="1" s="1"/>
  <c r="W41" i="1"/>
  <c r="V41" i="1"/>
  <c r="R41" i="1"/>
  <c r="S41" i="1" s="1"/>
  <c r="A41" i="1"/>
  <c r="AU40" i="1"/>
  <c r="AO40" i="1"/>
  <c r="AP40" i="1" s="1"/>
  <c r="AL40" i="1"/>
  <c r="AM40" i="1" s="1"/>
  <c r="AN40" i="1" s="1"/>
  <c r="AG40" i="1"/>
  <c r="AG40" i="1" a="1"/>
  <c r="AF40" i="1" a="1"/>
  <c r="AF40" i="1" s="1"/>
  <c r="AE40" i="1"/>
  <c r="AD40" i="1"/>
  <c r="V40" i="1"/>
  <c r="W40" i="1" s="1"/>
  <c r="S40" i="1"/>
  <c r="R40" i="1"/>
  <c r="A40" i="1"/>
  <c r="AU39" i="1"/>
  <c r="AL39" i="1"/>
  <c r="AO39" i="1" s="1"/>
  <c r="AP39" i="1" s="1"/>
  <c r="AG39" i="1"/>
  <c r="AG39" i="1" a="1"/>
  <c r="AF39" i="1" a="1"/>
  <c r="AF39" i="1" s="1"/>
  <c r="AH39" i="1" s="1"/>
  <c r="AI39" i="1" s="1"/>
  <c r="AE39" i="1"/>
  <c r="AD39" i="1"/>
  <c r="V39" i="1"/>
  <c r="W39" i="1" s="1"/>
  <c r="S39" i="1"/>
  <c r="R39" i="1"/>
  <c r="A39" i="1"/>
  <c r="AU38" i="1"/>
  <c r="AM38" i="1"/>
  <c r="AN38" i="1" s="1"/>
  <c r="AL38" i="1"/>
  <c r="AO38" i="1" s="1"/>
  <c r="AP38" i="1" s="1"/>
  <c r="AG38" i="1" a="1"/>
  <c r="AG38" i="1" s="1"/>
  <c r="AF38" i="1"/>
  <c r="AF38" i="1" a="1"/>
  <c r="AD38" i="1"/>
  <c r="AE38" i="1" s="1"/>
  <c r="W38" i="1"/>
  <c r="V38" i="1"/>
  <c r="R38" i="1"/>
  <c r="S38" i="1" s="1"/>
  <c r="A38" i="1"/>
  <c r="AU37" i="1"/>
  <c r="AO37" i="1"/>
  <c r="AP37" i="1" s="1"/>
  <c r="AN37" i="1"/>
  <c r="AM37" i="1"/>
  <c r="AL37" i="1"/>
  <c r="AG37" i="1" a="1"/>
  <c r="AG37" i="1" s="1"/>
  <c r="AF37" i="1"/>
  <c r="AF37" i="1" a="1"/>
  <c r="AD37" i="1"/>
  <c r="AE37" i="1" s="1"/>
  <c r="W37" i="1"/>
  <c r="V37" i="1"/>
  <c r="R37" i="1"/>
  <c r="S37" i="1" s="1"/>
  <c r="A37" i="1"/>
  <c r="AU36" i="1"/>
  <c r="AO36" i="1"/>
  <c r="AP36" i="1" s="1"/>
  <c r="AL36" i="1"/>
  <c r="AM36" i="1" s="1"/>
  <c r="AN36" i="1" s="1"/>
  <c r="AG36" i="1"/>
  <c r="AG36" i="1" a="1"/>
  <c r="AF36" i="1" a="1"/>
  <c r="AF36" i="1" s="1"/>
  <c r="AE36" i="1"/>
  <c r="AD36" i="1"/>
  <c r="V36" i="1"/>
  <c r="W36" i="1" s="1"/>
  <c r="S36" i="1"/>
  <c r="R36" i="1"/>
  <c r="A36" i="1"/>
  <c r="AU35" i="1"/>
  <c r="AL35" i="1"/>
  <c r="AO35" i="1" s="1"/>
  <c r="AP35" i="1" s="1"/>
  <c r="AG35" i="1"/>
  <c r="AJ35" i="1" s="1"/>
  <c r="AK35" i="1" s="1"/>
  <c r="AG35" i="1" a="1"/>
  <c r="AF35" i="1" a="1"/>
  <c r="AF35" i="1" s="1"/>
  <c r="AH35" i="1" s="1"/>
  <c r="AI35" i="1" s="1"/>
  <c r="AE35" i="1"/>
  <c r="AD35" i="1"/>
  <c r="V35" i="1"/>
  <c r="W35" i="1" s="1"/>
  <c r="S35" i="1"/>
  <c r="R35" i="1"/>
  <c r="A35" i="1"/>
  <c r="AU34" i="1"/>
  <c r="AM34" i="1"/>
  <c r="AN34" i="1" s="1"/>
  <c r="AL34" i="1"/>
  <c r="AO34" i="1" s="1"/>
  <c r="AP34" i="1" s="1"/>
  <c r="AG34" i="1" a="1"/>
  <c r="AG34" i="1" s="1"/>
  <c r="AF34" i="1"/>
  <c r="AF34" i="1" a="1"/>
  <c r="AD34" i="1"/>
  <c r="AE34" i="1" s="1"/>
  <c r="W34" i="1"/>
  <c r="V34" i="1"/>
  <c r="R34" i="1"/>
  <c r="S34" i="1" s="1"/>
  <c r="A34" i="1"/>
  <c r="AU33" i="1"/>
  <c r="AO33" i="1"/>
  <c r="AP33" i="1" s="1"/>
  <c r="AN33" i="1"/>
  <c r="AM33" i="1"/>
  <c r="AL33" i="1"/>
  <c r="AG33" i="1" a="1"/>
  <c r="AG33" i="1" s="1"/>
  <c r="AF33" i="1"/>
  <c r="AF33" i="1" a="1"/>
  <c r="AD33" i="1"/>
  <c r="AE33" i="1" s="1"/>
  <c r="W33" i="1"/>
  <c r="V33" i="1"/>
  <c r="R33" i="1"/>
  <c r="S33" i="1" s="1"/>
  <c r="A33" i="1"/>
  <c r="AU32" i="1"/>
  <c r="AO32" i="1"/>
  <c r="AP32" i="1" s="1"/>
  <c r="AL32" i="1"/>
  <c r="AM32" i="1" s="1"/>
  <c r="AN32" i="1" s="1"/>
  <c r="AG32" i="1"/>
  <c r="AG32" i="1" a="1"/>
  <c r="AF32" i="1" a="1"/>
  <c r="AF32" i="1" s="1"/>
  <c r="AE32" i="1"/>
  <c r="AD32" i="1"/>
  <c r="V32" i="1"/>
  <c r="W32" i="1" s="1"/>
  <c r="S32" i="1"/>
  <c r="R32" i="1"/>
  <c r="A32" i="1"/>
  <c r="AU31" i="1"/>
  <c r="AL31" i="1"/>
  <c r="AO31" i="1" s="1"/>
  <c r="AP31" i="1" s="1"/>
  <c r="AG31" i="1"/>
  <c r="AJ31" i="1" s="1"/>
  <c r="AK31" i="1" s="1"/>
  <c r="AG31" i="1" a="1"/>
  <c r="AF31" i="1" a="1"/>
  <c r="AF31" i="1" s="1"/>
  <c r="AH31" i="1" s="1"/>
  <c r="AI31" i="1" s="1"/>
  <c r="AE31" i="1"/>
  <c r="AD31" i="1"/>
  <c r="V31" i="1"/>
  <c r="W31" i="1" s="1"/>
  <c r="S31" i="1"/>
  <c r="R31" i="1"/>
  <c r="A31" i="1"/>
  <c r="AU30" i="1"/>
  <c r="AM30" i="1"/>
  <c r="AN30" i="1" s="1"/>
  <c r="AL30" i="1"/>
  <c r="AO30" i="1" s="1"/>
  <c r="AP30" i="1" s="1"/>
  <c r="AG30" i="1" a="1"/>
  <c r="AG30" i="1" s="1"/>
  <c r="AF30" i="1"/>
  <c r="AF30" i="1" a="1"/>
  <c r="AD30" i="1"/>
  <c r="AE30" i="1" s="1"/>
  <c r="W30" i="1"/>
  <c r="V30" i="1"/>
  <c r="R30" i="1"/>
  <c r="S30" i="1" s="1"/>
  <c r="A30" i="1"/>
  <c r="AU29" i="1"/>
  <c r="AO29" i="1"/>
  <c r="AP29" i="1" s="1"/>
  <c r="AN29" i="1"/>
  <c r="AM29" i="1"/>
  <c r="AL29" i="1"/>
  <c r="AG29" i="1" a="1"/>
  <c r="AG29" i="1" s="1"/>
  <c r="AF29" i="1"/>
  <c r="AF29" i="1" a="1"/>
  <c r="AD29" i="1"/>
  <c r="AE29" i="1" s="1"/>
  <c r="W29" i="1"/>
  <c r="V29" i="1"/>
  <c r="R29" i="1"/>
  <c r="S29" i="1" s="1"/>
  <c r="A29" i="1"/>
  <c r="AU28" i="1"/>
  <c r="AO28" i="1"/>
  <c r="AP28" i="1" s="1"/>
  <c r="AN28" i="1"/>
  <c r="AM28" i="1"/>
  <c r="AL28" i="1"/>
  <c r="AG28" i="1"/>
  <c r="AG28" i="1" a="1"/>
  <c r="AF28" i="1" a="1"/>
  <c r="AF28" i="1" s="1"/>
  <c r="AE28" i="1"/>
  <c r="AD28" i="1"/>
  <c r="V28" i="1"/>
  <c r="W28" i="1" s="1"/>
  <c r="S28" i="1"/>
  <c r="R28" i="1"/>
  <c r="A28" i="1"/>
  <c r="AU27" i="1"/>
  <c r="AL27" i="1"/>
  <c r="AO27" i="1" s="1"/>
  <c r="AP27" i="1" s="1"/>
  <c r="AG27" i="1"/>
  <c r="AG27" i="1" a="1"/>
  <c r="AF27" i="1" a="1"/>
  <c r="AF27" i="1" s="1"/>
  <c r="AH27" i="1" s="1"/>
  <c r="AI27" i="1" s="1"/>
  <c r="AE27" i="1"/>
  <c r="AD27" i="1"/>
  <c r="V27" i="1"/>
  <c r="W27" i="1" s="1"/>
  <c r="S27" i="1"/>
  <c r="R27" i="1"/>
  <c r="A27" i="1"/>
  <c r="AU26" i="1"/>
  <c r="AM26" i="1"/>
  <c r="AN26" i="1" s="1"/>
  <c r="AL26" i="1"/>
  <c r="AO26" i="1" s="1"/>
  <c r="AP26" i="1" s="1"/>
  <c r="AG26" i="1" a="1"/>
  <c r="AG26" i="1" s="1"/>
  <c r="AF26" i="1"/>
  <c r="AF26" i="1" a="1"/>
  <c r="AD26" i="1"/>
  <c r="AE26" i="1" s="1"/>
  <c r="W26" i="1"/>
  <c r="V26" i="1"/>
  <c r="R26" i="1"/>
  <c r="S26" i="1" s="1"/>
  <c r="A26" i="1"/>
  <c r="AU25" i="1"/>
  <c r="AO25" i="1"/>
  <c r="AP25" i="1" s="1"/>
  <c r="AN25" i="1"/>
  <c r="AM25" i="1"/>
  <c r="AL25" i="1"/>
  <c r="AG25" i="1" a="1"/>
  <c r="AG25" i="1" s="1"/>
  <c r="AF25" i="1"/>
  <c r="AF25" i="1" a="1"/>
  <c r="AD25" i="1"/>
  <c r="AE25" i="1" s="1"/>
  <c r="W25" i="1"/>
  <c r="V25" i="1"/>
  <c r="R25" i="1"/>
  <c r="S25" i="1" s="1"/>
  <c r="A25" i="1"/>
  <c r="AU24" i="1"/>
  <c r="AO24" i="1"/>
  <c r="AP24" i="1" s="1"/>
  <c r="AN24" i="1"/>
  <c r="AM24" i="1"/>
  <c r="AL24" i="1"/>
  <c r="AG24" i="1"/>
  <c r="AJ24" i="1" s="1"/>
  <c r="AK24" i="1" s="1"/>
  <c r="AG24" i="1" a="1"/>
  <c r="AF24" i="1" a="1"/>
  <c r="AF24" i="1" s="1"/>
  <c r="AE24" i="1"/>
  <c r="AD24" i="1"/>
  <c r="V24" i="1"/>
  <c r="W24" i="1" s="1"/>
  <c r="S24" i="1"/>
  <c r="R24" i="1"/>
  <c r="A24" i="1"/>
  <c r="AU23" i="1"/>
  <c r="AL23" i="1"/>
  <c r="AO23" i="1" s="1"/>
  <c r="AP23" i="1" s="1"/>
  <c r="AG23" i="1"/>
  <c r="AG23" i="1" a="1"/>
  <c r="AF23" i="1" a="1"/>
  <c r="AF23" i="1" s="1"/>
  <c r="AH23" i="1" s="1"/>
  <c r="AI23" i="1" s="1"/>
  <c r="AE23" i="1"/>
  <c r="AD23" i="1"/>
  <c r="V23" i="1"/>
  <c r="W23" i="1" s="1"/>
  <c r="S23" i="1"/>
  <c r="R23" i="1"/>
  <c r="A23" i="1"/>
  <c r="AU22" i="1"/>
  <c r="AM22" i="1"/>
  <c r="AN22" i="1" s="1"/>
  <c r="AL22" i="1"/>
  <c r="AO22" i="1" s="1"/>
  <c r="AP22" i="1" s="1"/>
  <c r="AG22" i="1" a="1"/>
  <c r="AG22" i="1" s="1"/>
  <c r="AF22" i="1"/>
  <c r="AF22" i="1" a="1"/>
  <c r="AD22" i="1"/>
  <c r="AE22" i="1" s="1"/>
  <c r="W22" i="1"/>
  <c r="V22" i="1"/>
  <c r="R22" i="1"/>
  <c r="S22" i="1" s="1"/>
  <c r="A22" i="1"/>
  <c r="AU21" i="1"/>
  <c r="AO21" i="1"/>
  <c r="AP21" i="1" s="1"/>
  <c r="AN21" i="1"/>
  <c r="AM21" i="1"/>
  <c r="AL21" i="1"/>
  <c r="AG21" i="1" a="1"/>
  <c r="AG21" i="1" s="1"/>
  <c r="AF21" i="1"/>
  <c r="AF21" i="1" a="1"/>
  <c r="AD21" i="1"/>
  <c r="AE21" i="1" s="1"/>
  <c r="W21" i="1"/>
  <c r="V21" i="1"/>
  <c r="R21" i="1"/>
  <c r="S21" i="1" s="1"/>
  <c r="A21" i="1"/>
  <c r="AU20" i="1"/>
  <c r="AO20" i="1"/>
  <c r="AP20" i="1" s="1"/>
  <c r="AN20" i="1"/>
  <c r="AM20" i="1"/>
  <c r="AL20" i="1"/>
  <c r="AG20" i="1"/>
  <c r="AJ20" i="1" s="1"/>
  <c r="AK20" i="1" s="1"/>
  <c r="AG20" i="1" a="1"/>
  <c r="AF20" i="1" a="1"/>
  <c r="AF20" i="1" s="1"/>
  <c r="AE20" i="1"/>
  <c r="AD20" i="1"/>
  <c r="V20" i="1"/>
  <c r="W20" i="1" s="1"/>
  <c r="S20" i="1"/>
  <c r="R20" i="1"/>
  <c r="A20" i="1"/>
  <c r="AU19" i="1"/>
  <c r="AL19" i="1"/>
  <c r="AO19" i="1" s="1"/>
  <c r="AP19" i="1" s="1"/>
  <c r="AG19" i="1"/>
  <c r="AJ19" i="1" s="1"/>
  <c r="AK19" i="1" s="1"/>
  <c r="AG19" i="1" a="1"/>
  <c r="AF19" i="1" a="1"/>
  <c r="AF19" i="1" s="1"/>
  <c r="AH19" i="1" s="1"/>
  <c r="AI19" i="1" s="1"/>
  <c r="AE19" i="1"/>
  <c r="AD19" i="1"/>
  <c r="V19" i="1"/>
  <c r="W19" i="1" s="1"/>
  <c r="S19" i="1"/>
  <c r="R19" i="1"/>
  <c r="A19" i="1"/>
  <c r="AU18" i="1"/>
  <c r="AM18" i="1"/>
  <c r="AN18" i="1" s="1"/>
  <c r="AL18" i="1"/>
  <c r="AO18" i="1" s="1"/>
  <c r="AP18" i="1" s="1"/>
  <c r="AG18" i="1" a="1"/>
  <c r="AG18" i="1" s="1"/>
  <c r="AF18" i="1"/>
  <c r="AF18" i="1" a="1"/>
  <c r="AD18" i="1"/>
  <c r="AE18" i="1" s="1"/>
  <c r="W18" i="1"/>
  <c r="V18" i="1"/>
  <c r="R18" i="1"/>
  <c r="S18" i="1" s="1"/>
  <c r="A18" i="1"/>
  <c r="AU17" i="1"/>
  <c r="AN17" i="1"/>
  <c r="AM17" i="1"/>
  <c r="AL17" i="1"/>
  <c r="AO17" i="1" s="1"/>
  <c r="AP17" i="1" s="1"/>
  <c r="AG17" i="1" a="1"/>
  <c r="AG17" i="1" s="1"/>
  <c r="AF17" i="1"/>
  <c r="AF17" i="1" a="1"/>
  <c r="AD17" i="1"/>
  <c r="AE17" i="1" s="1"/>
  <c r="W17" i="1"/>
  <c r="V17" i="1"/>
  <c r="R17" i="1"/>
  <c r="S17" i="1" s="1"/>
  <c r="A17" i="1"/>
  <c r="AU16" i="1"/>
  <c r="AO16" i="1"/>
  <c r="AP16" i="1" s="1"/>
  <c r="AN16" i="1"/>
  <c r="AM16" i="1"/>
  <c r="AL16" i="1"/>
  <c r="AG16" i="1"/>
  <c r="AJ16" i="1" s="1"/>
  <c r="AK16" i="1" s="1"/>
  <c r="AG16" i="1" a="1"/>
  <c r="AF16" i="1"/>
  <c r="AF16" i="1" a="1"/>
  <c r="AE16" i="1"/>
  <c r="AD16" i="1"/>
  <c r="V16" i="1"/>
  <c r="W16" i="1" s="1"/>
  <c r="S16" i="1"/>
  <c r="R16" i="1"/>
  <c r="A16" i="1"/>
  <c r="AU15" i="1"/>
  <c r="AL15" i="1"/>
  <c r="AO15" i="1" s="1"/>
  <c r="AP15" i="1" s="1"/>
  <c r="AG15" i="1"/>
  <c r="AJ15" i="1" s="1"/>
  <c r="AK15" i="1" s="1"/>
  <c r="AG15" i="1" a="1"/>
  <c r="AF15" i="1" a="1"/>
  <c r="AF15" i="1" s="1"/>
  <c r="AH15" i="1" s="1"/>
  <c r="AI15" i="1" s="1"/>
  <c r="AE15" i="1"/>
  <c r="AD15" i="1"/>
  <c r="V15" i="1"/>
  <c r="W15" i="1" s="1"/>
  <c r="S15" i="1"/>
  <c r="R15" i="1"/>
  <c r="A15" i="1"/>
  <c r="AU14" i="1"/>
  <c r="AM14" i="1"/>
  <c r="AN14" i="1" s="1"/>
  <c r="AL14" i="1"/>
  <c r="AO14" i="1" s="1"/>
  <c r="AP14" i="1" s="1"/>
  <c r="AG14" i="1" a="1"/>
  <c r="AG14" i="1" s="1"/>
  <c r="AF14" i="1"/>
  <c r="AF14" i="1" a="1"/>
  <c r="AD14" i="1"/>
  <c r="AE14" i="1" s="1"/>
  <c r="W14" i="1"/>
  <c r="V14" i="1"/>
  <c r="R14" i="1"/>
  <c r="S14" i="1" s="1"/>
  <c r="A14" i="1"/>
  <c r="AU13" i="1"/>
  <c r="AO13" i="1"/>
  <c r="AP13" i="1" s="1"/>
  <c r="AN13" i="1"/>
  <c r="AM13" i="1"/>
  <c r="AL13" i="1"/>
  <c r="AG13" i="1" a="1"/>
  <c r="AG13" i="1" s="1"/>
  <c r="AF13" i="1"/>
  <c r="AF13" i="1" a="1"/>
  <c r="AD13" i="1"/>
  <c r="AE13" i="1" s="1"/>
  <c r="W13" i="1"/>
  <c r="V13" i="1"/>
  <c r="R13" i="1"/>
  <c r="S13" i="1" s="1"/>
  <c r="A13" i="1"/>
  <c r="AU12" i="1"/>
  <c r="AO12" i="1"/>
  <c r="AP12" i="1" s="1"/>
  <c r="AN12" i="1"/>
  <c r="AM12" i="1"/>
  <c r="AL12" i="1"/>
  <c r="AG12" i="1"/>
  <c r="AG12" i="1" a="1"/>
  <c r="AF12" i="1" a="1"/>
  <c r="AF12" i="1" s="1"/>
  <c r="AE12" i="1"/>
  <c r="AD12" i="1"/>
  <c r="V12" i="1"/>
  <c r="W12" i="1" s="1"/>
  <c r="S12" i="1"/>
  <c r="R12" i="1"/>
  <c r="A12" i="1"/>
  <c r="AU11" i="1"/>
  <c r="AL11" i="1"/>
  <c r="AO11" i="1" s="1"/>
  <c r="AP11" i="1" s="1"/>
  <c r="AG11" i="1"/>
  <c r="AG11" i="1" a="1"/>
  <c r="AF11" i="1" a="1"/>
  <c r="AF11" i="1" s="1"/>
  <c r="AH11" i="1" s="1"/>
  <c r="AI11" i="1" s="1"/>
  <c r="AE11" i="1"/>
  <c r="AD11" i="1"/>
  <c r="V11" i="1"/>
  <c r="W11" i="1" s="1"/>
  <c r="S11" i="1"/>
  <c r="R11" i="1"/>
  <c r="A11" i="1"/>
  <c r="AU10" i="1"/>
  <c r="AM10" i="1"/>
  <c r="AN10" i="1" s="1"/>
  <c r="AL10" i="1"/>
  <c r="AO10" i="1" s="1"/>
  <c r="AP10" i="1" s="1"/>
  <c r="AG10" i="1" a="1"/>
  <c r="AG10" i="1" s="1"/>
  <c r="AF10" i="1" a="1"/>
  <c r="AF10" i="1" s="1"/>
  <c r="AD10" i="1"/>
  <c r="AE10" i="1" s="1"/>
  <c r="V10" i="1"/>
  <c r="W10" i="1" s="1"/>
  <c r="R10" i="1"/>
  <c r="S10" i="1" s="1"/>
  <c r="A10" i="1"/>
  <c r="AU9" i="1"/>
  <c r="AO9" i="1"/>
  <c r="AP9" i="1" s="1"/>
  <c r="AM9" i="1"/>
  <c r="AN9" i="1" s="1"/>
  <c r="AL9" i="1"/>
  <c r="AG9" i="1" a="1"/>
  <c r="AG9" i="1" s="1"/>
  <c r="AF9" i="1"/>
  <c r="AF9" i="1" a="1"/>
  <c r="AD9" i="1"/>
  <c r="AE9" i="1" s="1"/>
  <c r="W9" i="1"/>
  <c r="V9" i="1"/>
  <c r="R9" i="1"/>
  <c r="S9" i="1" s="1"/>
  <c r="A9" i="1"/>
  <c r="AU8" i="1"/>
  <c r="AO8" i="1"/>
  <c r="AP8" i="1" s="1"/>
  <c r="AN8" i="1"/>
  <c r="AM8" i="1"/>
  <c r="AL8" i="1"/>
  <c r="AJ8" i="1"/>
  <c r="AK8" i="1" s="1"/>
  <c r="AG8" i="1" a="1"/>
  <c r="AG8" i="1" s="1"/>
  <c r="AH8" i="1" s="1"/>
  <c r="AI8" i="1" s="1"/>
  <c r="AF8" i="1"/>
  <c r="AF8" i="1" a="1"/>
  <c r="AD8" i="1"/>
  <c r="AE8" i="1" s="1"/>
  <c r="W8" i="1"/>
  <c r="V8" i="1"/>
  <c r="R8" i="1"/>
  <c r="S8" i="1" s="1"/>
  <c r="A8" i="1"/>
  <c r="AU7" i="1"/>
  <c r="AL7" i="1"/>
  <c r="AM7" i="1" s="1"/>
  <c r="AN7" i="1" s="1"/>
  <c r="AH7" i="1"/>
  <c r="AI7" i="1" s="1"/>
  <c r="AG7" i="1"/>
  <c r="AG7" i="1" a="1"/>
  <c r="AF7" i="1" a="1"/>
  <c r="AF7" i="1" s="1"/>
  <c r="AE7" i="1"/>
  <c r="AD7" i="1"/>
  <c r="V7" i="1"/>
  <c r="W7" i="1" s="1"/>
  <c r="S7" i="1"/>
  <c r="R7" i="1"/>
  <c r="A7" i="1"/>
  <c r="AU6" i="1"/>
  <c r="AP6" i="1"/>
  <c r="AM6" i="1"/>
  <c r="AN6" i="1" s="1"/>
  <c r="AL6" i="1"/>
  <c r="AO6" i="1" s="1"/>
  <c r="AG6" i="1"/>
  <c r="AG6" i="1" a="1"/>
  <c r="AF6" i="1" a="1"/>
  <c r="AF6" i="1" s="1"/>
  <c r="AH6" i="1" s="1"/>
  <c r="AI6" i="1" s="1"/>
  <c r="AE6" i="1"/>
  <c r="AD6" i="1"/>
  <c r="V6" i="1"/>
  <c r="W6" i="1" s="1"/>
  <c r="S6" i="1"/>
  <c r="R6" i="1"/>
  <c r="A6" i="1"/>
  <c r="AU5" i="1"/>
  <c r="AN5" i="1"/>
  <c r="AM5" i="1"/>
  <c r="AL5" i="1"/>
  <c r="AO5" i="1" s="1"/>
  <c r="AP5" i="1" s="1"/>
  <c r="AJ5" i="1"/>
  <c r="AK5" i="1" s="1"/>
  <c r="AG5" i="1" a="1"/>
  <c r="AG5" i="1" s="1"/>
  <c r="AF5" i="1"/>
  <c r="AF5" i="1" a="1"/>
  <c r="AD5" i="1"/>
  <c r="AE5" i="1" s="1"/>
  <c r="W5" i="1"/>
  <c r="V5" i="1"/>
  <c r="R5" i="1"/>
  <c r="S5" i="1" s="1"/>
  <c r="A5" i="1"/>
  <c r="AU4" i="1"/>
  <c r="AO4" i="1"/>
  <c r="AP4" i="1" s="1"/>
  <c r="AN4" i="1"/>
  <c r="AM4" i="1"/>
  <c r="AL4" i="1"/>
  <c r="AG4" i="1"/>
  <c r="AH4" i="1" s="1"/>
  <c r="AI4" i="1" s="1"/>
  <c r="AG4" i="1" a="1"/>
  <c r="AF4" i="1"/>
  <c r="AF4" i="1" a="1"/>
  <c r="AE4" i="1"/>
  <c r="AD4" i="1"/>
  <c r="W4" i="1"/>
  <c r="V4" i="1"/>
  <c r="S4" i="1"/>
  <c r="R4" i="1"/>
  <c r="A4" i="1"/>
  <c r="H2" i="4" l="1"/>
  <c r="K2" i="4" s="1"/>
  <c r="M30" i="4"/>
  <c r="H60" i="4"/>
  <c r="K60" i="4" s="1"/>
  <c r="AN66" i="2"/>
  <c r="AS66" i="2"/>
  <c r="AM69" i="2"/>
  <c r="AN72" i="2"/>
  <c r="AS72" i="2"/>
  <c r="AN76" i="2"/>
  <c r="AS76" i="2"/>
  <c r="AM79" i="2"/>
  <c r="AS85" i="2"/>
  <c r="AN94" i="2"/>
  <c r="AN108" i="2"/>
  <c r="AS4" i="2"/>
  <c r="AS5" i="2"/>
  <c r="AS6" i="2"/>
  <c r="AS7" i="2"/>
  <c r="AS8" i="2"/>
  <c r="AM9" i="2"/>
  <c r="AM10" i="2"/>
  <c r="AM11" i="2"/>
  <c r="AM12" i="2"/>
  <c r="AS13" i="2"/>
  <c r="AS14" i="2"/>
  <c r="AS15" i="2"/>
  <c r="AS16" i="2"/>
  <c r="AS17" i="2"/>
  <c r="AS18" i="2"/>
  <c r="AS19" i="2"/>
  <c r="AS20" i="2"/>
  <c r="AS21" i="2"/>
  <c r="AS22" i="2"/>
  <c r="AM23" i="2"/>
  <c r="AM24" i="2"/>
  <c r="AS25" i="2"/>
  <c r="AS26" i="2"/>
  <c r="AM27" i="2"/>
  <c r="AM28" i="2"/>
  <c r="AS29" i="2"/>
  <c r="AS30" i="2"/>
  <c r="AM31" i="2"/>
  <c r="AM32" i="2"/>
  <c r="AM33" i="2"/>
  <c r="AM34" i="2"/>
  <c r="AM35" i="2"/>
  <c r="AM36" i="2"/>
  <c r="AM37" i="2"/>
  <c r="AM38" i="2"/>
  <c r="AM39" i="2"/>
  <c r="AM40" i="2"/>
  <c r="AS41" i="2"/>
  <c r="AS42" i="2"/>
  <c r="AS43" i="2"/>
  <c r="AS44" i="2"/>
  <c r="AS45" i="2"/>
  <c r="AS46" i="2"/>
  <c r="AN47" i="2"/>
  <c r="AN48" i="2"/>
  <c r="AM49" i="2"/>
  <c r="AM50" i="2"/>
  <c r="AT51" i="2"/>
  <c r="AU51" i="2" s="1"/>
  <c r="BB51" i="2"/>
  <c r="AT52" i="2"/>
  <c r="AU52" i="2" s="1"/>
  <c r="BB52" i="2"/>
  <c r="AT53" i="2"/>
  <c r="AU53" i="2" s="1"/>
  <c r="BB53" i="2"/>
  <c r="AT54" i="2"/>
  <c r="AU54" i="2" s="1"/>
  <c r="BB54" i="2"/>
  <c r="AN55" i="2"/>
  <c r="AS55" i="2"/>
  <c r="BB55" i="2"/>
  <c r="AT56" i="2"/>
  <c r="AU56" i="2" s="1"/>
  <c r="AN57" i="2"/>
  <c r="AS57" i="2"/>
  <c r="AN58" i="2"/>
  <c r="AS58" i="2"/>
  <c r="AN59" i="2"/>
  <c r="AS59" i="2"/>
  <c r="AN60" i="2"/>
  <c r="AS60" i="2"/>
  <c r="AN63" i="2"/>
  <c r="AS63" i="2"/>
  <c r="AN67" i="2"/>
  <c r="AS67" i="2"/>
  <c r="AN69" i="2"/>
  <c r="AM70" i="2"/>
  <c r="AN73" i="2"/>
  <c r="AS73" i="2"/>
  <c r="AN77" i="2"/>
  <c r="AS77" i="2"/>
  <c r="AN79" i="2"/>
  <c r="AM80" i="2"/>
  <c r="AN88" i="2"/>
  <c r="AN96" i="2"/>
  <c r="AN98" i="2"/>
  <c r="AN100" i="2"/>
  <c r="AN110" i="2"/>
  <c r="AN112" i="2"/>
  <c r="AN114" i="2"/>
  <c r="AN9" i="2"/>
  <c r="AN23" i="2"/>
  <c r="AN24" i="2"/>
  <c r="AN27" i="2"/>
  <c r="AN28" i="2"/>
  <c r="AN32" i="2"/>
  <c r="AN34" i="2"/>
  <c r="AN37" i="2"/>
  <c r="AN38" i="2"/>
  <c r="AN40" i="2"/>
  <c r="BB46" i="2"/>
  <c r="AS47" i="2"/>
  <c r="AS48" i="2"/>
  <c r="AN49" i="2"/>
  <c r="AN50" i="2"/>
  <c r="AM51" i="2"/>
  <c r="AM52" i="2"/>
  <c r="AM53" i="2"/>
  <c r="AM54" i="2"/>
  <c r="AM61" i="2"/>
  <c r="AN64" i="2"/>
  <c r="AS64" i="2"/>
  <c r="AN68" i="2"/>
  <c r="AS68" i="2"/>
  <c r="AN70" i="2"/>
  <c r="AN74" i="2"/>
  <c r="AS74" i="2"/>
  <c r="AN78" i="2"/>
  <c r="AS78" i="2"/>
  <c r="AN80" i="2"/>
  <c r="AM82" i="2"/>
  <c r="AS82" i="2"/>
  <c r="AN85" i="2"/>
  <c r="AN90" i="2"/>
  <c r="AN102" i="2"/>
  <c r="AN104" i="2"/>
  <c r="BB233" i="2"/>
  <c r="BB232" i="2"/>
  <c r="BB231" i="2"/>
  <c r="AN230" i="2"/>
  <c r="AN229" i="2"/>
  <c r="AN228" i="2"/>
  <c r="AN227" i="2"/>
  <c r="AN226" i="2"/>
  <c r="AN225" i="2"/>
  <c r="AN224" i="2"/>
  <c r="AN223" i="2"/>
  <c r="AN222" i="2"/>
  <c r="AN221" i="2"/>
  <c r="AS235" i="2"/>
  <c r="AS234" i="2"/>
  <c r="AS233" i="2"/>
  <c r="AS232" i="2"/>
  <c r="AS231" i="2"/>
  <c r="AM230" i="2"/>
  <c r="AM229" i="2"/>
  <c r="AM228" i="2"/>
  <c r="AM227" i="2"/>
  <c r="AM226" i="2"/>
  <c r="AM225" i="2"/>
  <c r="AM224" i="2"/>
  <c r="AM223" i="2"/>
  <c r="AM222" i="2"/>
  <c r="AM221" i="2"/>
  <c r="AM220" i="2"/>
  <c r="AM219" i="2"/>
  <c r="AS218" i="2"/>
  <c r="AS217" i="2"/>
  <c r="AS216" i="2"/>
  <c r="AS215" i="2"/>
  <c r="AS214" i="2"/>
  <c r="AS213" i="2"/>
  <c r="AS212" i="2"/>
  <c r="AS211" i="2"/>
  <c r="AS210" i="2"/>
  <c r="AN235" i="2"/>
  <c r="AN234" i="2"/>
  <c r="AN233" i="2"/>
  <c r="AN232" i="2"/>
  <c r="AN231" i="2"/>
  <c r="BB230" i="2"/>
  <c r="BB227" i="2"/>
  <c r="BB226" i="2"/>
  <c r="AM235" i="2"/>
  <c r="AM234" i="2"/>
  <c r="AM233" i="2"/>
  <c r="AM232" i="2"/>
  <c r="AM231" i="2"/>
  <c r="AS230" i="2"/>
  <c r="AS229" i="2"/>
  <c r="AS228" i="2"/>
  <c r="AS227" i="2"/>
  <c r="AS226" i="2"/>
  <c r="AS225" i="2"/>
  <c r="AS224" i="2"/>
  <c r="AS223" i="2"/>
  <c r="AS222" i="2"/>
  <c r="AS221" i="2"/>
  <c r="AS220" i="2"/>
  <c r="AS219" i="2"/>
  <c r="AM218" i="2"/>
  <c r="AM217" i="2"/>
  <c r="AM216" i="2"/>
  <c r="AM215" i="2"/>
  <c r="AM214" i="2"/>
  <c r="AM213" i="2"/>
  <c r="AM212" i="2"/>
  <c r="AM211" i="2"/>
  <c r="AM210" i="2"/>
  <c r="AM209" i="2"/>
  <c r="AN218" i="2"/>
  <c r="AN216" i="2"/>
  <c r="AN214" i="2"/>
  <c r="AN212" i="2"/>
  <c r="AN210" i="2"/>
  <c r="AN204" i="2"/>
  <c r="AN203" i="2"/>
  <c r="AN202" i="2"/>
  <c r="AN201" i="2"/>
  <c r="AN200" i="2"/>
  <c r="AN199" i="2"/>
  <c r="AN198" i="2"/>
  <c r="AN197" i="2"/>
  <c r="AN196" i="2"/>
  <c r="AN195" i="2"/>
  <c r="AM194" i="2"/>
  <c r="BB215" i="2"/>
  <c r="AN217" i="2"/>
  <c r="AN215" i="2"/>
  <c r="AN213" i="2"/>
  <c r="AN211" i="2"/>
  <c r="AS208" i="2"/>
  <c r="AN208" i="2"/>
  <c r="AN207" i="2"/>
  <c r="AN206" i="2"/>
  <c r="AN205" i="2"/>
  <c r="AN220" i="2"/>
  <c r="AN219" i="2"/>
  <c r="AN209" i="2"/>
  <c r="AM208" i="2"/>
  <c r="AS207" i="2"/>
  <c r="AM202" i="2"/>
  <c r="AS201" i="2"/>
  <c r="AM198" i="2"/>
  <c r="AS194" i="2"/>
  <c r="AN194" i="2"/>
  <c r="AM193" i="2"/>
  <c r="AN186" i="2"/>
  <c r="AN185" i="2"/>
  <c r="AM205" i="2"/>
  <c r="AM203" i="2"/>
  <c r="AS202" i="2"/>
  <c r="AM199" i="2"/>
  <c r="AS198" i="2"/>
  <c r="AS195" i="2"/>
  <c r="AM195" i="2"/>
  <c r="AS192" i="2"/>
  <c r="AS191" i="2"/>
  <c r="AS190" i="2"/>
  <c r="AS189" i="2"/>
  <c r="AS188" i="2"/>
  <c r="AS187" i="2"/>
  <c r="AM186" i="2"/>
  <c r="AM185" i="2"/>
  <c r="AS184" i="2"/>
  <c r="AS183" i="2"/>
  <c r="AM182" i="2"/>
  <c r="AM181" i="2"/>
  <c r="AS180" i="2"/>
  <c r="AS179" i="2"/>
  <c r="AS209" i="2"/>
  <c r="AM206" i="2"/>
  <c r="AS205" i="2"/>
  <c r="AM204" i="2"/>
  <c r="AS203" i="2"/>
  <c r="AM200" i="2"/>
  <c r="AS199" i="2"/>
  <c r="AS196" i="2"/>
  <c r="AM196" i="2"/>
  <c r="AS193" i="2"/>
  <c r="AN192" i="2"/>
  <c r="AN191" i="2"/>
  <c r="AN190" i="2"/>
  <c r="AN189" i="2"/>
  <c r="AN188" i="2"/>
  <c r="AN187" i="2"/>
  <c r="AM207" i="2"/>
  <c r="AS206" i="2"/>
  <c r="AS204" i="2"/>
  <c r="AM201" i="2"/>
  <c r="AS200" i="2"/>
  <c r="AS197" i="2"/>
  <c r="AM197" i="2"/>
  <c r="AN193" i="2"/>
  <c r="AM192" i="2"/>
  <c r="AM191" i="2"/>
  <c r="AM190" i="2"/>
  <c r="AM189" i="2"/>
  <c r="AM188" i="2"/>
  <c r="AM187" i="2"/>
  <c r="AS186" i="2"/>
  <c r="AS185" i="2"/>
  <c r="AM184" i="2"/>
  <c r="AM183" i="2"/>
  <c r="AS182" i="2"/>
  <c r="AS181" i="2"/>
  <c r="AM180" i="2"/>
  <c r="AM179" i="2"/>
  <c r="AM178" i="2"/>
  <c r="AM177" i="2"/>
  <c r="AN174" i="2"/>
  <c r="AN173" i="2"/>
  <c r="AN172" i="2"/>
  <c r="AN171" i="2"/>
  <c r="AN183" i="2"/>
  <c r="AN181" i="2"/>
  <c r="AN179" i="2"/>
  <c r="AS178" i="2"/>
  <c r="AN178" i="2"/>
  <c r="AS176" i="2"/>
  <c r="AS175" i="2"/>
  <c r="AM174" i="2"/>
  <c r="AM173" i="2"/>
  <c r="AM172" i="2"/>
  <c r="AM171" i="2"/>
  <c r="AS170" i="2"/>
  <c r="AS169" i="2"/>
  <c r="AS167" i="2"/>
  <c r="AM166" i="2"/>
  <c r="AM165" i="2"/>
  <c r="AM164" i="2"/>
  <c r="AM163" i="2"/>
  <c r="AS162" i="2"/>
  <c r="AS161" i="2"/>
  <c r="AS160" i="2"/>
  <c r="AS159" i="2"/>
  <c r="AS177" i="2"/>
  <c r="AN177" i="2"/>
  <c r="AN176" i="2"/>
  <c r="AN175" i="2"/>
  <c r="AN170" i="2"/>
  <c r="AN169" i="2"/>
  <c r="AS168" i="2"/>
  <c r="AN167" i="2"/>
  <c r="BB165" i="2"/>
  <c r="AN162" i="2"/>
  <c r="AM176" i="2"/>
  <c r="AS174" i="2"/>
  <c r="AS172" i="2"/>
  <c r="AS163" i="2"/>
  <c r="AM161" i="2"/>
  <c r="AN160" i="2"/>
  <c r="AS158" i="2"/>
  <c r="AS157" i="2"/>
  <c r="AM156" i="2"/>
  <c r="AM155" i="2"/>
  <c r="AS154" i="2"/>
  <c r="AS153" i="2"/>
  <c r="AM152" i="2"/>
  <c r="AM151" i="2"/>
  <c r="AM150" i="2"/>
  <c r="AM149" i="2"/>
  <c r="AM148" i="2"/>
  <c r="AM147" i="2"/>
  <c r="AS146" i="2"/>
  <c r="AS145" i="2"/>
  <c r="AM144" i="2"/>
  <c r="AM143" i="2"/>
  <c r="AM142" i="2"/>
  <c r="AM141" i="2"/>
  <c r="AM140" i="2"/>
  <c r="AM139" i="2"/>
  <c r="AM138" i="2"/>
  <c r="AM137" i="2"/>
  <c r="AS136" i="2"/>
  <c r="AS135" i="2"/>
  <c r="AS134" i="2"/>
  <c r="AS133" i="2"/>
  <c r="AS132" i="2"/>
  <c r="AS131" i="2"/>
  <c r="AS130" i="2"/>
  <c r="AS129" i="2"/>
  <c r="AN120" i="2"/>
  <c r="AN119" i="2"/>
  <c r="AM170" i="2"/>
  <c r="AN166" i="2"/>
  <c r="AN165" i="2"/>
  <c r="AM160" i="2"/>
  <c r="AN159" i="2"/>
  <c r="AN158" i="2"/>
  <c r="AN157" i="2"/>
  <c r="AN154" i="2"/>
  <c r="AN153" i="2"/>
  <c r="AN146" i="2"/>
  <c r="AN145" i="2"/>
  <c r="AN136" i="2"/>
  <c r="AM175" i="2"/>
  <c r="AS173" i="2"/>
  <c r="AS171" i="2"/>
  <c r="AN168" i="2"/>
  <c r="AM167" i="2"/>
  <c r="AS166" i="2"/>
  <c r="AS165" i="2"/>
  <c r="AN164" i="2"/>
  <c r="AM159" i="2"/>
  <c r="AM158" i="2"/>
  <c r="AM157" i="2"/>
  <c r="AS156" i="2"/>
  <c r="AS155" i="2"/>
  <c r="AM154" i="2"/>
  <c r="AM153" i="2"/>
  <c r="AS152" i="2"/>
  <c r="AS151" i="2"/>
  <c r="AS150" i="2"/>
  <c r="AS149" i="2"/>
  <c r="AS148" i="2"/>
  <c r="AS147" i="2"/>
  <c r="AM146" i="2"/>
  <c r="AM145" i="2"/>
  <c r="AS144" i="2"/>
  <c r="AS143" i="2"/>
  <c r="AS142" i="2"/>
  <c r="AS141" i="2"/>
  <c r="AS140" i="2"/>
  <c r="AS139" i="2"/>
  <c r="AS138" i="2"/>
  <c r="AS137" i="2"/>
  <c r="AM136" i="2"/>
  <c r="AM135" i="2"/>
  <c r="AM134" i="2"/>
  <c r="AM133" i="2"/>
  <c r="AM132" i="2"/>
  <c r="AM131" i="2"/>
  <c r="AM130" i="2"/>
  <c r="AM129" i="2"/>
  <c r="AN128" i="2"/>
  <c r="AN127" i="2"/>
  <c r="AN182" i="2"/>
  <c r="AS164" i="2"/>
  <c r="AN156" i="2"/>
  <c r="AN155" i="2"/>
  <c r="AN134" i="2"/>
  <c r="AN132" i="2"/>
  <c r="AN130" i="2"/>
  <c r="AM126" i="2"/>
  <c r="AM125" i="2"/>
  <c r="AM124" i="2"/>
  <c r="AM123" i="2"/>
  <c r="AM122" i="2"/>
  <c r="AM121" i="2"/>
  <c r="AS120" i="2"/>
  <c r="AM120" i="2"/>
  <c r="AM117" i="2"/>
  <c r="AS116" i="2"/>
  <c r="AS115" i="2"/>
  <c r="AS114" i="2"/>
  <c r="AS113" i="2"/>
  <c r="AM112" i="2"/>
  <c r="AM111" i="2"/>
  <c r="AS110" i="2"/>
  <c r="AS109" i="2"/>
  <c r="AS108" i="2"/>
  <c r="AS107" i="2"/>
  <c r="AS106" i="2"/>
  <c r="AS105" i="2"/>
  <c r="AS104" i="2"/>
  <c r="AS103" i="2"/>
  <c r="AM102" i="2"/>
  <c r="AM101" i="2"/>
  <c r="AM100" i="2"/>
  <c r="AM99" i="2"/>
  <c r="AS98" i="2"/>
  <c r="AS97" i="2"/>
  <c r="AM96" i="2"/>
  <c r="AM95" i="2"/>
  <c r="AM94" i="2"/>
  <c r="AM93" i="2"/>
  <c r="AM92" i="2"/>
  <c r="AM91" i="2"/>
  <c r="AM90" i="2"/>
  <c r="AM89" i="2"/>
  <c r="AM88" i="2"/>
  <c r="AM87" i="2"/>
  <c r="AS86" i="2"/>
  <c r="AN163" i="2"/>
  <c r="AM162" i="2"/>
  <c r="AN152" i="2"/>
  <c r="AN151" i="2"/>
  <c r="AN150" i="2"/>
  <c r="AN149" i="2"/>
  <c r="AN148" i="2"/>
  <c r="AN147" i="2"/>
  <c r="BB131" i="2"/>
  <c r="AM127" i="2"/>
  <c r="AN184" i="2"/>
  <c r="AN180" i="2"/>
  <c r="AN161" i="2"/>
  <c r="AN144" i="2"/>
  <c r="AN143" i="2"/>
  <c r="AN142" i="2"/>
  <c r="AN141" i="2"/>
  <c r="AN140" i="2"/>
  <c r="AN139" i="2"/>
  <c r="AN138" i="2"/>
  <c r="AN137" i="2"/>
  <c r="AN135" i="2"/>
  <c r="AN133" i="2"/>
  <c r="AN131" i="2"/>
  <c r="AN129" i="2"/>
  <c r="AM128" i="2"/>
  <c r="AS127" i="2"/>
  <c r="AM118" i="2"/>
  <c r="AS117" i="2"/>
  <c r="AM116" i="2"/>
  <c r="AO116" i="2" s="1"/>
  <c r="AP116" i="2" s="1"/>
  <c r="AM115" i="2"/>
  <c r="AM114" i="2"/>
  <c r="AM113" i="2"/>
  <c r="AS112" i="2"/>
  <c r="AS111" i="2"/>
  <c r="AM110" i="2"/>
  <c r="AM109" i="2"/>
  <c r="AM108" i="2"/>
  <c r="AM107" i="2"/>
  <c r="AM106" i="2"/>
  <c r="AM105" i="2"/>
  <c r="AM104" i="2"/>
  <c r="AM103" i="2"/>
  <c r="AS102" i="2"/>
  <c r="AS101" i="2"/>
  <c r="AS100" i="2"/>
  <c r="AS99" i="2"/>
  <c r="AM98" i="2"/>
  <c r="AM97" i="2"/>
  <c r="AS96" i="2"/>
  <c r="AS95" i="2"/>
  <c r="AS94" i="2"/>
  <c r="AS93" i="2"/>
  <c r="AS92" i="2"/>
  <c r="AS91" i="2"/>
  <c r="AS90" i="2"/>
  <c r="AS89" i="2"/>
  <c r="AS88" i="2"/>
  <c r="AS87" i="2"/>
  <c r="AM86" i="2"/>
  <c r="AM85" i="2"/>
  <c r="AM84" i="2"/>
  <c r="AM83" i="2"/>
  <c r="AS128" i="2"/>
  <c r="AN123" i="2"/>
  <c r="AS122" i="2"/>
  <c r="AN121" i="2"/>
  <c r="AS119" i="2"/>
  <c r="AS118" i="2"/>
  <c r="AS126" i="2"/>
  <c r="AS125" i="2"/>
  <c r="AS124" i="2"/>
  <c r="AN117" i="2"/>
  <c r="AN115" i="2"/>
  <c r="AN113" i="2"/>
  <c r="AN111" i="2"/>
  <c r="AN109" i="2"/>
  <c r="AN107" i="2"/>
  <c r="AN105" i="2"/>
  <c r="AN103" i="2"/>
  <c r="AN101" i="2"/>
  <c r="AN99" i="2"/>
  <c r="AN97" i="2"/>
  <c r="AN95" i="2"/>
  <c r="AN93" i="2"/>
  <c r="AN91" i="2"/>
  <c r="AN89" i="2"/>
  <c r="AN87" i="2"/>
  <c r="AS84" i="2"/>
  <c r="AN84" i="2"/>
  <c r="AN82" i="2"/>
  <c r="AN81" i="2"/>
  <c r="AS80" i="2"/>
  <c r="AS79" i="2"/>
  <c r="AM78" i="2"/>
  <c r="AM77" i="2"/>
  <c r="AM76" i="2"/>
  <c r="AM75" i="2"/>
  <c r="AM74" i="2"/>
  <c r="AM73" i="2"/>
  <c r="AM72" i="2"/>
  <c r="AM71" i="2"/>
  <c r="AS70" i="2"/>
  <c r="AS69" i="2"/>
  <c r="AM68" i="2"/>
  <c r="AM67" i="2"/>
  <c r="AM66" i="2"/>
  <c r="AM65" i="2"/>
  <c r="AM64" i="2"/>
  <c r="AM63" i="2"/>
  <c r="AS62" i="2"/>
  <c r="AS61" i="2"/>
  <c r="AN56" i="2"/>
  <c r="AN126" i="2"/>
  <c r="AN125" i="2"/>
  <c r="AN124" i="2"/>
  <c r="AS123" i="2"/>
  <c r="AN122" i="2"/>
  <c r="AS121" i="2"/>
  <c r="AM119" i="2"/>
  <c r="AN118" i="2"/>
  <c r="AS83" i="2"/>
  <c r="AN10" i="2"/>
  <c r="AN11" i="2"/>
  <c r="AN12" i="2"/>
  <c r="AN31" i="2"/>
  <c r="AN33" i="2"/>
  <c r="AN35" i="2"/>
  <c r="AN36" i="2"/>
  <c r="AN39" i="2"/>
  <c r="AM4" i="2"/>
  <c r="AQ4" i="2" s="1"/>
  <c r="AR4" i="2" s="1"/>
  <c r="AM5" i="2"/>
  <c r="AQ5" i="2" s="1"/>
  <c r="AR5" i="2" s="1"/>
  <c r="AM6" i="2"/>
  <c r="AO6" i="2" s="1"/>
  <c r="AP6" i="2" s="1"/>
  <c r="AM7" i="2"/>
  <c r="AQ7" i="2" s="1"/>
  <c r="AR7" i="2" s="1"/>
  <c r="AM8" i="2"/>
  <c r="AQ8" i="2" s="1"/>
  <c r="AR8" i="2" s="1"/>
  <c r="AS9" i="2"/>
  <c r="AS10" i="2"/>
  <c r="AS11" i="2"/>
  <c r="AS12" i="2"/>
  <c r="AM13" i="2"/>
  <c r="AQ13" i="2" s="1"/>
  <c r="AR13" i="2" s="1"/>
  <c r="AM14" i="2"/>
  <c r="AQ14" i="2" s="1"/>
  <c r="AR14" i="2" s="1"/>
  <c r="AM15" i="2"/>
  <c r="AQ15" i="2" s="1"/>
  <c r="AR15" i="2" s="1"/>
  <c r="AM16" i="2"/>
  <c r="AQ16" i="2" s="1"/>
  <c r="AR16" i="2" s="1"/>
  <c r="AM17" i="2"/>
  <c r="AQ17" i="2" s="1"/>
  <c r="AR17" i="2" s="1"/>
  <c r="AM18" i="2"/>
  <c r="AQ18" i="2" s="1"/>
  <c r="AR18" i="2" s="1"/>
  <c r="AM19" i="2"/>
  <c r="AQ19" i="2" s="1"/>
  <c r="AR19" i="2" s="1"/>
  <c r="AM20" i="2"/>
  <c r="AQ20" i="2" s="1"/>
  <c r="AR20" i="2" s="1"/>
  <c r="AM21" i="2"/>
  <c r="AQ21" i="2" s="1"/>
  <c r="AR21" i="2" s="1"/>
  <c r="AM22" i="2"/>
  <c r="AQ22" i="2" s="1"/>
  <c r="AR22" i="2" s="1"/>
  <c r="AS23" i="2"/>
  <c r="AS24" i="2"/>
  <c r="AM25" i="2"/>
  <c r="AQ25" i="2" s="1"/>
  <c r="AR25" i="2" s="1"/>
  <c r="AM26" i="2"/>
  <c r="AQ26" i="2" s="1"/>
  <c r="AR26" i="2" s="1"/>
  <c r="AS27" i="2"/>
  <c r="AS28" i="2"/>
  <c r="AM29" i="2"/>
  <c r="AQ29" i="2" s="1"/>
  <c r="AR29" i="2" s="1"/>
  <c r="AM30" i="2"/>
  <c r="AO30" i="2" s="1"/>
  <c r="AP30" i="2" s="1"/>
  <c r="AS31" i="2"/>
  <c r="AS32" i="2"/>
  <c r="AS33" i="2"/>
  <c r="AS34" i="2"/>
  <c r="AS35" i="2"/>
  <c r="AS36" i="2"/>
  <c r="AS37" i="2"/>
  <c r="AS38" i="2"/>
  <c r="AS39" i="2"/>
  <c r="AS40" i="2"/>
  <c r="AM41" i="2"/>
  <c r="AQ41" i="2" s="1"/>
  <c r="AR41" i="2" s="1"/>
  <c r="AM42" i="2"/>
  <c r="AQ42" i="2" s="1"/>
  <c r="AR42" i="2" s="1"/>
  <c r="AM43" i="2"/>
  <c r="AQ43" i="2" s="1"/>
  <c r="AR43" i="2" s="1"/>
  <c r="AM44" i="2"/>
  <c r="AQ44" i="2" s="1"/>
  <c r="AR44" i="2" s="1"/>
  <c r="AM45" i="2"/>
  <c r="AQ45" i="2" s="1"/>
  <c r="AR45" i="2" s="1"/>
  <c r="AM46" i="2"/>
  <c r="AO46" i="2" s="1"/>
  <c r="AP46" i="2" s="1"/>
  <c r="BB47" i="2"/>
  <c r="AS49" i="2"/>
  <c r="AS50" i="2"/>
  <c r="AN51" i="2"/>
  <c r="AN52" i="2"/>
  <c r="AN53" i="2"/>
  <c r="AN54" i="2"/>
  <c r="AN61" i="2"/>
  <c r="AM62" i="2"/>
  <c r="AO62" i="2" s="1"/>
  <c r="AP62" i="2" s="1"/>
  <c r="AN65" i="2"/>
  <c r="AS65" i="2"/>
  <c r="AN71" i="2"/>
  <c r="AS71" i="2"/>
  <c r="AN75" i="2"/>
  <c r="AS75" i="2"/>
  <c r="AM81" i="2"/>
  <c r="AS81" i="2"/>
  <c r="AN83" i="2"/>
  <c r="AN86" i="2"/>
  <c r="AN92" i="2"/>
  <c r="AN106" i="2"/>
  <c r="AJ4" i="1"/>
  <c r="AK4" i="1" s="1"/>
  <c r="AH10" i="1"/>
  <c r="AI10" i="1" s="1"/>
  <c r="AJ10" i="1"/>
  <c r="AK10" i="1" s="1"/>
  <c r="AJ11" i="1"/>
  <c r="AK11" i="1" s="1"/>
  <c r="AH13" i="1"/>
  <c r="AI13" i="1" s="1"/>
  <c r="AJ13" i="1"/>
  <c r="AK13" i="1" s="1"/>
  <c r="AH26" i="1"/>
  <c r="AI26" i="1" s="1"/>
  <c r="AJ26" i="1"/>
  <c r="AK26" i="1" s="1"/>
  <c r="AJ27" i="1"/>
  <c r="AK27" i="1" s="1"/>
  <c r="AH29" i="1"/>
  <c r="AI29" i="1" s="1"/>
  <c r="AJ29" i="1"/>
  <c r="AK29" i="1" s="1"/>
  <c r="AJ32" i="1"/>
  <c r="AK32" i="1" s="1"/>
  <c r="AH34" i="1"/>
  <c r="AI34" i="1" s="1"/>
  <c r="AJ34" i="1"/>
  <c r="AK34" i="1" s="1"/>
  <c r="AH45" i="1"/>
  <c r="AI45" i="1" s="1"/>
  <c r="AJ45" i="1"/>
  <c r="AK45" i="1" s="1"/>
  <c r="AJ48" i="1"/>
  <c r="AK48" i="1" s="1"/>
  <c r="AH50" i="1"/>
  <c r="AI50" i="1" s="1"/>
  <c r="AJ50" i="1"/>
  <c r="AK50" i="1" s="1"/>
  <c r="AH5" i="1"/>
  <c r="AI5" i="1" s="1"/>
  <c r="AJ7" i="1"/>
  <c r="AK7" i="1" s="1"/>
  <c r="AO7" i="1"/>
  <c r="AP7" i="1" s="1"/>
  <c r="AH9" i="1"/>
  <c r="AI9" i="1" s="1"/>
  <c r="AJ9" i="1"/>
  <c r="AK9" i="1" s="1"/>
  <c r="AH14" i="1"/>
  <c r="AI14" i="1" s="1"/>
  <c r="AJ14" i="1"/>
  <c r="AK14" i="1" s="1"/>
  <c r="AH30" i="1"/>
  <c r="AI30" i="1" s="1"/>
  <c r="AJ30" i="1"/>
  <c r="AK30" i="1" s="1"/>
  <c r="AH41" i="1"/>
  <c r="AI41" i="1" s="1"/>
  <c r="AJ41" i="1"/>
  <c r="AK41" i="1" s="1"/>
  <c r="AH46" i="1"/>
  <c r="AI46" i="1" s="1"/>
  <c r="AJ46" i="1"/>
  <c r="AK46" i="1" s="1"/>
  <c r="AJ6" i="1"/>
  <c r="AK6" i="1" s="1"/>
  <c r="AH17" i="1"/>
  <c r="AI17" i="1" s="1"/>
  <c r="AJ17" i="1"/>
  <c r="AK17" i="1" s="1"/>
  <c r="AH18" i="1"/>
  <c r="AI18" i="1" s="1"/>
  <c r="AJ18" i="1"/>
  <c r="AK18" i="1" s="1"/>
  <c r="AH21" i="1"/>
  <c r="AI21" i="1" s="1"/>
  <c r="AJ21" i="1"/>
  <c r="AK21" i="1" s="1"/>
  <c r="AH37" i="1"/>
  <c r="AI37" i="1" s="1"/>
  <c r="AJ37" i="1"/>
  <c r="AK37" i="1" s="1"/>
  <c r="AJ40" i="1"/>
  <c r="AK40" i="1" s="1"/>
  <c r="AH42" i="1"/>
  <c r="AI42" i="1" s="1"/>
  <c r="AJ42" i="1"/>
  <c r="AK42" i="1" s="1"/>
  <c r="AH53" i="1"/>
  <c r="AI53" i="1" s="1"/>
  <c r="AJ53" i="1"/>
  <c r="AK53" i="1" s="1"/>
  <c r="AJ12" i="1"/>
  <c r="AK12" i="1" s="1"/>
  <c r="AH22" i="1"/>
  <c r="AI22" i="1" s="1"/>
  <c r="AJ22" i="1"/>
  <c r="AK22" i="1" s="1"/>
  <c r="AJ23" i="1"/>
  <c r="AK23" i="1" s="1"/>
  <c r="AH25" i="1"/>
  <c r="AI25" i="1" s="1"/>
  <c r="AJ25" i="1"/>
  <c r="AK25" i="1" s="1"/>
  <c r="AJ28" i="1"/>
  <c r="AK28" i="1" s="1"/>
  <c r="AH33" i="1"/>
  <c r="AI33" i="1" s="1"/>
  <c r="AJ33" i="1"/>
  <c r="AK33" i="1" s="1"/>
  <c r="AJ36" i="1"/>
  <c r="AK36" i="1" s="1"/>
  <c r="AH38" i="1"/>
  <c r="AI38" i="1" s="1"/>
  <c r="AJ38" i="1"/>
  <c r="AK38" i="1" s="1"/>
  <c r="AJ39" i="1"/>
  <c r="AK39" i="1" s="1"/>
  <c r="AH49" i="1"/>
  <c r="AI49" i="1" s="1"/>
  <c r="AJ49" i="1"/>
  <c r="AK49" i="1" s="1"/>
  <c r="AJ52" i="1"/>
  <c r="AK52" i="1" s="1"/>
  <c r="AH54" i="1"/>
  <c r="AI54" i="1" s="1"/>
  <c r="AJ54" i="1"/>
  <c r="AK54" i="1" s="1"/>
  <c r="AH57" i="1"/>
  <c r="AI57" i="1" s="1"/>
  <c r="AJ57" i="1"/>
  <c r="AK57" i="1" s="1"/>
  <c r="AM60" i="1"/>
  <c r="AN60" i="1" s="1"/>
  <c r="AO60" i="1"/>
  <c r="AP60" i="1" s="1"/>
  <c r="AJ67" i="1"/>
  <c r="AK67" i="1" s="1"/>
  <c r="AH67" i="1"/>
  <c r="AI67" i="1" s="1"/>
  <c r="AH76" i="1"/>
  <c r="AI76" i="1" s="1"/>
  <c r="AJ76" i="1"/>
  <c r="AK76" i="1" s="1"/>
  <c r="AH84" i="1"/>
  <c r="AI84" i="1" s="1"/>
  <c r="AJ84" i="1"/>
  <c r="AK84" i="1" s="1"/>
  <c r="AJ85" i="1"/>
  <c r="AK85" i="1" s="1"/>
  <c r="AH85" i="1"/>
  <c r="AI85" i="1" s="1"/>
  <c r="AJ89" i="1"/>
  <c r="AK89" i="1" s="1"/>
  <c r="AH89" i="1"/>
  <c r="AI89" i="1" s="1"/>
  <c r="AH92" i="1"/>
  <c r="AI92" i="1" s="1"/>
  <c r="AJ92" i="1"/>
  <c r="AK92" i="1" s="1"/>
  <c r="AJ97" i="1"/>
  <c r="AK97" i="1" s="1"/>
  <c r="AH97" i="1"/>
  <c r="AI97" i="1" s="1"/>
  <c r="AH100" i="1"/>
  <c r="AI100" i="1" s="1"/>
  <c r="AJ100" i="1"/>
  <c r="AK100" i="1" s="1"/>
  <c r="AM11" i="1"/>
  <c r="AN11" i="1" s="1"/>
  <c r="AH12" i="1"/>
  <c r="AI12" i="1" s="1"/>
  <c r="AM15" i="1"/>
  <c r="AN15" i="1" s="1"/>
  <c r="AH16" i="1"/>
  <c r="AI16" i="1" s="1"/>
  <c r="AM19" i="1"/>
  <c r="AN19" i="1" s="1"/>
  <c r="AH20" i="1"/>
  <c r="AI20" i="1" s="1"/>
  <c r="AM23" i="1"/>
  <c r="AN23" i="1" s="1"/>
  <c r="AH24" i="1"/>
  <c r="AI24" i="1" s="1"/>
  <c r="AM27" i="1"/>
  <c r="AN27" i="1" s="1"/>
  <c r="AH28" i="1"/>
  <c r="AI28" i="1" s="1"/>
  <c r="AM31" i="1"/>
  <c r="AN31" i="1" s="1"/>
  <c r="AH32" i="1"/>
  <c r="AI32" i="1" s="1"/>
  <c r="AM35" i="1"/>
  <c r="AN35" i="1" s="1"/>
  <c r="AH36" i="1"/>
  <c r="AI36" i="1" s="1"/>
  <c r="AM39" i="1"/>
  <c r="AN39" i="1" s="1"/>
  <c r="AH40" i="1"/>
  <c r="AI40" i="1" s="1"/>
  <c r="AM43" i="1"/>
  <c r="AN43" i="1" s="1"/>
  <c r="AH44" i="1"/>
  <c r="AI44" i="1" s="1"/>
  <c r="AM47" i="1"/>
  <c r="AN47" i="1" s="1"/>
  <c r="AH48" i="1"/>
  <c r="AI48" i="1" s="1"/>
  <c r="AM51" i="1"/>
  <c r="AN51" i="1" s="1"/>
  <c r="AH52" i="1"/>
  <c r="AI52" i="1" s="1"/>
  <c r="AH58" i="1"/>
  <c r="AI58" i="1" s="1"/>
  <c r="AJ59" i="1"/>
  <c r="AK59" i="1" s="1"/>
  <c r="AH59" i="1"/>
  <c r="AI59" i="1" s="1"/>
  <c r="AO62" i="1"/>
  <c r="AP62" i="1" s="1"/>
  <c r="AM62" i="1"/>
  <c r="AN62" i="1" s="1"/>
  <c r="AJ66" i="1"/>
  <c r="AK66" i="1" s="1"/>
  <c r="AJ70" i="1"/>
  <c r="AK70" i="1" s="1"/>
  <c r="AJ74" i="1"/>
  <c r="AK74" i="1" s="1"/>
  <c r="AH74" i="1"/>
  <c r="AI74" i="1" s="1"/>
  <c r="AJ82" i="1"/>
  <c r="AK82" i="1" s="1"/>
  <c r="AH82" i="1"/>
  <c r="AI82" i="1" s="1"/>
  <c r="AH91" i="1"/>
  <c r="AI91" i="1" s="1"/>
  <c r="AJ91" i="1"/>
  <c r="AK91" i="1" s="1"/>
  <c r="AH99" i="1"/>
  <c r="AI99" i="1" s="1"/>
  <c r="AJ99" i="1"/>
  <c r="AK99" i="1" s="1"/>
  <c r="AM56" i="1"/>
  <c r="AN56" i="1" s="1"/>
  <c r="AO56" i="1"/>
  <c r="AP56" i="1" s="1"/>
  <c r="AH61" i="1"/>
  <c r="AI61" i="1" s="1"/>
  <c r="AJ61" i="1"/>
  <c r="AK61" i="1" s="1"/>
  <c r="AH65" i="1"/>
  <c r="AI65" i="1" s="1"/>
  <c r="AH66" i="1"/>
  <c r="AI66" i="1" s="1"/>
  <c r="AH69" i="1"/>
  <c r="AI69" i="1" s="1"/>
  <c r="AH70" i="1"/>
  <c r="AI70" i="1" s="1"/>
  <c r="AH72" i="1"/>
  <c r="AI72" i="1" s="1"/>
  <c r="AJ72" i="1"/>
  <c r="AK72" i="1" s="1"/>
  <c r="AH80" i="1"/>
  <c r="AI80" i="1" s="1"/>
  <c r="AJ80" i="1"/>
  <c r="AK80" i="1" s="1"/>
  <c r="AH88" i="1"/>
  <c r="AI88" i="1" s="1"/>
  <c r="AJ88" i="1"/>
  <c r="AK88" i="1" s="1"/>
  <c r="AJ93" i="1"/>
  <c r="AK93" i="1" s="1"/>
  <c r="AH93" i="1"/>
  <c r="AI93" i="1" s="1"/>
  <c r="AH96" i="1"/>
  <c r="AI96" i="1" s="1"/>
  <c r="AJ96" i="1"/>
  <c r="AK96" i="1" s="1"/>
  <c r="AJ101" i="1"/>
  <c r="AK101" i="1" s="1"/>
  <c r="AH101" i="1"/>
  <c r="AI101" i="1" s="1"/>
  <c r="AJ55" i="1"/>
  <c r="AK55" i="1" s="1"/>
  <c r="AH55" i="1"/>
  <c r="AI55" i="1" s="1"/>
  <c r="AO58" i="1"/>
  <c r="AP58" i="1" s="1"/>
  <c r="AM58" i="1"/>
  <c r="AN58" i="1" s="1"/>
  <c r="AJ63" i="1"/>
  <c r="AK63" i="1" s="1"/>
  <c r="AH63" i="1"/>
  <c r="AI63" i="1" s="1"/>
  <c r="AO66" i="1"/>
  <c r="AP66" i="1" s="1"/>
  <c r="AM66" i="1"/>
  <c r="AN66" i="1" s="1"/>
  <c r="AO70" i="1"/>
  <c r="AP70" i="1" s="1"/>
  <c r="AM70" i="1"/>
  <c r="AN70" i="1" s="1"/>
  <c r="AJ78" i="1"/>
  <c r="AK78" i="1" s="1"/>
  <c r="AH78" i="1"/>
  <c r="AI78" i="1" s="1"/>
  <c r="AH87" i="1"/>
  <c r="AI87" i="1" s="1"/>
  <c r="AJ87" i="1"/>
  <c r="AK87" i="1" s="1"/>
  <c r="AJ90" i="1"/>
  <c r="AK90" i="1" s="1"/>
  <c r="AH95" i="1"/>
  <c r="AI95" i="1" s="1"/>
  <c r="AJ95" i="1"/>
  <c r="AK95" i="1" s="1"/>
  <c r="AJ98" i="1"/>
  <c r="AK98" i="1" s="1"/>
  <c r="AM105" i="1"/>
  <c r="AN105" i="1" s="1"/>
  <c r="AO105" i="1"/>
  <c r="AP105" i="1" s="1"/>
  <c r="AH110" i="1"/>
  <c r="AI110" i="1" s="1"/>
  <c r="AJ110" i="1"/>
  <c r="AK110" i="1" s="1"/>
  <c r="AM115" i="1"/>
  <c r="AN115" i="1" s="1"/>
  <c r="AO115" i="1"/>
  <c r="AP115" i="1" s="1"/>
  <c r="AJ117" i="1"/>
  <c r="AK117" i="1" s="1"/>
  <c r="AH117" i="1"/>
  <c r="AI117" i="1" s="1"/>
  <c r="AH124" i="1"/>
  <c r="AI124" i="1" s="1"/>
  <c r="AJ124" i="1"/>
  <c r="AK124" i="1" s="1"/>
  <c r="AH132" i="1"/>
  <c r="AI132" i="1" s="1"/>
  <c r="AJ132" i="1"/>
  <c r="AK132" i="1" s="1"/>
  <c r="AH140" i="1"/>
  <c r="AI140" i="1" s="1"/>
  <c r="AJ140" i="1"/>
  <c r="AK140" i="1" s="1"/>
  <c r="AH148" i="1"/>
  <c r="AI148" i="1" s="1"/>
  <c r="AJ148" i="1"/>
  <c r="AK148" i="1" s="1"/>
  <c r="AO64" i="1"/>
  <c r="AP64" i="1" s="1"/>
  <c r="AJ65" i="1"/>
  <c r="AK65" i="1" s="1"/>
  <c r="AO68" i="1"/>
  <c r="AP68" i="1" s="1"/>
  <c r="AJ69" i="1"/>
  <c r="AK69" i="1" s="1"/>
  <c r="AH71" i="1"/>
  <c r="AI71" i="1" s="1"/>
  <c r="AO72" i="1"/>
  <c r="AP72" i="1" s="1"/>
  <c r="AJ73" i="1"/>
  <c r="AK73" i="1" s="1"/>
  <c r="AM74" i="1"/>
  <c r="AN74" i="1" s="1"/>
  <c r="AH75" i="1"/>
  <c r="AI75" i="1" s="1"/>
  <c r="AO76" i="1"/>
  <c r="AP76" i="1" s="1"/>
  <c r="AJ77" i="1"/>
  <c r="AK77" i="1" s="1"/>
  <c r="AM78" i="1"/>
  <c r="AN78" i="1" s="1"/>
  <c r="AH79" i="1"/>
  <c r="AI79" i="1" s="1"/>
  <c r="AO80" i="1"/>
  <c r="AP80" i="1" s="1"/>
  <c r="AJ81" i="1"/>
  <c r="AK81" i="1" s="1"/>
  <c r="AM82" i="1"/>
  <c r="AN82" i="1" s="1"/>
  <c r="AH83" i="1"/>
  <c r="AI83" i="1" s="1"/>
  <c r="AO84" i="1"/>
  <c r="AP84" i="1" s="1"/>
  <c r="AM85" i="1"/>
  <c r="AN85" i="1" s="1"/>
  <c r="AH86" i="1"/>
  <c r="AI86" i="1" s="1"/>
  <c r="AM89" i="1"/>
  <c r="AN89" i="1" s="1"/>
  <c r="AH90" i="1"/>
  <c r="AI90" i="1" s="1"/>
  <c r="AM93" i="1"/>
  <c r="AN93" i="1" s="1"/>
  <c r="AH94" i="1"/>
  <c r="AI94" i="1" s="1"/>
  <c r="AM97" i="1"/>
  <c r="AN97" i="1" s="1"/>
  <c r="AH98" i="1"/>
  <c r="AI98" i="1" s="1"/>
  <c r="AM101" i="1"/>
  <c r="AN101" i="1" s="1"/>
  <c r="AH102" i="1"/>
  <c r="AI102" i="1" s="1"/>
  <c r="AJ104" i="1"/>
  <c r="AK104" i="1" s="1"/>
  <c r="AH104" i="1"/>
  <c r="AI104" i="1" s="1"/>
  <c r="AO107" i="1"/>
  <c r="AP107" i="1" s="1"/>
  <c r="AM107" i="1"/>
  <c r="AN107" i="1" s="1"/>
  <c r="AH111" i="1"/>
  <c r="AI111" i="1" s="1"/>
  <c r="AH112" i="1"/>
  <c r="AI112" i="1" s="1"/>
  <c r="AH113" i="1"/>
  <c r="AI113" i="1" s="1"/>
  <c r="AJ114" i="1"/>
  <c r="AK114" i="1" s="1"/>
  <c r="AH114" i="1"/>
  <c r="AI114" i="1" s="1"/>
  <c r="AJ116" i="1"/>
  <c r="AK116" i="1" s="1"/>
  <c r="AJ122" i="1"/>
  <c r="AK122" i="1" s="1"/>
  <c r="AH122" i="1"/>
  <c r="AI122" i="1" s="1"/>
  <c r="AJ130" i="1"/>
  <c r="AK130" i="1" s="1"/>
  <c r="AH130" i="1"/>
  <c r="AI130" i="1" s="1"/>
  <c r="AJ138" i="1"/>
  <c r="AK138" i="1" s="1"/>
  <c r="AH138" i="1"/>
  <c r="AI138" i="1" s="1"/>
  <c r="AJ146" i="1"/>
  <c r="AK146" i="1" s="1"/>
  <c r="AH146" i="1"/>
  <c r="AI146" i="1" s="1"/>
  <c r="AJ151" i="1"/>
  <c r="AK151" i="1" s="1"/>
  <c r="AH154" i="1"/>
  <c r="AI154" i="1" s="1"/>
  <c r="AJ154" i="1"/>
  <c r="AK154" i="1" s="1"/>
  <c r="AH106" i="1"/>
  <c r="AI106" i="1" s="1"/>
  <c r="AJ106" i="1"/>
  <c r="AK106" i="1" s="1"/>
  <c r="AM109" i="1"/>
  <c r="AN109" i="1" s="1"/>
  <c r="AO109" i="1"/>
  <c r="AP109" i="1" s="1"/>
  <c r="AH120" i="1"/>
  <c r="AI120" i="1" s="1"/>
  <c r="AJ120" i="1"/>
  <c r="AK120" i="1" s="1"/>
  <c r="AH128" i="1"/>
  <c r="AI128" i="1" s="1"/>
  <c r="AJ128" i="1"/>
  <c r="AK128" i="1" s="1"/>
  <c r="AH136" i="1"/>
  <c r="AI136" i="1" s="1"/>
  <c r="AJ136" i="1"/>
  <c r="AK136" i="1" s="1"/>
  <c r="AH144" i="1"/>
  <c r="AI144" i="1" s="1"/>
  <c r="AJ144" i="1"/>
  <c r="AK144" i="1" s="1"/>
  <c r="AJ108" i="1"/>
  <c r="AK108" i="1" s="1"/>
  <c r="AH108" i="1"/>
  <c r="AI108" i="1" s="1"/>
  <c r="AO111" i="1"/>
  <c r="AP111" i="1" s="1"/>
  <c r="AM111" i="1"/>
  <c r="AN111" i="1" s="1"/>
  <c r="AM112" i="1"/>
  <c r="AN112" i="1" s="1"/>
  <c r="AO112" i="1"/>
  <c r="AP112" i="1" s="1"/>
  <c r="AO113" i="1"/>
  <c r="AP113" i="1" s="1"/>
  <c r="AM113" i="1"/>
  <c r="AN113" i="1" s="1"/>
  <c r="AO116" i="1"/>
  <c r="AP116" i="1" s="1"/>
  <c r="AM116" i="1"/>
  <c r="AN116" i="1" s="1"/>
  <c r="AJ118" i="1"/>
  <c r="AK118" i="1" s="1"/>
  <c r="AH118" i="1"/>
  <c r="AI118" i="1" s="1"/>
  <c r="AJ126" i="1"/>
  <c r="AK126" i="1" s="1"/>
  <c r="AH126" i="1"/>
  <c r="AI126" i="1" s="1"/>
  <c r="AJ134" i="1"/>
  <c r="AK134" i="1" s="1"/>
  <c r="AH134" i="1"/>
  <c r="AI134" i="1" s="1"/>
  <c r="AJ142" i="1"/>
  <c r="AK142" i="1" s="1"/>
  <c r="AH142" i="1"/>
  <c r="AI142" i="1" s="1"/>
  <c r="AH157" i="1"/>
  <c r="AI157" i="1" s="1"/>
  <c r="AJ157" i="1"/>
  <c r="AK157" i="1" s="1"/>
  <c r="AO118" i="1"/>
  <c r="AP118" i="1" s="1"/>
  <c r="AJ119" i="1"/>
  <c r="AK119" i="1" s="1"/>
  <c r="AM120" i="1"/>
  <c r="AN120" i="1" s="1"/>
  <c r="AH121" i="1"/>
  <c r="AI121" i="1" s="1"/>
  <c r="AO122" i="1"/>
  <c r="AP122" i="1" s="1"/>
  <c r="AJ123" i="1"/>
  <c r="AK123" i="1" s="1"/>
  <c r="AM124" i="1"/>
  <c r="AN124" i="1" s="1"/>
  <c r="AH125" i="1"/>
  <c r="AI125" i="1" s="1"/>
  <c r="AO126" i="1"/>
  <c r="AP126" i="1" s="1"/>
  <c r="AJ127" i="1"/>
  <c r="AK127" i="1" s="1"/>
  <c r="AM128" i="1"/>
  <c r="AN128" i="1" s="1"/>
  <c r="AH129" i="1"/>
  <c r="AI129" i="1" s="1"/>
  <c r="AO130" i="1"/>
  <c r="AP130" i="1" s="1"/>
  <c r="AJ131" i="1"/>
  <c r="AK131" i="1" s="1"/>
  <c r="AM132" i="1"/>
  <c r="AN132" i="1" s="1"/>
  <c r="AH133" i="1"/>
  <c r="AI133" i="1" s="1"/>
  <c r="AO134" i="1"/>
  <c r="AP134" i="1" s="1"/>
  <c r="AJ135" i="1"/>
  <c r="AK135" i="1" s="1"/>
  <c r="AM136" i="1"/>
  <c r="AN136" i="1" s="1"/>
  <c r="AH137" i="1"/>
  <c r="AI137" i="1" s="1"/>
  <c r="AO138" i="1"/>
  <c r="AP138" i="1" s="1"/>
  <c r="AJ139" i="1"/>
  <c r="AK139" i="1" s="1"/>
  <c r="AM140" i="1"/>
  <c r="AN140" i="1" s="1"/>
  <c r="AH141" i="1"/>
  <c r="AI141" i="1" s="1"/>
  <c r="AO142" i="1"/>
  <c r="AP142" i="1" s="1"/>
  <c r="AJ143" i="1"/>
  <c r="AK143" i="1" s="1"/>
  <c r="AM144" i="1"/>
  <c r="AN144" i="1" s="1"/>
  <c r="AH145" i="1"/>
  <c r="AI145" i="1" s="1"/>
  <c r="AO146" i="1"/>
  <c r="AP146" i="1" s="1"/>
  <c r="AJ147" i="1"/>
  <c r="AK147" i="1" s="1"/>
  <c r="AM148" i="1"/>
  <c r="AN148" i="1" s="1"/>
  <c r="AH149" i="1"/>
  <c r="AI149" i="1" s="1"/>
  <c r="AH151" i="1"/>
  <c r="AI151" i="1" s="1"/>
  <c r="AM151" i="1"/>
  <c r="AN151" i="1" s="1"/>
  <c r="AH153" i="1"/>
  <c r="AI153" i="1" s="1"/>
  <c r="AJ159" i="1"/>
  <c r="AK159" i="1" s="1"/>
  <c r="AH159" i="1"/>
  <c r="AI159" i="1" s="1"/>
  <c r="AH167" i="1"/>
  <c r="AI167" i="1" s="1"/>
  <c r="AH171" i="1"/>
  <c r="AI171" i="1" s="1"/>
  <c r="AJ173" i="1"/>
  <c r="AK173" i="1" s="1"/>
  <c r="AH173" i="1"/>
  <c r="AI173" i="1" s="1"/>
  <c r="AJ150" i="1"/>
  <c r="AK150" i="1" s="1"/>
  <c r="AO153" i="1"/>
  <c r="AP153" i="1" s="1"/>
  <c r="AJ156" i="1"/>
  <c r="AK156" i="1" s="1"/>
  <c r="AJ160" i="1"/>
  <c r="AK160" i="1" s="1"/>
  <c r="AJ152" i="1"/>
  <c r="AK152" i="1" s="1"/>
  <c r="AJ155" i="1"/>
  <c r="AK155" i="1" s="1"/>
  <c r="AM155" i="1"/>
  <c r="AN155" i="1" s="1"/>
  <c r="AH156" i="1"/>
  <c r="AI156" i="1" s="1"/>
  <c r="AH161" i="1"/>
  <c r="AI161" i="1" s="1"/>
  <c r="AJ161" i="1"/>
  <c r="AK161" i="1" s="1"/>
  <c r="AH162" i="1"/>
  <c r="AI162" i="1" s="1"/>
  <c r="AJ162" i="1"/>
  <c r="AK162" i="1" s="1"/>
  <c r="AH174" i="1"/>
  <c r="AI174" i="1" s="1"/>
  <c r="AJ174" i="1"/>
  <c r="AK174" i="1" s="1"/>
  <c r="AM160" i="1"/>
  <c r="AN160" i="1" s="1"/>
  <c r="AO160" i="1"/>
  <c r="AP160" i="1" s="1"/>
  <c r="AJ163" i="1"/>
  <c r="AK163" i="1" s="1"/>
  <c r="AH163" i="1"/>
  <c r="AI163" i="1" s="1"/>
  <c r="AJ164" i="1"/>
  <c r="AK164" i="1" s="1"/>
  <c r="AH168" i="1"/>
  <c r="AI168" i="1" s="1"/>
  <c r="AH172" i="1"/>
  <c r="AI172" i="1" s="1"/>
  <c r="AJ172" i="1"/>
  <c r="AK172" i="1" s="1"/>
  <c r="AO164" i="1"/>
  <c r="AP164" i="1" s="1"/>
  <c r="AJ165" i="1"/>
  <c r="AK165" i="1" s="1"/>
  <c r="AJ166" i="1"/>
  <c r="AK166" i="1" s="1"/>
  <c r="AJ167" i="1"/>
  <c r="AK167" i="1" s="1"/>
  <c r="AJ168" i="1"/>
  <c r="AK168" i="1" s="1"/>
  <c r="AJ169" i="1"/>
  <c r="AK169" i="1" s="1"/>
  <c r="AJ170" i="1"/>
  <c r="AK170" i="1" s="1"/>
  <c r="AJ171" i="1"/>
  <c r="AK171" i="1" s="1"/>
  <c r="AJ176" i="1"/>
  <c r="AK176" i="1" s="1"/>
  <c r="AM180" i="1"/>
  <c r="AN180" i="1" s="1"/>
  <c r="AO180" i="1"/>
  <c r="AP180" i="1" s="1"/>
  <c r="AH192" i="1"/>
  <c r="AI192" i="1" s="1"/>
  <c r="AJ192" i="1"/>
  <c r="AK192" i="1" s="1"/>
  <c r="AJ194" i="1"/>
  <c r="AK194" i="1" s="1"/>
  <c r="AH194" i="1"/>
  <c r="AI194" i="1" s="1"/>
  <c r="AH188" i="1"/>
  <c r="AI188" i="1" s="1"/>
  <c r="AJ188" i="1"/>
  <c r="AK188" i="1" s="1"/>
  <c r="AJ190" i="1"/>
  <c r="AK190" i="1" s="1"/>
  <c r="AH190" i="1"/>
  <c r="AI190" i="1" s="1"/>
  <c r="AJ195" i="1"/>
  <c r="AK195" i="1" s="1"/>
  <c r="AH195" i="1"/>
  <c r="AI195" i="1" s="1"/>
  <c r="AJ178" i="1"/>
  <c r="AK178" i="1" s="1"/>
  <c r="AJ180" i="1"/>
  <c r="AK180" i="1" s="1"/>
  <c r="AJ182" i="1"/>
  <c r="AK182" i="1" s="1"/>
  <c r="AH184" i="1"/>
  <c r="AI184" i="1" s="1"/>
  <c r="AJ184" i="1"/>
  <c r="AK184" i="1" s="1"/>
  <c r="AJ186" i="1"/>
  <c r="AK186" i="1" s="1"/>
  <c r="AH186" i="1"/>
  <c r="AI186" i="1" s="1"/>
  <c r="AJ191" i="1"/>
  <c r="AK191" i="1" s="1"/>
  <c r="AH191" i="1"/>
  <c r="AI191" i="1" s="1"/>
  <c r="AH197" i="1"/>
  <c r="AI197" i="1" s="1"/>
  <c r="AJ199" i="1"/>
  <c r="AK199" i="1" s="1"/>
  <c r="AH199" i="1"/>
  <c r="AI199" i="1" s="1"/>
  <c r="AJ200" i="1"/>
  <c r="AK200" i="1" s="1"/>
  <c r="AH200" i="1"/>
  <c r="AI200" i="1" s="1"/>
  <c r="AJ201" i="1"/>
  <c r="AK201" i="1" s="1"/>
  <c r="AH201" i="1"/>
  <c r="AI201" i="1" s="1"/>
  <c r="AJ175" i="1"/>
  <c r="AK175" i="1" s="1"/>
  <c r="AH177" i="1"/>
  <c r="AI177" i="1" s="1"/>
  <c r="AJ177" i="1"/>
  <c r="AK177" i="1" s="1"/>
  <c r="AJ179" i="1"/>
  <c r="AK179" i="1" s="1"/>
  <c r="AH179" i="1"/>
  <c r="AI179" i="1" s="1"/>
  <c r="AH181" i="1"/>
  <c r="AI181" i="1" s="1"/>
  <c r="AJ181" i="1"/>
  <c r="AK181" i="1" s="1"/>
  <c r="AJ183" i="1"/>
  <c r="AK183" i="1" s="1"/>
  <c r="AH183" i="1"/>
  <c r="AI183" i="1" s="1"/>
  <c r="AJ187" i="1"/>
  <c r="AK187" i="1" s="1"/>
  <c r="AH187" i="1"/>
  <c r="AI187" i="1" s="1"/>
  <c r="AH196" i="1"/>
  <c r="AI196" i="1" s="1"/>
  <c r="AJ196" i="1"/>
  <c r="AK196" i="1" s="1"/>
  <c r="AJ198" i="1"/>
  <c r="AK198" i="1" s="1"/>
  <c r="AH198" i="1"/>
  <c r="AI198" i="1" s="1"/>
  <c r="AH205" i="1"/>
  <c r="AI205" i="1" s="1"/>
  <c r="AH206" i="1"/>
  <c r="AI206" i="1" s="1"/>
  <c r="AJ206" i="1"/>
  <c r="AK206" i="1" s="1"/>
  <c r="AJ209" i="1"/>
  <c r="AK209" i="1" s="1"/>
  <c r="AH209" i="1"/>
  <c r="AI209" i="1" s="1"/>
  <c r="AJ217" i="1"/>
  <c r="AK217" i="1" s="1"/>
  <c r="AH217" i="1"/>
  <c r="AI217" i="1" s="1"/>
  <c r="AH225" i="1"/>
  <c r="AI225" i="1" s="1"/>
  <c r="AJ225" i="1"/>
  <c r="AK225" i="1" s="1"/>
  <c r="AO184" i="1"/>
  <c r="AP184" i="1" s="1"/>
  <c r="AJ185" i="1"/>
  <c r="AK185" i="1" s="1"/>
  <c r="AO188" i="1"/>
  <c r="AP188" i="1" s="1"/>
  <c r="AJ189" i="1"/>
  <c r="AK189" i="1" s="1"/>
  <c r="AO192" i="1"/>
  <c r="AP192" i="1" s="1"/>
  <c r="AJ193" i="1"/>
  <c r="AK193" i="1" s="1"/>
  <c r="AO196" i="1"/>
  <c r="AP196" i="1" s="1"/>
  <c r="AJ197" i="1"/>
  <c r="AK197" i="1" s="1"/>
  <c r="AO203" i="1"/>
  <c r="AP203" i="1" s="1"/>
  <c r="AM203" i="1"/>
  <c r="AN203" i="1" s="1"/>
  <c r="AH207" i="1"/>
  <c r="AI207" i="1" s="1"/>
  <c r="AJ208" i="1"/>
  <c r="AK208" i="1" s="1"/>
  <c r="AH208" i="1"/>
  <c r="AI208" i="1" s="1"/>
  <c r="AH215" i="1"/>
  <c r="AI215" i="1" s="1"/>
  <c r="AJ215" i="1"/>
  <c r="AK215" i="1" s="1"/>
  <c r="AH223" i="1"/>
  <c r="AI223" i="1" s="1"/>
  <c r="AJ223" i="1"/>
  <c r="AK223" i="1" s="1"/>
  <c r="AH202" i="1"/>
  <c r="AI202" i="1" s="1"/>
  <c r="AJ202" i="1"/>
  <c r="AK202" i="1" s="1"/>
  <c r="AM205" i="1"/>
  <c r="AN205" i="1" s="1"/>
  <c r="AO205" i="1"/>
  <c r="AP205" i="1" s="1"/>
  <c r="AJ213" i="1"/>
  <c r="AK213" i="1" s="1"/>
  <c r="AH213" i="1"/>
  <c r="AI213" i="1" s="1"/>
  <c r="AJ221" i="1"/>
  <c r="AK221" i="1" s="1"/>
  <c r="AH221" i="1"/>
  <c r="AI221" i="1" s="1"/>
  <c r="AJ204" i="1"/>
  <c r="AK204" i="1" s="1"/>
  <c r="AH204" i="1"/>
  <c r="AI204" i="1" s="1"/>
  <c r="AO207" i="1"/>
  <c r="AP207" i="1" s="1"/>
  <c r="AM207" i="1"/>
  <c r="AN207" i="1" s="1"/>
  <c r="AH211" i="1"/>
  <c r="AI211" i="1" s="1"/>
  <c r="AJ211" i="1"/>
  <c r="AK211" i="1" s="1"/>
  <c r="AH219" i="1"/>
  <c r="AI219" i="1" s="1"/>
  <c r="AJ219" i="1"/>
  <c r="AK219" i="1" s="1"/>
  <c r="AO209" i="1"/>
  <c r="AP209" i="1" s="1"/>
  <c r="AJ210" i="1"/>
  <c r="AK210" i="1" s="1"/>
  <c r="AM211" i="1"/>
  <c r="AN211" i="1" s="1"/>
  <c r="AH212" i="1"/>
  <c r="AI212" i="1" s="1"/>
  <c r="AO213" i="1"/>
  <c r="AP213" i="1" s="1"/>
  <c r="AJ214" i="1"/>
  <c r="AK214" i="1" s="1"/>
  <c r="AM215" i="1"/>
  <c r="AN215" i="1" s="1"/>
  <c r="AH216" i="1"/>
  <c r="AI216" i="1" s="1"/>
  <c r="AO217" i="1"/>
  <c r="AP217" i="1" s="1"/>
  <c r="AJ218" i="1"/>
  <c r="AK218" i="1" s="1"/>
  <c r="AM219" i="1"/>
  <c r="AN219" i="1" s="1"/>
  <c r="AH220" i="1"/>
  <c r="AI220" i="1" s="1"/>
  <c r="AO221" i="1"/>
  <c r="AP221" i="1" s="1"/>
  <c r="AJ222" i="1"/>
  <c r="AK222" i="1" s="1"/>
  <c r="AM223" i="1"/>
  <c r="AN223" i="1" s="1"/>
  <c r="AH224" i="1"/>
  <c r="AI224" i="1" s="1"/>
  <c r="AO228" i="1"/>
  <c r="AP228" i="1" s="1"/>
  <c r="AM228" i="1"/>
  <c r="AN228" i="1" s="1"/>
  <c r="AH232" i="1"/>
  <c r="AI232" i="1" s="1"/>
  <c r="AJ234" i="1"/>
  <c r="AK234" i="1" s="1"/>
  <c r="AH234" i="1"/>
  <c r="AI234" i="1" s="1"/>
  <c r="AJ245" i="1"/>
  <c r="AK245" i="1" s="1"/>
  <c r="AH245" i="1"/>
  <c r="AI245" i="1" s="1"/>
  <c r="AO224" i="1"/>
  <c r="AP224" i="1" s="1"/>
  <c r="AH227" i="1"/>
  <c r="AI227" i="1" s="1"/>
  <c r="AJ227" i="1"/>
  <c r="AK227" i="1" s="1"/>
  <c r="AM230" i="1"/>
  <c r="AN230" i="1" s="1"/>
  <c r="AO230" i="1"/>
  <c r="AP230" i="1" s="1"/>
  <c r="AO232" i="1"/>
  <c r="AP232" i="1" s="1"/>
  <c r="AM232" i="1"/>
  <c r="AN232" i="1" s="1"/>
  <c r="AH243" i="1"/>
  <c r="AI243" i="1" s="1"/>
  <c r="AJ243" i="1"/>
  <c r="AK243" i="1" s="1"/>
  <c r="AJ229" i="1"/>
  <c r="AK229" i="1" s="1"/>
  <c r="AH229" i="1"/>
  <c r="AI229" i="1" s="1"/>
  <c r="AJ238" i="1"/>
  <c r="AK238" i="1" s="1"/>
  <c r="AH238" i="1"/>
  <c r="AI238" i="1" s="1"/>
  <c r="AJ241" i="1"/>
  <c r="AK241" i="1" s="1"/>
  <c r="AH241" i="1"/>
  <c r="AI241" i="1" s="1"/>
  <c r="AJ249" i="1"/>
  <c r="AK249" i="1" s="1"/>
  <c r="AH249" i="1"/>
  <c r="AI249" i="1" s="1"/>
  <c r="AM226" i="1"/>
  <c r="AN226" i="1" s="1"/>
  <c r="AO226" i="1"/>
  <c r="AP226" i="1" s="1"/>
  <c r="AH231" i="1"/>
  <c r="AI231" i="1" s="1"/>
  <c r="AJ231" i="1"/>
  <c r="AK231" i="1" s="1"/>
  <c r="AH236" i="1"/>
  <c r="AI236" i="1" s="1"/>
  <c r="AJ236" i="1"/>
  <c r="AK236" i="1" s="1"/>
  <c r="AH247" i="1"/>
  <c r="AI247" i="1" s="1"/>
  <c r="AJ247" i="1"/>
  <c r="AK247" i="1" s="1"/>
  <c r="AH233" i="1"/>
  <c r="AI233" i="1" s="1"/>
  <c r="AO234" i="1"/>
  <c r="AP234" i="1" s="1"/>
  <c r="AJ235" i="1"/>
  <c r="AK235" i="1" s="1"/>
  <c r="AM236" i="1"/>
  <c r="AN236" i="1" s="1"/>
  <c r="AH237" i="1"/>
  <c r="AI237" i="1" s="1"/>
  <c r="AO238" i="1"/>
  <c r="AP238" i="1" s="1"/>
  <c r="AJ239" i="1"/>
  <c r="AK239" i="1" s="1"/>
  <c r="AO241" i="1"/>
  <c r="AP241" i="1" s="1"/>
  <c r="AJ242" i="1"/>
  <c r="AK242" i="1" s="1"/>
  <c r="AM243" i="1"/>
  <c r="AN243" i="1" s="1"/>
  <c r="AH244" i="1"/>
  <c r="AI244" i="1" s="1"/>
  <c r="AO245" i="1"/>
  <c r="AP245" i="1" s="1"/>
  <c r="AJ246" i="1"/>
  <c r="AK246" i="1" s="1"/>
  <c r="AM247" i="1"/>
  <c r="AN247" i="1" s="1"/>
  <c r="AH248" i="1"/>
  <c r="AI248" i="1" s="1"/>
  <c r="AO249" i="1"/>
  <c r="AP249" i="1" s="1"/>
  <c r="AJ250" i="1"/>
  <c r="AK250" i="1" s="1"/>
  <c r="AO53" i="2" l="1"/>
  <c r="AP53" i="2" s="1"/>
  <c r="AQ53" i="2"/>
  <c r="AR53" i="2" s="1"/>
  <c r="AV32" i="2"/>
  <c r="AW32" i="2" s="1"/>
  <c r="AT32" i="2"/>
  <c r="AU32" i="2" s="1"/>
  <c r="AO33" i="2"/>
  <c r="AP33" i="2" s="1"/>
  <c r="AQ33" i="2"/>
  <c r="AR33" i="2" s="1"/>
  <c r="AV62" i="2"/>
  <c r="AW62" i="2" s="1"/>
  <c r="AT62" i="2"/>
  <c r="AU62" i="2" s="1"/>
  <c r="AT125" i="2"/>
  <c r="AU125" i="2" s="1"/>
  <c r="AV125" i="2"/>
  <c r="AW125" i="2" s="1"/>
  <c r="AQ92" i="2"/>
  <c r="AR92" i="2" s="1"/>
  <c r="AO92" i="2"/>
  <c r="AP92" i="2" s="1"/>
  <c r="AQ71" i="2"/>
  <c r="AR71" i="2" s="1"/>
  <c r="AO71" i="2"/>
  <c r="AP71" i="2" s="1"/>
  <c r="AQ51" i="2"/>
  <c r="AR51" i="2" s="1"/>
  <c r="AO51" i="2"/>
  <c r="AP51" i="2" s="1"/>
  <c r="AT38" i="2"/>
  <c r="AU38" i="2" s="1"/>
  <c r="AV38" i="2"/>
  <c r="AW38" i="2" s="1"/>
  <c r="AV10" i="2"/>
  <c r="AW10" i="2" s="1"/>
  <c r="AT10" i="2"/>
  <c r="AU10" i="2" s="1"/>
  <c r="AO36" i="2"/>
  <c r="AP36" i="2" s="1"/>
  <c r="AQ36" i="2"/>
  <c r="AR36" i="2" s="1"/>
  <c r="AO12" i="2"/>
  <c r="AP12" i="2" s="1"/>
  <c r="AQ12" i="2"/>
  <c r="AR12" i="2" s="1"/>
  <c r="AO118" i="2"/>
  <c r="AP118" i="2" s="1"/>
  <c r="AQ118" i="2"/>
  <c r="AR118" i="2" s="1"/>
  <c r="AT123" i="2"/>
  <c r="AU123" i="2" s="1"/>
  <c r="AV123" i="2"/>
  <c r="AW123" i="2" s="1"/>
  <c r="AQ56" i="2"/>
  <c r="AR56" i="2" s="1"/>
  <c r="AO56" i="2"/>
  <c r="AP56" i="2" s="1"/>
  <c r="AT80" i="2"/>
  <c r="AU80" i="2" s="1"/>
  <c r="AV80" i="2"/>
  <c r="AW80" i="2" s="1"/>
  <c r="AV84" i="2"/>
  <c r="AW84" i="2" s="1"/>
  <c r="AT84" i="2"/>
  <c r="AU84" i="2" s="1"/>
  <c r="AQ93" i="2"/>
  <c r="AR93" i="2" s="1"/>
  <c r="AO93" i="2"/>
  <c r="AP93" i="2" s="1"/>
  <c r="AQ101" i="2"/>
  <c r="AR101" i="2" s="1"/>
  <c r="AO101" i="2"/>
  <c r="AP101" i="2" s="1"/>
  <c r="AO109" i="2"/>
  <c r="AP109" i="2" s="1"/>
  <c r="AQ109" i="2"/>
  <c r="AR109" i="2" s="1"/>
  <c r="AQ117" i="2"/>
  <c r="AR117" i="2" s="1"/>
  <c r="AO117" i="2"/>
  <c r="AP117" i="2" s="1"/>
  <c r="AT118" i="2"/>
  <c r="AU118" i="2" s="1"/>
  <c r="AV118" i="2"/>
  <c r="AW118" i="2" s="1"/>
  <c r="AO123" i="2"/>
  <c r="AP123" i="2" s="1"/>
  <c r="AQ123" i="2"/>
  <c r="AR123" i="2" s="1"/>
  <c r="AV89" i="2"/>
  <c r="AW89" i="2" s="1"/>
  <c r="AT89" i="2"/>
  <c r="AU89" i="2" s="1"/>
  <c r="AV93" i="2"/>
  <c r="AW93" i="2" s="1"/>
  <c r="AT93" i="2"/>
  <c r="AU93" i="2" s="1"/>
  <c r="AV101" i="2"/>
  <c r="AW101" i="2" s="1"/>
  <c r="AT101" i="2"/>
  <c r="AU101" i="2" s="1"/>
  <c r="AV117" i="2"/>
  <c r="AW117" i="2" s="1"/>
  <c r="AT117" i="2"/>
  <c r="AU117" i="2" s="1"/>
  <c r="AO129" i="2"/>
  <c r="AP129" i="2" s="1"/>
  <c r="AQ129" i="2"/>
  <c r="AR129" i="2" s="1"/>
  <c r="AQ137" i="2"/>
  <c r="AR137" i="2" s="1"/>
  <c r="AO137" i="2"/>
  <c r="AP137" i="2" s="1"/>
  <c r="AQ141" i="2"/>
  <c r="AR141" i="2" s="1"/>
  <c r="AO141" i="2"/>
  <c r="AP141" i="2" s="1"/>
  <c r="AO161" i="2"/>
  <c r="AP161" i="2" s="1"/>
  <c r="AQ161" i="2"/>
  <c r="AR161" i="2" s="1"/>
  <c r="AQ150" i="2"/>
  <c r="AR150" i="2" s="1"/>
  <c r="AO150" i="2"/>
  <c r="AP150" i="2" s="1"/>
  <c r="AQ163" i="2"/>
  <c r="AR163" i="2" s="1"/>
  <c r="AO163" i="2"/>
  <c r="AP163" i="2" s="1"/>
  <c r="AV97" i="2"/>
  <c r="AW97" i="2" s="1"/>
  <c r="AT97" i="2"/>
  <c r="AU97" i="2" s="1"/>
  <c r="AV105" i="2"/>
  <c r="AW105" i="2" s="1"/>
  <c r="AT105" i="2"/>
  <c r="AU105" i="2" s="1"/>
  <c r="AV109" i="2"/>
  <c r="AW109" i="2" s="1"/>
  <c r="AT109" i="2"/>
  <c r="AU109" i="2" s="1"/>
  <c r="AV113" i="2"/>
  <c r="AW113" i="2" s="1"/>
  <c r="AT113" i="2"/>
  <c r="AU113" i="2" s="1"/>
  <c r="AQ155" i="2"/>
  <c r="AR155" i="2" s="1"/>
  <c r="AO155" i="2"/>
  <c r="AP155" i="2" s="1"/>
  <c r="AO127" i="2"/>
  <c r="AP127" i="2" s="1"/>
  <c r="AQ127" i="2"/>
  <c r="AR127" i="2" s="1"/>
  <c r="AT139" i="2"/>
  <c r="AU139" i="2" s="1"/>
  <c r="AV139" i="2"/>
  <c r="AW139" i="2" s="1"/>
  <c r="AT143" i="2"/>
  <c r="AU143" i="2" s="1"/>
  <c r="AV143" i="2"/>
  <c r="AW143" i="2" s="1"/>
  <c r="AT147" i="2"/>
  <c r="AU147" i="2" s="1"/>
  <c r="AV147" i="2"/>
  <c r="AW147" i="2" s="1"/>
  <c r="AT151" i="2"/>
  <c r="AU151" i="2" s="1"/>
  <c r="AV151" i="2"/>
  <c r="AW151" i="2" s="1"/>
  <c r="AT155" i="2"/>
  <c r="AU155" i="2" s="1"/>
  <c r="AV155" i="2"/>
  <c r="AW155" i="2" s="1"/>
  <c r="AO153" i="2"/>
  <c r="AP153" i="2" s="1"/>
  <c r="AQ153" i="2"/>
  <c r="AR153" i="2" s="1"/>
  <c r="AO159" i="2"/>
  <c r="AP159" i="2" s="1"/>
  <c r="AQ159" i="2"/>
  <c r="AR159" i="2" s="1"/>
  <c r="AV130" i="2"/>
  <c r="AW130" i="2" s="1"/>
  <c r="AT130" i="2"/>
  <c r="AU130" i="2" s="1"/>
  <c r="AV134" i="2"/>
  <c r="AW134" i="2" s="1"/>
  <c r="AT134" i="2"/>
  <c r="AU134" i="2" s="1"/>
  <c r="AV146" i="2"/>
  <c r="AW146" i="2" s="1"/>
  <c r="AT146" i="2"/>
  <c r="AU146" i="2" s="1"/>
  <c r="AV154" i="2"/>
  <c r="AW154" i="2" s="1"/>
  <c r="AT154" i="2"/>
  <c r="AU154" i="2" s="1"/>
  <c r="AV158" i="2"/>
  <c r="AW158" i="2" s="1"/>
  <c r="AT158" i="2"/>
  <c r="AU158" i="2" s="1"/>
  <c r="AV172" i="2"/>
  <c r="AW172" i="2" s="1"/>
  <c r="AT172" i="2"/>
  <c r="AU172" i="2" s="1"/>
  <c r="AO170" i="2"/>
  <c r="AP170" i="2" s="1"/>
  <c r="AQ170" i="2"/>
  <c r="AR170" i="2" s="1"/>
  <c r="AV177" i="2"/>
  <c r="AW177" i="2" s="1"/>
  <c r="AT177" i="2"/>
  <c r="AU177" i="2" s="1"/>
  <c r="AV162" i="2"/>
  <c r="AW162" i="2" s="1"/>
  <c r="AT162" i="2"/>
  <c r="AU162" i="2" s="1"/>
  <c r="AT175" i="2"/>
  <c r="AU175" i="2" s="1"/>
  <c r="AV175" i="2"/>
  <c r="AW175" i="2" s="1"/>
  <c r="AO179" i="2"/>
  <c r="AP179" i="2" s="1"/>
  <c r="AQ179" i="2"/>
  <c r="AR179" i="2" s="1"/>
  <c r="AQ172" i="2"/>
  <c r="AR172" i="2" s="1"/>
  <c r="AO172" i="2"/>
  <c r="AP172" i="2" s="1"/>
  <c r="AT182" i="2"/>
  <c r="AU182" i="2" s="1"/>
  <c r="AV182" i="2"/>
  <c r="AW182" i="2" s="1"/>
  <c r="AV186" i="2"/>
  <c r="AW186" i="2" s="1"/>
  <c r="AT186" i="2"/>
  <c r="AU186" i="2" s="1"/>
  <c r="AV204" i="2"/>
  <c r="AW204" i="2" s="1"/>
  <c r="AT204" i="2"/>
  <c r="AU204" i="2" s="1"/>
  <c r="AO188" i="2"/>
  <c r="AP188" i="2" s="1"/>
  <c r="AQ188" i="2"/>
  <c r="AR188" i="2" s="1"/>
  <c r="AO192" i="2"/>
  <c r="AP192" i="2" s="1"/>
  <c r="AQ192" i="2"/>
  <c r="AR192" i="2" s="1"/>
  <c r="AV199" i="2"/>
  <c r="AW199" i="2" s="1"/>
  <c r="AT199" i="2"/>
  <c r="AU199" i="2" s="1"/>
  <c r="AT205" i="2"/>
  <c r="AU205" i="2" s="1"/>
  <c r="AV205" i="2"/>
  <c r="AW205" i="2" s="1"/>
  <c r="AT180" i="2"/>
  <c r="AU180" i="2" s="1"/>
  <c r="AV180" i="2"/>
  <c r="AW180" i="2" s="1"/>
  <c r="AT184" i="2"/>
  <c r="AU184" i="2" s="1"/>
  <c r="AV184" i="2"/>
  <c r="AW184" i="2" s="1"/>
  <c r="AT188" i="2"/>
  <c r="AU188" i="2" s="1"/>
  <c r="AV188" i="2"/>
  <c r="AW188" i="2" s="1"/>
  <c r="AT192" i="2"/>
  <c r="AU192" i="2" s="1"/>
  <c r="AV192" i="2"/>
  <c r="AW192" i="2" s="1"/>
  <c r="AQ185" i="2"/>
  <c r="AR185" i="2" s="1"/>
  <c r="AO185" i="2"/>
  <c r="AP185" i="2" s="1"/>
  <c r="AV194" i="2"/>
  <c r="AW194" i="2" s="1"/>
  <c r="AT194" i="2"/>
  <c r="AU194" i="2" s="1"/>
  <c r="AT207" i="2"/>
  <c r="AU207" i="2" s="1"/>
  <c r="AV207" i="2"/>
  <c r="AW207" i="2" s="1"/>
  <c r="AQ220" i="2"/>
  <c r="AR220" i="2" s="1"/>
  <c r="AO220" i="2"/>
  <c r="AP220" i="2" s="1"/>
  <c r="AQ208" i="2"/>
  <c r="AR208" i="2" s="1"/>
  <c r="AO208" i="2"/>
  <c r="AP208" i="2" s="1"/>
  <c r="AO215" i="2"/>
  <c r="AP215" i="2" s="1"/>
  <c r="AQ215" i="2"/>
  <c r="AR215" i="2" s="1"/>
  <c r="AO195" i="2"/>
  <c r="AP195" i="2" s="1"/>
  <c r="AQ195" i="2"/>
  <c r="AR195" i="2" s="1"/>
  <c r="AO199" i="2"/>
  <c r="AP199" i="2" s="1"/>
  <c r="AQ199" i="2"/>
  <c r="AR199" i="2" s="1"/>
  <c r="AO203" i="2"/>
  <c r="AP203" i="2" s="1"/>
  <c r="AQ203" i="2"/>
  <c r="AR203" i="2" s="1"/>
  <c r="AO214" i="2"/>
  <c r="AP214" i="2" s="1"/>
  <c r="AQ214" i="2"/>
  <c r="AR214" i="2" s="1"/>
  <c r="AV222" i="2"/>
  <c r="AW222" i="2" s="1"/>
  <c r="AT222" i="2"/>
  <c r="AU222" i="2" s="1"/>
  <c r="AV226" i="2"/>
  <c r="AW226" i="2" s="1"/>
  <c r="AT226" i="2"/>
  <c r="AU226" i="2" s="1"/>
  <c r="AV230" i="2"/>
  <c r="AW230" i="2" s="1"/>
  <c r="AT230" i="2"/>
  <c r="AU230" i="2" s="1"/>
  <c r="AO234" i="2"/>
  <c r="AP234" i="2" s="1"/>
  <c r="AQ234" i="2"/>
  <c r="AR234" i="2" s="1"/>
  <c r="AV212" i="2"/>
  <c r="AW212" i="2" s="1"/>
  <c r="AT212" i="2"/>
  <c r="AU212" i="2" s="1"/>
  <c r="AV216" i="2"/>
  <c r="AW216" i="2" s="1"/>
  <c r="AT216" i="2"/>
  <c r="AU216" i="2" s="1"/>
  <c r="AT232" i="2"/>
  <c r="AU232" i="2" s="1"/>
  <c r="AV232" i="2"/>
  <c r="AW232" i="2" s="1"/>
  <c r="AQ221" i="2"/>
  <c r="AR221" i="2" s="1"/>
  <c r="AO221" i="2"/>
  <c r="AP221" i="2" s="1"/>
  <c r="AQ225" i="2"/>
  <c r="AR225" i="2" s="1"/>
  <c r="AO225" i="2"/>
  <c r="AP225" i="2" s="1"/>
  <c r="AQ229" i="2"/>
  <c r="AR229" i="2" s="1"/>
  <c r="AO229" i="2"/>
  <c r="AP229" i="2" s="1"/>
  <c r="AQ85" i="2"/>
  <c r="AR85" i="2" s="1"/>
  <c r="AO85" i="2"/>
  <c r="AP85" i="2" s="1"/>
  <c r="AT78" i="2"/>
  <c r="AU78" i="2" s="1"/>
  <c r="AV78" i="2"/>
  <c r="AW78" i="2" s="1"/>
  <c r="AO70" i="2"/>
  <c r="AP70" i="2" s="1"/>
  <c r="AQ70" i="2"/>
  <c r="AR70" i="2" s="1"/>
  <c r="AQ64" i="2"/>
  <c r="AR64" i="2" s="1"/>
  <c r="AO64" i="2"/>
  <c r="AP64" i="2" s="1"/>
  <c r="AO49" i="2"/>
  <c r="AP49" i="2" s="1"/>
  <c r="AQ49" i="2"/>
  <c r="AR49" i="2" s="1"/>
  <c r="AO40" i="2"/>
  <c r="AP40" i="2" s="1"/>
  <c r="AQ40" i="2"/>
  <c r="AR40" i="2" s="1"/>
  <c r="AO32" i="2"/>
  <c r="AP32" i="2" s="1"/>
  <c r="AQ32" i="2"/>
  <c r="AR32" i="2" s="1"/>
  <c r="AO23" i="2"/>
  <c r="AP23" i="2" s="1"/>
  <c r="AQ23" i="2"/>
  <c r="AR23" i="2" s="1"/>
  <c r="AO110" i="2"/>
  <c r="AP110" i="2" s="1"/>
  <c r="AQ110" i="2"/>
  <c r="AR110" i="2" s="1"/>
  <c r="AQ88" i="2"/>
  <c r="AR88" i="2" s="1"/>
  <c r="AO88" i="2"/>
  <c r="AP88" i="2" s="1"/>
  <c r="AQ77" i="2"/>
  <c r="AR77" i="2" s="1"/>
  <c r="AO77" i="2"/>
  <c r="AP77" i="2" s="1"/>
  <c r="AO69" i="2"/>
  <c r="AP69" i="2" s="1"/>
  <c r="AQ69" i="2"/>
  <c r="AR69" i="2" s="1"/>
  <c r="AQ63" i="2"/>
  <c r="AR63" i="2" s="1"/>
  <c r="AO63" i="2"/>
  <c r="AP63" i="2" s="1"/>
  <c r="AQ59" i="2"/>
  <c r="AR59" i="2" s="1"/>
  <c r="AO59" i="2"/>
  <c r="AP59" i="2" s="1"/>
  <c r="AQ57" i="2"/>
  <c r="AR57" i="2" s="1"/>
  <c r="AO57" i="2"/>
  <c r="AP57" i="2" s="1"/>
  <c r="AO55" i="2"/>
  <c r="AP55" i="2" s="1"/>
  <c r="AQ55" i="2"/>
  <c r="AR55" i="2" s="1"/>
  <c r="AO47" i="2"/>
  <c r="AP47" i="2" s="1"/>
  <c r="AQ47" i="2"/>
  <c r="AR47" i="2" s="1"/>
  <c r="AO45" i="2"/>
  <c r="AP45" i="2" s="1"/>
  <c r="AO43" i="2"/>
  <c r="AP43" i="2" s="1"/>
  <c r="AO41" i="2"/>
  <c r="AP41" i="2" s="1"/>
  <c r="AT29" i="2"/>
  <c r="AU29" i="2" s="1"/>
  <c r="AV29" i="2"/>
  <c r="AW29" i="2" s="1"/>
  <c r="AT25" i="2"/>
  <c r="AU25" i="2" s="1"/>
  <c r="AV25" i="2"/>
  <c r="AW25" i="2" s="1"/>
  <c r="AT21" i="2"/>
  <c r="AU21" i="2" s="1"/>
  <c r="AV21" i="2"/>
  <c r="AW21" i="2" s="1"/>
  <c r="AT17" i="2"/>
  <c r="AU17" i="2" s="1"/>
  <c r="AV17" i="2"/>
  <c r="AW17" i="2" s="1"/>
  <c r="AT13" i="2"/>
  <c r="AU13" i="2" s="1"/>
  <c r="AV13" i="2"/>
  <c r="AW13" i="2" s="1"/>
  <c r="AT5" i="2"/>
  <c r="AU5" i="2" s="1"/>
  <c r="AV5" i="2"/>
  <c r="AW5" i="2" s="1"/>
  <c r="AV85" i="2"/>
  <c r="AW85" i="2" s="1"/>
  <c r="AT85" i="2"/>
  <c r="AU85" i="2" s="1"/>
  <c r="AV72" i="2"/>
  <c r="AW72" i="2" s="1"/>
  <c r="AT72" i="2"/>
  <c r="AU72" i="2" s="1"/>
  <c r="AQ66" i="2"/>
  <c r="AR66" i="2" s="1"/>
  <c r="AO66" i="2"/>
  <c r="AP66" i="2" s="1"/>
  <c r="AO21" i="2"/>
  <c r="AP21" i="2" s="1"/>
  <c r="AO19" i="2"/>
  <c r="AP19" i="2" s="1"/>
  <c r="AO17" i="2"/>
  <c r="AP17" i="2" s="1"/>
  <c r="AO15" i="2"/>
  <c r="AP15" i="2" s="1"/>
  <c r="AO13" i="2"/>
  <c r="AP13" i="2" s="1"/>
  <c r="AO7" i="2"/>
  <c r="AP7" i="2" s="1"/>
  <c r="AQ30" i="2"/>
  <c r="AR30" i="2" s="1"/>
  <c r="AQ6" i="2"/>
  <c r="AR6" i="2" s="1"/>
  <c r="AO26" i="2"/>
  <c r="AP26" i="2" s="1"/>
  <c r="AO8" i="2"/>
  <c r="AP8" i="2" s="1"/>
  <c r="AQ75" i="2"/>
  <c r="AR75" i="2" s="1"/>
  <c r="AO75" i="2"/>
  <c r="AP75" i="2" s="1"/>
  <c r="AV28" i="2"/>
  <c r="AW28" i="2" s="1"/>
  <c r="AT28" i="2"/>
  <c r="AU28" i="2" s="1"/>
  <c r="AT121" i="2"/>
  <c r="AU121" i="2" s="1"/>
  <c r="AV121" i="2"/>
  <c r="AW121" i="2" s="1"/>
  <c r="AO82" i="2"/>
  <c r="AP82" i="2" s="1"/>
  <c r="AQ82" i="2"/>
  <c r="AR82" i="2" s="1"/>
  <c r="AO105" i="2"/>
  <c r="AP105" i="2" s="1"/>
  <c r="AQ105" i="2"/>
  <c r="AR105" i="2" s="1"/>
  <c r="AV87" i="2"/>
  <c r="AW87" i="2" s="1"/>
  <c r="AT87" i="2"/>
  <c r="AU87" i="2" s="1"/>
  <c r="AO61" i="2"/>
  <c r="AP61" i="2" s="1"/>
  <c r="AQ61" i="2"/>
  <c r="AR61" i="2" s="1"/>
  <c r="AV34" i="2"/>
  <c r="AW34" i="2" s="1"/>
  <c r="AT34" i="2"/>
  <c r="AU34" i="2" s="1"/>
  <c r="AO86" i="2"/>
  <c r="AP86" i="2" s="1"/>
  <c r="AQ86" i="2"/>
  <c r="AR86" i="2" s="1"/>
  <c r="AV75" i="2"/>
  <c r="AW75" i="2" s="1"/>
  <c r="AT75" i="2"/>
  <c r="AU75" i="2" s="1"/>
  <c r="AV65" i="2"/>
  <c r="AW65" i="2" s="1"/>
  <c r="AT65" i="2"/>
  <c r="AU65" i="2" s="1"/>
  <c r="AQ54" i="2"/>
  <c r="AR54" i="2" s="1"/>
  <c r="AO54" i="2"/>
  <c r="AP54" i="2" s="1"/>
  <c r="AV50" i="2"/>
  <c r="AW50" i="2" s="1"/>
  <c r="AT50" i="2"/>
  <c r="AU50" i="2" s="1"/>
  <c r="AV37" i="2"/>
  <c r="AW37" i="2" s="1"/>
  <c r="AT37" i="2"/>
  <c r="AU37" i="2" s="1"/>
  <c r="AV33" i="2"/>
  <c r="AW33" i="2" s="1"/>
  <c r="AT33" i="2"/>
  <c r="AU33" i="2" s="1"/>
  <c r="AV9" i="2"/>
  <c r="AW9" i="2" s="1"/>
  <c r="AT9" i="2"/>
  <c r="AU9" i="2" s="1"/>
  <c r="AO35" i="2"/>
  <c r="AP35" i="2" s="1"/>
  <c r="AQ35" i="2"/>
  <c r="AR35" i="2" s="1"/>
  <c r="AO11" i="2"/>
  <c r="AP11" i="2" s="1"/>
  <c r="AQ11" i="2"/>
  <c r="AR11" i="2" s="1"/>
  <c r="AQ124" i="2"/>
  <c r="AR124" i="2" s="1"/>
  <c r="AO124" i="2"/>
  <c r="AP124" i="2" s="1"/>
  <c r="AT61" i="2"/>
  <c r="AU61" i="2" s="1"/>
  <c r="AV61" i="2"/>
  <c r="AW61" i="2" s="1"/>
  <c r="AV69" i="2"/>
  <c r="AW69" i="2" s="1"/>
  <c r="AT69" i="2"/>
  <c r="AU69" i="2" s="1"/>
  <c r="AQ81" i="2"/>
  <c r="AR81" i="2" s="1"/>
  <c r="AO81" i="2"/>
  <c r="AP81" i="2" s="1"/>
  <c r="AQ87" i="2"/>
  <c r="AR87" i="2" s="1"/>
  <c r="AO87" i="2"/>
  <c r="AP87" i="2" s="1"/>
  <c r="AQ95" i="2"/>
  <c r="AR95" i="2" s="1"/>
  <c r="AO95" i="2"/>
  <c r="AP95" i="2" s="1"/>
  <c r="AO103" i="2"/>
  <c r="AP103" i="2" s="1"/>
  <c r="AQ103" i="2"/>
  <c r="AR103" i="2" s="1"/>
  <c r="AQ111" i="2"/>
  <c r="AR111" i="2" s="1"/>
  <c r="AO111" i="2"/>
  <c r="AP111" i="2" s="1"/>
  <c r="AT124" i="2"/>
  <c r="AU124" i="2" s="1"/>
  <c r="AV124" i="2"/>
  <c r="AW124" i="2" s="1"/>
  <c r="AV119" i="2"/>
  <c r="AW119" i="2" s="1"/>
  <c r="AT119" i="2"/>
  <c r="AU119" i="2" s="1"/>
  <c r="AT128" i="2"/>
  <c r="AU128" i="2" s="1"/>
  <c r="AV128" i="2"/>
  <c r="AW128" i="2" s="1"/>
  <c r="AT90" i="2"/>
  <c r="AU90" i="2" s="1"/>
  <c r="AV90" i="2"/>
  <c r="AW90" i="2" s="1"/>
  <c r="AT94" i="2"/>
  <c r="AU94" i="2" s="1"/>
  <c r="AV94" i="2"/>
  <c r="AW94" i="2" s="1"/>
  <c r="AT102" i="2"/>
  <c r="AU102" i="2" s="1"/>
  <c r="AV102" i="2"/>
  <c r="AW102" i="2" s="1"/>
  <c r="AO131" i="2"/>
  <c r="AP131" i="2" s="1"/>
  <c r="AQ131" i="2"/>
  <c r="AR131" i="2" s="1"/>
  <c r="AQ138" i="2"/>
  <c r="AR138" i="2" s="1"/>
  <c r="AO138" i="2"/>
  <c r="AP138" i="2" s="1"/>
  <c r="AQ142" i="2"/>
  <c r="AR142" i="2" s="1"/>
  <c r="AO142" i="2"/>
  <c r="AP142" i="2" s="1"/>
  <c r="AO180" i="2"/>
  <c r="AP180" i="2" s="1"/>
  <c r="AQ180" i="2"/>
  <c r="AR180" i="2" s="1"/>
  <c r="AQ147" i="2"/>
  <c r="AR147" i="2" s="1"/>
  <c r="AO147" i="2"/>
  <c r="AP147" i="2" s="1"/>
  <c r="AQ151" i="2"/>
  <c r="AR151" i="2" s="1"/>
  <c r="AO151" i="2"/>
  <c r="AP151" i="2" s="1"/>
  <c r="AV86" i="2"/>
  <c r="AW86" i="2" s="1"/>
  <c r="AT86" i="2"/>
  <c r="AU86" i="2" s="1"/>
  <c r="AT98" i="2"/>
  <c r="AU98" i="2" s="1"/>
  <c r="AV98" i="2"/>
  <c r="AW98" i="2" s="1"/>
  <c r="AT106" i="2"/>
  <c r="AU106" i="2" s="1"/>
  <c r="AV106" i="2"/>
  <c r="AW106" i="2" s="1"/>
  <c r="AT110" i="2"/>
  <c r="AU110" i="2" s="1"/>
  <c r="AV110" i="2"/>
  <c r="AW110" i="2" s="1"/>
  <c r="AT114" i="2"/>
  <c r="AU114" i="2" s="1"/>
  <c r="AV114" i="2"/>
  <c r="AW114" i="2" s="1"/>
  <c r="AO130" i="2"/>
  <c r="AP130" i="2" s="1"/>
  <c r="AQ130" i="2"/>
  <c r="AR130" i="2" s="1"/>
  <c r="AQ156" i="2"/>
  <c r="AR156" i="2" s="1"/>
  <c r="AO156" i="2"/>
  <c r="AP156" i="2" s="1"/>
  <c r="AQ128" i="2"/>
  <c r="AR128" i="2" s="1"/>
  <c r="AO128" i="2"/>
  <c r="AP128" i="2" s="1"/>
  <c r="AT140" i="2"/>
  <c r="AU140" i="2" s="1"/>
  <c r="AV140" i="2"/>
  <c r="AW140" i="2" s="1"/>
  <c r="AT144" i="2"/>
  <c r="AU144" i="2" s="1"/>
  <c r="AV144" i="2"/>
  <c r="AW144" i="2" s="1"/>
  <c r="AT148" i="2"/>
  <c r="AU148" i="2" s="1"/>
  <c r="AV148" i="2"/>
  <c r="AW148" i="2" s="1"/>
  <c r="AT152" i="2"/>
  <c r="AU152" i="2" s="1"/>
  <c r="AV152" i="2"/>
  <c r="AW152" i="2" s="1"/>
  <c r="AT156" i="2"/>
  <c r="AU156" i="2" s="1"/>
  <c r="AV156" i="2"/>
  <c r="AW156" i="2" s="1"/>
  <c r="AQ164" i="2"/>
  <c r="AR164" i="2" s="1"/>
  <c r="AO164" i="2"/>
  <c r="AP164" i="2" s="1"/>
  <c r="AO168" i="2"/>
  <c r="AP168" i="2" s="1"/>
  <c r="AQ168" i="2"/>
  <c r="AR168" i="2" s="1"/>
  <c r="AO136" i="2"/>
  <c r="AP136" i="2" s="1"/>
  <c r="AQ136" i="2"/>
  <c r="AR136" i="2" s="1"/>
  <c r="AO154" i="2"/>
  <c r="AP154" i="2" s="1"/>
  <c r="AQ154" i="2"/>
  <c r="AR154" i="2" s="1"/>
  <c r="AQ119" i="2"/>
  <c r="AR119" i="2" s="1"/>
  <c r="AO119" i="2"/>
  <c r="AP119" i="2" s="1"/>
  <c r="AV131" i="2"/>
  <c r="AW131" i="2" s="1"/>
  <c r="AT131" i="2"/>
  <c r="AU131" i="2" s="1"/>
  <c r="AV135" i="2"/>
  <c r="AW135" i="2" s="1"/>
  <c r="AT135" i="2"/>
  <c r="AU135" i="2" s="1"/>
  <c r="AO160" i="2"/>
  <c r="AP160" i="2" s="1"/>
  <c r="AQ160" i="2"/>
  <c r="AR160" i="2" s="1"/>
  <c r="AV174" i="2"/>
  <c r="AW174" i="2" s="1"/>
  <c r="AT174" i="2"/>
  <c r="AU174" i="2" s="1"/>
  <c r="AO167" i="2"/>
  <c r="AP167" i="2" s="1"/>
  <c r="AQ167" i="2"/>
  <c r="AR167" i="2" s="1"/>
  <c r="AO175" i="2"/>
  <c r="AP175" i="2" s="1"/>
  <c r="AQ175" i="2"/>
  <c r="AR175" i="2" s="1"/>
  <c r="AT159" i="2"/>
  <c r="AU159" i="2" s="1"/>
  <c r="AV159" i="2"/>
  <c r="AW159" i="2" s="1"/>
  <c r="AV167" i="2"/>
  <c r="AW167" i="2" s="1"/>
  <c r="AT167" i="2"/>
  <c r="AU167" i="2" s="1"/>
  <c r="AT176" i="2"/>
  <c r="AU176" i="2" s="1"/>
  <c r="AV176" i="2"/>
  <c r="AW176" i="2" s="1"/>
  <c r="AQ181" i="2"/>
  <c r="AR181" i="2" s="1"/>
  <c r="AO181" i="2"/>
  <c r="AP181" i="2" s="1"/>
  <c r="AQ173" i="2"/>
  <c r="AR173" i="2" s="1"/>
  <c r="AO173" i="2"/>
  <c r="AP173" i="2" s="1"/>
  <c r="AV197" i="2"/>
  <c r="AW197" i="2" s="1"/>
  <c r="AT197" i="2"/>
  <c r="AU197" i="2" s="1"/>
  <c r="AT206" i="2"/>
  <c r="AU206" i="2" s="1"/>
  <c r="AV206" i="2"/>
  <c r="AW206" i="2" s="1"/>
  <c r="AO189" i="2"/>
  <c r="AP189" i="2" s="1"/>
  <c r="AQ189" i="2"/>
  <c r="AR189" i="2" s="1"/>
  <c r="AT193" i="2"/>
  <c r="AU193" i="2" s="1"/>
  <c r="AV193" i="2"/>
  <c r="AW193" i="2" s="1"/>
  <c r="AT189" i="2"/>
  <c r="AU189" i="2" s="1"/>
  <c r="AV189" i="2"/>
  <c r="AW189" i="2" s="1"/>
  <c r="AV202" i="2"/>
  <c r="AW202" i="2" s="1"/>
  <c r="AT202" i="2"/>
  <c r="AU202" i="2" s="1"/>
  <c r="AQ186" i="2"/>
  <c r="AR186" i="2" s="1"/>
  <c r="AO186" i="2"/>
  <c r="AP186" i="2" s="1"/>
  <c r="AO205" i="2"/>
  <c r="AP205" i="2" s="1"/>
  <c r="AQ205" i="2"/>
  <c r="AR205" i="2" s="1"/>
  <c r="AV208" i="2"/>
  <c r="AW208" i="2" s="1"/>
  <c r="AT208" i="2"/>
  <c r="AU208" i="2" s="1"/>
  <c r="AO217" i="2"/>
  <c r="AP217" i="2" s="1"/>
  <c r="AQ217" i="2"/>
  <c r="AR217" i="2" s="1"/>
  <c r="AO196" i="2"/>
  <c r="AP196" i="2" s="1"/>
  <c r="AQ196" i="2"/>
  <c r="AR196" i="2" s="1"/>
  <c r="AQ200" i="2"/>
  <c r="AR200" i="2" s="1"/>
  <c r="AO200" i="2"/>
  <c r="AP200" i="2" s="1"/>
  <c r="AQ204" i="2"/>
  <c r="AR204" i="2" s="1"/>
  <c r="AO204" i="2"/>
  <c r="AP204" i="2" s="1"/>
  <c r="AO216" i="2"/>
  <c r="AP216" i="2" s="1"/>
  <c r="AQ216" i="2"/>
  <c r="AR216" i="2" s="1"/>
  <c r="AT219" i="2"/>
  <c r="AU219" i="2" s="1"/>
  <c r="AV219" i="2"/>
  <c r="AW219" i="2" s="1"/>
  <c r="AV223" i="2"/>
  <c r="AW223" i="2" s="1"/>
  <c r="AT223" i="2"/>
  <c r="AU223" i="2" s="1"/>
  <c r="AV227" i="2"/>
  <c r="AW227" i="2" s="1"/>
  <c r="AT227" i="2"/>
  <c r="AU227" i="2" s="1"/>
  <c r="AO231" i="2"/>
  <c r="AP231" i="2" s="1"/>
  <c r="AQ231" i="2"/>
  <c r="AR231" i="2" s="1"/>
  <c r="AO235" i="2"/>
  <c r="AP235" i="2" s="1"/>
  <c r="AQ235" i="2"/>
  <c r="AR235" i="2" s="1"/>
  <c r="AV213" i="2"/>
  <c r="AW213" i="2" s="1"/>
  <c r="AT213" i="2"/>
  <c r="AU213" i="2" s="1"/>
  <c r="AV217" i="2"/>
  <c r="AW217" i="2" s="1"/>
  <c r="AT217" i="2"/>
  <c r="AU217" i="2" s="1"/>
  <c r="AT233" i="2"/>
  <c r="AU233" i="2" s="1"/>
  <c r="AV233" i="2"/>
  <c r="AW233" i="2" s="1"/>
  <c r="AQ222" i="2"/>
  <c r="AR222" i="2" s="1"/>
  <c r="AO222" i="2"/>
  <c r="AP222" i="2" s="1"/>
  <c r="AQ226" i="2"/>
  <c r="AR226" i="2" s="1"/>
  <c r="AO226" i="2"/>
  <c r="AP226" i="2" s="1"/>
  <c r="AQ230" i="2"/>
  <c r="AR230" i="2" s="1"/>
  <c r="AO230" i="2"/>
  <c r="AP230" i="2" s="1"/>
  <c r="AO104" i="2"/>
  <c r="AP104" i="2" s="1"/>
  <c r="AQ104" i="2"/>
  <c r="AR104" i="2" s="1"/>
  <c r="AV82" i="2"/>
  <c r="AW82" i="2" s="1"/>
  <c r="AT82" i="2"/>
  <c r="AU82" i="2" s="1"/>
  <c r="AQ78" i="2"/>
  <c r="AR78" i="2" s="1"/>
  <c r="AO78" i="2"/>
  <c r="AP78" i="2" s="1"/>
  <c r="AT68" i="2"/>
  <c r="AU68" i="2" s="1"/>
  <c r="AV68" i="2"/>
  <c r="AW68" i="2" s="1"/>
  <c r="AQ62" i="2"/>
  <c r="AR62" i="2" s="1"/>
  <c r="AT48" i="2"/>
  <c r="AU48" i="2" s="1"/>
  <c r="AV48" i="2"/>
  <c r="AW48" i="2" s="1"/>
  <c r="AO38" i="2"/>
  <c r="AP38" i="2" s="1"/>
  <c r="AQ38" i="2"/>
  <c r="AR38" i="2" s="1"/>
  <c r="AO28" i="2"/>
  <c r="AP28" i="2" s="1"/>
  <c r="AQ28" i="2"/>
  <c r="AR28" i="2" s="1"/>
  <c r="AO9" i="2"/>
  <c r="AP9" i="2" s="1"/>
  <c r="AQ9" i="2"/>
  <c r="AR9" i="2" s="1"/>
  <c r="AQ100" i="2"/>
  <c r="AR100" i="2" s="1"/>
  <c r="AO100" i="2"/>
  <c r="AP100" i="2" s="1"/>
  <c r="AV73" i="2"/>
  <c r="AW73" i="2" s="1"/>
  <c r="AT73" i="2"/>
  <c r="AU73" i="2" s="1"/>
  <c r="AV67" i="2"/>
  <c r="AW67" i="2" s="1"/>
  <c r="AT67" i="2"/>
  <c r="AU67" i="2" s="1"/>
  <c r="AT60" i="2"/>
  <c r="AU60" i="2" s="1"/>
  <c r="AV60" i="2"/>
  <c r="AW60" i="2" s="1"/>
  <c r="AT58" i="2"/>
  <c r="AU58" i="2" s="1"/>
  <c r="AV58" i="2"/>
  <c r="AW58" i="2" s="1"/>
  <c r="AT46" i="2"/>
  <c r="AU46" i="2" s="1"/>
  <c r="AV46" i="2"/>
  <c r="AW46" i="2" s="1"/>
  <c r="AT44" i="2"/>
  <c r="AU44" i="2" s="1"/>
  <c r="AV44" i="2"/>
  <c r="AW44" i="2" s="1"/>
  <c r="AV42" i="2"/>
  <c r="AW42" i="2" s="1"/>
  <c r="AT42" i="2"/>
  <c r="AU42" i="2" s="1"/>
  <c r="AT20" i="2"/>
  <c r="AU20" i="2" s="1"/>
  <c r="AV20" i="2"/>
  <c r="AW20" i="2" s="1"/>
  <c r="AT16" i="2"/>
  <c r="AU16" i="2" s="1"/>
  <c r="AV16" i="2"/>
  <c r="AW16" i="2" s="1"/>
  <c r="AT8" i="2"/>
  <c r="AU8" i="2" s="1"/>
  <c r="AV8" i="2"/>
  <c r="AW8" i="2" s="1"/>
  <c r="AT4" i="2"/>
  <c r="AU4" i="2" s="1"/>
  <c r="AV4" i="2"/>
  <c r="AW4" i="2" s="1"/>
  <c r="AQ72" i="2"/>
  <c r="AR72" i="2" s="1"/>
  <c r="AO72" i="2"/>
  <c r="AP72" i="2" s="1"/>
  <c r="AO4" i="2"/>
  <c r="AP4" i="2" s="1"/>
  <c r="AO29" i="2"/>
  <c r="AP29" i="2" s="1"/>
  <c r="AQ46" i="2"/>
  <c r="AR46" i="2" s="1"/>
  <c r="AQ83" i="2"/>
  <c r="AR83" i="2" s="1"/>
  <c r="AO83" i="2"/>
  <c r="AP83" i="2" s="1"/>
  <c r="AT49" i="2"/>
  <c r="AU49" i="2" s="1"/>
  <c r="AV49" i="2"/>
  <c r="AW49" i="2" s="1"/>
  <c r="AV36" i="2"/>
  <c r="AW36" i="2" s="1"/>
  <c r="AT36" i="2"/>
  <c r="AU36" i="2" s="1"/>
  <c r="AQ125" i="2"/>
  <c r="AR125" i="2" s="1"/>
  <c r="AO125" i="2"/>
  <c r="AP125" i="2" s="1"/>
  <c r="AO97" i="2"/>
  <c r="AP97" i="2" s="1"/>
  <c r="AQ97" i="2"/>
  <c r="AR97" i="2" s="1"/>
  <c r="AO121" i="2"/>
  <c r="AP121" i="2" s="1"/>
  <c r="AQ121" i="2"/>
  <c r="AR121" i="2" s="1"/>
  <c r="AV91" i="2"/>
  <c r="AW91" i="2" s="1"/>
  <c r="AT91" i="2"/>
  <c r="AU91" i="2" s="1"/>
  <c r="AV99" i="2"/>
  <c r="AW99" i="2" s="1"/>
  <c r="AT99" i="2"/>
  <c r="AU99" i="2" s="1"/>
  <c r="AO133" i="2"/>
  <c r="AP133" i="2" s="1"/>
  <c r="AQ133" i="2"/>
  <c r="AR133" i="2" s="1"/>
  <c r="AQ143" i="2"/>
  <c r="AR143" i="2" s="1"/>
  <c r="AO143" i="2"/>
  <c r="AP143" i="2" s="1"/>
  <c r="AQ152" i="2"/>
  <c r="AR152" i="2" s="1"/>
  <c r="AO152" i="2"/>
  <c r="AP152" i="2" s="1"/>
  <c r="AV103" i="2"/>
  <c r="AW103" i="2" s="1"/>
  <c r="AT103" i="2"/>
  <c r="AU103" i="2" s="1"/>
  <c r="AV107" i="2"/>
  <c r="AW107" i="2" s="1"/>
  <c r="AT107" i="2"/>
  <c r="AU107" i="2" s="1"/>
  <c r="AV115" i="2"/>
  <c r="AW115" i="2" s="1"/>
  <c r="AT115" i="2"/>
  <c r="AU115" i="2" s="1"/>
  <c r="AV120" i="2"/>
  <c r="AW120" i="2" s="1"/>
  <c r="AT120" i="2"/>
  <c r="AU120" i="2" s="1"/>
  <c r="AO132" i="2"/>
  <c r="AP132" i="2" s="1"/>
  <c r="AQ132" i="2"/>
  <c r="AR132" i="2" s="1"/>
  <c r="AT164" i="2"/>
  <c r="AU164" i="2" s="1"/>
  <c r="AV164" i="2"/>
  <c r="AW164" i="2" s="1"/>
  <c r="AT137" i="2"/>
  <c r="AU137" i="2" s="1"/>
  <c r="AV137" i="2"/>
  <c r="AW137" i="2" s="1"/>
  <c r="AT141" i="2"/>
  <c r="AU141" i="2" s="1"/>
  <c r="AV141" i="2"/>
  <c r="AW141" i="2" s="1"/>
  <c r="AT149" i="2"/>
  <c r="AU149" i="2" s="1"/>
  <c r="AV149" i="2"/>
  <c r="AW149" i="2" s="1"/>
  <c r="AT165" i="2"/>
  <c r="AU165" i="2" s="1"/>
  <c r="AV165" i="2"/>
  <c r="AW165" i="2" s="1"/>
  <c r="AV171" i="2"/>
  <c r="AW171" i="2" s="1"/>
  <c r="AT171" i="2"/>
  <c r="AU171" i="2" s="1"/>
  <c r="AO145" i="2"/>
  <c r="AP145" i="2" s="1"/>
  <c r="AQ145" i="2"/>
  <c r="AR145" i="2" s="1"/>
  <c r="AO157" i="2"/>
  <c r="AP157" i="2" s="1"/>
  <c r="AQ157" i="2"/>
  <c r="AR157" i="2" s="1"/>
  <c r="AQ165" i="2"/>
  <c r="AR165" i="2" s="1"/>
  <c r="AO165" i="2"/>
  <c r="AP165" i="2" s="1"/>
  <c r="AO120" i="2"/>
  <c r="AP120" i="2" s="1"/>
  <c r="AQ120" i="2"/>
  <c r="AR120" i="2" s="1"/>
  <c r="AV132" i="2"/>
  <c r="AW132" i="2" s="1"/>
  <c r="AT132" i="2"/>
  <c r="AU132" i="2" s="1"/>
  <c r="AV136" i="2"/>
  <c r="AW136" i="2" s="1"/>
  <c r="AT136" i="2"/>
  <c r="AU136" i="2" s="1"/>
  <c r="AT168" i="2"/>
  <c r="AU168" i="2" s="1"/>
  <c r="AV168" i="2"/>
  <c r="AW168" i="2" s="1"/>
  <c r="AO176" i="2"/>
  <c r="AP176" i="2" s="1"/>
  <c r="AQ176" i="2"/>
  <c r="AR176" i="2" s="1"/>
  <c r="AT160" i="2"/>
  <c r="AU160" i="2" s="1"/>
  <c r="AV160" i="2"/>
  <c r="AW160" i="2" s="1"/>
  <c r="AV169" i="2"/>
  <c r="AW169" i="2" s="1"/>
  <c r="AT169" i="2"/>
  <c r="AU169" i="2" s="1"/>
  <c r="AQ178" i="2"/>
  <c r="AR178" i="2" s="1"/>
  <c r="AO178" i="2"/>
  <c r="AP178" i="2" s="1"/>
  <c r="AO183" i="2"/>
  <c r="AP183" i="2" s="1"/>
  <c r="AQ183" i="2"/>
  <c r="AR183" i="2" s="1"/>
  <c r="AQ174" i="2"/>
  <c r="AR174" i="2" s="1"/>
  <c r="AO174" i="2"/>
  <c r="AP174" i="2" s="1"/>
  <c r="AV200" i="2"/>
  <c r="AW200" i="2" s="1"/>
  <c r="AT200" i="2"/>
  <c r="AU200" i="2" s="1"/>
  <c r="AO190" i="2"/>
  <c r="AP190" i="2" s="1"/>
  <c r="AQ190" i="2"/>
  <c r="AR190" i="2" s="1"/>
  <c r="AV203" i="2"/>
  <c r="AW203" i="2" s="1"/>
  <c r="AT203" i="2"/>
  <c r="AU203" i="2" s="1"/>
  <c r="AT209" i="2"/>
  <c r="AU209" i="2" s="1"/>
  <c r="AV209" i="2"/>
  <c r="AW209" i="2" s="1"/>
  <c r="AT190" i="2"/>
  <c r="AU190" i="2" s="1"/>
  <c r="AV190" i="2"/>
  <c r="AW190" i="2" s="1"/>
  <c r="AV195" i="2"/>
  <c r="AW195" i="2" s="1"/>
  <c r="AT195" i="2"/>
  <c r="AU195" i="2" s="1"/>
  <c r="AV201" i="2"/>
  <c r="AW201" i="2" s="1"/>
  <c r="AT201" i="2"/>
  <c r="AU201" i="2" s="1"/>
  <c r="AQ209" i="2"/>
  <c r="AR209" i="2" s="1"/>
  <c r="AO209" i="2"/>
  <c r="AP209" i="2" s="1"/>
  <c r="AQ206" i="2"/>
  <c r="AR206" i="2" s="1"/>
  <c r="AO206" i="2"/>
  <c r="AP206" i="2" s="1"/>
  <c r="AO211" i="2"/>
  <c r="AP211" i="2" s="1"/>
  <c r="AQ211" i="2"/>
  <c r="AR211" i="2" s="1"/>
  <c r="AQ197" i="2"/>
  <c r="AR197" i="2" s="1"/>
  <c r="AO197" i="2"/>
  <c r="AP197" i="2" s="1"/>
  <c r="AQ201" i="2"/>
  <c r="AR201" i="2" s="1"/>
  <c r="AO201" i="2"/>
  <c r="AP201" i="2" s="1"/>
  <c r="AO210" i="2"/>
  <c r="AP210" i="2" s="1"/>
  <c r="AQ210" i="2"/>
  <c r="AR210" i="2" s="1"/>
  <c r="AO218" i="2"/>
  <c r="AP218" i="2" s="1"/>
  <c r="AQ218" i="2"/>
  <c r="AR218" i="2" s="1"/>
  <c r="AT220" i="2"/>
  <c r="AU220" i="2" s="1"/>
  <c r="AV220" i="2"/>
  <c r="AW220" i="2" s="1"/>
  <c r="AV224" i="2"/>
  <c r="AW224" i="2" s="1"/>
  <c r="AT224" i="2"/>
  <c r="AU224" i="2" s="1"/>
  <c r="AV228" i="2"/>
  <c r="AW228" i="2" s="1"/>
  <c r="AT228" i="2"/>
  <c r="AU228" i="2" s="1"/>
  <c r="AO232" i="2"/>
  <c r="AP232" i="2" s="1"/>
  <c r="AQ232" i="2"/>
  <c r="AR232" i="2" s="1"/>
  <c r="AV210" i="2"/>
  <c r="AW210" i="2" s="1"/>
  <c r="AT210" i="2"/>
  <c r="AU210" i="2" s="1"/>
  <c r="AV214" i="2"/>
  <c r="AW214" i="2" s="1"/>
  <c r="AT214" i="2"/>
  <c r="AU214" i="2" s="1"/>
  <c r="AV218" i="2"/>
  <c r="AW218" i="2" s="1"/>
  <c r="AT218" i="2"/>
  <c r="AU218" i="2" s="1"/>
  <c r="AT234" i="2"/>
  <c r="AU234" i="2" s="1"/>
  <c r="AV234" i="2"/>
  <c r="AW234" i="2" s="1"/>
  <c r="AQ223" i="2"/>
  <c r="AR223" i="2" s="1"/>
  <c r="AO223" i="2"/>
  <c r="AP223" i="2" s="1"/>
  <c r="AQ227" i="2"/>
  <c r="AR227" i="2" s="1"/>
  <c r="AO227" i="2"/>
  <c r="AP227" i="2" s="1"/>
  <c r="AQ102" i="2"/>
  <c r="AR102" i="2" s="1"/>
  <c r="AO102" i="2"/>
  <c r="AP102" i="2" s="1"/>
  <c r="AT74" i="2"/>
  <c r="AU74" i="2" s="1"/>
  <c r="AV74" i="2"/>
  <c r="AW74" i="2" s="1"/>
  <c r="AQ68" i="2"/>
  <c r="AR68" i="2" s="1"/>
  <c r="AO68" i="2"/>
  <c r="AP68" i="2" s="1"/>
  <c r="AT47" i="2"/>
  <c r="AU47" i="2" s="1"/>
  <c r="AV47" i="2"/>
  <c r="AW47" i="2" s="1"/>
  <c r="AO37" i="2"/>
  <c r="AP37" i="2" s="1"/>
  <c r="AQ37" i="2"/>
  <c r="AR37" i="2" s="1"/>
  <c r="AO27" i="2"/>
  <c r="AP27" i="2" s="1"/>
  <c r="AQ27" i="2"/>
  <c r="AR27" i="2" s="1"/>
  <c r="AO114" i="2"/>
  <c r="AP114" i="2" s="1"/>
  <c r="AQ114" i="2"/>
  <c r="AR114" i="2" s="1"/>
  <c r="AO98" i="2"/>
  <c r="AP98" i="2" s="1"/>
  <c r="AQ98" i="2"/>
  <c r="AR98" i="2" s="1"/>
  <c r="AO79" i="2"/>
  <c r="AP79" i="2" s="1"/>
  <c r="AQ79" i="2"/>
  <c r="AR79" i="2" s="1"/>
  <c r="AQ73" i="2"/>
  <c r="AR73" i="2" s="1"/>
  <c r="AO73" i="2"/>
  <c r="AP73" i="2" s="1"/>
  <c r="AQ67" i="2"/>
  <c r="AR67" i="2" s="1"/>
  <c r="AO67" i="2"/>
  <c r="AP67" i="2" s="1"/>
  <c r="AQ60" i="2"/>
  <c r="AR60" i="2" s="1"/>
  <c r="AO60" i="2"/>
  <c r="AP60" i="2" s="1"/>
  <c r="AQ58" i="2"/>
  <c r="AR58" i="2" s="1"/>
  <c r="AO58" i="2"/>
  <c r="AP58" i="2" s="1"/>
  <c r="AO44" i="2"/>
  <c r="AP44" i="2" s="1"/>
  <c r="AO42" i="2"/>
  <c r="AP42" i="2" s="1"/>
  <c r="AT19" i="2"/>
  <c r="AU19" i="2" s="1"/>
  <c r="AV19" i="2"/>
  <c r="AW19" i="2" s="1"/>
  <c r="AT15" i="2"/>
  <c r="AU15" i="2" s="1"/>
  <c r="AV15" i="2"/>
  <c r="AW15" i="2" s="1"/>
  <c r="AT7" i="2"/>
  <c r="AU7" i="2" s="1"/>
  <c r="AV7" i="2"/>
  <c r="AW7" i="2" s="1"/>
  <c r="AO108" i="2"/>
  <c r="AP108" i="2" s="1"/>
  <c r="AQ108" i="2"/>
  <c r="AR108" i="2" s="1"/>
  <c r="AV76" i="2"/>
  <c r="AW76" i="2" s="1"/>
  <c r="AT76" i="2"/>
  <c r="AU76" i="2" s="1"/>
  <c r="AO22" i="2"/>
  <c r="AP22" i="2" s="1"/>
  <c r="AO20" i="2"/>
  <c r="AP20" i="2" s="1"/>
  <c r="AO18" i="2"/>
  <c r="AP18" i="2" s="1"/>
  <c r="AO16" i="2"/>
  <c r="AP16" i="2" s="1"/>
  <c r="AO14" i="2"/>
  <c r="AP14" i="2" s="1"/>
  <c r="AQ116" i="2"/>
  <c r="AR116" i="2" s="1"/>
  <c r="AO25" i="2"/>
  <c r="AP25" i="2" s="1"/>
  <c r="AO5" i="2"/>
  <c r="AP5" i="2" s="1"/>
  <c r="AQ65" i="2"/>
  <c r="AR65" i="2" s="1"/>
  <c r="AO65" i="2"/>
  <c r="AP65" i="2" s="1"/>
  <c r="AT40" i="2"/>
  <c r="AU40" i="2" s="1"/>
  <c r="AV40" i="2"/>
  <c r="AW40" i="2" s="1"/>
  <c r="AV24" i="2"/>
  <c r="AW24" i="2" s="1"/>
  <c r="AT24" i="2"/>
  <c r="AU24" i="2" s="1"/>
  <c r="AV12" i="2"/>
  <c r="AW12" i="2" s="1"/>
  <c r="AT12" i="2"/>
  <c r="AU12" i="2" s="1"/>
  <c r="AO10" i="2"/>
  <c r="AP10" i="2" s="1"/>
  <c r="AQ10" i="2"/>
  <c r="AR10" i="2" s="1"/>
  <c r="AT70" i="2"/>
  <c r="AU70" i="2" s="1"/>
  <c r="AV70" i="2"/>
  <c r="AW70" i="2" s="1"/>
  <c r="AQ89" i="2"/>
  <c r="AR89" i="2" s="1"/>
  <c r="AO89" i="2"/>
  <c r="AP89" i="2" s="1"/>
  <c r="AO113" i="2"/>
  <c r="AP113" i="2" s="1"/>
  <c r="AQ113" i="2"/>
  <c r="AR113" i="2" s="1"/>
  <c r="AV95" i="2"/>
  <c r="AW95" i="2" s="1"/>
  <c r="AT95" i="2"/>
  <c r="AU95" i="2" s="1"/>
  <c r="AV111" i="2"/>
  <c r="AW111" i="2" s="1"/>
  <c r="AT111" i="2"/>
  <c r="AU111" i="2" s="1"/>
  <c r="AT127" i="2"/>
  <c r="AU127" i="2" s="1"/>
  <c r="AV127" i="2"/>
  <c r="AW127" i="2" s="1"/>
  <c r="AQ139" i="2"/>
  <c r="AR139" i="2" s="1"/>
  <c r="AO139" i="2"/>
  <c r="AP139" i="2" s="1"/>
  <c r="AO184" i="2"/>
  <c r="AP184" i="2" s="1"/>
  <c r="AQ184" i="2"/>
  <c r="AR184" i="2" s="1"/>
  <c r="AQ148" i="2"/>
  <c r="AR148" i="2" s="1"/>
  <c r="AO148" i="2"/>
  <c r="AP148" i="2" s="1"/>
  <c r="AO106" i="2"/>
  <c r="AP106" i="2" s="1"/>
  <c r="AQ106" i="2"/>
  <c r="AR106" i="2" s="1"/>
  <c r="AV81" i="2"/>
  <c r="AW81" i="2" s="1"/>
  <c r="AT81" i="2"/>
  <c r="AU81" i="2" s="1"/>
  <c r="AV71" i="2"/>
  <c r="AW71" i="2" s="1"/>
  <c r="AT71" i="2"/>
  <c r="AU71" i="2" s="1"/>
  <c r="AO52" i="2"/>
  <c r="AP52" i="2" s="1"/>
  <c r="AQ52" i="2"/>
  <c r="AR52" i="2" s="1"/>
  <c r="AV39" i="2"/>
  <c r="AW39" i="2" s="1"/>
  <c r="AT39" i="2"/>
  <c r="AU39" i="2" s="1"/>
  <c r="AV35" i="2"/>
  <c r="AW35" i="2" s="1"/>
  <c r="AT35" i="2"/>
  <c r="AU35" i="2" s="1"/>
  <c r="AV31" i="2"/>
  <c r="AW31" i="2" s="1"/>
  <c r="AT31" i="2"/>
  <c r="AU31" i="2" s="1"/>
  <c r="AV27" i="2"/>
  <c r="AW27" i="2" s="1"/>
  <c r="AT27" i="2"/>
  <c r="AU27" i="2" s="1"/>
  <c r="AV23" i="2"/>
  <c r="AW23" i="2" s="1"/>
  <c r="AT23" i="2"/>
  <c r="AU23" i="2" s="1"/>
  <c r="AV11" i="2"/>
  <c r="AW11" i="2" s="1"/>
  <c r="AT11" i="2"/>
  <c r="AU11" i="2" s="1"/>
  <c r="AO39" i="2"/>
  <c r="AP39" i="2" s="1"/>
  <c r="AQ39" i="2"/>
  <c r="AR39" i="2" s="1"/>
  <c r="AO31" i="2"/>
  <c r="AP31" i="2" s="1"/>
  <c r="AQ31" i="2"/>
  <c r="AR31" i="2" s="1"/>
  <c r="AT83" i="2"/>
  <c r="AU83" i="2" s="1"/>
  <c r="AV83" i="2"/>
  <c r="AW83" i="2" s="1"/>
  <c r="AO122" i="2"/>
  <c r="AP122" i="2" s="1"/>
  <c r="AQ122" i="2"/>
  <c r="AR122" i="2" s="1"/>
  <c r="AQ126" i="2"/>
  <c r="AR126" i="2" s="1"/>
  <c r="AO126" i="2"/>
  <c r="AP126" i="2" s="1"/>
  <c r="AV79" i="2"/>
  <c r="AW79" i="2" s="1"/>
  <c r="AT79" i="2"/>
  <c r="AU79" i="2" s="1"/>
  <c r="AQ84" i="2"/>
  <c r="AR84" i="2" s="1"/>
  <c r="AO84" i="2"/>
  <c r="AP84" i="2" s="1"/>
  <c r="AQ91" i="2"/>
  <c r="AR91" i="2" s="1"/>
  <c r="AO91" i="2"/>
  <c r="AP91" i="2" s="1"/>
  <c r="AQ99" i="2"/>
  <c r="AR99" i="2" s="1"/>
  <c r="AO99" i="2"/>
  <c r="AP99" i="2" s="1"/>
  <c r="AO107" i="2"/>
  <c r="AP107" i="2" s="1"/>
  <c r="AQ107" i="2"/>
  <c r="AR107" i="2" s="1"/>
  <c r="AO115" i="2"/>
  <c r="AP115" i="2" s="1"/>
  <c r="AQ115" i="2"/>
  <c r="AR115" i="2" s="1"/>
  <c r="AT126" i="2"/>
  <c r="AU126" i="2" s="1"/>
  <c r="AV126" i="2"/>
  <c r="AW126" i="2" s="1"/>
  <c r="AT122" i="2"/>
  <c r="AU122" i="2" s="1"/>
  <c r="AV122" i="2"/>
  <c r="AW122" i="2" s="1"/>
  <c r="AT88" i="2"/>
  <c r="AU88" i="2" s="1"/>
  <c r="AV88" i="2"/>
  <c r="AW88" i="2" s="1"/>
  <c r="AT92" i="2"/>
  <c r="AU92" i="2" s="1"/>
  <c r="AV92" i="2"/>
  <c r="AW92" i="2" s="1"/>
  <c r="AT96" i="2"/>
  <c r="AU96" i="2" s="1"/>
  <c r="AV96" i="2"/>
  <c r="AW96" i="2" s="1"/>
  <c r="AT100" i="2"/>
  <c r="AU100" i="2" s="1"/>
  <c r="AV100" i="2"/>
  <c r="AW100" i="2" s="1"/>
  <c r="AT112" i="2"/>
  <c r="AU112" i="2" s="1"/>
  <c r="AV112" i="2"/>
  <c r="AW112" i="2" s="1"/>
  <c r="AO135" i="2"/>
  <c r="AP135" i="2" s="1"/>
  <c r="AQ135" i="2"/>
  <c r="AR135" i="2" s="1"/>
  <c r="AQ140" i="2"/>
  <c r="AR140" i="2" s="1"/>
  <c r="AO140" i="2"/>
  <c r="AP140" i="2" s="1"/>
  <c r="AQ144" i="2"/>
  <c r="AR144" i="2" s="1"/>
  <c r="AO144" i="2"/>
  <c r="AP144" i="2" s="1"/>
  <c r="AQ149" i="2"/>
  <c r="AR149" i="2" s="1"/>
  <c r="AO149" i="2"/>
  <c r="AP149" i="2" s="1"/>
  <c r="AT104" i="2"/>
  <c r="AU104" i="2" s="1"/>
  <c r="AV104" i="2"/>
  <c r="AW104" i="2" s="1"/>
  <c r="AT108" i="2"/>
  <c r="AU108" i="2" s="1"/>
  <c r="AV108" i="2"/>
  <c r="AW108" i="2" s="1"/>
  <c r="AT116" i="2"/>
  <c r="AU116" i="2" s="1"/>
  <c r="AV116" i="2"/>
  <c r="AW116" i="2" s="1"/>
  <c r="AO134" i="2"/>
  <c r="AP134" i="2" s="1"/>
  <c r="AQ134" i="2"/>
  <c r="AR134" i="2" s="1"/>
  <c r="AQ182" i="2"/>
  <c r="AR182" i="2" s="1"/>
  <c r="AO182" i="2"/>
  <c r="AP182" i="2" s="1"/>
  <c r="AT138" i="2"/>
  <c r="AU138" i="2" s="1"/>
  <c r="AV138" i="2"/>
  <c r="AW138" i="2" s="1"/>
  <c r="AT142" i="2"/>
  <c r="AU142" i="2" s="1"/>
  <c r="AV142" i="2"/>
  <c r="AW142" i="2" s="1"/>
  <c r="AT150" i="2"/>
  <c r="AU150" i="2" s="1"/>
  <c r="AV150" i="2"/>
  <c r="AW150" i="2" s="1"/>
  <c r="AT166" i="2"/>
  <c r="AU166" i="2" s="1"/>
  <c r="AV166" i="2"/>
  <c r="AW166" i="2" s="1"/>
  <c r="AV173" i="2"/>
  <c r="AW173" i="2" s="1"/>
  <c r="AT173" i="2"/>
  <c r="AU173" i="2" s="1"/>
  <c r="AO146" i="2"/>
  <c r="AP146" i="2" s="1"/>
  <c r="AQ146" i="2"/>
  <c r="AR146" i="2" s="1"/>
  <c r="AO158" i="2"/>
  <c r="AP158" i="2" s="1"/>
  <c r="AQ158" i="2"/>
  <c r="AR158" i="2" s="1"/>
  <c r="AQ166" i="2"/>
  <c r="AR166" i="2" s="1"/>
  <c r="AO166" i="2"/>
  <c r="AP166" i="2" s="1"/>
  <c r="AV129" i="2"/>
  <c r="AW129" i="2" s="1"/>
  <c r="AT129" i="2"/>
  <c r="AU129" i="2" s="1"/>
  <c r="AV133" i="2"/>
  <c r="AW133" i="2" s="1"/>
  <c r="AT133" i="2"/>
  <c r="AU133" i="2" s="1"/>
  <c r="AV145" i="2"/>
  <c r="AW145" i="2" s="1"/>
  <c r="AT145" i="2"/>
  <c r="AU145" i="2" s="1"/>
  <c r="AV153" i="2"/>
  <c r="AW153" i="2" s="1"/>
  <c r="AT153" i="2"/>
  <c r="AU153" i="2" s="1"/>
  <c r="AV157" i="2"/>
  <c r="AW157" i="2" s="1"/>
  <c r="AT157" i="2"/>
  <c r="AU157" i="2" s="1"/>
  <c r="AT163" i="2"/>
  <c r="AU163" i="2" s="1"/>
  <c r="AV163" i="2"/>
  <c r="AW163" i="2" s="1"/>
  <c r="AO162" i="2"/>
  <c r="AP162" i="2" s="1"/>
  <c r="AQ162" i="2"/>
  <c r="AR162" i="2" s="1"/>
  <c r="AO169" i="2"/>
  <c r="AP169" i="2" s="1"/>
  <c r="AQ169" i="2"/>
  <c r="AR169" i="2" s="1"/>
  <c r="AQ177" i="2"/>
  <c r="AR177" i="2" s="1"/>
  <c r="AO177" i="2"/>
  <c r="AP177" i="2" s="1"/>
  <c r="AV161" i="2"/>
  <c r="AW161" i="2" s="1"/>
  <c r="AT161" i="2"/>
  <c r="AU161" i="2" s="1"/>
  <c r="AT170" i="2"/>
  <c r="AU170" i="2" s="1"/>
  <c r="AV170" i="2"/>
  <c r="AW170" i="2" s="1"/>
  <c r="AT178" i="2"/>
  <c r="AU178" i="2" s="1"/>
  <c r="AV178" i="2"/>
  <c r="AW178" i="2" s="1"/>
  <c r="AQ171" i="2"/>
  <c r="AR171" i="2" s="1"/>
  <c r="AO171" i="2"/>
  <c r="AP171" i="2" s="1"/>
  <c r="AV181" i="2"/>
  <c r="AW181" i="2" s="1"/>
  <c r="AT181" i="2"/>
  <c r="AU181" i="2" s="1"/>
  <c r="AV185" i="2"/>
  <c r="AW185" i="2" s="1"/>
  <c r="AT185" i="2"/>
  <c r="AU185" i="2" s="1"/>
  <c r="AQ193" i="2"/>
  <c r="AR193" i="2" s="1"/>
  <c r="AO193" i="2"/>
  <c r="AP193" i="2" s="1"/>
  <c r="AO187" i="2"/>
  <c r="AP187" i="2" s="1"/>
  <c r="AQ187" i="2"/>
  <c r="AR187" i="2" s="1"/>
  <c r="AO191" i="2"/>
  <c r="AP191" i="2" s="1"/>
  <c r="AQ191" i="2"/>
  <c r="AR191" i="2" s="1"/>
  <c r="AV196" i="2"/>
  <c r="AW196" i="2" s="1"/>
  <c r="AT196" i="2"/>
  <c r="AU196" i="2" s="1"/>
  <c r="AV179" i="2"/>
  <c r="AW179" i="2" s="1"/>
  <c r="AT179" i="2"/>
  <c r="AU179" i="2" s="1"/>
  <c r="AV183" i="2"/>
  <c r="AW183" i="2" s="1"/>
  <c r="AT183" i="2"/>
  <c r="AU183" i="2" s="1"/>
  <c r="AT187" i="2"/>
  <c r="AU187" i="2" s="1"/>
  <c r="AV187" i="2"/>
  <c r="AW187" i="2" s="1"/>
  <c r="AT191" i="2"/>
  <c r="AU191" i="2" s="1"/>
  <c r="AV191" i="2"/>
  <c r="AW191" i="2" s="1"/>
  <c r="AV198" i="2"/>
  <c r="AW198" i="2" s="1"/>
  <c r="AT198" i="2"/>
  <c r="AU198" i="2" s="1"/>
  <c r="AQ194" i="2"/>
  <c r="AR194" i="2" s="1"/>
  <c r="AO194" i="2"/>
  <c r="AP194" i="2" s="1"/>
  <c r="AQ219" i="2"/>
  <c r="AR219" i="2" s="1"/>
  <c r="AO219" i="2"/>
  <c r="AP219" i="2" s="1"/>
  <c r="AQ207" i="2"/>
  <c r="AR207" i="2" s="1"/>
  <c r="AO207" i="2"/>
  <c r="AP207" i="2" s="1"/>
  <c r="AO213" i="2"/>
  <c r="AP213" i="2" s="1"/>
  <c r="AQ213" i="2"/>
  <c r="AR213" i="2" s="1"/>
  <c r="AQ198" i="2"/>
  <c r="AR198" i="2" s="1"/>
  <c r="AO198" i="2"/>
  <c r="AP198" i="2" s="1"/>
  <c r="AQ202" i="2"/>
  <c r="AR202" i="2" s="1"/>
  <c r="AO202" i="2"/>
  <c r="AP202" i="2" s="1"/>
  <c r="AO212" i="2"/>
  <c r="AP212" i="2" s="1"/>
  <c r="AQ212" i="2"/>
  <c r="AR212" i="2" s="1"/>
  <c r="AV221" i="2"/>
  <c r="AW221" i="2" s="1"/>
  <c r="AT221" i="2"/>
  <c r="AU221" i="2" s="1"/>
  <c r="AV225" i="2"/>
  <c r="AW225" i="2" s="1"/>
  <c r="AT225" i="2"/>
  <c r="AU225" i="2" s="1"/>
  <c r="AV229" i="2"/>
  <c r="AW229" i="2" s="1"/>
  <c r="AT229" i="2"/>
  <c r="AU229" i="2" s="1"/>
  <c r="AO233" i="2"/>
  <c r="AP233" i="2" s="1"/>
  <c r="AQ233" i="2"/>
  <c r="AR233" i="2" s="1"/>
  <c r="AV211" i="2"/>
  <c r="AW211" i="2" s="1"/>
  <c r="AT211" i="2"/>
  <c r="AU211" i="2" s="1"/>
  <c r="AV215" i="2"/>
  <c r="AW215" i="2" s="1"/>
  <c r="AT215" i="2"/>
  <c r="AU215" i="2" s="1"/>
  <c r="AT231" i="2"/>
  <c r="AU231" i="2" s="1"/>
  <c r="AV231" i="2"/>
  <c r="AW231" i="2" s="1"/>
  <c r="AT235" i="2"/>
  <c r="AU235" i="2" s="1"/>
  <c r="AV235" i="2"/>
  <c r="AW235" i="2" s="1"/>
  <c r="AQ224" i="2"/>
  <c r="AR224" i="2" s="1"/>
  <c r="AO224" i="2"/>
  <c r="AP224" i="2" s="1"/>
  <c r="AQ228" i="2"/>
  <c r="AR228" i="2" s="1"/>
  <c r="AO228" i="2"/>
  <c r="AP228" i="2" s="1"/>
  <c r="AQ90" i="2"/>
  <c r="AR90" i="2" s="1"/>
  <c r="AO90" i="2"/>
  <c r="AP90" i="2" s="1"/>
  <c r="AO80" i="2"/>
  <c r="AP80" i="2" s="1"/>
  <c r="AQ80" i="2"/>
  <c r="AR80" i="2" s="1"/>
  <c r="AQ74" i="2"/>
  <c r="AR74" i="2" s="1"/>
  <c r="AO74" i="2"/>
  <c r="AP74" i="2" s="1"/>
  <c r="AT64" i="2"/>
  <c r="AU64" i="2" s="1"/>
  <c r="AV64" i="2"/>
  <c r="AW64" i="2" s="1"/>
  <c r="AO50" i="2"/>
  <c r="AP50" i="2" s="1"/>
  <c r="AQ50" i="2"/>
  <c r="AR50" i="2" s="1"/>
  <c r="AO34" i="2"/>
  <c r="AP34" i="2" s="1"/>
  <c r="AQ34" i="2"/>
  <c r="AR34" i="2" s="1"/>
  <c r="AO24" i="2"/>
  <c r="AP24" i="2" s="1"/>
  <c r="AQ24" i="2"/>
  <c r="AR24" i="2" s="1"/>
  <c r="AQ112" i="2"/>
  <c r="AR112" i="2" s="1"/>
  <c r="AO112" i="2"/>
  <c r="AP112" i="2" s="1"/>
  <c r="AQ96" i="2"/>
  <c r="AR96" i="2" s="1"/>
  <c r="AO96" i="2"/>
  <c r="AP96" i="2" s="1"/>
  <c r="AV77" i="2"/>
  <c r="AW77" i="2" s="1"/>
  <c r="AT77" i="2"/>
  <c r="AU77" i="2" s="1"/>
  <c r="AV63" i="2"/>
  <c r="AW63" i="2" s="1"/>
  <c r="AT63" i="2"/>
  <c r="AU63" i="2" s="1"/>
  <c r="AT59" i="2"/>
  <c r="AU59" i="2" s="1"/>
  <c r="AV59" i="2"/>
  <c r="AW59" i="2" s="1"/>
  <c r="AT57" i="2"/>
  <c r="AU57" i="2" s="1"/>
  <c r="AV57" i="2"/>
  <c r="AW57" i="2" s="1"/>
  <c r="AV55" i="2"/>
  <c r="AW55" i="2" s="1"/>
  <c r="AT55" i="2"/>
  <c r="AU55" i="2" s="1"/>
  <c r="AO48" i="2"/>
  <c r="AP48" i="2" s="1"/>
  <c r="AQ48" i="2"/>
  <c r="AR48" i="2" s="1"/>
  <c r="AV45" i="2"/>
  <c r="AW45" i="2" s="1"/>
  <c r="AT45" i="2"/>
  <c r="AU45" i="2" s="1"/>
  <c r="AT43" i="2"/>
  <c r="AU43" i="2" s="1"/>
  <c r="AV43" i="2"/>
  <c r="AW43" i="2" s="1"/>
  <c r="AT41" i="2"/>
  <c r="AU41" i="2" s="1"/>
  <c r="AV41" i="2"/>
  <c r="AW41" i="2" s="1"/>
  <c r="AT30" i="2"/>
  <c r="AU30" i="2" s="1"/>
  <c r="AV30" i="2"/>
  <c r="AW30" i="2" s="1"/>
  <c r="AT26" i="2"/>
  <c r="AU26" i="2" s="1"/>
  <c r="AV26" i="2"/>
  <c r="AW26" i="2" s="1"/>
  <c r="AT22" i="2"/>
  <c r="AU22" i="2" s="1"/>
  <c r="AV22" i="2"/>
  <c r="AW22" i="2" s="1"/>
  <c r="AT18" i="2"/>
  <c r="AU18" i="2" s="1"/>
  <c r="AV18" i="2"/>
  <c r="AW18" i="2" s="1"/>
  <c r="AT14" i="2"/>
  <c r="AU14" i="2" s="1"/>
  <c r="AV14" i="2"/>
  <c r="AW14" i="2" s="1"/>
  <c r="AT6" i="2"/>
  <c r="AU6" i="2" s="1"/>
  <c r="AV6" i="2"/>
  <c r="AW6" i="2" s="1"/>
  <c r="AQ94" i="2"/>
  <c r="AR94" i="2" s="1"/>
  <c r="AO94" i="2"/>
  <c r="AP94" i="2" s="1"/>
  <c r="AQ76" i="2"/>
  <c r="AR76" i="2" s="1"/>
  <c r="AO76" i="2"/>
  <c r="AP76" i="2" s="1"/>
  <c r="AV66" i="2"/>
  <c r="AW66" i="2" s="1"/>
  <c r="AT66" i="2"/>
  <c r="AU66"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<sst xmlns="http://schemas.openxmlformats.org/spreadsheetml/2006/main" count="8832" uniqueCount="1538">
  <si>
    <t>CAPTURA DE AVANCES DE METAS 2026</t>
  </si>
  <si>
    <t>PRIMER TRIMESTRE</t>
  </si>
  <si>
    <t>SEGUNDO TRIMESTRE</t>
  </si>
  <si>
    <t>TERCER TRIMESTRE</t>
  </si>
  <si>
    <t>CUARTO TRIMESTRE</t>
  </si>
  <si>
    <t>RESULTADO ACUMULADO AL 2° TRIMESTRE</t>
  </si>
  <si>
    <t>RESULTADO ACUMULADO ANUAL</t>
  </si>
  <si>
    <t>JUSTIFICACIONES</t>
  </si>
  <si>
    <t>CLAVE</t>
  </si>
  <si>
    <t>ÁREA ENCARGADA</t>
  </si>
  <si>
    <t>DGM</t>
  </si>
  <si>
    <t>DEPENDENCIA GENERAL</t>
  </si>
  <si>
    <t>DAA</t>
  </si>
  <si>
    <t>AUX</t>
  </si>
  <si>
    <t>ESTRUCTURA</t>
  </si>
  <si>
    <t>ESTRUCTURA PROGRAMA</t>
  </si>
  <si>
    <t>PROGRAMA</t>
  </si>
  <si>
    <t>ESTRUCTURA PROYECTO</t>
  </si>
  <si>
    <t>PROYECTO</t>
  </si>
  <si>
    <t>#</t>
  </si>
  <si>
    <t>DESCRIPCIÓN DE LA META FÍSICA</t>
  </si>
  <si>
    <t>UNIDAD DE MEDIDA</t>
  </si>
  <si>
    <t>PROGRAMADO ANUAL</t>
  </si>
  <si>
    <t>PROGR. 1° TRIM</t>
  </si>
  <si>
    <t>AVANCE 1°. TRIM</t>
  </si>
  <si>
    <t>% AVANCE 1er. TRIM</t>
  </si>
  <si>
    <t>1°_SEMAFORO</t>
  </si>
  <si>
    <t>PROGR. 2° TRIM</t>
  </si>
  <si>
    <t>AVANCE 2°. TRIM</t>
  </si>
  <si>
    <t>% AVANCE 2o. TRIM</t>
  </si>
  <si>
    <t>2°_SEMAFORO</t>
  </si>
  <si>
    <t>PROGR. 3° TRIM</t>
  </si>
  <si>
    <t>AVANCE 3°. TRIM</t>
  </si>
  <si>
    <t>% AVANCE 3o. TRIM</t>
  </si>
  <si>
    <t>3°_SEMAFORO</t>
  </si>
  <si>
    <t>PROGR. 4° TRIM</t>
  </si>
  <si>
    <t>AVANCE 4°. TRIM</t>
  </si>
  <si>
    <t>% AVANCE 4o. TRIM</t>
  </si>
  <si>
    <t>4°_SEMAFORO</t>
  </si>
  <si>
    <t>PROG. ACUM</t>
  </si>
  <si>
    <t>AVANCE ACUM. TRIM.</t>
  </si>
  <si>
    <t>% ACUMULADO SEM.</t>
  </si>
  <si>
    <t>SEME SEMAFORO</t>
  </si>
  <si>
    <t>DIFERENCIA ABSOLUTA SEMESTRAL</t>
  </si>
  <si>
    <t>% DIFERENCIA SEMESTRAL</t>
  </si>
  <si>
    <t>AVANCE ACUM. ANUAL</t>
  </si>
  <si>
    <t>% ACUMULADO ANUAL</t>
  </si>
  <si>
    <t>ANUAL_SEMAFORO</t>
  </si>
  <si>
    <t>DIFERENCIA ABSOLUTA ANUAL</t>
  </si>
  <si>
    <t>% DIFERENCIA ANUAL</t>
  </si>
  <si>
    <t>COMPROBACIÓN</t>
  </si>
  <si>
    <t>Dirección General</t>
  </si>
  <si>
    <t>A00</t>
  </si>
  <si>
    <t>212</t>
  </si>
  <si>
    <t>Área de Administración</t>
  </si>
  <si>
    <t>A002120103010103</t>
  </si>
  <si>
    <t>01030101</t>
  </si>
  <si>
    <t>Conducción de las políticas de gobierno</t>
  </si>
  <si>
    <t>0103010103</t>
  </si>
  <si>
    <t>Audiencia pública y consulta popular</t>
  </si>
  <si>
    <t>Participar en las Sesiones de Consejo Directivo del Organismo</t>
  </si>
  <si>
    <t>Sesión</t>
  </si>
  <si>
    <t>CRÍTICO</t>
  </si>
  <si>
    <t/>
  </si>
  <si>
    <t>Integrar fichas técnicas de supervisión de la infraestructura y de recorridos para la prestación de los servicios hidrosanitarios</t>
  </si>
  <si>
    <t>Ficha de Técnica</t>
  </si>
  <si>
    <t>Elaborar minutas de trabajo de las reuniones de gabinete</t>
  </si>
  <si>
    <t>Minuta de trabajo</t>
  </si>
  <si>
    <t>Presidir las sesiones de los Comités del Organismo de los que la Dirección General forme parte</t>
  </si>
  <si>
    <t>Los comites internos presididos por la Dirección General sesionaron solo una vez, durante el trimestre que se reporta.</t>
  </si>
  <si>
    <t>Presentar al Consejo Directivo el estado de posición financiera y el estado de actividades del ejercicio fiscal inmediato anterior</t>
  </si>
  <si>
    <t>Acuerdo</t>
  </si>
  <si>
    <t>0</t>
  </si>
  <si>
    <t>NO PROG.</t>
  </si>
  <si>
    <t>Unidad de Vinculación Social</t>
  </si>
  <si>
    <t>A01</t>
  </si>
  <si>
    <t>Secretaría Técnica</t>
  </si>
  <si>
    <t>215</t>
  </si>
  <si>
    <t>Área de Atención a Usuarios</t>
  </si>
  <si>
    <t>A012150103010101</t>
  </si>
  <si>
    <t>0103010101</t>
  </si>
  <si>
    <t>Relaciones públicas</t>
  </si>
  <si>
    <t>Dar seguimiento a los acuerdos generados por el Consejo Directivo</t>
  </si>
  <si>
    <t>Fichas de seguimiento</t>
  </si>
  <si>
    <t>Atender las demandas ciudadanas para brindar y en su caso mejorar el acceso a los servicios que presta el Organismo.</t>
  </si>
  <si>
    <t>Informe</t>
  </si>
  <si>
    <t>Participar en las reuniones institucionales con autoridades auxiliares, organizaciones, asociaciones y ciudadanos</t>
  </si>
  <si>
    <t>Reunión</t>
  </si>
  <si>
    <t>Departamento de Transparencia</t>
  </si>
  <si>
    <t>231</t>
  </si>
  <si>
    <t>Área de Coordinación Institucional</t>
  </si>
  <si>
    <t>A002310108040101</t>
  </si>
  <si>
    <t>01080401</t>
  </si>
  <si>
    <t>Transparencia</t>
  </si>
  <si>
    <t>0108040101</t>
  </si>
  <si>
    <t>Vinculación ciudadana con la administración pública</t>
  </si>
  <si>
    <t>Atender las solicitudes de acceso a la información pública y del ejercicio de derechos de acceso, rectificación, cancelación y oposición de datos personales, recibidas vía electrónica o presencial.</t>
  </si>
  <si>
    <t>Solicitud</t>
  </si>
  <si>
    <t>Actualizar la plataforma IPOMEX (Información Pública de Oficio Mexiquense)</t>
  </si>
  <si>
    <t>Actualización</t>
  </si>
  <si>
    <t>Capacitar a los servidores públicos habilitados del Organismo, en materia de transparencia presencial y/o virtual</t>
  </si>
  <si>
    <t>Capacitación</t>
  </si>
  <si>
    <t>Dar cumplimiento a las resoluciones relativas a los recursos de revisión, resueltas por el INFOEM</t>
  </si>
  <si>
    <t>Recurso</t>
  </si>
  <si>
    <t>El número de recursos de revisión  fue menor al programado,
 derivado de la disminución en el índice de solicitudes recurridas durante el periodo evaluado.</t>
  </si>
  <si>
    <t>Unidad de Cultura del Agua y Enlace con Comunicación</t>
  </si>
  <si>
    <t>234</t>
  </si>
  <si>
    <t>Área de Cultura del Agua</t>
  </si>
  <si>
    <t>A012340108030103</t>
  </si>
  <si>
    <t>01080301</t>
  </si>
  <si>
    <t>Comunicación pública y fortalecimiento informativo</t>
  </si>
  <si>
    <t>0108030103</t>
  </si>
  <si>
    <t>Difusión y comunicación institucional</t>
  </si>
  <si>
    <t>Elaborar síntesis informativa</t>
  </si>
  <si>
    <t>Síntesis</t>
  </si>
  <si>
    <t>Participar en eventos difundiendo las actividades realizadas por el Organismo</t>
  </si>
  <si>
    <t>Evento</t>
  </si>
  <si>
    <t>Emitir un reporte respecto a los alcances de las redes sociales del Organismo</t>
  </si>
  <si>
    <t>Reporte Analítico</t>
  </si>
  <si>
    <t>Elaborar boletines informativos de las actividades que realiza el Organismo que incluya material fotográfico</t>
  </si>
  <si>
    <t>Boletín</t>
  </si>
  <si>
    <t>Producir material videográfico sobre las actividades de Operagua</t>
  </si>
  <si>
    <t>Spot</t>
  </si>
  <si>
    <t>Canalizar reportes en materia de agua potable y saneamiento recibidos por medio de las redes sociales</t>
  </si>
  <si>
    <t>Reporte</t>
  </si>
  <si>
    <t>Implementar la imagen corporativa del Organismo</t>
  </si>
  <si>
    <t>Diseño</t>
  </si>
  <si>
    <t>Realizar conferencia de prensa en los diferentes medios de comunicación que difundan las acciones del Organismo</t>
  </si>
  <si>
    <t>Conferencia</t>
  </si>
  <si>
    <t>Emitir un informe de las actividades más relevantes del Organismo</t>
  </si>
  <si>
    <t>Diseñar campañas de difusión</t>
  </si>
  <si>
    <t>Campaña</t>
  </si>
  <si>
    <t>Unidad de Oficialía de Partes</t>
  </si>
  <si>
    <t>A012150103010103</t>
  </si>
  <si>
    <t>Emitir informes de seguimiento y control de respuestas de peticiones</t>
  </si>
  <si>
    <t>Emitir reportes de la correspondencia que ingresa al organismo</t>
  </si>
  <si>
    <t>Departamento de Control Patrimonial</t>
  </si>
  <si>
    <t>214</t>
  </si>
  <si>
    <t>Área de Patrimonio</t>
  </si>
  <si>
    <t>A012140105020606</t>
  </si>
  <si>
    <t>01050206</t>
  </si>
  <si>
    <t>Consolidación de la administración pública de resultados</t>
  </si>
  <si>
    <t>0105020606</t>
  </si>
  <si>
    <t>Control del patrimonio y normatividad</t>
  </si>
  <si>
    <t>Registrar, controlar e inventariar el patrimonio de bienes muebles e inmuebles del Organismo</t>
  </si>
  <si>
    <t>Inventario</t>
  </si>
  <si>
    <t>Actualizar padrón de Bienes Muebles e Inmuebles del Organismo</t>
  </si>
  <si>
    <t>Padrón</t>
  </si>
  <si>
    <t>Realizar las acciones necesarias para la integración y funcionamiento del Comité de Bienes Muebles e Inmuebles del Organismo en coordinación con la Contraloría Interna</t>
  </si>
  <si>
    <t>Acta</t>
  </si>
  <si>
    <t>Elaborar Programa Anual para la Disposición Final de Bienes Muebles</t>
  </si>
  <si>
    <t>Programa</t>
  </si>
  <si>
    <t>Unidad de Archivo</t>
  </si>
  <si>
    <t>A012310105020606</t>
  </si>
  <si>
    <t>Elaborar y publicar el Programa Anual de Desarrollo Archivístico</t>
  </si>
  <si>
    <t>Programa Anual</t>
  </si>
  <si>
    <t>Asesorar a Servidores Públicos en materia archivística</t>
  </si>
  <si>
    <t>Asesoría</t>
  </si>
  <si>
    <t>Departamento de Simplificación y Digitalización</t>
  </si>
  <si>
    <t>229</t>
  </si>
  <si>
    <t>Área de Aseguramiento de Calidad</t>
  </si>
  <si>
    <t>A012290105020608</t>
  </si>
  <si>
    <t>0105020608</t>
  </si>
  <si>
    <t>Simplificación y modernización de la administración pública</t>
  </si>
  <si>
    <t>Dar seguimiento a la Agenda de simplificación y digitalización</t>
  </si>
  <si>
    <t>Actualizar los trámites y servicios de Operagua Izcalli, O.P.D.M.</t>
  </si>
  <si>
    <t>Cédula</t>
  </si>
  <si>
    <t xml:space="preserve">Integrar de la Agenda Regulatoria </t>
  </si>
  <si>
    <t>Agenda Regulatoria</t>
  </si>
  <si>
    <t>A012290108050103</t>
  </si>
  <si>
    <t>01080501</t>
  </si>
  <si>
    <t>Gobierno digital</t>
  </si>
  <si>
    <t>0108050103</t>
  </si>
  <si>
    <t>Innovación gubernamental con tecnologías de información</t>
  </si>
  <si>
    <t>Elaborar el Programa para la Implementación de la Agenda Digital del Organismo.</t>
  </si>
  <si>
    <t>Realizar Informes Trimestrales del estado que guardan los proyectos de aplicaciones tecnológicas del organismo.</t>
  </si>
  <si>
    <t>A012340202030108</t>
  </si>
  <si>
    <t>02020301</t>
  </si>
  <si>
    <t>Manejo eficiente y sustentable del agua</t>
  </si>
  <si>
    <t>0202030108</t>
  </si>
  <si>
    <t>Cultura del agua para el desarrollo sostenible</t>
  </si>
  <si>
    <t>Impartir actividades (pláticas de concientización, talleres, eventos, jornadas) sobre el uso responsable del agua, dirigidas a diferentes sectores de la sociedad</t>
  </si>
  <si>
    <t>Actividad</t>
  </si>
  <si>
    <t>Se realizaron 45 actividades en materia de Cultura del Agua con el objetivo de propiciar entre la población el correcto cuidado y manejo eficiente del recurso hídrico.</t>
  </si>
  <si>
    <t>Llevar a cabo un registro de la participación social en las actividades de Cultura del Agua</t>
  </si>
  <si>
    <t>Asistente</t>
  </si>
  <si>
    <t>Se logró superar la meta establecida, toda vez que es una meta no controlable porque depende de la asistencia de los ciudadanos en las actividades de Cultura del Agua.</t>
  </si>
  <si>
    <t>A012120105020502</t>
  </si>
  <si>
    <t>01050205</t>
  </si>
  <si>
    <t>Planeación y presupuesto basado en resultados</t>
  </si>
  <si>
    <t>0105020502</t>
  </si>
  <si>
    <t>Planeación de proyectos para el desarrollo social</t>
  </si>
  <si>
    <t>Coordinar los trabajos de asistencia técnica requeridos por el Consejo Directivo</t>
  </si>
  <si>
    <t>Coordinar la elaboración de informes. reportes y demás información que el Organismo presente ante el Ayuntamiento</t>
  </si>
  <si>
    <t>Nota Informativa</t>
  </si>
  <si>
    <t xml:space="preserve">Realizar el informe de la integración de los expedientes sometidos a aprobación del Comité Interno de Dictámenes y factibilidades </t>
  </si>
  <si>
    <t>Unidad de Información, Planeación, Programación y Evaluación (UIPPE)</t>
  </si>
  <si>
    <t>230</t>
  </si>
  <si>
    <t>Área de Planes y Programas</t>
  </si>
  <si>
    <t>A012300105020508</t>
  </si>
  <si>
    <t>0105020508</t>
  </si>
  <si>
    <t>Planeación y evaluación para el desarrollo municipal</t>
  </si>
  <si>
    <t>Brindar capacitaciones en materia de planeación estratégica municipal, dirigidas a los enlaces de las direcciones del organismo con la UIPPE</t>
  </si>
  <si>
    <t>Integrar el Anteproyecto de Presupuesto de Ingresos Municipal</t>
  </si>
  <si>
    <t>Documento</t>
  </si>
  <si>
    <t>Integrar el Proyecto de Presupuesto de Egresos Municipal</t>
  </si>
  <si>
    <t>Oficio</t>
  </si>
  <si>
    <t>Integrar la Publicación del Presupuesto de Egresos Municipal</t>
  </si>
  <si>
    <t>Integrar la información trimestral de metas e indicadores del Organismo</t>
  </si>
  <si>
    <t xml:space="preserve">Publicar el Programa Anual de Evaluación (PAE) </t>
  </si>
  <si>
    <t>Publicación</t>
  </si>
  <si>
    <t>Dar seguimiento a las actividades del Plan de Desarrollo Municipal vigente</t>
  </si>
  <si>
    <t>Enviar información de las actividades de OPERAGUA para el Informe de Gobierno</t>
  </si>
  <si>
    <t>Departamento de Recursos Humanos</t>
  </si>
  <si>
    <t>B00</t>
  </si>
  <si>
    <t>Dirección de Administración y Finanzas</t>
  </si>
  <si>
    <t>B002120105020601</t>
  </si>
  <si>
    <t>0105020601</t>
  </si>
  <si>
    <t>Administración de personal</t>
  </si>
  <si>
    <t>Expedir credenciales de identificación a servidores públicos</t>
  </si>
  <si>
    <t>Credencial</t>
  </si>
  <si>
    <t>Gestionar la impartición de cursos o talleres de capacitación a servidores públicos</t>
  </si>
  <si>
    <t>Curso</t>
  </si>
  <si>
    <t>Realizar reuniones de trabajo con los Departamentos pertenecientes a la Coordinación de Administración</t>
  </si>
  <si>
    <t>Departamento de Servicios Generales y Control Vehicular</t>
  </si>
  <si>
    <t>210</t>
  </si>
  <si>
    <t>Área de Recursos Materiales y Servicios Generales</t>
  </si>
  <si>
    <t>B002100105020603</t>
  </si>
  <si>
    <t>0105020603</t>
  </si>
  <si>
    <t>Adquisiciones y servicios</t>
  </si>
  <si>
    <t>Realizar labores de mantenimiento y limpieza en las instalaciones del Organismo</t>
  </si>
  <si>
    <t>Bitácora de Trabajo</t>
  </si>
  <si>
    <t>Se llevo acabo el mantenimiento adecuado en las Instalaciones de este Organismo.</t>
  </si>
  <si>
    <t>Llevar a cabo la revista del parque vehicular del Organismo</t>
  </si>
  <si>
    <t>Formato de verificación y/o inspección</t>
  </si>
  <si>
    <t>el primer pase de revista se llevara acabo  apartir del segundo trimestre.</t>
  </si>
  <si>
    <t>Monitorear el consumo de gasolina y diésel del parque vehicular, así como en los cárcamos del Organismo</t>
  </si>
  <si>
    <t>Monitoreo</t>
  </si>
  <si>
    <t xml:space="preserve">Se continua trabajando  con el monitoreo de Gasolina y Diesel  </t>
  </si>
  <si>
    <t>Realizar la verificación del parque vehicular del Organismo</t>
  </si>
  <si>
    <t>Expediente</t>
  </si>
  <si>
    <t>Las verificaciones se realizaran  en el segundo trimestre .</t>
  </si>
  <si>
    <t>Departamento de Recursos Materiales y Adquisiciones</t>
  </si>
  <si>
    <t>213</t>
  </si>
  <si>
    <t>Área de Adquisiciones</t>
  </si>
  <si>
    <t>B002130105020603</t>
  </si>
  <si>
    <t>Integrar el catálogo de bienes y servicios</t>
  </si>
  <si>
    <t>Catalogo</t>
  </si>
  <si>
    <t>Realizar los procedimientos adquisitivos</t>
  </si>
  <si>
    <t>Procedimiento</t>
  </si>
  <si>
    <t>Realizar sesiones de Comité de Adquisiciones de Bienes y Servicios</t>
  </si>
  <si>
    <t>Realizar reporte mensual de altas y renovaciones del catálogo de proveedores</t>
  </si>
  <si>
    <t xml:space="preserve">Atención a la ciudadanía, para brindar un servicio eficiente y orientación clara </t>
  </si>
  <si>
    <t xml:space="preserve">Brindar atencion a la Ciudadania para una mejor atencion al Usuario </t>
  </si>
  <si>
    <t>209</t>
  </si>
  <si>
    <t>Área de Recursos Humanos</t>
  </si>
  <si>
    <t>B002090105020602</t>
  </si>
  <si>
    <t>0105020602</t>
  </si>
  <si>
    <t>Capacitación y profesionalización para el desarrollo del personal</t>
  </si>
  <si>
    <t>Integrar expedientes de servidores públicos</t>
  </si>
  <si>
    <t>Actualizar expedientes laborales</t>
  </si>
  <si>
    <t>Promover, administrar y gestionar trámites de servicio social y prácticas profesionales</t>
  </si>
  <si>
    <t>Tramite por estudiante</t>
  </si>
  <si>
    <t>Actualizar el tabulador de sueldos y salarios</t>
  </si>
  <si>
    <t>Tabulador</t>
  </si>
  <si>
    <t>Renovar el convenio sindical</t>
  </si>
  <si>
    <t>Convenio</t>
  </si>
  <si>
    <t>Realizar trámites de baja de personal ante el ISSEMyM</t>
  </si>
  <si>
    <t>Documento de Baja</t>
  </si>
  <si>
    <t>Los movimientos de personal se realizan con base en las necesidades operativas del organismo; asimismo, existe variación debido a las renuncias voluntarias presentadas por los servidores públicos.</t>
  </si>
  <si>
    <t>Realizar trámites de alta de personal ante el ISSEMyM</t>
  </si>
  <si>
    <t>Documento de Alta</t>
  </si>
  <si>
    <t>Los movimientos de personal se realizan con base en las necesidades operativas del organismo.</t>
  </si>
  <si>
    <t>Integrar y generar la nómina del Organismo</t>
  </si>
  <si>
    <t>Actualizar padrón por anualidad de servidores públicos obligados a realizar su declaración de situación patrimonial</t>
  </si>
  <si>
    <t>Integrar y enviar reportes contables</t>
  </si>
  <si>
    <t>Departamento de Caja General</t>
  </si>
  <si>
    <t>205</t>
  </si>
  <si>
    <t>Área de Ingresos</t>
  </si>
  <si>
    <t>B002050105020201</t>
  </si>
  <si>
    <t>01050202</t>
  </si>
  <si>
    <t>Fortalecimiento de los ingresos</t>
  </si>
  <si>
    <t>0105020201</t>
  </si>
  <si>
    <t>Captación y recaudación de ingresos</t>
  </si>
  <si>
    <t>Realizar Arqueos de Caja de forma periódica</t>
  </si>
  <si>
    <t>Corte de caja</t>
  </si>
  <si>
    <t>Realizar un análisis mensual de la Recaudación de la Ley de Ingresos</t>
  </si>
  <si>
    <t>Dar seguimiento a la Ley de Ingresos de Gestión y dar a conocer a las Dependencias Auxiliares su Avance respecto a los ingresos estimados</t>
  </si>
  <si>
    <t>Coadyuvar en el Presupuesto de Ingresos Definitivo</t>
  </si>
  <si>
    <t>Constancia</t>
  </si>
  <si>
    <t>Coadyuvar en la elaboración del Anteproyecto del Presupuesto de Ingresos</t>
  </si>
  <si>
    <t>Participar en la Integración del Proyecto de Presupuesto Definitivo de la Ley de Ingresos</t>
  </si>
  <si>
    <t>Acta de Consejo</t>
  </si>
  <si>
    <t>Coadyuvar en la Entrega de los Informes Trimestrales al Órgano Superior de Fiscalización del Estado de México</t>
  </si>
  <si>
    <t>204</t>
  </si>
  <si>
    <t>Área de Tesorería</t>
  </si>
  <si>
    <t>B002040105020209</t>
  </si>
  <si>
    <t>0105020209</t>
  </si>
  <si>
    <t>Registro y control de caja y tesorería</t>
  </si>
  <si>
    <t>Supervisar la integración del proyecto de presupuesto de ingresos y egresos del organismo</t>
  </si>
  <si>
    <t>Proyecto</t>
  </si>
  <si>
    <t>Supervisar la integración del presupuesto de ingresos y egresos del organismo</t>
  </si>
  <si>
    <t>Presupuesto</t>
  </si>
  <si>
    <t>Supervisar la integración y entrega de la cuenta pública</t>
  </si>
  <si>
    <t>Cuenta Publica</t>
  </si>
  <si>
    <t>Supervisar la integración y entrega de los informes trimestrales al OSFEM</t>
  </si>
  <si>
    <t>Informe Trimestral</t>
  </si>
  <si>
    <t>Presidir las sesiones del comité de adquisiciones de bienes y servicios</t>
  </si>
  <si>
    <t>Coordinación de Finanzas</t>
  </si>
  <si>
    <t>211</t>
  </si>
  <si>
    <t>Área de Finanzas</t>
  </si>
  <si>
    <t>B002110105020209</t>
  </si>
  <si>
    <t>Dar seguimiento a la Integración de la Cuenta Pública</t>
  </si>
  <si>
    <t>Presentar el Presupuesto Definitivo de Ingresos y Egresos ante el Órgano Superior de Fiscalización del Estado De México.</t>
  </si>
  <si>
    <t>Coordinar el proceso de solventación de las recomendaciones y hallazgos por el OSFEM</t>
  </si>
  <si>
    <t>Supervisar la correcta Integración de los Informes Trimestrales</t>
  </si>
  <si>
    <t>Coordinar la solventación de las recomendaciones emitidas por la Contraloría</t>
  </si>
  <si>
    <t>Supervisar la correcta integración de la Declaración de Impuestos Mensuales</t>
  </si>
  <si>
    <t>Declaración</t>
  </si>
  <si>
    <t>Supervisar la correcta integración de la Declaración de Impuestos Bimestrales</t>
  </si>
  <si>
    <t>Departamento de Sistemas, Telecomunicaciones y Soporte Tecnológico</t>
  </si>
  <si>
    <t>201</t>
  </si>
  <si>
    <t>Área de Sistemas</t>
  </si>
  <si>
    <t>B002010108050103</t>
  </si>
  <si>
    <t>Impartir cursos y asesorías en materia de informática, dirigidos a los servidores públicos del Organismo</t>
  </si>
  <si>
    <t>Formato de Asesoría</t>
  </si>
  <si>
    <t>Registrar y actualizar el inventario de los equipos de cómputo del organismo</t>
  </si>
  <si>
    <t>Proporcionar soporte técnico a los equipos del Organismo</t>
  </si>
  <si>
    <t>Formato de Soporte</t>
  </si>
  <si>
    <t>Brindar mantenimiento preventivo, correctivo y actualización a la red interna del Organismo</t>
  </si>
  <si>
    <t>Formato de Mantenimiento</t>
  </si>
  <si>
    <t>Brindar mantenimiento preventivo, correctivo y actualización a los equipos de cómputo del Organismo</t>
  </si>
  <si>
    <t>Formato de mantenimiento</t>
  </si>
  <si>
    <t>B002090206080501</t>
  </si>
  <si>
    <t>02060805</t>
  </si>
  <si>
    <t>Igualdad de trato y oportunidades para la mujer, el hombre y personas LGBTTTIQ+</t>
  </si>
  <si>
    <t>0206080501</t>
  </si>
  <si>
    <t>Coordinación Institucional para la igualdad de género</t>
  </si>
  <si>
    <t>Realizar capacitaciones a personal adscrito que promueven la cultura de igualdad, equidad y prevención de la violencia de genero</t>
  </si>
  <si>
    <t>Realizar eventos para la promoción de la cultura de igualdad, equidad y prevención de la violencia de genero.</t>
  </si>
  <si>
    <t>Entrega de material informativo para la sensibilización en temas con perspectiva de género en el territorio municipal</t>
  </si>
  <si>
    <t>Trípticos</t>
  </si>
  <si>
    <t>Realizar difusión de información sobre la cultura de la igualdad, equidad y prevención de la violencia de genero</t>
  </si>
  <si>
    <t>Periódico mural</t>
  </si>
  <si>
    <t>Departamento de Control Presupuestal</t>
  </si>
  <si>
    <t>206</t>
  </si>
  <si>
    <t>Área de Presupuestos</t>
  </si>
  <si>
    <t>B002060105020510</t>
  </si>
  <si>
    <t>0105020510</t>
  </si>
  <si>
    <t>Integración, seguimiento y control presupuestal del ayuntamiento</t>
  </si>
  <si>
    <t>Presentar el Presupuesto Definitivo de Ingresos y Egresos ante el Órgano Superior de Fiscalización del Estado De México</t>
  </si>
  <si>
    <t>Elaborar el Anteproyecto del Presupuesto de Ingresos y Egresos</t>
  </si>
  <si>
    <t>Elaborar el Proyecto del Presupuesto de Ingresos y Egresos</t>
  </si>
  <si>
    <t>Realizar el análisis trimestral de la ejecución y seguimiento presupuestal</t>
  </si>
  <si>
    <t>Departamento de Contabilidad</t>
  </si>
  <si>
    <t>203</t>
  </si>
  <si>
    <t>Área de Contabilidad y Presupuesto</t>
  </si>
  <si>
    <t>B002030105020511</t>
  </si>
  <si>
    <t>0105020511</t>
  </si>
  <si>
    <t>Registro, control contable-presupuestal y cuenta de la hacienda pública municipal</t>
  </si>
  <si>
    <t>Realizar la Entrega del Informe Trimestral al Órgano Superior de Fiscalización del Estado de México</t>
  </si>
  <si>
    <t>Realizar la Entrega de la Cuenta Pública</t>
  </si>
  <si>
    <t>Coadyuvar en la Integración del Anteproyecto del Presupuesto de Egresos</t>
  </si>
  <si>
    <t>Solventar y dar Seguimiento a las Observaciones de los Informes Trimestrales remitidos al Órgano Superior de Fiscalización del Estado de México</t>
  </si>
  <si>
    <t>Presentar la Dictaminarían del Impuestos Sobre Erogaciones al Personal</t>
  </si>
  <si>
    <t>Presentar la Dictaminarían de Estados Financieros</t>
  </si>
  <si>
    <t>Departamento de Atención a Usuarios</t>
  </si>
  <si>
    <t>B03</t>
  </si>
  <si>
    <t>Dirección de Comercialización</t>
  </si>
  <si>
    <t>B032150103010103</t>
  </si>
  <si>
    <t>Emitir certificados de pago de derechos de agua potable y drenaje.</t>
  </si>
  <si>
    <t>Certificado</t>
  </si>
  <si>
    <t>POR LO QUE CORRESPONDE A ESTE INDICADOR, EN BASE AL ACTUAL REGLAMENTO INTERNO DE OPERAGUA IZCALLI, O.P.D.M., PERTENECE AL DEPARTAMENTO DE PADRON Y LIQUIDACIONES; CON FUNDAMENTO EN EL ARTICULO 67 FRACCION I DEL ANTES MENCIONADO.</t>
  </si>
  <si>
    <t>Emitir constancias de inexistencia de infraestructura.</t>
  </si>
  <si>
    <t>Realizar encuestas telefónicas de satisfacción a la ciudadanía</t>
  </si>
  <si>
    <t>Encuesta</t>
  </si>
  <si>
    <t>SE ALCANZO CON LA META ESTABLECIDA</t>
  </si>
  <si>
    <t>Generar reportes de quejas de la ciudadanía</t>
  </si>
  <si>
    <t>Integrar expedientes y registrar en el sistema el cambio de propietario.</t>
  </si>
  <si>
    <t>ESTA META DEPENDE EN SU TOTALIDAD A LA AFLUENCIA DE PERSONAS QUE REQUIERAN REALIZAR EL CAMBIO DE PROPIETARIO</t>
  </si>
  <si>
    <t>216</t>
  </si>
  <si>
    <t>Área de Comercialización</t>
  </si>
  <si>
    <t>B032160105020201</t>
  </si>
  <si>
    <t>Implementar y dar seguimiento a programas de regularización y bonificaciones</t>
  </si>
  <si>
    <t>Realizar el estudio tarifario para la actualización de tarifas 2026</t>
  </si>
  <si>
    <t>Gaceta</t>
  </si>
  <si>
    <t>Actualizar los precios públicos para el ejercicio 2026</t>
  </si>
  <si>
    <t>Departamento de Padrón y Liquidaciones</t>
  </si>
  <si>
    <t>202</t>
  </si>
  <si>
    <t>Área de Padrones, Lecturas y Facturación</t>
  </si>
  <si>
    <t>B032020105020201</t>
  </si>
  <si>
    <t>Elaboración de Certificado de no Adeudo</t>
  </si>
  <si>
    <t xml:space="preserve">Los usuarios, realizaron el proceso y la soolicitud para el certificado de no adeudo. </t>
  </si>
  <si>
    <t>Emitir constancia de no servicios</t>
  </si>
  <si>
    <t>Las constancias de no servicio, son tramitadas de acuerdo a las solicitudes de los ciudadanos.</t>
  </si>
  <si>
    <t>Integrar expedientes para altas</t>
  </si>
  <si>
    <t>Al no haber campaña de regularización para tomas omisas, los usuarios no se han regularizado. Esperando que en los siguientes trimestres se alcance la meta programada.</t>
  </si>
  <si>
    <t>Emitir liquidaciones para el pago de los servicios</t>
  </si>
  <si>
    <t>Liquidación</t>
  </si>
  <si>
    <t>De acuerdo a la Gaceta 095 de diciembre del año 2025, numeral III, en los meses de enero, febrero y marzo hay campañas de descuentos por el pago anual anticipado. En estos meses hubo mucha afluencia de usuarios por este motivo.</t>
  </si>
  <si>
    <t>Departamento de Inspecciones y Medidores</t>
  </si>
  <si>
    <t>220</t>
  </si>
  <si>
    <t>Área de Operación</t>
  </si>
  <si>
    <t>B032200105020201</t>
  </si>
  <si>
    <t>Colocación de precintos a medidores</t>
  </si>
  <si>
    <t>Realizar revisión a medidores.</t>
  </si>
  <si>
    <t>Orden de Trabajo</t>
  </si>
  <si>
    <t>Realizar verificaciones e inspecciones a usuarios para identificar la instalación de tomas de agua</t>
  </si>
  <si>
    <t>Inspección</t>
  </si>
  <si>
    <t>Departamento de Ejecución Fiscal y Restricciones</t>
  </si>
  <si>
    <t>208</t>
  </si>
  <si>
    <t>Área de Rezago y Cobranza</t>
  </si>
  <si>
    <t>B032080105020201</t>
  </si>
  <si>
    <t>Entrega de carta invitación a usuarios con rezago</t>
  </si>
  <si>
    <t>Carta invitación</t>
  </si>
  <si>
    <t xml:space="preserve">Determinación de créditos fiscales </t>
  </si>
  <si>
    <t>Determinación</t>
  </si>
  <si>
    <t xml:space="preserve">Ejecutar procedimientos administrativos </t>
  </si>
  <si>
    <t xml:space="preserve">Procedimientos </t>
  </si>
  <si>
    <t>Ejecutar procesos de restricción</t>
  </si>
  <si>
    <t>Restricción</t>
  </si>
  <si>
    <t>Dar atención a usuarios en rezago.</t>
  </si>
  <si>
    <t xml:space="preserve">Registro </t>
  </si>
  <si>
    <t>Departamento de Lectura y Facturación</t>
  </si>
  <si>
    <t>223</t>
  </si>
  <si>
    <t>Área de Control y Micromedición</t>
  </si>
  <si>
    <t>B032230105020201</t>
  </si>
  <si>
    <t>Entrega de los estados de adeudo.</t>
  </si>
  <si>
    <t>Estado de Adeudo</t>
  </si>
  <si>
    <t>Planear y elaborar el calendario operativo para la toma de lecturas y la emisión de facturación.</t>
  </si>
  <si>
    <t>Calendario</t>
  </si>
  <si>
    <t>Departamento de Dictámenes y Factibilidad</t>
  </si>
  <si>
    <t>224</t>
  </si>
  <si>
    <t>Área de Factibilidades</t>
  </si>
  <si>
    <t>B032240201030101</t>
  </si>
  <si>
    <t>02010301</t>
  </si>
  <si>
    <t>Manejo de aguas residuales, drenaje y alcantarillado</t>
  </si>
  <si>
    <t>0201030101</t>
  </si>
  <si>
    <t>Construcción de infraestructura para drenaje y alcantarillado</t>
  </si>
  <si>
    <t>Participar en sesiones de comité interno de factibilidades</t>
  </si>
  <si>
    <t>Acta de Sesión</t>
  </si>
  <si>
    <t>Realizar inspecciones técnicas para determinar la factibilidad de servicios y la existencia de Infraestructura</t>
  </si>
  <si>
    <t>Realizar estudios técnicos para determinar la factibilidad de servicios en predios de uso habitacional, mediante inspecciones</t>
  </si>
  <si>
    <t>Estudio Técnico</t>
  </si>
  <si>
    <t>Departamento de Estudios y Proyectos</t>
  </si>
  <si>
    <t>C00</t>
  </si>
  <si>
    <t>Dirección de Construcción y Operación Hidráulica</t>
  </si>
  <si>
    <t>C002300201030101</t>
  </si>
  <si>
    <t>Rendir ante la Dirección de Construcción y Operación Hidráulica, informes del avance físico-financiero en la ejecución de obras del organismo</t>
  </si>
  <si>
    <t>Integrar informes mensuales de las supervisiones realizadas en materia de obra pública y mantenimientos del organismo</t>
  </si>
  <si>
    <t>Generar y revisar el Programa Anual de Obra (PbRM 07) y sus informes trimestrales (PbRM 11)</t>
  </si>
  <si>
    <t>Planificar proyectos de obra prioritaria</t>
  </si>
  <si>
    <t>Participar en el Comité Interno de Obra</t>
  </si>
  <si>
    <t>Acta de Comité</t>
  </si>
  <si>
    <t>233</t>
  </si>
  <si>
    <t>Área de Estudios y Proyectos</t>
  </si>
  <si>
    <t>C002330201030101</t>
  </si>
  <si>
    <t>Llevar a cabo visitas técnicas de atención a peticiones ciudadanas</t>
  </si>
  <si>
    <t>Visita Técnica</t>
  </si>
  <si>
    <t>Ejecutar levantamientos topográficos</t>
  </si>
  <si>
    <t>Levantamiento</t>
  </si>
  <si>
    <t>Diseñar proyectos y/o estudios hidrosanitarios</t>
  </si>
  <si>
    <t>Proyecto y/o Estudio</t>
  </si>
  <si>
    <t>Integrar expedientes únicos de obra (hasta el proceso de licitación)</t>
  </si>
  <si>
    <t>Coordinación de Drenaje y Saneamiento</t>
  </si>
  <si>
    <t>C002200201030102</t>
  </si>
  <si>
    <t>0201030102</t>
  </si>
  <si>
    <t>Operación de infraestructura para drenaje y alcantarillado</t>
  </si>
  <si>
    <t>Controlar y supervisar la operación de los sistemas de drenaje, alcantarillado, tratamiento de aguas residuales y mantenimiento electromecánico conforme a la normatividad aplicable.</t>
  </si>
  <si>
    <t>Supervisión</t>
  </si>
  <si>
    <t>Realizar informes de la coordinación establecida con instancias de los 3 ámbitos de gobierno, para el análisis, valoración de impacto y reducción de riesgos en temporadas de lluvias</t>
  </si>
  <si>
    <t>Informe Semestral</t>
  </si>
  <si>
    <t>Realizar un informe trimestral de la realización de jornadas de desazolve en comunidades</t>
  </si>
  <si>
    <t>Realizar recorridos en diferentes puntos susceptibles a inundación.</t>
  </si>
  <si>
    <t xml:space="preserve">Llevar acabo trabajos preventivos de limpiza, de la presa el Angulo en coordinación con el municipio de Atizapán de Zaragoza  </t>
  </si>
  <si>
    <t>La meta no se cumplió debido a la falta de arrendamiento de maquinaria especializada, así como a la falta de respuesta oportuna por parte de la CAEM para el inicio de los trabajos programados.</t>
  </si>
  <si>
    <t>Departamento de Drenaje y Alcantarillado</t>
  </si>
  <si>
    <t>222</t>
  </si>
  <si>
    <t>Área de Drenaje y Alcantarillado</t>
  </si>
  <si>
    <t>C002220201030102</t>
  </si>
  <si>
    <t>Sustituir o reparar infraestructura brocal, coladera pluvial, rejilla, piso, marco y contramarco de boca de tormenta</t>
  </si>
  <si>
    <t>Pieza</t>
  </si>
  <si>
    <t>Se han venido realizando las reparaciones conforme al suministro de material al Departamento</t>
  </si>
  <si>
    <t>Limpiar y desazolvar las redes de drenaje, secundarias, primarias, colectores y subcolectores (Pozo de visita, coladera pluvial, rejilla de piso o boca de tormenta)</t>
  </si>
  <si>
    <t xml:space="preserve">Metro Lineal </t>
  </si>
  <si>
    <t>La meta se encuentra con un bajo alcance ya que solo se cuenta con una unidad en operación.  Se solicito la reparacion de las unidades mediante el oficio DCOH/133/2026</t>
  </si>
  <si>
    <t>Llevar a cabo el retiro (lodos, sedimentos y basura) de diversos cuerpos de aguas estatales y/o federales que se encuentran al aire libre dentro del territorio Municipal</t>
  </si>
  <si>
    <t>Metro Cubico</t>
  </si>
  <si>
    <t>Realizar conexiones de drenaje</t>
  </si>
  <si>
    <t>Conexión</t>
  </si>
  <si>
    <t>Las instalaciones se han llevado a cabo en función de la disponibilidad y suministro de materiales al Departamento, asegurando la continuidad de las actividades conforme a los recursos recibidos.</t>
  </si>
  <si>
    <t>Realizar limpieza de fosas sépticas</t>
  </si>
  <si>
    <t>Servicio</t>
  </si>
  <si>
    <t>La actividad se ejecuta en zonas de alta vulnerabilidad, conforme a la demanda registrada mediante las solicitudes formales ingresadas al Departamento, priorizando su atención de acuerdo con criterios técnicos y de necesidad identificada.</t>
  </si>
  <si>
    <t>Departamento de Soporte Electromecánico</t>
  </si>
  <si>
    <t>225</t>
  </si>
  <si>
    <t>Área de Electromecánico</t>
  </si>
  <si>
    <t>C002250201030104</t>
  </si>
  <si>
    <t>0201030104</t>
  </si>
  <si>
    <t>Operación y mantenimiento de infraestructura para tratamiento de aguas residuales</t>
  </si>
  <si>
    <t>Llevar a cabo la verificación de los estudios de aguas residuales no domésticos.</t>
  </si>
  <si>
    <t>Estudio</t>
  </si>
  <si>
    <t>El cumplimiento de la actividad depende de que el usuario actualice su documentación correspondiente al trámite anual; por tal motivo, en determinados meses se presenta una mayor demanda que ocasiona el rebase de las metas programadas.</t>
  </si>
  <si>
    <t>Registrar los expedientes referentes a la descarga de aguas residuales no domesticas</t>
  </si>
  <si>
    <t>Registro</t>
  </si>
  <si>
    <t>Realizar mantenimientos preventivos a cárcamos y plantas de tratamiento</t>
  </si>
  <si>
    <t>Mantenimiento</t>
  </si>
  <si>
    <t xml:space="preserve">Se realizan los mantenimientos preventivos pero son menores debido a que solo se utilizán los equipos para desaguar y su temporada de mayor uso es temporada de lluvias </t>
  </si>
  <si>
    <t>Realizar mantenimientos correctivos a cárcamos y plantas de tratamiento</t>
  </si>
  <si>
    <t>Se llevan a cabo mantenimientos preventivos; sin embargo, su volumen es reducido, ya que los equipos se utilizan principalmente para labores de desagüe y su mayor demanda operativa se concentra durante la temporada de lluvias.</t>
  </si>
  <si>
    <t>Tratar agua residual en la planta de tratamiento denominada: Bosques del Alba II</t>
  </si>
  <si>
    <t>Metro cubico</t>
  </si>
  <si>
    <t>Rehabilitación integral a sistemas de drenaje, alcantarillado y plantas de tratamiento</t>
  </si>
  <si>
    <t>Rehabilitación</t>
  </si>
  <si>
    <t>Implementar un programa institucional para el tratamiento de aguas residuales</t>
  </si>
  <si>
    <t>El cumplimiento no se realizó debido a la ejecución de trabajos de mejoramiento y rehabilitación de equipos, así como de la red de conducción de agua potable.</t>
  </si>
  <si>
    <t>Coordinación de Operación Hidráulica</t>
  </si>
  <si>
    <t>C002200202030107</t>
  </si>
  <si>
    <t>0202030107</t>
  </si>
  <si>
    <t>Agua limpia para el bienestar</t>
  </si>
  <si>
    <t>Operar y vigilar los sistemas de almacenamiento y distribución del agua potable</t>
  </si>
  <si>
    <t>Dar seguimiento a las quejas y peticiones de los usuarios, en temas hidráulicos</t>
  </si>
  <si>
    <t>Minuta de Trabajo</t>
  </si>
  <si>
    <t>Realizar un reporte mensual de la correcta distribución de agua potable</t>
  </si>
  <si>
    <t xml:space="preserve">Reporte </t>
  </si>
  <si>
    <t>Departamento de Agua Potable</t>
  </si>
  <si>
    <t>219</t>
  </si>
  <si>
    <t>Área de Agua Potable</t>
  </si>
  <si>
    <t>C002190202030110</t>
  </si>
  <si>
    <t>0202030110</t>
  </si>
  <si>
    <t>Operación y mantenimiento de infraestructura hidráulica para el suministro de agua</t>
  </si>
  <si>
    <t>Reparar las fugas en las líneas de agua potable que afecten el suministro en el municipio</t>
  </si>
  <si>
    <t>Reparación</t>
  </si>
  <si>
    <t xml:space="preserve">Derivado de las constantes tomas obstruidas y sondeos que presentaron en este trimestre no fue posible cubrir las reparaciones de fugas de agua Potable. </t>
  </si>
  <si>
    <t>Rehabilitar tomas domiciliarias, comerciales e industriales</t>
  </si>
  <si>
    <t xml:space="preserve">Las rehabilitaciones que se realizarón por daños en la infraestructura hidráulica fueron menos, por sondeos en tomas obstruidas. </t>
  </si>
  <si>
    <t>Realizar conexiones de toma hidráulica (domestica, comercial e industrial)</t>
  </si>
  <si>
    <t>Llevar a cabo sondeos en líneas primarias de conducción</t>
  </si>
  <si>
    <t>Sondeo</t>
  </si>
  <si>
    <t xml:space="preserve">Se realizó el mayor número de sondeos en el timestre, por tomas obstruidas y fugas no localizadas </t>
  </si>
  <si>
    <t>Reparar o sustituir válvulas primarias de distribución de agua potable</t>
  </si>
  <si>
    <t>Válvula</t>
  </si>
  <si>
    <t>Realizar bacheo por reparación o mantenimiento de la infraestructura hidrosanitaria</t>
  </si>
  <si>
    <t>Tonelada</t>
  </si>
  <si>
    <t>Las acciones se encuentran por debajo de la meta debido a la falta de material necesario para llevar a cabo las reparaciones. Cabe señalar que el convenio con MAVICI fue aprobado hasta el día 20 de febrero de 2026, lo cual retrasó el inicio oportuno de las actividades.</t>
  </si>
  <si>
    <t>Unidad de pipas</t>
  </si>
  <si>
    <t>217</t>
  </si>
  <si>
    <t>Área de Líneas y Tanques</t>
  </si>
  <si>
    <t>C002170202030107</t>
  </si>
  <si>
    <t>Registrar la dotación del vital líquido entregada mediante carro pipa, a las rutas programadas dentro del territorio Municipal</t>
  </si>
  <si>
    <t>Vale de entrega</t>
  </si>
  <si>
    <t>La meta no se cumplió debido a una menor recepción de peticiones ciudadanas para el suministro de agua mediante carro pipa, lo que ocasionó un resultado por debajo de lo programado.</t>
  </si>
  <si>
    <t>Atender peticiones realizadas por las comunidades que no cuenten con red hidráulica, como asentamientos irregulares, estancias de gubernamentales y/o planteles educativos mediante carro pipa.</t>
  </si>
  <si>
    <t xml:space="preserve">Derivado de las adecuaciones que se realizarón a los Tanques de almacenamiento se redujo la disponibilidad de agua y la capacidad operativa para la distribución mediante pipas. </t>
  </si>
  <si>
    <t>Atender solicitudes emitidas por la ciudadanía que cuenten con red hidráulica que tengan falta de suministro ya sea por contingencia y/o acontecimiento en su línea hídrica mediante carro pipa.</t>
  </si>
  <si>
    <t xml:space="preserve">Se le brindo atención mediante carro pipa por contingencia a las siguientes colonias: Atlanta, Cumbria, Ejidal San Isidro, Lomas del Bosque, Luis Echeverria, Mirador Santa Rosa, Plan de Guadalupe, La Piedad, San Agustin, Lago de Guadalupe, Bosques de Lago, Tepalcapa , Colinas de Lago. </t>
  </si>
  <si>
    <t>Departamento de Calidad del Agua</t>
  </si>
  <si>
    <t>226</t>
  </si>
  <si>
    <t>Área de Cloración y Calidad del Agua</t>
  </si>
  <si>
    <t>C002260202030107</t>
  </si>
  <si>
    <t>Realizar muestreos del agua potable para dar cumplimiento a la Norma Oficial vigente.</t>
  </si>
  <si>
    <t>Muestreo</t>
  </si>
  <si>
    <t>Realizar muestreos y análisis, conforme a los métodos y especificaciones de la normativa Mexicana, mediante un laboratorio acreditado ante la EMA.</t>
  </si>
  <si>
    <t>La meta se programó en cero para el trimestre; sin embargo, se realizaron 9 análisis debido a que el laboratorio interno adelantó la programación de muestreos y análisis.</t>
  </si>
  <si>
    <t>Suministrar hipoclorito de sodio en los sistemas hidráulicos al 13 por ciento conforme a la NOM127SSAI2021</t>
  </si>
  <si>
    <t>Realizar mantenimientos a las bombas dosificadoras de los sistemas hidráulicos</t>
  </si>
  <si>
    <t>Departamento de Costos y Licitaciones</t>
  </si>
  <si>
    <t>C002330202030105</t>
  </si>
  <si>
    <t>0202030105</t>
  </si>
  <si>
    <t>Construcción de infraestructura para agua potable</t>
  </si>
  <si>
    <t xml:space="preserve">Actualizar el catálogo de precios unitarios del Organismo. </t>
  </si>
  <si>
    <t xml:space="preserve">Elaborar el presupuesto base de los Proyectos y/o Estudios del Organismo. </t>
  </si>
  <si>
    <t xml:space="preserve">Los presupuestos se elaboran deacuerdo a las necesidades de la Dirección de Contrucón y Operación Hidráulica a petición de las comunidades del Municipio de Cuautitlan Izcalli o proyectos programados en el Departamento de Estudios y Proyectos. </t>
  </si>
  <si>
    <t>Sustanciar el proceso para la adjudicación de contratos de obra públicas y servicios relacionados con las mismas.</t>
  </si>
  <si>
    <t>Contrato</t>
  </si>
  <si>
    <t>Departamento de Ejecución de Obras y Mantenimiento</t>
  </si>
  <si>
    <t>218</t>
  </si>
  <si>
    <t>Área de Construcción, Control y Supervisión</t>
  </si>
  <si>
    <t>C002180202030105</t>
  </si>
  <si>
    <t>Integrar informes trimestrales de las supervisiones realizadas a las obras hídricas por contrato del Organismo</t>
  </si>
  <si>
    <t>Realizar un informe trimestral de la integración de los expedientes únicos de obra por contrato</t>
  </si>
  <si>
    <t>Realizar reportes mensuales de Obra por Contrato (IMOC)</t>
  </si>
  <si>
    <t>La falta de publicación de los nuevos lineamientos para la integración de los informes trimestrales del presente ejercicio fiscal incidió en los resultados de la acción, reflejándose en un nivel de eficiencia menor respecto a lo programado.</t>
  </si>
  <si>
    <t>Realizar reportes mensuales de Obra por Administración (IMOA)</t>
  </si>
  <si>
    <t>Emitir informes trimestrales de la asistencia técnica brindada a las comunidades en materia hídrica</t>
  </si>
  <si>
    <t>Integrar los formatos PbRM de seguimiento trimestral al Programa Anual de Obras (PbRM 11)</t>
  </si>
  <si>
    <t>Formato</t>
  </si>
  <si>
    <t>Programar la revisión y balance de materiales de obra por administración con el almacén central</t>
  </si>
  <si>
    <t xml:space="preserve">Derivado de la falta de presupuesto asignado no se llevo acabo la revision y balance de materiales. Por lo que el resultado de dicha accion muestra un bajo porcentaje de eficiencia, respecto a la cantidad programada. </t>
  </si>
  <si>
    <t>Ejecutar obra hidrosanitaria (obra por administración)</t>
  </si>
  <si>
    <t>Realizar reportes mensuales de reparación y mantenimiento (IMROM)</t>
  </si>
  <si>
    <t>C002250202030110</t>
  </si>
  <si>
    <t>Realizar mantenimientos preventivos en pozos y rebombeos</t>
  </si>
  <si>
    <t xml:space="preserve">Se han priorizado trabajos dentro del Area lo que limito la ejecucion de trabajos </t>
  </si>
  <si>
    <t>Realizar mantenimientos correctivos en pozos y rebombeos</t>
  </si>
  <si>
    <t>Se realizaron trabajos de mantenimiento en los sistemas denominados “Rebombeo Hacienda del Parque”, “Rebombeo La Quebrada” y “Tanque 1”. No obstante, no se alcanzó la meta establecida debido a la priorización de otras actividades operativas consideradas de atención urgente</t>
  </si>
  <si>
    <t>Rehabilitación integral a sistemas de agua potable</t>
  </si>
  <si>
    <t>C002200202030110</t>
  </si>
  <si>
    <t>Realizar recorridos de supervisión de la infraestructura de agua potable, drenaje y alcantarillado.</t>
  </si>
  <si>
    <t>Realizar reuniones de monitoreo con las áreas adscritas a la Unidad Técnica de Operación.</t>
  </si>
  <si>
    <t>Minuta</t>
  </si>
  <si>
    <t>Validar los informes trimestrales de seguimiento al Programa Anual de Obras del Organismo (PbRM 11)</t>
  </si>
  <si>
    <t>Proponer el Programa Anual de Obra (PAO) y sus modificaciones respectivas (PbRM 07a)</t>
  </si>
  <si>
    <t>Proponer el Programa Anual de Reparaciones y Mantenimientos del Organismo (PbRM 07b)</t>
  </si>
  <si>
    <t>Unidad de Macromedición y Telemetría</t>
  </si>
  <si>
    <t>C002190202030107</t>
  </si>
  <si>
    <t>Cuantificar del volumen de agua potable en bloque y fuentes propias.</t>
  </si>
  <si>
    <t>Realizar un informe trimestral de las conciliaciones de la facturación de volúmenes suministrados por la Comisión del Agua del Estado de México</t>
  </si>
  <si>
    <t>Revisar y conciliar con el departamento de electromecánico los niveles estáticos y dinámicos de las fuentes propias.</t>
  </si>
  <si>
    <t>Bitácora</t>
  </si>
  <si>
    <t>Dotar de agua potable a las comunidades del municipio</t>
  </si>
  <si>
    <t>Dirección Jurídica / Departamento de Asuntos Consultivos / Departamento de Asuntos Contenciosos</t>
  </si>
  <si>
    <t>D00</t>
  </si>
  <si>
    <t>Dirección Jurídica</t>
  </si>
  <si>
    <t>228</t>
  </si>
  <si>
    <t>Área Jurídica</t>
  </si>
  <si>
    <t>D002280103050104</t>
  </si>
  <si>
    <t>01030501</t>
  </si>
  <si>
    <t>Asistencia jurídica al ejecutivo</t>
  </si>
  <si>
    <t>0103050104</t>
  </si>
  <si>
    <t>Asesoría jurídica al ayuntamiento</t>
  </si>
  <si>
    <t>Brindar Asesorías Jurídicas a las Unidades Administrativas del Organismo</t>
  </si>
  <si>
    <t>Intervenir en los comités de Obra Pública</t>
  </si>
  <si>
    <t>Atender los convenios de terminación laboral</t>
  </si>
  <si>
    <t>Intervenir en los comités de Bienes Muebles e Inmuebles</t>
  </si>
  <si>
    <t>Revisar y emitir opiniones respecto a sentencias y convenios</t>
  </si>
  <si>
    <t>Atender oficios de las Unidades Administrativas del Organismo</t>
  </si>
  <si>
    <t>Revisar y dar atención a demandas mercantiles, administrativas y amparos</t>
  </si>
  <si>
    <t>Brindar información a instituciones públicas u otras autoridades</t>
  </si>
  <si>
    <t>Contraloría Interna</t>
  </si>
  <si>
    <t>G00</t>
  </si>
  <si>
    <t>G002280103040101</t>
  </si>
  <si>
    <t>01030401</t>
  </si>
  <si>
    <t>Función pública, combate a la corrupción y control de riesgos administrativos</t>
  </si>
  <si>
    <t>0103040101</t>
  </si>
  <si>
    <t>Fiscalización, control y evaluación interna de la gestión pública</t>
  </si>
  <si>
    <t>Realizar recomendaciones de control interno a las Unidades Administrativas y Subalternas del Organismo.</t>
  </si>
  <si>
    <t>Recomendación</t>
  </si>
  <si>
    <t xml:space="preserve">Se cumple con el 50% de la meta, derivado del déficit de plantilla y se dara cumplimiento en segundo trimestre  </t>
  </si>
  <si>
    <t>Realizar campaña informativa para la difusión de las obligaciones de los servidores públicos</t>
  </si>
  <si>
    <t>Realizar capacitaciones en materia de ética y conducta</t>
  </si>
  <si>
    <t>Participar en las Sesiones del Comité de Bienes Muebles</t>
  </si>
  <si>
    <t>Departamento de Auditoría y Control Interno</t>
  </si>
  <si>
    <t>G002280103040102</t>
  </si>
  <si>
    <t>0103040102</t>
  </si>
  <si>
    <t>Participación social en la formulación, seguimiento, control y evaluación interna de obras, programas y servicios públicos</t>
  </si>
  <si>
    <t>Elaborar el Programa Anual de Auditorías</t>
  </si>
  <si>
    <t>Realizar los actos de Entrega-Recepción de las Unidades Administrativas y Subalternas del Organismo</t>
  </si>
  <si>
    <t xml:space="preserve">Oficio de entrega-Recepción realizadas  </t>
  </si>
  <si>
    <t>Realizar auditorías a las Unidades Administrativas y Subalternas del Organismo</t>
  </si>
  <si>
    <t>Auditoria</t>
  </si>
  <si>
    <t>Realizar revisiones y/o supervisiones a las Unidades Administrativas y Subalternas del Organismo</t>
  </si>
  <si>
    <t>Revisión</t>
  </si>
  <si>
    <t>Revisar el informe trimestral Financiero contable y presupuestal</t>
  </si>
  <si>
    <t>Realizar arqueos a formas valoradas, a efectivo y fondos fijos del Organismo</t>
  </si>
  <si>
    <t>Arqueo</t>
  </si>
  <si>
    <t>Realizar pases de lista a las Unidades Administrativas y Subalternas del Organismo</t>
  </si>
  <si>
    <t>Pase de lista</t>
  </si>
  <si>
    <t>Participar en el inventario físicos a los Bienes Muebles e Inmuebles del Organismo</t>
  </si>
  <si>
    <t>Participar en el inventario físico en el Almacén General del Organismo</t>
  </si>
  <si>
    <t>Participar en la Constitución de Comités Ciudadanos de Control y Vigilancia (COCICOVI).</t>
  </si>
  <si>
    <t>Departamento de Investigación y Combate a la Corrupción</t>
  </si>
  <si>
    <t>G002280103040205</t>
  </si>
  <si>
    <t>01030402</t>
  </si>
  <si>
    <t>Sistema Anticorrupción del Estado de México y Municipios</t>
  </si>
  <si>
    <t>0103040205</t>
  </si>
  <si>
    <t>Investigación de faltas administrativas</t>
  </si>
  <si>
    <t>Atender y tramitar denuncias</t>
  </si>
  <si>
    <t>Denuncia</t>
  </si>
  <si>
    <t>Emitir acuerdo de conclusión y archivo</t>
  </si>
  <si>
    <t>Emitir informe de Presunta Responsabilidad Administrativa</t>
  </si>
  <si>
    <t>IPRA</t>
  </si>
  <si>
    <t>Realizar notificaciones relacionadas con el procedimiento de investigación</t>
  </si>
  <si>
    <t>Notificación</t>
  </si>
  <si>
    <t>Asistir a las Audiencias ante la Autoridad de Sustanciación</t>
  </si>
  <si>
    <t>Audiencia</t>
  </si>
  <si>
    <t>Asistir a las Audiencias ante el Tribunal de Justicia Administrativa</t>
  </si>
  <si>
    <t>Realizar eventos para servidores públicos en materia anticorrupción</t>
  </si>
  <si>
    <t>Registrar asistencia a servidores públicos en el evento en la materia.</t>
  </si>
  <si>
    <t>Asistentes</t>
  </si>
  <si>
    <t>Departamento Substanciador y Resolutor</t>
  </si>
  <si>
    <t>G002280103040202</t>
  </si>
  <si>
    <t>0103040202</t>
  </si>
  <si>
    <t>Responsabilidades administrativas</t>
  </si>
  <si>
    <t>Elaborar Acuerdo de admisión del informe de Presunta Responsabilidad Administrativa por faltas graves o no graves</t>
  </si>
  <si>
    <t>Notificar Procedimientos Administrativos por faltas graves o no graves por Unidad Substanciadora y Resolutora</t>
  </si>
  <si>
    <t>Desahogar de Audiencias de Ley, derivadas de procedimientos administrativos por faltas administrativas graves o no graves</t>
  </si>
  <si>
    <t>Elaborar resolución de responsabilidad administrativa</t>
  </si>
  <si>
    <t>Resolución</t>
  </si>
  <si>
    <t>Emitir certificados de pago de derechos de agua potable y drenaje</t>
  </si>
  <si>
    <t>Emitir constancias de inexistencia de infraestructura</t>
  </si>
  <si>
    <t>Integrar expedientes y registrar en el sistema el cambio de propietario</t>
  </si>
  <si>
    <t>Dar seguimiento a las sesiones del comité de adquisiciones de bienes y servicios</t>
  </si>
  <si>
    <t>N/A</t>
  </si>
  <si>
    <t>5</t>
  </si>
  <si>
    <t>Reparar las fugas en las líneas de agua potable que afecten el suministro en el municipio.</t>
  </si>
  <si>
    <t>6</t>
  </si>
  <si>
    <t>Rehabilitar tomas domiciliarias, comerciales e industriales.</t>
  </si>
  <si>
    <t>7</t>
  </si>
  <si>
    <t>Realizar conexiones de toma hidráulica (domestica, comercial e industrial).</t>
  </si>
  <si>
    <t>8</t>
  </si>
  <si>
    <t>Llevar a cabo sondeos en líneas primarias de conducción.</t>
  </si>
  <si>
    <t>9</t>
  </si>
  <si>
    <t>Reparar o sustituir válvulas primarias de distribución de agua potable.</t>
  </si>
  <si>
    <t>10</t>
  </si>
  <si>
    <t>Realizar bacheo por reparación o mantenimiento de la infraestructura hidrosanitaria.</t>
  </si>
  <si>
    <t>Cuantificar del volumen de agua potable en bloque y fuentes propias</t>
  </si>
  <si>
    <t>Realizar un informe trimestral de las conciliaciones de la facturación de volúmenes suministrados por la Comisión del Agua del Estado de México.</t>
  </si>
  <si>
    <t>Revisar y conciliar con el departamento de electromecánico los niveles estáticos y dinámicos de las fuentes propias</t>
  </si>
  <si>
    <t>Dotar de agua potable a las comunidades del municipio.</t>
  </si>
  <si>
    <t>CAPTURA DE AVANCES DE INDICADORES 2026</t>
  </si>
  <si>
    <t>ESTR. PROGRAMA</t>
  </si>
  <si>
    <t>PILAR O EJE TRANSVERSAL</t>
  </si>
  <si>
    <t>NUM. SERIE</t>
  </si>
  <si>
    <t>NIVEL</t>
  </si>
  <si>
    <t>DESCRIPCIÓN DEL INDICADOR</t>
  </si>
  <si>
    <t>VARIABLES</t>
  </si>
  <si>
    <t>FÓRMULA DEL INDICADOR</t>
  </si>
  <si>
    <t>TIPO DE OPERACIÓN</t>
  </si>
  <si>
    <t>FRECUENCIA DE MEDICIÓN</t>
  </si>
  <si>
    <t>SUMATORIA</t>
  </si>
  <si>
    <t>01030501FINPR.J.R.M.A.ACT.</t>
  </si>
  <si>
    <t>D0022801030501 Dirección Jurídica Asistencia jurídica al ejecutivo</t>
  </si>
  <si>
    <t>Eje 1. Cero corrupción y gobierno del pueblo y para el pueblo - Estado de Derecho y austeridad</t>
  </si>
  <si>
    <t>FIN</t>
  </si>
  <si>
    <t>Tasa de variación de procedimientos jurídicos regulatorios mejorados</t>
  </si>
  <si>
    <t>Procedimientos jurídicos regulatorios mejorados en el año actual</t>
  </si>
  <si>
    <t>((Procedimientos jurídicos regulatorios mejorados en el año actual/Procedimientos jurídicos regulatorios mejorados en el año anterior)-1) *100</t>
  </si>
  <si>
    <t>Sumable</t>
  </si>
  <si>
    <t xml:space="preserve">Anual </t>
  </si>
  <si>
    <t>01030501FINPR.J.R.M.A.ANT.</t>
  </si>
  <si>
    <t>Procedimientos jurídicos regulatorios mejorados en el año anterior</t>
  </si>
  <si>
    <t>Asesorías</t>
  </si>
  <si>
    <t>01030501PROPÓSITOA.J.M.CA.</t>
  </si>
  <si>
    <t>PROPÓSITO</t>
  </si>
  <si>
    <t>Porcentaje de asesores jurídicos municipales capacitados</t>
  </si>
  <si>
    <t>Asesores jurídicos municipales capacitados</t>
  </si>
  <si>
    <t xml:space="preserve">(Asesores jurídicos municipales capacitados/Total de asesores jurídicos en el Ayuntamiento) *100 </t>
  </si>
  <si>
    <t>Asesor Jurídico</t>
  </si>
  <si>
    <t>Anual</t>
  </si>
  <si>
    <t>01030501PROPÓSITOT.A.J.A.</t>
  </si>
  <si>
    <t>Total de asesores jurídicos en el Ayuntamiento</t>
  </si>
  <si>
    <t>01030501COMPONENTE 1A.J.IM.</t>
  </si>
  <si>
    <t>COMPONENTE 1</t>
  </si>
  <si>
    <t>Porcentaje de asesorías jurídicas impartidas</t>
  </si>
  <si>
    <t>Asesorías jurídicas impartidas</t>
  </si>
  <si>
    <t>(Asesorías jurídicas impartidas/Asesorías jurídicas programadas) *100</t>
  </si>
  <si>
    <t>Semestral</t>
  </si>
  <si>
    <t>01030501COMPONENTE 1A.J.P.</t>
  </si>
  <si>
    <t>Asesorías jurídicas programadas</t>
  </si>
  <si>
    <t>01030501ACTIVIDAD 1.1RE.J.E.</t>
  </si>
  <si>
    <t>ACTIVIDAD 1.1</t>
  </si>
  <si>
    <t>Porcentaje de resoluciones jurídicas emitidas</t>
  </si>
  <si>
    <t>Resoluciones jurídicas emitidas</t>
  </si>
  <si>
    <t>(Resoluciones jurídicas emitidas/Total de asuntos jurídicos recibidos) *100</t>
  </si>
  <si>
    <t>Trimestral</t>
  </si>
  <si>
    <t>01030501ACTIVIDAD 1.1T.A.J.R.</t>
  </si>
  <si>
    <t>Total de asuntos jurídicos recibidos</t>
  </si>
  <si>
    <t>01030501ACTIVIDAD 2.1T.A.J.RE.</t>
  </si>
  <si>
    <t>ACTIVIDAD 2.1</t>
  </si>
  <si>
    <t>Porcentaje de tramitación de asuntos jurídicos realizados</t>
  </si>
  <si>
    <t>Tramitación de asuntos jurídicos realizados</t>
  </si>
  <si>
    <t>(Tramitación de asuntos jurídicos realizados/Tramitación de asuntos jurídicos programados) *100</t>
  </si>
  <si>
    <t>01030501ACTIVIDAD 2.1T.A.J.PR.</t>
  </si>
  <si>
    <t>Tramitación de asuntos jurídicos programados</t>
  </si>
  <si>
    <t>01030501COMPONENTE 2 D.C.A.P.M.AT.</t>
  </si>
  <si>
    <t xml:space="preserve">COMPONENTE 2 </t>
  </si>
  <si>
    <t>Porcentaje de demandas en contra de la Administración Pública Municipal atendidas</t>
  </si>
  <si>
    <t>Demandas en contra de la Administración Pública Municipal atendidas</t>
  </si>
  <si>
    <t>(Demandas en contra de la Administración Pública Municipal atendidas/Demandas en contra de la Administración Pública Municipal presentadas) *100</t>
  </si>
  <si>
    <t>01030501COMPONENTE 2 D.C.A.P.M.PR.</t>
  </si>
  <si>
    <t>Demandas en contra de la Administración Pública Municipal presentadas</t>
  </si>
  <si>
    <t>01080301FINA.D.I.G.M.C.R.A.ACT.</t>
  </si>
  <si>
    <t>A0123401080301 Secretaría Técnica Comunicación pública y fortalecimiento informativo</t>
  </si>
  <si>
    <t>Tasa de variación en las acciones de difusión de información gubernamental en los medios de comunicación</t>
  </si>
  <si>
    <t>Acciones de difusión de información gubernamental en los medios de comunicación realizados en el año actual</t>
  </si>
  <si>
    <t>((Acciones de difusión de información gubernamental en los medios de comunicación realizados en el año actual/Acciones de difusión de la información gubernamental en los medios de comunicación efectuados en el año anterior)-1) *100</t>
  </si>
  <si>
    <t>01080301FINA.D.I.G.M.C.E.A.ANT.</t>
  </si>
  <si>
    <t>Acciones de difusión de la información gubernamental en los medios de comunicación efectuados en el año anterior</t>
  </si>
  <si>
    <t>01080301PROPÓSITOE.F.C.I.P.D.H.M.R.A.ACT.</t>
  </si>
  <si>
    <t>Tasa de variación de actividades de difusión sobre los valores, principios, obras y acciones del gobierno municipal</t>
  </si>
  <si>
    <t>Eventos para fortalecer la comunicación e información pública dirigida a los habitantes del municipio realizados en el año actual</t>
  </si>
  <si>
    <t>((Eventos para fortalecer la comunicación e información pública dirigida a los habitantes del municipio realizados en el año actual/Eventos para fortalecer la comunicación e información pública dirigida a los habitantes del municipio realizados en el año anterior)-1) *100</t>
  </si>
  <si>
    <t>01080301PROPÓSITOE.F.C.I.P.D.H.M.R.A.ANT.</t>
  </si>
  <si>
    <t>Eventos para fortalecer la comunicación e información pública dirigida a los habitantes del municipio realizados en el año anterior</t>
  </si>
  <si>
    <t>01080301COMPONENTE 2R.E.P.P.A.G.S.O.</t>
  </si>
  <si>
    <t>COMPONENTE 2</t>
  </si>
  <si>
    <t>Porcentaje de resultados de los planes y programas de acción gubernamental para instancias de gobierno y la sociedad</t>
  </si>
  <si>
    <t>Resultados de la evaluación de los planes y programas de acción gubernamental por parte de la sociedad organizada</t>
  </si>
  <si>
    <t>(Resultados de la evaluación de los planes y programas de acción gubernamental por parte de la sociedad organizada/Resultados esperados en la evaluación de los planes y programas de acción gubernamental por parte de la sociedad organizada) *100</t>
  </si>
  <si>
    <t>01080301COMPONENTE 2R.E.E.P.P.A.G.S.O.</t>
  </si>
  <si>
    <t>Resultados esperados en la evaluación de los planes y programas de acción gubernamental por parte de la sociedad organizada</t>
  </si>
  <si>
    <t>01080301ACTIVIDAD 2.1B.I.DI.</t>
  </si>
  <si>
    <t>Porcentaje de cumplimiento en la distribución de boletines informativos</t>
  </si>
  <si>
    <t>Boletines informativos difundidos</t>
  </si>
  <si>
    <t>(Boletines informativos difundidos/Boletines informativos programados para difusión) *100</t>
  </si>
  <si>
    <t>01080301ACTIVIDAD 2.1B.I.P.D.</t>
  </si>
  <si>
    <t>Boletines informativos programados para difusión</t>
  </si>
  <si>
    <t>01080301ACTIVIDAD 2.2S.I.D.</t>
  </si>
  <si>
    <t>ACTIVIDAD 2.2</t>
  </si>
  <si>
    <t>Porcentaje de spots informativos difundidos</t>
  </si>
  <si>
    <t>Spots informativos difundidos</t>
  </si>
  <si>
    <t>(Spots informativos difundidos/Spots informativos para difusión programados) *100</t>
  </si>
  <si>
    <t>01080301ACTIVIDAD 2.2S.I.D.P.</t>
  </si>
  <si>
    <t>Spots informativos para difusión programados</t>
  </si>
  <si>
    <t>01080301ACTIVIDAD 2.3T.S.D.C.R.</t>
  </si>
  <si>
    <t>ACTIVIDAD 2.3</t>
  </si>
  <si>
    <t>Porcentaje de trámites y servicios digitales a la ciudadanía realizados</t>
  </si>
  <si>
    <t>Trámites y servicios digitales a la ciudadanía realizados</t>
  </si>
  <si>
    <t>(Trámites y servicios digitales a la ciudadanía realizados/Trámites y servicios digitales a la ciudadanía programados) *100</t>
  </si>
  <si>
    <t>01080301ACTIVIDAD 2.3T.S.D.C.P.</t>
  </si>
  <si>
    <t>Trámites y servicios digitales a la ciudadanía programados</t>
  </si>
  <si>
    <t>01080301ACTIVIDAD 2.4D.G.R.</t>
  </si>
  <si>
    <t>ACTIVIDAD 2.4</t>
  </si>
  <si>
    <t>Porcentaje de diseños gráficos, con objetivos específicos de difusión realizados</t>
  </si>
  <si>
    <t>Diseños gráficos realizados</t>
  </si>
  <si>
    <t>(Diseños gráficos realizados/Diseños gráficos programados) *100</t>
  </si>
  <si>
    <t>01080301ACTIVIDAD 2.4D.G.P.</t>
  </si>
  <si>
    <t>Diseños gráficos programados</t>
  </si>
  <si>
    <t>01080301ACTIVIDAD 2.5C.P.R.</t>
  </si>
  <si>
    <t>ACTIVIDAD 2.5</t>
  </si>
  <si>
    <t>Porcentaje de conferencias de prensa realizadas</t>
  </si>
  <si>
    <t>Conferencias de prensa realizadas</t>
  </si>
  <si>
    <t>(Conferencias de prensa realizadas/Conferencias de prensa programadas) *100</t>
  </si>
  <si>
    <t>01080301ACTIVIDAD 2.5C.P.P.</t>
  </si>
  <si>
    <t>Conferencias de prensa programadas</t>
  </si>
  <si>
    <t>01030101FINM.I.P.S.R.C.P.P.M.A.ACT.</t>
  </si>
  <si>
    <t>A0021201030101 Dirección General Conducción de las políticas de gobierno</t>
  </si>
  <si>
    <t>Tasa de variación en la ejecución de mecanismos e instrumentos de participación social</t>
  </si>
  <si>
    <t>Mecanismos e instrumentos de participación social realizados para la conformación de Políticas Públicas Municipales en el año actual</t>
  </si>
  <si>
    <t>((Mecanismos e instrumentos de participación social realizados para la conformación de Políticas Públicas Municipales en el año actual/Mecanismos e instrumentos de participación social realizados para la conformación de Políticas Públicas Municipales en el año anterior)-1) *100</t>
  </si>
  <si>
    <t>Registro de participación</t>
  </si>
  <si>
    <t>Constante</t>
  </si>
  <si>
    <t>01030101FINM.I.P.S.R.C.P.P.M.A.ANT.</t>
  </si>
  <si>
    <t>Mecanismos e instrumentos de participación social realizados para la conformación de Políticas Públicas Municipales en el año anterior</t>
  </si>
  <si>
    <t>01030101PROPÓSITOP.C.R.M.I.P.S.C.P.P.M.A.ACT.</t>
  </si>
  <si>
    <t>A0121501030101 Secretaría Técnica Conducción de las políticas de gobierno</t>
  </si>
  <si>
    <t>Tasa de variación en la participación ciudadana registrada en los mecanismos e instrumentos de participación social</t>
  </si>
  <si>
    <t>Participación ciudadana registrada en los mecanismos e instrumentos de participación social para la conformación de políticas públicas municipales en el año actual</t>
  </si>
  <si>
    <t>((Participación ciudadana registrada en los mecanismos e instrumentos de participación social para la conformación de políticas públicas municipales en el año actual/Participación ciudadana registrada en los mecanismos e instrumentos de participación social para la conformación de políticas públicas municipales en el año anterior) 1) *100</t>
  </si>
  <si>
    <t>01030101PROPÓSITOP.C.R.M.I.P.S.C.P.P.M.A.ANT.</t>
  </si>
  <si>
    <t>Participación ciudadana registrada en los mecanismos e instrumentos de participación social para la conformación de políticas públicas municipales en el año anterior</t>
  </si>
  <si>
    <t>01030101COMPONENTE 1D.C.C.P.P.M.A.</t>
  </si>
  <si>
    <t>Porcentaje de demandas ciudadanas para la construcción de las políticas públicas municipales atendidas</t>
  </si>
  <si>
    <t>Demandas ciudadanas para la construcción de las políticas públicas municipales atendidas</t>
  </si>
  <si>
    <t xml:space="preserve">(Demandas ciudadanas para la construcción de las políticas públicas municipales atendidas/Demandas ciudadanas para la construcción de políticas públicas municipales registradas) *100 </t>
  </si>
  <si>
    <t>Demanda ciudadana</t>
  </si>
  <si>
    <t>01030101COMPONENTE 1D.C.C.P.P.M.R.</t>
  </si>
  <si>
    <t>Demandas ciudadanas para la construcción de políticas públicas municipales registradas</t>
  </si>
  <si>
    <t>01030101ACTIVIDAD 1.1 P.P.M.A.</t>
  </si>
  <si>
    <t xml:space="preserve">ACTIVIDAD 1.1 </t>
  </si>
  <si>
    <t>Porcentaje de actualización de las políticas públicas municipales</t>
  </si>
  <si>
    <t>Políticas públicas municipales actualizadas</t>
  </si>
  <si>
    <t xml:space="preserve">(Políticas públicas municipales actualizadas/Total de políticas públicas municipales) *100 </t>
  </si>
  <si>
    <t>Ficha de seguimiento</t>
  </si>
  <si>
    <t>01030101ACTIVIDAD 1.1 T.P.P.M.</t>
  </si>
  <si>
    <t>Total de políticas públicas municipales</t>
  </si>
  <si>
    <t>01030101ACTIVIDAD 1.2R. O. C. S. R. R.</t>
  </si>
  <si>
    <t>ACTIVIDAD 1.2</t>
  </si>
  <si>
    <t>Porcentaje de reuniones con organizaciones civiles o sociales realizadas</t>
  </si>
  <si>
    <t>Reuniones con organizaciones civiles o sociales registradas realizadas</t>
  </si>
  <si>
    <t xml:space="preserve">(Reuniones con organizaciones civiles o sociales registradas realizadas/Reuniones con organizaciones civiles o sociales registradas programadas) *100 </t>
  </si>
  <si>
    <t>Ficha Técnica</t>
  </si>
  <si>
    <t>01030101ACTIVIDAD 1.2R. O. C. S. R. P.</t>
  </si>
  <si>
    <t>Reuniones con organizaciones civiles o sociales registradas programadas</t>
  </si>
  <si>
    <t>01050206FINGA.C.A.ACT.</t>
  </si>
  <si>
    <t>B0021301050206 Dirección de Administración y Finanzas Consolidación de la administración pública de resultados</t>
  </si>
  <si>
    <t>Tasa de variación del gasto corriente</t>
  </si>
  <si>
    <t>Gasto corriente del año actual</t>
  </si>
  <si>
    <t>((Gasto corriente del año actual/Gasto corriente en el año anterior)-1) *100</t>
  </si>
  <si>
    <t>Pesos</t>
  </si>
  <si>
    <t>01050206FINGA.C.A.ANT.</t>
  </si>
  <si>
    <t>Gasto corriente en el año anterior</t>
  </si>
  <si>
    <t>01050206PROPÓSITOG.C.EJ.</t>
  </si>
  <si>
    <t>Porcentaje de avance en el gasto corriente ejercicio</t>
  </si>
  <si>
    <t>Gasto corriente ejercido</t>
  </si>
  <si>
    <t>(Gasto corriente ejercido/Monto del Gasto corriente) *100</t>
  </si>
  <si>
    <t>01050206PROPÓSITOMO.G.C.</t>
  </si>
  <si>
    <t>Monto del gasto corriente</t>
  </si>
  <si>
    <t>01050206COMPONENTE 1SE.P.F.S.ACT.</t>
  </si>
  <si>
    <t>B0020901050206 Dirección de Administración y Finanzas Consolidación de la administración pública de resultados</t>
  </si>
  <si>
    <t>Tasa de variación de servidores públicos municipales en funciones</t>
  </si>
  <si>
    <t>Servidores públicos en funciones en el semestre actual</t>
  </si>
  <si>
    <t>((Servidores públicos en funciones en el semestre actual/Servidores públicos en funciones en el semestre anterior)-1) *100</t>
  </si>
  <si>
    <t>Servidor Público</t>
  </si>
  <si>
    <t>Valor actual</t>
  </si>
  <si>
    <t>01050206COMPONENTE 1SE.P.F.S.ANT.</t>
  </si>
  <si>
    <t>Servidores públicos en funciones en el semestre anterior</t>
  </si>
  <si>
    <t>No Sumable</t>
  </si>
  <si>
    <t>01050206COMPONENTE 2MO.EJ.C.A.B.S.S.ACT.</t>
  </si>
  <si>
    <t>Tasa de variación del gasto ejercido por concepto de adquisiciones, bienes y servicios</t>
  </si>
  <si>
    <t>Monto ejercido por concepto de adquisiciones, bienes y servicios del semestre actual</t>
  </si>
  <si>
    <t>((Monto ejercido por concepto de adquisiciones, bienes y servicios del semestre actual/Monto por concepto de adquisiciones, bienes y servicios ejercidos del semestre anterior)-1) *100</t>
  </si>
  <si>
    <t>Monto</t>
  </si>
  <si>
    <t>01050206COMPONENTE 2MO.EJ.C.A.B.S.E.S.ANT.</t>
  </si>
  <si>
    <t>Monto por concepto de adquisiciones, bienes y servicios ejercidos del semestre anterior</t>
  </si>
  <si>
    <t>01050206COMPONENTE 3R.B.M.P.S.ACT.</t>
  </si>
  <si>
    <t>A0121401050206 Secretaría Técnica Consolidación de la administración pública de resultados</t>
  </si>
  <si>
    <t>COMPONENTE 3</t>
  </si>
  <si>
    <t>Tasa de variación en el registro de bienes patrimoniales</t>
  </si>
  <si>
    <t>Registros de bienes patrimoniales del semestre actual</t>
  </si>
  <si>
    <t>((Registros de bienes patrimoniales del semestre actual/Registros de bienes patrimoniales del semestre anterior)-1) *100</t>
  </si>
  <si>
    <t>01050206COMPONENTE 3R.B.M.P.S.ANT.</t>
  </si>
  <si>
    <t>Registros de bienes patrimoniales del semestre anterior</t>
  </si>
  <si>
    <t>01050206COMPONENTE 4AC.P.A.M.R.C.</t>
  </si>
  <si>
    <t>A0122901050206 Secretaría Técnica Consolidación de la administración pública de resultados</t>
  </si>
  <si>
    <t>COMPONENTE 4</t>
  </si>
  <si>
    <t>Porcentaje de cumplimiento del Programa Anual de Mejora Regulatoria</t>
  </si>
  <si>
    <t>Acciones del Programa Anual de Mejora Regulatoria cumplidas</t>
  </si>
  <si>
    <t>(Acciones del Programa Anual de Mejora Regulatoria cumplidas/Total de Acciones del Programa Anual de Mejora Regulatoria) *100</t>
  </si>
  <si>
    <t>01050206COMPONENTE 4TO.AC.P.A.M.R.</t>
  </si>
  <si>
    <t>Total de Acciones del Programa Anual de Mejora Regulatoria</t>
  </si>
  <si>
    <t xml:space="preserve">01050206COMPONENTE 6E. P. P. A. M. A </t>
  </si>
  <si>
    <t>COMPONENTE 6</t>
  </si>
  <si>
    <t>Porcentaje de cumplimiento en la elaboración y publicación del Programa Anual en materia archivística</t>
  </si>
  <si>
    <t>Elaboración y publicación del Programa Anual en materia archivística</t>
  </si>
  <si>
    <t>(Elaboración y publicación del Programa Anual en materia archivística/Documento programado a elaborar y publicar) *100</t>
  </si>
  <si>
    <t>01050206COMPONENTE 6D. P. E. P.</t>
  </si>
  <si>
    <t>Documento programado a elaborar y publicar</t>
  </si>
  <si>
    <t>01050206ACTIVIDAD 1.1S.R.V.P.A.S.P.</t>
  </si>
  <si>
    <t>Porcentaje de supervisiones realizadas para verificar la puntualidad y asistencia de los servidores públicos</t>
  </si>
  <si>
    <t>Supervisiones realizadas para verificar la puntualidad y asistencia de los servidores públicos</t>
  </si>
  <si>
    <t>(Supervisiones realizadas para verificar la puntualidad y asistencia de los servidores públicos/Supervisiones programadas para verificar la puntualidad y asistencia de los servidores público) *100</t>
  </si>
  <si>
    <t>01050206ACTIVIDAD 1.1S.P.V.P.A.S.P.</t>
  </si>
  <si>
    <t>Supervisiones programadas para verificar la puntualidad y asistencia de los servidores públicos</t>
  </si>
  <si>
    <t>01050206ACTIVIDAD 1.2M.A.B.EF.</t>
  </si>
  <si>
    <t>Porcentaje de movimientos de personal efectuados</t>
  </si>
  <si>
    <t>Movimientos de altas y bajas efectuados</t>
  </si>
  <si>
    <t>(Movimientos de altas y bajas efectuados/Movimientos de altas y bajas en proceso) *100</t>
  </si>
  <si>
    <t>01050206ACTIVIDAD 1.2M.A.B.PR.</t>
  </si>
  <si>
    <t>Movimientos de altas y bajas en proceso</t>
  </si>
  <si>
    <t>01050206ACTIVIDAD 2.1M.C.A.EJ.</t>
  </si>
  <si>
    <t>Porcentaje de recursos ejercidos en adquisiciones</t>
  </si>
  <si>
    <t>Monto por concepto de adquisiciones ejercido</t>
  </si>
  <si>
    <t>(Monto por concepto de adquisiciones ejercido/Monto por concepto de adquisiciones programadas) *100</t>
  </si>
  <si>
    <t>01050206ACTIVIDAD 2.1M.C.A.PR.</t>
  </si>
  <si>
    <t>Monto por concepto de adquisiciones programadas</t>
  </si>
  <si>
    <t>01050206ACTIVIDAD 3.2V.F.I.P.MU.R.</t>
  </si>
  <si>
    <t>ACTIVIDAD 3.2</t>
  </si>
  <si>
    <t>Porcentaje de verificación al inventario patrimonial municipal</t>
  </si>
  <si>
    <t>Verificaciones físicas al inventario patrimonial municipal realizadas</t>
  </si>
  <si>
    <t>(Verificaciones físicas al inventario patrimonial municipal realizadas/Verificaciones físicas al inventario patrimonial municipal programadas) *100</t>
  </si>
  <si>
    <t>01050206ACTIVIDAD 3.2V.F.I.P.MU.P.</t>
  </si>
  <si>
    <t>Verificaciones físicas al inventario patrimonial municipal programadas</t>
  </si>
  <si>
    <t>01050206ACTIVIDAD 4.1T.S.I.A.C.</t>
  </si>
  <si>
    <t>ACTIVIDAD 4.1</t>
  </si>
  <si>
    <t>Porcentaje de trámites y servicios integrados o actualizados</t>
  </si>
  <si>
    <t>Trámites y servicios integrados y/o actualizados en el catálogo</t>
  </si>
  <si>
    <t>(Trámites y servicios integrados y/o actualizados en el catálogo/Total de trámites y servicios) *100</t>
  </si>
  <si>
    <t>01050206ACTIVIDAD 4.1TO.T.S.</t>
  </si>
  <si>
    <t>Total de trámites y servicios</t>
  </si>
  <si>
    <t>01050206ACTIVIDAD 4.2PR.M.R.M.A.</t>
  </si>
  <si>
    <t>ACTIVIDAD 4.2</t>
  </si>
  <si>
    <t>Porcentaje de propuestas al marco regulatorio municipal aprobadas</t>
  </si>
  <si>
    <t>Propuestas al marco regulatorio municipal aprobadas</t>
  </si>
  <si>
    <t>(Propuestas al marco regulatorio municipal aprobadas/Propuestas al marco regulatorio municipal recibidas) *100</t>
  </si>
  <si>
    <t>01050206ACTIVIDAD 4.2PR.M.R.M.R.</t>
  </si>
  <si>
    <t>Propuestas al marco regulatorio municipal recibidas</t>
  </si>
  <si>
    <t>01050206ACTIVIDAD 4.3E.PU.P.A.M.R.</t>
  </si>
  <si>
    <t>ACTIVIDAD 4.3</t>
  </si>
  <si>
    <t>Porcentaje de cumplimiento en la elaboración y publicación del Programa Anual de Mejora Regulatoria</t>
  </si>
  <si>
    <t>Elaboración y publicación del Programa Anual de Mejora Regulatoria</t>
  </si>
  <si>
    <t>(Elaboración y publicación del Programa Anual de Mejora Regulatoria/Documento programado a elaborar y publicar) *100</t>
  </si>
  <si>
    <t>01050206ACTIVIDAD 4.3D.P.E.PU.</t>
  </si>
  <si>
    <t>01050206ACTIVIDAD 6.1A. O. M. A.</t>
  </si>
  <si>
    <t>ACTIVIDAD 6.1</t>
  </si>
  <si>
    <t>Porcentaje de asesorías en materia archivística otorgadas</t>
  </si>
  <si>
    <t>Asesorías otorgadas en materia archivística</t>
  </si>
  <si>
    <t>(Asesorías otorgadas en materia archivística/Asesorías programadas en materia archivística) *100</t>
  </si>
  <si>
    <t>01050206ACTIVIDAD 6.1A. P. M. A.</t>
  </si>
  <si>
    <t>Asesorías programadas en materia archivística</t>
  </si>
  <si>
    <t>01050202FINMO.IN.P.M.A.ACT.</t>
  </si>
  <si>
    <t>B0020501050202 Dirección de Administración y Finanzas Fortalecimiento de los ingresos</t>
  </si>
  <si>
    <t>Tasa de variación de los ingresos propios municipales</t>
  </si>
  <si>
    <t>Monto de Ingresos propios municipales del año actual</t>
  </si>
  <si>
    <t>((Monto de Ingresos propios municipales del año actual/Total de Ingresos propios municipales del año anterior)-1) *100</t>
  </si>
  <si>
    <t>Ingresos</t>
  </si>
  <si>
    <t>01050202FINTO.IN.P.M.A.ANT.</t>
  </si>
  <si>
    <t>Total de Ingresos propios municipales del año anterior</t>
  </si>
  <si>
    <t>01050202PROPÓSITORE.P.M.C.P.A.ACT.</t>
  </si>
  <si>
    <t>Tasa de variación de los recursos propios del municipio sin considerar participaciones</t>
  </si>
  <si>
    <t>Recursos propios del municipio sin considerar participaciones del año actual</t>
  </si>
  <si>
    <t>((Recursos propios del municipio sin considerar participaciones del año actual/Recursos Propios del municipio sin considerar participaciones del año anterior)- 1) *100</t>
  </si>
  <si>
    <t>Recursos</t>
  </si>
  <si>
    <t>01050202PROPÓSITORE.P.M.C.P.A.ANT.</t>
  </si>
  <si>
    <t>Recursos Propios del municipio sin considerar participaciones del año anterior</t>
  </si>
  <si>
    <t>01050202COMPONENTE 1MO.RE.C.O.P.T.A.ACT.</t>
  </si>
  <si>
    <t>Tasa de variación de la recaudación corriente</t>
  </si>
  <si>
    <t>Monto de recaudación corriente obtenida en el trimestre del año actual</t>
  </si>
  <si>
    <t>((Monto de recaudación corriente obtenida en el trimestre del año actual/Total de recaudación corriente obtenida en el trimestre del año anterior)-1) *100</t>
  </si>
  <si>
    <t>Recaudación</t>
  </si>
  <si>
    <t>01050202COMPONENTE 1TO.RE.C.O.P.T.A.ANT.</t>
  </si>
  <si>
    <t>Total de recaudación corriente obtenida en el trimestre del año anterior</t>
  </si>
  <si>
    <t>01050202COMPONENTE 2MO.I.C.A.T.ACT.</t>
  </si>
  <si>
    <t>Tasa de variación del monto de ingresos por cobro de accesorios</t>
  </si>
  <si>
    <t>Monto de ingresos por cobro de accesorios en el trimestre actual</t>
  </si>
  <si>
    <t>((Monto de ingresos por cobro de accesorios en el trimestre actual/Monto de ingresos por cobro de accesorios en el trimestre anterior)-1) *100</t>
  </si>
  <si>
    <t>01050202COMPONENTE 2MO.I.C.A.T.ANT.</t>
  </si>
  <si>
    <t>Monto de ingresos por cobro de accesorios en el trimestre anterior</t>
  </si>
  <si>
    <t>01050202ACTIVIDAD 1.1NU.PR.A.S.ACT.</t>
  </si>
  <si>
    <t>B0320201050202 Dirección de Comercialización Fortalecimiento de los ingresos</t>
  </si>
  <si>
    <t>Tasa de variación en los predios actualizados en el semestre</t>
  </si>
  <si>
    <t>Número de predios actualizados en el semestre actual</t>
  </si>
  <si>
    <t>((Número de predios actualizados en el semestre actual/Total de predios actualizados en el semestre anterior)-1) *100</t>
  </si>
  <si>
    <t>Certificados</t>
  </si>
  <si>
    <t>SE DETERMINA LA CANTIDAD DE ACUERDO AL ANÁLISIS SEMESTRAL , POR LO TANTO AUN NO ES PRECISO  EL MONTO TRIMESTRAL 2026</t>
  </si>
  <si>
    <t>01050202ACTIVIDAD 1.1TO.PR.A.S.ANT.</t>
  </si>
  <si>
    <t>Total de predios actualizados en el semestre anterior</t>
  </si>
  <si>
    <t>SE DETERMINA LA CANTIDAD DE ACUERDO AL ANÁLISIS SEMESTRAL , POR LO TANTO AUN NO ES PRECISO  EL MONTO TRIMESTRAL 2027</t>
  </si>
  <si>
    <t>01050202ACTIVIDAD 1.2NU.CA.D.A. S.F.E.P.P.E.</t>
  </si>
  <si>
    <t>B0321601050202 Dirección de Comercialización Fortalecimiento de los ingresos</t>
  </si>
  <si>
    <t>Porcentaje de campañas de difusión de los apoyos, subsidios fiscales y exhortación al pago puntual efectuadas</t>
  </si>
  <si>
    <t>Número de campañas de difusión de los apoyos, subsidios fiscales y exhortación al pago puntual efectuadas</t>
  </si>
  <si>
    <t>(Número de campañas de difusión de los apoyos, subsidios fiscales y exhortación al pago puntual efectuadas/Campañas de difusión programadas) *100</t>
  </si>
  <si>
    <t xml:space="preserve">Se realizo campaña de "Borrón y Cuenta Nueva 2026", mismaque estara vigente hasta el día 31 de diciembre del año 2026, la cual fue publicada en la gaceta 121 de fecha 29 de mayo del año 2026, y que se encuentra publicada dentro de la pagina oficial del Ayuntamiento de Cuautitlán Izcalli, en la liga https://cuautitlanizcalli.gob.mx/wp-content/uploads/2026/05/GACETA-121.pdf.   </t>
  </si>
  <si>
    <t>01050202ACTIVIDAD 1.2CA.D.P.</t>
  </si>
  <si>
    <t>Campañas de difusión programadas</t>
  </si>
  <si>
    <t>campaña</t>
  </si>
  <si>
    <t>01050202ACTIVIDAD 2.1NU.RE.P.T.A.ACT.</t>
  </si>
  <si>
    <t>Tasa de variación en los registros de los padrones de cobro</t>
  </si>
  <si>
    <t>Número de registros en los padrones del trimestre del año actual</t>
  </si>
  <si>
    <t>((Número de registros en los padrones del trimestre del año actual/Total de registros en los padrones del trimestre del año anterior)-1) *100</t>
  </si>
  <si>
    <t>01050202ACTIVIDAD 2.1TO.RE.P.T.A.ANT.</t>
  </si>
  <si>
    <t>Total de registros en los padrones del trimestre del año anterior</t>
  </si>
  <si>
    <t>01050202ACTIVIDAD 2.2NU.CO.D.S.F.T.ACT.</t>
  </si>
  <si>
    <t>B0320801050202 Dirección de Comercialización Fortalecimiento de los ingresos</t>
  </si>
  <si>
    <t>Tasa de variación del número de contribuyentes detectados en situación fiscalizable</t>
  </si>
  <si>
    <t>Número de contribuyentes detectados en situación fiscalizable del trimestre actual</t>
  </si>
  <si>
    <t>((Número de contribuyentes detectados en situación fiscalizable del trimestre actual/Total de contribuyentes detectados en situación fiscalizable en trimestre anterior)-1) *100</t>
  </si>
  <si>
    <t>El sobrepaso en las cifras de contribuyentes detectados en situación fiscalizable durante el trimestre actual se debe a la implementación de la campaña de regularización y descuentos del ejercicio fiscal 2026, relativa a los servicios de agua potable, alcantarillado, drenaje y saneamiento, la cual incentivó la actualización del padrón y permitió la identificación de nuevos contribuyentes.</t>
  </si>
  <si>
    <t xml:space="preserve">El incremento se debe a la mayor disposición de los contribuyentes para regularizar su situación derivadas de la campaña "BORRÓN Y CUENTA NUEVA 2026", motivando una mayor participación por parte de los usuarios y agilizando la atención de cuentas con adeudo. </t>
  </si>
  <si>
    <t>01050202ACTIVIDAD 2.2TO.CO.D.S.F.T.ANT.</t>
  </si>
  <si>
    <t>Total de contribuyentes detectados en situación fiscalizable en trimestre anterior</t>
  </si>
  <si>
    <t>01050202ACTIVIDAD 2.3NU.IN.P.C.M.O.R.E.</t>
  </si>
  <si>
    <t>Porcentaje de invitaciones de pago a contribuyentes morosos, omisos y remisos detectados</t>
  </si>
  <si>
    <t>Número de invitaciones de pago a contribuyentes morosos, omisos y remisos entregadas</t>
  </si>
  <si>
    <t>(Número de invitaciones de pago a contribuyentes morosos, omisos y remisos entregadas/Total de invitaciones expedidas) *100</t>
  </si>
  <si>
    <t>Carta Invitación</t>
  </si>
  <si>
    <t>Este resultado se atribuye principalmente a la implementación de la campaña de descuento "BORRÓN Y CUENTA NUEVA 2026", la cual se hizo de conocimiento a la población en general mediante la Gaceta de Gobierno del Municipio de Cuautitlán Izcalli,en el mes de mayo de 2026, misma que incentivo a una mayor participación y respuesta por parte de los contribuyentes interesados en regularizar su situción fiscal y aprovechar los beneficios otorados por dicho programa.</t>
  </si>
  <si>
    <t>01050202ACTIVIDAD 2.3TO.IN.EXP.</t>
  </si>
  <si>
    <t>Total de invitaciones expedidas</t>
  </si>
  <si>
    <t>01050202ACTIVIDAD 2.4NU.C.F.RE.</t>
  </si>
  <si>
    <t>Porcentaje de créditos fiscales recuperados</t>
  </si>
  <si>
    <t>Número de créditos fiscales recuperados</t>
  </si>
  <si>
    <t>(Número de créditos fiscales recuperados/Total de créditos fiscales determinados) *100</t>
  </si>
  <si>
    <t xml:space="preserve">Determinación </t>
  </si>
  <si>
    <t>01050202ACTIVIDAD 2.4TO.C.F.DE.</t>
  </si>
  <si>
    <t>Total de créditos fiscales determinados</t>
  </si>
  <si>
    <t>01030401FINN. O. D. A. I. S.</t>
  </si>
  <si>
    <t>G0022801030401 Contraloría Interna Función pública, combate a la corrupción y control de riesgos administrativos</t>
  </si>
  <si>
    <t>Porcentaje de observaciones derivadas de auditorías institucionales que fueron solventadas</t>
  </si>
  <si>
    <t>Número de observaciones derivadas de auditorías institucionales que fueron solventadas</t>
  </si>
  <si>
    <t>(Número de observaciones derivadas de auditorías institucionales que fueron solventadas/Total de observaciones derivadas de auditorías institucionales) * 100</t>
  </si>
  <si>
    <t>Observación</t>
  </si>
  <si>
    <t>01030401FINT. O. D. A. I.</t>
  </si>
  <si>
    <t>Total de observaciones derivadas de auditorías institucionales</t>
  </si>
  <si>
    <t>01030401PROPÓSITON. A. E. R. R.</t>
  </si>
  <si>
    <t>Porcentaje de auditorías realizadas con enfoque de riesgo sobre funciones críticas</t>
  </si>
  <si>
    <t>Número de auditorías con enfoque de riesgo realizadas</t>
  </si>
  <si>
    <t>(Número de auditorías con enfoque de riesgo realizadas/Total de auditorías con enfoque de riesgo previstas a realizar en el año) * 100</t>
  </si>
  <si>
    <t xml:space="preserve">01030401PROPÓSITOT. A. E. R. P. R. A. </t>
  </si>
  <si>
    <t>Total de auditorías con enfoque de riesgo previstas a realizar en el año</t>
  </si>
  <si>
    <t>01030401COMPONENTE 3A. O. S. P. E. I. C. R. R.</t>
  </si>
  <si>
    <t>Porcentaje de auditorías a las obligaciones de los servidores públicos con enfoque de integridad y control de riesgos realizadas</t>
  </si>
  <si>
    <t>Auditorías a las obligaciones de los servidores públicos con enfoque de integridad y control de riesgos realizadas</t>
  </si>
  <si>
    <t xml:space="preserve">(Auditorías a las obligaciones de los servidores públicos con enfoque de integridad y control de riesgos realizadas/Auditorías a las obligaciones de los servidores públicos con enfoque de integridad y control de riesgos programadas) *100 </t>
  </si>
  <si>
    <t xml:space="preserve">Se realiza la auditoria CI/DAyCI/COH-01/2026, denominada "Auditoria de Cumplimiento a la Integración de Expedientes Únicos de Obra Pública en sus modalidades de Obras por Administración y Obras por Contrato, así como lo indicado en la Gaceta de Gobierno del Estado de México en el Acuerdo por el que se establece el índice de expediente único de obra pública e instructivos de llenado en las Modalidades de Adjudicación Directa, Invitación Restringida y Licitación pública conforme a lo indicado en la Gaceta del Gobierno del Estado de México"  </t>
  </si>
  <si>
    <t>01030401COMPONENTE 3A. O. S. P. E. I. C. R. PR.</t>
  </si>
  <si>
    <t>Auditorías a las obligaciones de los servidores públicos con enfoque de integridad y control de riesgos programadas</t>
  </si>
  <si>
    <t>01030401ACTIVIDAD 2.1N. M. I. E. D. M. C. V. R. A.</t>
  </si>
  <si>
    <t>Porcentaje de materiales informativos elaborados y difundidos en materia de control, vigilancia y riesgos administrativos</t>
  </si>
  <si>
    <t>Número de materiales informativos elaborados y difundidos en materia de control, vigilancia y riesgos administrativos</t>
  </si>
  <si>
    <t>(Número de materiales informativos elaborados y difundidos en materia de control, vigilancia y riesgos administrativos/Total de materiales informativos programados) *100</t>
  </si>
  <si>
    <t>Cartel</t>
  </si>
  <si>
    <t>Se colocaron 10 carteles dentro del Organismo, que contenían la información relativa a la presentación de la Declaración de Modificación Patrimonial, de Intereses y la Constancia de Declaración Fiscal.</t>
  </si>
  <si>
    <t>01030401ACTIVIDAD 2.1T. M. I. P.</t>
  </si>
  <si>
    <t>Total de materiales informativos programados</t>
  </si>
  <si>
    <t>01030401ACTIVIDAD 3.1N. O. I. IN. A.</t>
  </si>
  <si>
    <t>ACTIVIDAD 3.1</t>
  </si>
  <si>
    <t>Porcentaje de observaciones integradas al Informe de Auditoría</t>
  </si>
  <si>
    <t>Número de observaciones integradas al informe de auditoría</t>
  </si>
  <si>
    <t>(Número de observaciones integradas al informe de auditoría/Número de observaciones detectadas en auditorías realizadas) *100</t>
  </si>
  <si>
    <t>De la auditoria CI/DAyCI/COH-01/2026, denominada "Auditoria de Cumplimiento a la Integración de Expedientes Únicos de Obra Pública en sus modalidades de Obras por Administración y Obras por Contrato, así como lo indicado en la Gaceta de Gobierno del Estado de México en el Acuerdo por el que se establece el índice de expediente único de obra pública e instructivos de llenado en las Modalidades de Adjudicación Directa, Invitación Restringida y Licitación pública conforme a lo indicado en la Gaceta del Gobierno del Estado de México", se derivaron tres observaciones, con implemetación de acciones de mejoras, de la cédula final las cuales fueron solventadas.</t>
  </si>
  <si>
    <t>01030401ACTIVIDAD 3.1N. O. D. A. R.</t>
  </si>
  <si>
    <t>Número de observaciones detectadas en auditorías realizadas</t>
  </si>
  <si>
    <t>01030401COMPONENTE 2 CA. I. O. S. P. C. I. C. R. A. R.</t>
  </si>
  <si>
    <t>Porcentaje de campañas de información de las obligaciones, cultura de integridad y control de riesgos administrativos realizadas</t>
  </si>
  <si>
    <t>Campañas de información de las obligaciones de los servidores públicos, cultura de integridad y control de riesgos administrativos realizadas</t>
  </si>
  <si>
    <t>(Campañas de información de las obligaciones de los servidores públicos, cultura de integridad y control de riesgos administrativos realizadas/Campañas de información de las obligaciones de los servidores públicos, cultura de integridad y control de riesgos administrativos programadas) *100</t>
  </si>
  <si>
    <t xml:space="preserve">Se realiza la campaña, médiate la colocación de carteles dentro del Organismo, que contenían la información relativa a la presentación de la Declaración de Modificación Patrimonial, de Intereses y la Constancia de Declaración Fiscal.
</t>
  </si>
  <si>
    <t>01030401COMPONENTE 2 CA. I. O. S. P. C. I. C. R. A. P.</t>
  </si>
  <si>
    <t>Campañas de información de las obligaciones de los servidores públicos, cultura de integridad y control de riesgos administrativos programadas</t>
  </si>
  <si>
    <t>Se realiza la campaña, médiate la colocación de carteles dentro del Organismo, que contenían la información relativa a la presentación de la Declaración de Modificación Patrimonial, de Intereses y la Constancia de Declaración Fiscal.</t>
  </si>
  <si>
    <t>01080501FINT.A.A.ACT.</t>
  </si>
  <si>
    <t>A0122901080501 Secretaría Técnica Gobierno digital</t>
  </si>
  <si>
    <t>Tasa de variación en el número de TIC´s adquiridas</t>
  </si>
  <si>
    <t>TIC’s adquiridas en el año actual</t>
  </si>
  <si>
    <t>((TIC’s adquiridas en el año actual/ TIC’s adquiridas el año anterior)-1) *100</t>
  </si>
  <si>
    <t>TIC’s</t>
  </si>
  <si>
    <t>01080501FINT.A.A.ANT.</t>
  </si>
  <si>
    <t>TIC’s adquiridas el año anterior</t>
  </si>
  <si>
    <t>01080501PROPÓSITOT.T.M.L.</t>
  </si>
  <si>
    <t>Porcentaje de avance en la prestación de servicios a través de medios electrónicos</t>
  </si>
  <si>
    <t>Total de trámites municipales en línea</t>
  </si>
  <si>
    <t>(Total de trámites municipales en línea/Total de trámites municipales por subir a la web) *100</t>
  </si>
  <si>
    <t>01080501PROPÓSITOT.T.M.S.W.</t>
  </si>
  <si>
    <t>Total de trámites municipales por subir a la web</t>
  </si>
  <si>
    <t>01080501COMPONENTE 1T.P.S.E.P.S.E.</t>
  </si>
  <si>
    <t>Porcentaje de procedimientos simplificados enfocados a la prestación de servicios electrónicos</t>
  </si>
  <si>
    <t>Total de procedimientos simplificados enfocados a la prestación de servicios electrónicos</t>
  </si>
  <si>
    <t>(Total de procedimientos simplificados enfocados a la prestación de servicios electrónicos/Total de procedimientos identificados de prestación de servicios electrónicos) *100</t>
  </si>
  <si>
    <t>01080501COMPONENTE 1T.P.I.P.S.E.</t>
  </si>
  <si>
    <t>Total de procedimientos identificados de prestación de servicios electrónicos</t>
  </si>
  <si>
    <t>01080501COMPONENTE 3CU.IM.</t>
  </si>
  <si>
    <t>B0020101080501 Dirección de Administración y Finanzas Gobierno digital</t>
  </si>
  <si>
    <t>Porcentaje de cursos de capacitación sobre e-gobierno impartidos</t>
  </si>
  <si>
    <t>Cursos impartidos</t>
  </si>
  <si>
    <t>(Cursos impartidos/Cursos programados) *100</t>
  </si>
  <si>
    <t>curso</t>
  </si>
  <si>
    <t>01080501COMPONENTE 3CUR.PRO.</t>
  </si>
  <si>
    <t>Cursos programados</t>
  </si>
  <si>
    <t>01080501COMPONENTE 4M.R.T.</t>
  </si>
  <si>
    <t>Porcentaje de cumplimiento en los mantenimientos realizados a las TIC´s</t>
  </si>
  <si>
    <t>Mantenimientos realizados a las TIC´S</t>
  </si>
  <si>
    <t>(Mantenimientos realizados a las TIC´S/Total de mantenimientos a las TIC´s programados) *100</t>
  </si>
  <si>
    <t>01080501COMPONENTE 4T.M.T.P.</t>
  </si>
  <si>
    <t>Total de mantenimientos a las TIC´s programados</t>
  </si>
  <si>
    <t>01080501ACTIVIDAD 1.1T.I.P.G.</t>
  </si>
  <si>
    <t>Porcentaje de trámites incorporados al programa de e-gobierno</t>
  </si>
  <si>
    <t>Trámites incorporados al programa de e-gobierno</t>
  </si>
  <si>
    <t>(Trámites incorporados al programa de e-gobierno/Total de trámites seleccionados para el programa e-gobierno) *100</t>
  </si>
  <si>
    <t>Mensual</t>
  </si>
  <si>
    <t>01080501ACTIVIDAD 1.1T.T.S.P.G.</t>
  </si>
  <si>
    <t>Total de trámites seleccionados para el programa e-gobierno</t>
  </si>
  <si>
    <t>01080501ACTIVIDAD 1.2PR.AD.</t>
  </si>
  <si>
    <t>Porcentaje de avance en la readecuación procedimental de trámites</t>
  </si>
  <si>
    <t>Procedimientos adecuados</t>
  </si>
  <si>
    <t>(Procedimientos adecuados/Procedimientos programados) *100</t>
  </si>
  <si>
    <t>01080501ACTIVIDAD 1.2P.PR.</t>
  </si>
  <si>
    <t>Procedimientos programados</t>
  </si>
  <si>
    <t>01080501ACTIVIDAD 3.1CUR.IMP.</t>
  </si>
  <si>
    <t>Porcentaje en el cumplimiento del Programa de Capacitación</t>
  </si>
  <si>
    <t>01080501ACTIVIDAD 3.1CUR.PR.</t>
  </si>
  <si>
    <t>01080501ACTIVIDAD 3.2S.P.C.</t>
  </si>
  <si>
    <t>Porcentaje de Servidores capacitados</t>
  </si>
  <si>
    <t>Servidores públicos capacitados</t>
  </si>
  <si>
    <t>(Servidores públicos capacitados/Servidores públicos programados para ser capacitados) *100</t>
  </si>
  <si>
    <t>Servidores públicos</t>
  </si>
  <si>
    <t>01080501ACTIVIDAD 3.2S.P.P.C.</t>
  </si>
  <si>
    <t>Servidores públicos programados para ser capacitados</t>
  </si>
  <si>
    <t>01080501ACTIVIDAD 4.1R.I.T.A</t>
  </si>
  <si>
    <t>Porcentaje de reportes de incidencias de TIC´s atendidos</t>
  </si>
  <si>
    <t>Reportes de incidencias de TIC´s atendidos</t>
  </si>
  <si>
    <t>(Reportes de incidencias de TIC´s atendidos/Total de reportes presentados) *100</t>
  </si>
  <si>
    <t>01080501ACTIVIDAD 4.1T.R.P.</t>
  </si>
  <si>
    <t>Total de reportes presentados</t>
  </si>
  <si>
    <t>02060805FINN. M. H. P. LGBTTTIQ+. A. I. E. P. V. A. ACT.</t>
  </si>
  <si>
    <t>B0020902060805 Dirección de Administración y Finanzas Igualdad de trato y oportunidades para la mujer, el hombre y personas LGBTTTIQ+</t>
  </si>
  <si>
    <t>Eje transversal 1. Igualdad de Género</t>
  </si>
  <si>
    <t>Tasa de variación de la participación de mujeres, hombres y personas LGBTTTIQ+ en las actividades de los programas para la igualdad de oportunidades, la prevención de la violencia y la no discriminación de género</t>
  </si>
  <si>
    <t>Número de mujeres, hombres y personas LGBTTTIQ+ que participan en actividades de igualdad, equidad, prevención de la violencia y la no discriminación de género en el año actual</t>
  </si>
  <si>
    <t>((Número de mujeres, hombres y personas LGBTTTIQ+ que participan en actividades de igualdad, equidad, prevención de la violencia y la no discriminación de género en el año actual/Número de mujeres, hombres y personas LGBTTTIQ+ que participan en las actividades de igualdad, equidad, prevención de la violencia y la no discriminación de género en el año anterior)-1)*100</t>
  </si>
  <si>
    <t>02060805FINN. M. H. P. LGBTTTIQ+. A. I. E. P. V. A. ANT.</t>
  </si>
  <si>
    <t>Número de mujeres, hombres y personas LGBTTTIQ+ que participan en las actividades de igualdad, equidad, prevención de la violencia y la no discriminación de género en el año anterior</t>
  </si>
  <si>
    <t>02060805PROPÓSITON. M. H. P. LGBTTTIQ+. F. I. E. P. V. D. G.</t>
  </si>
  <si>
    <t>Porcentaje de mujeres, hombres y personas LGBTTTIQ+ beneficiados con los programas de igualdad, equidad, la prevención de la violencia y la no discriminación de género</t>
  </si>
  <si>
    <t>Número de mujeres, hombres y personas LGBTTTIQ+ beneficiados con programas de fomento a la igualdad, equidad, prevención de la violencia y la no discriminación de género</t>
  </si>
  <si>
    <t>(Número de mujeres, hombres y personas LGBTTTIQ+ beneficiados con programas de fomento a la igualdad, equidad, prevención de la violencia y la no discriminación de género/Total de población en el municipio) *100</t>
  </si>
  <si>
    <t>02060805PROPÓSITOT. P. M.</t>
  </si>
  <si>
    <t>Total de población en el municipio</t>
  </si>
  <si>
    <t>Total de la población</t>
  </si>
  <si>
    <t>02060805COMPONENTE 1N. M. H. P. LGBTTTIQ+. E. P. C. A. ACT.</t>
  </si>
  <si>
    <t>Tasa de variación de mujeres, hombres y personas LGBTTTIQ+ en edad productiva capacitados</t>
  </si>
  <si>
    <t>Número de mujeres, hombres y personas LGBTTTIQ+ en edad productiva capacitados en el año actual</t>
  </si>
  <si>
    <t>((Número de mujeres, hombres y personas LGBTTTIQ+ en edad productiva capacitados en el año actual/Número de mujeres, hombres y personas LGBTTTIQ+ capacitadas en el año anterior)-1) *100</t>
  </si>
  <si>
    <t>02060805COMPONENTE 1N. M. H. P.  LGBTTTIQ+. C. A. ANT.</t>
  </si>
  <si>
    <t>Número de mujeres, hombres y personas LGBTTTIQ+ capacitadas en el año anterior</t>
  </si>
  <si>
    <t>02060805COMPONENTE 3N. M. H. P. LGBTTTIQ+. B. P. I. D. O. E. P. V. D. G.</t>
  </si>
  <si>
    <t>Porcentaje de mujeres, hombres y personas LGBTTTIQ+ beneficiados a través de programas de cultura de igualdad, equidad, prevención de la violencia y no discriminación de género</t>
  </si>
  <si>
    <t>Número de mujeres, hombres y personas LGBTTTIQ+ beneficiados con programas de igualdad de derechos y oportunidades, equidad, prevención de la violencia y no discriminación de género</t>
  </si>
  <si>
    <t>(Número de mujeres, hombres y personas LGBTTTIQ+ beneficiados con programas de igualdad de derechos y oportunidades, equidad, prevención de la violencia y no discriminación de género/Total de población del municipio) *100</t>
  </si>
  <si>
    <t>02060805COMPONENTE 3T. P. MU.</t>
  </si>
  <si>
    <t>Total de población del municipio</t>
  </si>
  <si>
    <t>02060805ACTIVIDAD 1.1N. M. H. P. LGBTTTIQ+. R. C. T.</t>
  </si>
  <si>
    <t>Porcentaje de mujeres, hombres y personas LGBTTTIQ+ capacitados en áreas productivas</t>
  </si>
  <si>
    <t>Número de mujeres, hombres y personas LGBTTTIQ+ que recibieron capacitación para el trabajo</t>
  </si>
  <si>
    <t>(Número de mujeres, hombres y personas LGBTTTIQ+ que recibieron capacitación para el trabajo/Total de mujeres, hombres y personas LGBTTTIQ+ asistentes a los cursos de capacitación para el trabajo impartidos por el municipio) *100</t>
  </si>
  <si>
    <t>02060805ACTIVIDAD 1.1T. M. H. P. LGBTTTIQ+. A. C. C. T. I. M.</t>
  </si>
  <si>
    <t>Total de mujeres, hombres y personas LGBTTTIQ+ asistentes a los cursos de capacitación para el trabajo impartidos por el municipio</t>
  </si>
  <si>
    <t>02060805ACTIVIDAD 3.1N. P. P. C. S. O. I. G. R. D. E. R .  D.</t>
  </si>
  <si>
    <t>Porcentaje de participación en campañas de sensibilización orientadas a la igualdad de género, respeto a la diversidad y erradicación de estereotipos discriminatorios</t>
  </si>
  <si>
    <t>Número de personas participantes en campañas de sensibilización orientadas a la igualdad de género, respeto a la diversidad y erradicación de estereotipos discriminatorios</t>
  </si>
  <si>
    <t>(Número de personas participantes en campañas de sensibilización orientadas a la igualdad de género, respeto a la diversidad y erradicación de estereotipos discriminatorios/Población total objetivo del municipio) *100</t>
  </si>
  <si>
    <t>02060805ACTIVIDAD 3.1P. T. O. M.</t>
  </si>
  <si>
    <t>Población total objetivo del municipio</t>
  </si>
  <si>
    <t>02060805ACTIVIDAD 3.2N. E. C. I. P. D. V. G. R</t>
  </si>
  <si>
    <t>Porcentaje de eventos con enfoque de cultura de igualdad y prevención de la discriminación y/o violencia de género realizados</t>
  </si>
  <si>
    <t>Número de eventos de cultura de igualdad y prevención de la discriminación y/o violencia de género realizados</t>
  </si>
  <si>
    <t>(Número de eventos de cultura de igualdad y prevención de la discriminación y/o violencia de género realizados/Total de eventos de cultura de igualdad y prevención de la discriminación y/o violencia de género programados) *100</t>
  </si>
  <si>
    <t>Plática</t>
  </si>
  <si>
    <t>02060805ACTIVIDAD 3.2T. E. C. I. P. D. V. G. P.</t>
  </si>
  <si>
    <t>Total de eventos de cultura de igualdad y prevención de la discriminación y/o violencia de género programados</t>
  </si>
  <si>
    <t>02010301FINT.M.A.R.D.A.B.N.A.TR.</t>
  </si>
  <si>
    <t>C0022502010301 Dirección de Construcción y Operación Hidráulica Manejo de aguas residuales, drenaje y alcantarillado</t>
  </si>
  <si>
    <t>Eje 2. Bienestar ambiental y acceso universal al agua - Preservación y promoción ecológica</t>
  </si>
  <si>
    <t>Tasa de variación en el fomento a la cultura de descontaminación de las aguas residuales</t>
  </si>
  <si>
    <t>Total de m3 de Aguas residuales descargadas en aguas y bienes nacionales con algún tratamiento</t>
  </si>
  <si>
    <t>Total de m3 de Aguas residuales descargadas en aguas y bienes nacionales con algún tratamiento/ Total de m3 de Aguas residuales descargadas en aguas y bienes nacionales)</t>
  </si>
  <si>
    <t>m3</t>
  </si>
  <si>
    <t>02010301FINT.M.A.R.D.A.B.N.</t>
  </si>
  <si>
    <t>Total de m3 de Aguas residuales descargadas en aguas y bienes nacionales</t>
  </si>
  <si>
    <t>02010301PROPÓSITOR.O.A.L.M.P.C.D.A.R.ACT.</t>
  </si>
  <si>
    <t>Tasa de variación en los resultados obtenidos en los análisis de límites máximos permisibles de contaminantes en las descargas de aguas residuales</t>
  </si>
  <si>
    <t>Resultados obtenidos en los de análisis de Límites máximos permisibles de contaminantes en las descargas de aguas residuales en el año actual</t>
  </si>
  <si>
    <t>((Resultados obtenidos en los de análisis de Límites máximos permisibles de contaminantes en las descargas de aguas residuales en el año actual/Resultados obtenidos en los análisis de Límites máximos permisibles de contaminantes en las descargas de aguas residuales en el año anterior)-1) *100</t>
  </si>
  <si>
    <t>02010301PROPÓSITOR.O.A.L.M.P.C.D.A.R.A.ANT.</t>
  </si>
  <si>
    <t>Resultados obtenidos en los análisis de Límites máximos permisibles de contaminantes en las descargas de aguas residuales en el año anterior</t>
  </si>
  <si>
    <t>02010301COMPONENTE 2M.C.A.T.S.A.</t>
  </si>
  <si>
    <t>Porcentaje de metros cúbicos de aguas residuales tratadas</t>
  </si>
  <si>
    <t>Metros Cúbicos de aguas tratadas en el semestre actual</t>
  </si>
  <si>
    <t>(Metros cúbicos de aguas tratadas en el semestre actual/Metros cúbicos de aguas vertidas) *100</t>
  </si>
  <si>
    <t xml:space="preserve">Semestral </t>
  </si>
  <si>
    <t>02010301COMPONENTE 2M.C.A.V.</t>
  </si>
  <si>
    <t>Metros cúbicos de aguas vertidas</t>
  </si>
  <si>
    <t>02010301COMPONENTE 3N.M.I.T.A.R.R.</t>
  </si>
  <si>
    <t>Porcentaje de mantenimientos realizados a la infraestructura de tratamiento de aguas residuales</t>
  </si>
  <si>
    <t>Número de mantenimientos a la infraestructura de tratamiento de aguas residuales realizados</t>
  </si>
  <si>
    <t xml:space="preserve">(Número de mantenimientos a la infraestructura de tratamiento de aguas residuales realizados/Total de mantenimientos a la infraestructura de tratamiento de aguas residuales programados) *100 </t>
  </si>
  <si>
    <t>02010301COMPONENTE 3T.M.I.T.A.R.P.</t>
  </si>
  <si>
    <t>Total de mantenimientos a la infraestructura de tratamiento de aguas residuales programados</t>
  </si>
  <si>
    <t>02010301COMPONENTE 4N.M.I.D.A.R</t>
  </si>
  <si>
    <t>C0022202010301 Dirección de Construcción y Operación Hidráulica Manejo de aguas residuales, drenaje y alcantarillado</t>
  </si>
  <si>
    <t>Porcentaje de mantenimientos realizados a la infraestructura de drenaje y alcantarillado</t>
  </si>
  <si>
    <t>Número de mantenimientos a la infraestructura de drenaje y alcantarillado realizados</t>
  </si>
  <si>
    <t xml:space="preserve">(Número de mantenimientos a la infraestructura de drenaje y alcantarillado realizados/Total de mantenimientos a la infraestructura de drenaje y alcantarillado programados) *100 </t>
  </si>
  <si>
    <t xml:space="preserve">La ejecución de los mantenimientos se ha realizado de acuerdo con la programación establecida, considerando las necesidades operativas y la disponibilidad de recursos del Departamento.
</t>
  </si>
  <si>
    <t>02010301COMPONENTE 4T.M.I.D.A.P.</t>
  </si>
  <si>
    <t>Total de mantenimientos a la infraestructura de drenaje y alcantarillado programados</t>
  </si>
  <si>
    <t>02010301ACTIVIDAD 2.1C.A.D.C.I.S.T.</t>
  </si>
  <si>
    <t>Porcentaje de caudales de aguas domiciliarias, comerciales e industriales sin tratamiento</t>
  </si>
  <si>
    <t>Caudales de aguas domiciliares comerciales e industriales sin tratamiento</t>
  </si>
  <si>
    <t>(Caudales de aguas domiciliares comerciales e industriales sin tratamiento/Total de caudales de aguas domiciliares comerciales e industriales recibidas) *100</t>
  </si>
  <si>
    <t>02010301ACTIVIDAD 2.1T.C.A.D.C.I.R.</t>
  </si>
  <si>
    <t>Total de caudales de aguas domiciliares comerciales e industriales recibidas</t>
  </si>
  <si>
    <t>02010301ACTIVIDAD 2.2M.C.A.R.T.M.A.Q.</t>
  </si>
  <si>
    <t>Porcentaje de aplicación de químicos para el tratamiento de aguas residuales</t>
  </si>
  <si>
    <t>Metros cúbicos de aguas residuales tratadas mediante la aplicación de químicos</t>
  </si>
  <si>
    <t>(Metros cúbicos de aguas residuales tratadas mediante la aplicación de químicos/Total de aguas residuales recibidas (mts3)) *100</t>
  </si>
  <si>
    <t>02010301ACTIVIDAD 2.2T.A.R.R.</t>
  </si>
  <si>
    <t>Total de aguas residuales recibidas (mts3)</t>
  </si>
  <si>
    <t>02010301ACTIVIDAD 3.1I.I.T.A.R.R.</t>
  </si>
  <si>
    <t>C0022002010301 Dirección de Construcción y Operación Hidráulica Manejo de aguas residuales, drenaje y alcantarillado</t>
  </si>
  <si>
    <t>Porcentaje de inspecciones realizadas a la infraestructura para el tratamiento de aguas residuales</t>
  </si>
  <si>
    <t>Inspección de la infraestructura para el tratamiento de aguas residuales realizadas</t>
  </si>
  <si>
    <t xml:space="preserve">(Inspección de la infraestructura para el tratamiento de aguas residuales realizas/Inspección de la infraestructura para el tratamiento de aguas residuales programadas) *100 </t>
  </si>
  <si>
    <t>Recorrido</t>
  </si>
  <si>
    <t>02010301ACTIVIDAD 3.1I.I.T.A.R.PR.</t>
  </si>
  <si>
    <t>Inspección de la infraestructura para el tratamiento de aguas residuales programadas</t>
  </si>
  <si>
    <t>02010301ACTIVIDAD 3.3M.I.T.A.R.RE.</t>
  </si>
  <si>
    <t>ACTIVIDAD 3.3</t>
  </si>
  <si>
    <t>Porcentaje de mantenimientos de la infraestructura para el tratamiento de aguas residuales realizados</t>
  </si>
  <si>
    <t>Mantenimiento de la infraestructura para el tratamiento de aguas residuales realizada</t>
  </si>
  <si>
    <t xml:space="preserve">(Mantenimiento de la infraestructura para el tratamiento de aguas residuales realizada/Mantenimiento de la infraestructura para el tratamiento de aguas residuales programada) *100 </t>
  </si>
  <si>
    <t>02010301ACTIVIDAD 3.3M.I.T.A.R.PR.</t>
  </si>
  <si>
    <t>Mantenimiento de la infraestructura para el tratamiento de aguas residuales programada</t>
  </si>
  <si>
    <t>02010301ACTIVIDAD 4.1M.I.D.A.R.</t>
  </si>
  <si>
    <t>Porcentaje de mantenimientos de la infraestructura para drenaje y alcantarillado realizados</t>
  </si>
  <si>
    <t>Mantenimientos a la infraestructura de drenaje y alcantarillado realizados</t>
  </si>
  <si>
    <t>(Mantenimientos a la infraestructura de drenaje y alcantarillado realizados/Mantenimientos a la infraestructura de drenaje y alcantarillado programados) *100</t>
  </si>
  <si>
    <t>Las reparaciones se han realizado de manera gradual, conforme a la disponibilidad y suministro de materiales al departamento, lo que ha limitado el avance respecto a lo programado durante el periodo.</t>
  </si>
  <si>
    <t>02010301ACTIVIDAD 4.1M.I.D.A.P.</t>
  </si>
  <si>
    <t>Mantenimientos a la infraestructura de drenaje y alcantarillado programados</t>
  </si>
  <si>
    <t>02020301FINA.E.M.S.A.P.A.ACT.</t>
  </si>
  <si>
    <t>C0022002020301 Dirección de Construcción y Operación Hidráulica Manejo eficiente y sustentable del agua</t>
  </si>
  <si>
    <t>Tasa de variación en las acciones encaminadas al manejo sustentable del agua potable</t>
  </si>
  <si>
    <t>Acciones encaminadas al manejo sustentable del agua potable llevadas a cabo en el año actual</t>
  </si>
  <si>
    <t>(Acciones encaminadas al manejo sustentable del agua potable llevadas a cabo en el año actual/Acciones encaminadas al manejo sustentable del agua potable llevadas a cabo en el año anterior)- 1) *100</t>
  </si>
  <si>
    <t>02020301FINA.E.A.S.A.P.A.ANT.</t>
  </si>
  <si>
    <t>Acciones encaminadas al manejo sustentable del agua potable llevadas a cabo en el año anterior</t>
  </si>
  <si>
    <t>02020301PROPÓSITOR.E.LAB.V.E.C.A.P.A.ACT.</t>
  </si>
  <si>
    <t>C0022602020301 Dirección de Construcción y Operación Hidráulica Manejo eficiente y sustentable del agua</t>
  </si>
  <si>
    <t>Tasa de variación de los resultados de los estudios de laboratorio para verificar los estándares de calidad del agua</t>
  </si>
  <si>
    <t>Resultados de los estudios de laboratorio para la verificación de los estándares de calidad en el agua potable fundada en la NOM 127 en el año actual</t>
  </si>
  <si>
    <t>((Resultados de los estudios de laboratorio para la verificación de los estándares de calidad en el agua potable fundada en la NOM 127 en el año actual /Resultados de los estudios de laboratorio para la Verificación de los estándares de calidad en el agua potable fundada en la NOM 127 en el año anterior) - 1) *100</t>
  </si>
  <si>
    <t>Análisis</t>
  </si>
  <si>
    <t>02020301PROPÓSITOR.E.LAB.V.E.C.A.P.A.ANT.</t>
  </si>
  <si>
    <t>Resultados de los estudios de laboratorio para la Verificación de los estándares de calidad en el agua potable fundada en la NOM 127 en el año anterior</t>
  </si>
  <si>
    <t>02020301COMPONENTE 1I.H.S.A.P.CONS.</t>
  </si>
  <si>
    <t>C0021802020301 Dirección de Construcción y Operación Hidráulica Manejo eficiente y sustentable del agua</t>
  </si>
  <si>
    <t>Porcentaje de cumplimiento en la construcción de infraestructura hidráulica de agua potable</t>
  </si>
  <si>
    <t>Infraestructura hidráulica para el suministro de agua potable construida</t>
  </si>
  <si>
    <t>(Infraestructura hidráulica para el suministro de agua potable construida/Infraestructura hidráulica para el suministro de agua potable programada) *100</t>
  </si>
  <si>
    <t>Obra</t>
  </si>
  <si>
    <t>02020301COMPONENTE 1I.H.S.A.P.PROG.</t>
  </si>
  <si>
    <t>Infraestructura hidráulica para el suministro de agua potable programada</t>
  </si>
  <si>
    <t>02020301COMPONENTE 2M.C.D.A.P.</t>
  </si>
  <si>
    <t>Promedio de suministro de agua potable por habitante</t>
  </si>
  <si>
    <t>Metros cúbicos distribuidos de agua potable</t>
  </si>
  <si>
    <t>(Metros cúbicos distribuidos de agua potable/Población beneficiada)</t>
  </si>
  <si>
    <t>02020301COMPONENTE 2POB.B.</t>
  </si>
  <si>
    <t>Población beneficiada</t>
  </si>
  <si>
    <t>Habitante</t>
  </si>
  <si>
    <t>02020301COMPONENTE 3A.P.S.P.</t>
  </si>
  <si>
    <t>C0021902020301 Dirección de Construcción y Operación Hidráulica Manejo eficiente y sustentable del agua</t>
  </si>
  <si>
    <t>Porcentaje de cumplimiento en el abastecimiento de agua potable</t>
  </si>
  <si>
    <t>Agua potable suministrada a la población</t>
  </si>
  <si>
    <t>(Agua potable suministrada a la población/Suministro de agua potable programada) * 100</t>
  </si>
  <si>
    <t>02020301COMPONENTE 3S.A.P.PROG.</t>
  </si>
  <si>
    <t>Suministro de agua potable programada</t>
  </si>
  <si>
    <t>02020301COMPONENTE 4A.M.I.H.S.A.P.P.REA.</t>
  </si>
  <si>
    <t>Porcentaje de cumplimiento de los mantenimientos a la infraestructura hidráulica</t>
  </si>
  <si>
    <t>Acciones de mantenimiento a la infraestructura hidráulica para el suministro de agua potable a la población realizado</t>
  </si>
  <si>
    <t>(Acciones de mantenimiento a la infraestructura hidráulica para el suministro de agua potable a la población realizado/Acciones de mantenimiento a la infraestructura hidráulica para el suministro de agua potable a la población programado) *100</t>
  </si>
  <si>
    <t>02020301COMPONENTE 4A.M.I.H.S.A.P.P.PROG.</t>
  </si>
  <si>
    <t>Acciones de mantenimiento a la infraestructura hidráulica para el suministro de agua potable a la población programado</t>
  </si>
  <si>
    <t>02020301ACTIVIDAD 1.1O.I.H.S.A.P.CONS.</t>
  </si>
  <si>
    <t>Porcentaje de obras de infraestructura hidráulica para el suministro de agua potable construidas</t>
  </si>
  <si>
    <t>Obras de infraestructura hidráulica para el suministro de agua potable construidas</t>
  </si>
  <si>
    <t>(Obras de infraestructura hidráulica para el suministro de agua potable construidas/Obras de infraestructura hidráulica para el suministro de agua potable programadas) *100</t>
  </si>
  <si>
    <t>02020301ACTIVIDAD 1.1O.I.H.S.A.P.PROG.</t>
  </si>
  <si>
    <t>Obras de infraestructura hidráulica para el suministro de agua potable programadas</t>
  </si>
  <si>
    <t>02020301ACTIVIDAD 1.2O.I.H.S.A.P.EQUP.REA.</t>
  </si>
  <si>
    <t>Porcentaje de equipamiento de obras de infraestructura hidráulica de agua potable</t>
  </si>
  <si>
    <t>Obras de infraestructura hidráulica para el suministro de agua potable con equipamiento electromecánico realizadas</t>
  </si>
  <si>
    <t>(Obras de infraestructura hidráulica para el suministro de agua potable con equipamiento electromecánico realizadas/Obras de infraestructura hidráulica para el suministro de agua potable) *100</t>
  </si>
  <si>
    <t>02020301ACTIVIDAD 1.2O.I.H.S.A.P.</t>
  </si>
  <si>
    <t>Obras de infraestructura hidráulica para el suministro de agua potable</t>
  </si>
  <si>
    <t>02020301ACTIVIDAD 1.3O.I.H.S.A.P.ELEC.</t>
  </si>
  <si>
    <t>ACTIVIDAD 1.3</t>
  </si>
  <si>
    <t>Porcentaje en la electrificación de las obras de infraestructura de agua potable</t>
  </si>
  <si>
    <t>Obras de infraestructura hidráulica para el suministro de agua potable electrificadas</t>
  </si>
  <si>
    <t>(Obras de infraestructura hidráulica para el suministro de agua potable electrificadas/Obras de infraestructura hidráulica para el suministro de agua potable para electrificación programadas) *100</t>
  </si>
  <si>
    <t>02020301ACTIVIDAD 1.3O.I.H.S.A.P.ELEC.PROG.</t>
  </si>
  <si>
    <t>Obras de infraestructura hidráulica para el suministro de agua potable para electrificación programadas</t>
  </si>
  <si>
    <t>02020301ACTIVIDAD 1.4P.A.C.O.I.H.S.A.P.CUMP.</t>
  </si>
  <si>
    <t>ACTIVIDAD 1.4</t>
  </si>
  <si>
    <t>Porcentaje en el cumplimiento de los procesos administrativos para la conclusión de las obras de infraestructura hidráulica para el suministro de agua potable</t>
  </si>
  <si>
    <t>Procesos administrativos para la conclusión de las obras de infraestructura hidráulica para el suministro de agua potable cumplidos</t>
  </si>
  <si>
    <t>(Procesos administrativos para la conclusión de las obras de infraestructura hidráulica para el suministro de agua potable cumplidos/Procesos administrativos para la conclusión de las obras de infraestructura hidráulica para el suministro de agua potable programados) *100</t>
  </si>
  <si>
    <t>02020301ACTIVIDAD 1.4P.A.C.O.I.H.S.A.P.PROG.</t>
  </si>
  <si>
    <t>Procesos administrativos para la conclusión de las obras de infraestructura hidráulica para el suministro de agua potable programados</t>
  </si>
  <si>
    <t>02020301ACTIVIDAD 1.5O.C.I.H.S.A.P.ENTR.</t>
  </si>
  <si>
    <t>ACTIVIDAD 1.5</t>
  </si>
  <si>
    <t>Porcentaje de obras concluidas de infraestructura de agua potable entregadas</t>
  </si>
  <si>
    <t>Obras concluidas de infraestructura hidráulica para el suministro de agua potable entregadas</t>
  </si>
  <si>
    <t>(Obras concluidas de infraestructura hidráulica para el suministro de agua potable entregadas/Obras concluidas de infraestructura hidráulica para el suministro de agua potable en proceso de entrega) *100</t>
  </si>
  <si>
    <t>02020301ACTIVIDAD 1.5O.C.I.H.S.A.P.PROC.E.</t>
  </si>
  <si>
    <t>Obras concluidas de infraestructura hidráulica para el suministro de agua potable en proceso de entrega</t>
  </si>
  <si>
    <t>02020301ACTIVIDAD 2.1V.A.P.F.A.EXT.</t>
  </si>
  <si>
    <t>Porcentaje de extracción del agua potable de las fuentes de abastecimiento</t>
  </si>
  <si>
    <t>Volúmenes de agua potable de las fuentes de abastecimiento extraídas</t>
  </si>
  <si>
    <t>(Volúmenes de agua potable de las fuentes de abastecimiento extraídas /Volúmenes de agua potable de las fuentes de abastecimiento para extracción programadas) *100</t>
  </si>
  <si>
    <t>02020301ACTIVIDAD 2.1V.A.P.F.A.E.PROG.</t>
  </si>
  <si>
    <t>Volúmenes de agua potable de las fuentes de abastecimiento para extracción programadas</t>
  </si>
  <si>
    <t>02020301ACTIVIDAD 2.2V.A.P.C.POB.</t>
  </si>
  <si>
    <t>Porcentaje de agua potable clorada para consumo de la población</t>
  </si>
  <si>
    <t>Volúmenes de agua potable para consumo de la población clorada</t>
  </si>
  <si>
    <t>(Volúmenes de agua potable para consumo de la población clorada/Volúmenes de agua potable para consumo de la población programada para cloración) *100</t>
  </si>
  <si>
    <t>02020301ACTIVIDAD 2.2V.A.P.C.P. PROG.C.</t>
  </si>
  <si>
    <t>Volúmenes de agua potable para consumo de la población programada para cloración</t>
  </si>
  <si>
    <t>02020301ACTIVIDAD 2.3V.A.P.C.P.S.B.</t>
  </si>
  <si>
    <t>Porcentaje de agua potable suministrada en bloque para consumo de la población</t>
  </si>
  <si>
    <t>Volúmenes de agua potable para consumo de la población suministrada en bloque</t>
  </si>
  <si>
    <t>(Volúmenes de agua potable para consumo de la población suministrada en bloque/Volúmenes de agua potable para consumo de la población programada para suministro en bloque) *100</t>
  </si>
  <si>
    <t>El incumplimiento al indicador se debió a variaciones en la demanda y a factores externos que afectaron la distribución, como ajustes operativos en la red y condiciones técnicas del sistema. Esto derivó en un suministro menor al programado durante el periodo, sin que implique una deficiencia estructural en la capacidad de prestación del servicio.</t>
  </si>
  <si>
    <t>02020301ACTIVIDAD 2.3V.A.P.C.P.PROG.S.B.</t>
  </si>
  <si>
    <t>Volúmenes de agua potable para consumo de la población programada para suministro en bloque</t>
  </si>
  <si>
    <t>02020301ACTIVIDAD 3.1C.P.B.A.P.</t>
  </si>
  <si>
    <t>Porcentaje de cumplimiento del programa de bombeo de agua potable</t>
  </si>
  <si>
    <t>Cumplimiento del Programa de bombeo de agua potable</t>
  </si>
  <si>
    <t>(Cumplimiento del Programa de bombeo de agua potable/Bombeo de agua potable programado) *100</t>
  </si>
  <si>
    <t>02020301ACTIVIDAD 3.1B.A.P.PROG.</t>
  </si>
  <si>
    <t>Bombeo de agua potable programado</t>
  </si>
  <si>
    <t>02020301ACTIVIDAD 3.2A.P.C.P.S.P</t>
  </si>
  <si>
    <t>Porcentaje de agua potable suministrada en pipas para consumo de la población</t>
  </si>
  <si>
    <t>Agua potable para consumo de la población suministrada en pipas</t>
  </si>
  <si>
    <t>(Agua potable para consumo de la población suministrada en pipas/Agua potable para consumo de la población solicitada en pipas) *100</t>
  </si>
  <si>
    <t>no se cumplió debido a una menor recepción de peticiones ciudadanas para el suministro de agua mediante carro pipa, lo que ocasionó un resultado por debajo de lo programado.</t>
  </si>
  <si>
    <t>02020301ACTIVIDAD 3.2A.P.C.P.SOL.P</t>
  </si>
  <si>
    <t>Agua potable para consumo de la población solicitada en pipas</t>
  </si>
  <si>
    <t>02020301ACTIVIDAD 3.3A.P.C.P.S.T</t>
  </si>
  <si>
    <t>Porcentaje de agua potable suministrada por tandeo a la población</t>
  </si>
  <si>
    <t>Agua potable para consumo de la población suministrada por tandeo</t>
  </si>
  <si>
    <t>(Agua potable para consumo de la población suministrada por tandeo/Agua potable para consumo de la población) *100</t>
  </si>
  <si>
    <t>02020301ACTIVIDAD 3.3A.P.C.P.</t>
  </si>
  <si>
    <t>Agua potable para consumo de la población</t>
  </si>
  <si>
    <t>02020301ACTIVIDAD 4.1N.S.M.I.H.S.A.P.</t>
  </si>
  <si>
    <t>Porcentaje de necesidades solventadas de mantenimiento infraestructura hidráulica</t>
  </si>
  <si>
    <t>Necesidades solventadas de mantenimiento a la infraestructura hidráulica para el suministro de agua potable</t>
  </si>
  <si>
    <t>(Necesidades solventadas de mantenimiento a la infraestructura hidráulica para el suministro de agua potable/Necesidades identificadas de mantenimiento a la infraestructura hidráulica para el suministro de agua potable) *100</t>
  </si>
  <si>
    <t>El resultado por debajo de lo programado se debió a limitaciones operativas y de recursos, así como a la atención de incidencias emergentes que requirieron priorización durante el periodo. Estas condiciones redujeron la capacidad para atender la totalidad de las acciones previstas, sin que ello implique una deficiencia permanente en la operación.</t>
  </si>
  <si>
    <t>02020301ACTIVIDAD 4.1N.I.M.I.H.S.A.P.</t>
  </si>
  <si>
    <t>Necesidades identificadas de mantenimiento a la infraestructura hidráulica para el suministro de agua potable</t>
  </si>
  <si>
    <t>02020301ACTIVIDAD 4.2N.E.T.C.M.E.E.</t>
  </si>
  <si>
    <t>Porcentaje de especificaciones técnicas cumplidas para el mantenimiento del equipo electromecánico</t>
  </si>
  <si>
    <t>Número de especificaciones técnicas cumplidas para el mantenimiento del equipo electromecánico</t>
  </si>
  <si>
    <t>(Número de especificaciones técnicas cumplidas para el mantenimiento del equipo electromecánico/Total de las especificaciones técnicas requeridas para el mantenimiento del equipo electromecánico) *100</t>
  </si>
  <si>
    <t>02020301ACTIVIDAD 4.2T.E.T.R.M.E.E.</t>
  </si>
  <si>
    <t>Total de las especificaciones técnicas requeridas para el mantenimiento del equipo electromecánico</t>
  </si>
  <si>
    <t>01050205FINO.E.L.A.PDM.CUMP.</t>
  </si>
  <si>
    <t>A0123001050205 Secretaría Técnica Planeación y presupuesto basado en resultados</t>
  </si>
  <si>
    <t>Porcentaje de cumplimiento en la ejecución del Plan de Desarrollo Municipal</t>
  </si>
  <si>
    <t>Objetivos, Estrategias y Líneas de acción contenidas en el PDM cumplidas</t>
  </si>
  <si>
    <t>(Objetivos, Estrategias y Líneas de acción contenidas en el PDM cumplidas/Total de Objetivos, Estrategias y Líneas de acción contenidas en el PDM) *100</t>
  </si>
  <si>
    <t>01050205FINT.O.E.L.A.PDM.</t>
  </si>
  <si>
    <t>Total de Objetivos, Estrategias y Líneas de acción contenidas en el PDM</t>
  </si>
  <si>
    <t>01050205PROPÓSITOO.A.C.PDM.</t>
  </si>
  <si>
    <t>Porcentaje de cumplimiento de obras y acciones del Plan de Desarrollo Municipal</t>
  </si>
  <si>
    <t>Obras y acciones contenidas en el PDM cumplidas</t>
  </si>
  <si>
    <t>(Obras y acciones contenidas en el PDM cumplidas/Total de Obras y acciones contenidas en el PDM) *100</t>
  </si>
  <si>
    <t>01050205PROPÓSITOT.O.A.C.PDM.</t>
  </si>
  <si>
    <t>Total de Obras y acciones contenidas en el PDM</t>
  </si>
  <si>
    <t>01050205COMPONENTE 1M.I.R.A.MU.</t>
  </si>
  <si>
    <t>Porcentaje de matrices de indicadores de resultados bajo la MML adoptadas</t>
  </si>
  <si>
    <t>Matrices de indicadores por resultados adoptadas por el municipio</t>
  </si>
  <si>
    <t>(Matrices de indicadores por resultados adoptadas por el municipio/Matrices de Indicadores por resultados aprobadas) *100</t>
  </si>
  <si>
    <t>MIR</t>
  </si>
  <si>
    <t>01050205COMPONENTE 1M.I.R.AP.</t>
  </si>
  <si>
    <t>Matrices de Indicadores por resultados aprobadas</t>
  </si>
  <si>
    <t>01050205COMPONENTE 2T.A.B.M.SE.</t>
  </si>
  <si>
    <t>Porcentaje de asesorías brindadas en materia del Sistema de Evaluación del Desempeño Municipal</t>
  </si>
  <si>
    <t>Total de asesorías brindadas en materia del SED</t>
  </si>
  <si>
    <t>(Total de asesorías brindadas en materia del SED/Total de asesorías solicitadas en materia del SED) *100</t>
  </si>
  <si>
    <t>01050205COMPONENTE 2T.A.S.M.SE.</t>
  </si>
  <si>
    <t>Total de asesorías solicitadas en materia del SED</t>
  </si>
  <si>
    <t>01050205COMPONENTE 3E.P.PAE.</t>
  </si>
  <si>
    <t>Porcentaje de cumplimiento en la elaboración y publicación del PAE</t>
  </si>
  <si>
    <t>Elaboración y publicación del PAE</t>
  </si>
  <si>
    <t>(Elaboración y publicación del PAE/Documento programado a elaborar y publicar) *100</t>
  </si>
  <si>
    <t>01050205COMPONENTE 3D.P.E.P.</t>
  </si>
  <si>
    <t>01050205ACTIVIDAD 1.1F.P.R.A.M.P.P.P.VI.</t>
  </si>
  <si>
    <t>Porcentaje de alineación de formatos de PbRM en cumplimiento al Manual de Planeación, programación y presupuestación</t>
  </si>
  <si>
    <t>Formatos PbRM requisitados en alineación al Manual de Planeación, programación y Presupuestación vigente</t>
  </si>
  <si>
    <t>(Formatos PbRM requisitados en alineación al Manual de Planeación, programación y Presupuestación vigente/Total de formatos PbRM manejados por el ayuntamiento) *100</t>
  </si>
  <si>
    <t>01050205ACTIVIDAD 1.1T.F.P.M.AY.</t>
  </si>
  <si>
    <t>Total de formatos PbRM manejados por el ayuntamiento</t>
  </si>
  <si>
    <t>01050205ACTIVIDAD 2.1A.M.IN.</t>
  </si>
  <si>
    <t>Porcentaje de asesorías en materia de indicadores de desempeño</t>
  </si>
  <si>
    <t>Asesorías en materia de indicadores</t>
  </si>
  <si>
    <t>(Asesorías en materia de indicadores/Total de asesorías brindadas en materia del SEDM) *100</t>
  </si>
  <si>
    <t>01050205ACTIVIDAD 2.1T.A.BR.M.SE.</t>
  </si>
  <si>
    <t>Total de asesorías brindadas en materia del SEDM</t>
  </si>
  <si>
    <t>01050205ACTIVIDAD 2.2A.M.EV.</t>
  </si>
  <si>
    <t>Porcentaje de asesorías en materia de evaluaciones</t>
  </si>
  <si>
    <t>Asesorías en materia de evaluaciones</t>
  </si>
  <si>
    <t>(Asesorías en materia de evaluaciones/Total de asesorías brindadas en materia del SEDM) *100</t>
  </si>
  <si>
    <t>01050205ACTIVIDAD 2.2TO.A.B.M.SE.</t>
  </si>
  <si>
    <t>01050205ACTIVIDAD 3.1T.E.R.S.PAE.</t>
  </si>
  <si>
    <t>Porcentaje de cumplimiento de las evaluaciones señaladas en el PAE</t>
  </si>
  <si>
    <t>Total de evaluaciones realizadas señaladas en el PAE</t>
  </si>
  <si>
    <t>(Total de evaluaciones realizadas señaladas en el PAE/Total de evaluaciones señaladas en el PAE) *100</t>
  </si>
  <si>
    <t>01050205ACTIVIDAD 3.1T.E.S.PAE.</t>
  </si>
  <si>
    <t>Total de evaluaciones señaladas en el PAE</t>
  </si>
  <si>
    <t xml:space="preserve">01030402FINN. A. C. R. </t>
  </si>
  <si>
    <t>G0022801030402 Contraloría Interna Sistema Anticorrupción del Estado de México y Municipios</t>
  </si>
  <si>
    <t>Índice de incidencia de actos de corrupción por cada 10 mil personas en el municipio</t>
  </si>
  <si>
    <t>Número de actos de corrupción con resolución</t>
  </si>
  <si>
    <t>(Número de actos de corrupción con resolución/Total de la población municipal mayor de 18 años) *10000</t>
  </si>
  <si>
    <t>Acto de corrupción</t>
  </si>
  <si>
    <t xml:space="preserve">01030402FINT. P. N. M. M. A. </t>
  </si>
  <si>
    <t>Total de la población municipal mayor de 18 años</t>
  </si>
  <si>
    <t>Población mayor de edad</t>
  </si>
  <si>
    <t xml:space="preserve">01030402PROPÓSITON. A. C. RE. </t>
  </si>
  <si>
    <t>Porcentaje de posibles actos de corrupción con resolución emitida</t>
  </si>
  <si>
    <t xml:space="preserve">(Número de actos de corrupción con resolución/Total de posibles actos de corrupción) *100 </t>
  </si>
  <si>
    <t xml:space="preserve">01030402PROPÓSITOT.P. A. C. </t>
  </si>
  <si>
    <t>Total de posibles actos de corrupción</t>
  </si>
  <si>
    <t>Actos de corrupción</t>
  </si>
  <si>
    <t xml:space="preserve">01030402COMPONENTE 4N. C. C. R. </t>
  </si>
  <si>
    <t>Porcentaje de campañas sobre la tolerancia cero a la corrupción</t>
  </si>
  <si>
    <t>Número de campañas de concientización realizadas</t>
  </si>
  <si>
    <t>(Número de campañas de concientización realizadas/Total de campañas programadas en el año) *100</t>
  </si>
  <si>
    <t>El día 25 de junio de 2025 en la sala de juntas de la Dirección General de OPERAGUA Izcalli,  se impartió la plática denominada "Política Estatal Anticorrupción".</t>
  </si>
  <si>
    <t xml:space="preserve">01030402COMPONENTE 4T. C. P. A. </t>
  </si>
  <si>
    <t>Total de campañas programadas en el año</t>
  </si>
  <si>
    <t>01030402ACTIVIDAD 4.1S. P.A. L. E.</t>
  </si>
  <si>
    <t>Promedio de servidores públicos asistentes a los eventos de concientización</t>
  </si>
  <si>
    <t>Servidores públicos que asisten a los eventos</t>
  </si>
  <si>
    <t>(Servidores públicos que asisten a los eventos/Total de eventos de concientización)</t>
  </si>
  <si>
    <t>Asistieron 20 personas servidoras públicas de las diferentes unidades administrativas del Organismo a la platica denominada "Política Estatal Anticorrupción".</t>
  </si>
  <si>
    <t>01030402ACTIVIDAD 4.1T. E. D. C.</t>
  </si>
  <si>
    <t>Total de eventos de concientización</t>
  </si>
  <si>
    <t>01080401FINR.E.V.V.O.P.I.M.A.ACT.</t>
  </si>
  <si>
    <t>A0023101080401 Dirección General Transparencia</t>
  </si>
  <si>
    <t>Tasa de variación del resultado de evaluación de la verificación virtual oficiosa del portal IPOMEX Municipal</t>
  </si>
  <si>
    <t>Resultado de evaluación de la verificación virtual oficiosa del portal IPOMEX Municipal en el año actual</t>
  </si>
  <si>
    <t>(Resultado de evaluación de la verificación virtual oficiosa del portal IPOMEX Municipal en el año actual/ Resultado de evaluación de la verificación virtual oficiosa del portal IPOMEX Municipal en el año anterior)- 1) *100</t>
  </si>
  <si>
    <t>01080401FINR.E.V.V.O.P.I.M.A.ANT.</t>
  </si>
  <si>
    <t>Resultado de evaluación de la verificación virtual oficiosa del portal IPOMEX Municipal en el año anterior</t>
  </si>
  <si>
    <t>01080401PROPÓSITOS.T.A.I.A.</t>
  </si>
  <si>
    <t>Porcentaje de solicitudes de transparencia y acceso a la información atendidas</t>
  </si>
  <si>
    <t>Solicitudes de transparencia y acceso a la información atendidas</t>
  </si>
  <si>
    <t>((Solicitudes de transparencia y acceso a la información atendidas/Solicitudes de transparencia y acceso a la información presentadas) *100</t>
  </si>
  <si>
    <t>01080401PROPÓSITOS.T.A.I.P.</t>
  </si>
  <si>
    <t>Solicitudes de transparencia y acceso a la información presentadas</t>
  </si>
  <si>
    <t>01080401COMPONENTE 1T.F.A.P.</t>
  </si>
  <si>
    <t>Porcentaje de cumplimiento de fracciones de la ley de Transparencia y Acceso a la información</t>
  </si>
  <si>
    <t>Total de fracciones actualizadas y publicadas</t>
  </si>
  <si>
    <t>(Total de fracciones actualizadas y publicadas/Total de fracciones señaladas en la Ley de Transparencia y Acceso a la información) *100</t>
  </si>
  <si>
    <t>Fracción</t>
  </si>
  <si>
    <t>01080401COMPONENTE 1T.F.S.L.T.A.IN.</t>
  </si>
  <si>
    <t>Total de fracciones señaladas en la Ley de Transparencia y Acceso a la información</t>
  </si>
  <si>
    <t>01080401COMPONENTE 2R.R.R.</t>
  </si>
  <si>
    <t>Porcentaje de recursos de revisión resueltos</t>
  </si>
  <si>
    <t>Recursos de revisión resueltos</t>
  </si>
  <si>
    <t>(Recursos de revisión resueltos/Recursos de revisión presentados) *100</t>
  </si>
  <si>
    <t>El número de recursos de revisión fue menor al programado, derivado de la disminución en el indice de de solicitudes recurridas en el periodo evaluado.</t>
  </si>
  <si>
    <t>01080401COMPONENTE 2R.R.P.</t>
  </si>
  <si>
    <t>Recursos de revisión presentados</t>
  </si>
  <si>
    <t>01080401ACTIVIDAD 1.1N.P.CA.</t>
  </si>
  <si>
    <t>Porcentaje de personal capacitado en materia de trasparencia y acceso a la información pública y protección de datos personales</t>
  </si>
  <si>
    <t>Número de personas capacitadas</t>
  </si>
  <si>
    <t>(Número de personas capacitadas/Número de personas programadas a ser capacitadas) *100</t>
  </si>
  <si>
    <t>SPH</t>
  </si>
  <si>
    <t>01080401ACTIVIDAD 1.1N.P.P.S.CA.</t>
  </si>
  <si>
    <t>Número de personas programadas a ser capacitadas</t>
  </si>
  <si>
    <t>01080401ACTIVIDAD 1.2T.SPH.C.O.M.T.A.I.P.P.D.PE.</t>
  </si>
  <si>
    <t>Porcentaje de seguimiento a los SPH en cumplimiento de sus obligaciones</t>
  </si>
  <si>
    <t>Total de SPH que cumplen con sus obligaciones en materia de Transparencia y Acceso a la Información Pública y Protección de Datos Personales</t>
  </si>
  <si>
    <t>(Total de SPH que cumplen con sus obligaciones en materia de Transparencia y Acceso a la Información Pública y Protección de Datos Personales/Total de SPH para el cumplimiento de sus obligaciones en transparencia, el acceso a la información pública y la protección de los datos personales) *100</t>
  </si>
  <si>
    <t>01080401ACTIVIDAD 1.2T.SPH.C.O.T.A.I.P.P.D.PE.</t>
  </si>
  <si>
    <t>Total de SPH para el cumplimiento de sus obligaciones en transparencia, el acceso a la información pública y la protección de los datos personales</t>
  </si>
  <si>
    <t>01080401ACTIVIDAD 2.1N.S.I.R.R.</t>
  </si>
  <si>
    <t>Porcentaje de solicitudes de acceso a la información con recurso de revisión</t>
  </si>
  <si>
    <t>Número de solicitudes de información con recurso de revisión</t>
  </si>
  <si>
    <t>(Número de solicitudes de información con recurso de revisión/Total de solicitudes de acceso a la información atendidas) *100</t>
  </si>
  <si>
    <t>01080401ACTIVIDAD 2.1T.S.A.I.A.</t>
  </si>
  <si>
    <t>Total de solicitudes de acceso a la información atendidas</t>
  </si>
  <si>
    <t>clv</t>
  </si>
  <si>
    <t>Etiquetas de fila</t>
  </si>
  <si>
    <t>DEFICIENTE</t>
  </si>
  <si>
    <t>REGULAR</t>
  </si>
  <si>
    <t>ADECUADO</t>
  </si>
  <si>
    <t>SOBREPASADO</t>
  </si>
  <si>
    <t>PORCENTAJE</t>
  </si>
  <si>
    <t>NO. METAS</t>
  </si>
  <si>
    <t>PUNTUACIÓN</t>
  </si>
  <si>
    <t>Critico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</si>
</sst>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0.0"/>
  </numFmts>
  <fonts count="21" x14ac:knownFonts="1">
    <font>
      <sz val="10"/>
      <color indexed="8"/>
      <name val="Arial"/>
      <family val="2"/>
    </font>
    <font>
      <sz val="11"/>
      <color theme="1"/>
      <name val="Calibri"/>
      <family val="2"/>
      <scheme val="minor"/>
    </font>
    <font>
      <sz val="10"/>
      <color indexed="8"/>
      <name val="Arial"/>
      <family val="2"/>
    </font>
    <font>
      <b/>
      <sz val="26"/>
      <name val="Calibri"/>
      <family val="2"/>
      <scheme val="minor"/>
    </font>
    <font>
      <sz val="12"/>
      <color indexed="8"/>
      <name val="Calibri"/>
      <family val="2"/>
      <scheme val="minor"/>
    </font>
    <font>
      <sz val="12"/>
      <color theme="0"/>
      <name val="Calibri"/>
      <family val="2"/>
      <scheme val="minor"/>
    </font>
    <font>
      <b/>
      <sz val="12"/>
      <color theme="0"/>
      <name val="Calibri"/>
      <family val="2"/>
      <scheme val="minor"/>
    </font>
    <font>
      <b/>
      <sz val="10"/>
      <color theme="0"/>
      <name val="Calibri"/>
      <family val="2"/>
      <scheme val="minor"/>
    </font>
    <font>
      <sz val="14"/>
      <color theme="1"/>
      <name val="Calibri"/>
      <family val="2"/>
      <scheme val="minor"/>
    </font>
    <font>
      <sz val="20"/>
      <name val="Calibri"/>
      <family val="2"/>
      <scheme val="minor"/>
    </font>
    <font>
      <sz val="18"/>
      <name val="Calibri"/>
      <family val="2"/>
      <scheme val="minor"/>
    </font>
    <font>
      <sz val="14"/>
      <name val="Calibri"/>
      <family val="2"/>
      <scheme val="minor"/>
    </font>
    <font>
      <b/>
      <sz val="20"/>
      <name val="Calibri"/>
      <family val="2"/>
      <scheme val="minor"/>
    </font>
    <font>
      <sz val="11"/>
      <color indexed="8"/>
      <name val="Calibri"/>
      <family val="2"/>
      <scheme val="minor"/>
    </font>
    <font>
      <sz val="14"/>
      <color indexed="8"/>
      <name val="Calibri"/>
      <family val="2"/>
      <scheme val="minor"/>
    </font>
    <font>
      <sz val="20"/>
      <color theme="1"/>
      <name val="Calibri"/>
      <family val="2"/>
      <scheme val="minor"/>
    </font>
    <font>
      <sz val="18"/>
      <color theme="1"/>
      <name val="Calibri"/>
      <family val="2"/>
      <scheme val="minor"/>
    </font>
    <font>
      <b/>
      <sz val="12"/>
      <color indexed="8"/>
      <name val="Calibri"/>
      <family val="2"/>
      <scheme val="minor"/>
    </font>
    <font>
      <sz val="10"/>
      <color indexed="8"/>
      <name val="Calibri"/>
      <family val="2"/>
      <scheme val="minor"/>
    </font>
    <font>
      <sz val="12"/>
      <color theme="1"/>
      <name val="Calibri"/>
      <family val="2"/>
      <scheme val="minor"/>
    </font>
    <font>
      <b/>
      <sz val="14"/>
      <name val="Calibri"/>
      <family val="2"/>
      <scheme val="minor"/>
    </font>
  </fonts>
  <fills count="21">
    <fill>
      <patternFill patternType="none"/>
    </fill>
    <fill>
      <patternFill patternType="gray125"/>
    </fill>
    <fill>
      <patternFill patternType="solid">
        <fgColor theme="0"/>
        <bgColor indexed="64"/>
      </patternFill>
    </fill>
    <fill>
      <patternFill patternType="solid">
        <fgColor rgb="FFBC955B"/>
        <bgColor indexed="64"/>
      </patternFill>
    </fill>
    <fill>
      <patternFill patternType="solid">
        <fgColor rgb="FF7030A0"/>
        <bgColor indexed="64"/>
      </patternFill>
    </fill>
    <fill>
      <patternFill patternType="solid">
        <fgColor theme="7"/>
        <bgColor indexed="64"/>
      </patternFill>
    </fill>
    <fill>
      <patternFill patternType="solid">
        <fgColor rgb="FF92D050"/>
        <bgColor indexed="64"/>
      </patternFill>
    </fill>
    <fill>
      <patternFill patternType="solid">
        <fgColor rgb="FF6B1C34"/>
        <bgColor indexed="64"/>
      </patternFill>
    </fill>
    <fill>
      <patternFill patternType="solid">
        <fgColor rgb="FF8F0635"/>
        <bgColor indexed="64"/>
      </patternFill>
    </fill>
    <fill>
      <patternFill patternType="solid">
        <fgColor theme="7" tint="0.39997558519241921"/>
        <bgColor indexed="64"/>
      </patternFill>
    </fill>
    <fill>
      <patternFill patternType="solid">
        <fgColor rgb="FFAB2FFF"/>
        <bgColor indexed="64"/>
      </patternFill>
    </fill>
    <fill>
      <patternFill patternType="solid">
        <fgColor theme="5"/>
        <bgColor indexed="64"/>
      </patternFill>
    </fill>
    <fill>
      <patternFill patternType="solid">
        <fgColor theme="8"/>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rgb="FFFF0000"/>
        <bgColor indexed="64"/>
      </patternFill>
    </fill>
    <fill>
      <patternFill patternType="solid">
        <fgColor rgb="FF00B0F0"/>
        <bgColor indexed="64"/>
      </patternFill>
    </fill>
    <fill>
      <patternFill patternType="solid">
        <fgColor rgb="FF00B050"/>
        <bgColor indexed="64"/>
      </patternFill>
    </fill>
    <fill>
      <patternFill patternType="solid">
        <fgColor rgb="FFF6DEE5"/>
        <bgColor indexed="64"/>
      </patternFill>
    </fill>
    <fill>
      <patternFill patternType="solid">
        <fgColor rgb="FFE4D2F2"/>
        <bgColor indexed="64"/>
      </patternFill>
    </fill>
    <fill>
      <patternFill patternType="solid">
        <fgColor theme="7" tint="0.59999389629810485"/>
        <bgColor indexed="64"/>
      </patternFill>
    </fill>
  </fills>
  <borders count="11">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s>
  <cellStyleXfs count="5">
    <xf numFmtId="0" fontId="0" fillId="0" borderId="0"/>
    <xf numFmtId="43" fontId="2" fillId="0" borderId="0" applyFont="0" applyFill="0" applyBorder="0" applyAlignment="0" applyProtection="0"/>
    <xf numFmtId="0" fontId="1" fillId="0" borderId="0"/>
    <xf numFmtId="0" fontId="1" fillId="0" borderId="0"/>
    <xf numFmtId="43" fontId="2" fillId="0" borderId="0" applyFont="0" applyFill="0" applyBorder="0" applyAlignment="0" applyProtection="0"/>
  </cellStyleXfs>
  <cellXfs count="153">
    <xf numFmtId="0" fontId="0" fillId="0" borderId="0" xfId="0"/>
    <xf numFmtId="0" fontId="3" fillId="0" borderId="0" xfId="0" applyFont="1" applyAlignment="1">
      <alignment horizontal="center" vertical="center" wrapText="1"/>
    </xf>
    <xf numFmtId="0" fontId="4" fillId="0" borderId="0" xfId="0" applyFont="1"/>
    <xf numFmtId="0" fontId="4" fillId="2" borderId="0" xfId="0" applyFont="1" applyFill="1" applyAlignment="1">
      <alignment horizontal="center" vertical="center"/>
    </xf>
    <xf numFmtId="0" fontId="4" fillId="2" borderId="0" xfId="0" applyFont="1" applyFill="1" applyAlignment="1">
      <alignment horizontal="center" vertical="center" wrapText="1"/>
    </xf>
    <xf numFmtId="0" fontId="4" fillId="2" borderId="0" xfId="0" applyFont="1" applyFill="1" applyAlignment="1">
      <alignment wrapText="1"/>
    </xf>
    <xf numFmtId="0" fontId="4" fillId="2" borderId="0" xfId="0" applyFont="1" applyFill="1"/>
    <xf numFmtId="0" fontId="5" fillId="3" borderId="1" xfId="0" applyFont="1" applyFill="1" applyBorder="1" applyAlignment="1">
      <alignment horizontal="center"/>
    </xf>
    <xf numFmtId="0" fontId="5" fillId="3" borderId="2" xfId="0" applyFont="1" applyFill="1" applyBorder="1" applyAlignment="1">
      <alignment horizontal="center"/>
    </xf>
    <xf numFmtId="0" fontId="5" fillId="3" borderId="3" xfId="0" applyFont="1" applyFill="1" applyBorder="1" applyAlignment="1">
      <alignment horizontal="center"/>
    </xf>
    <xf numFmtId="0" fontId="5" fillId="3" borderId="4" xfId="0" applyFont="1" applyFill="1" applyBorder="1" applyAlignment="1">
      <alignment horizontal="center"/>
    </xf>
    <xf numFmtId="0" fontId="5" fillId="3" borderId="5" xfId="0" applyFont="1" applyFill="1" applyBorder="1" applyAlignment="1">
      <alignment horizontal="center"/>
    </xf>
    <xf numFmtId="0" fontId="5" fillId="3" borderId="6" xfId="0" applyFont="1" applyFill="1" applyBorder="1" applyAlignment="1">
      <alignment horizontal="center"/>
    </xf>
    <xf numFmtId="0" fontId="5" fillId="4" borderId="1" xfId="0" applyFont="1" applyFill="1" applyBorder="1" applyAlignment="1">
      <alignment horizontal="center"/>
    </xf>
    <xf numFmtId="0" fontId="5" fillId="4" borderId="2" xfId="0" applyFont="1" applyFill="1" applyBorder="1" applyAlignment="1">
      <alignment horizontal="center"/>
    </xf>
    <xf numFmtId="0" fontId="5" fillId="4" borderId="3" xfId="0" applyFont="1" applyFill="1" applyBorder="1" applyAlignment="1">
      <alignment horizontal="center"/>
    </xf>
    <xf numFmtId="0" fontId="5" fillId="5" borderId="7" xfId="0" applyFont="1" applyFill="1" applyBorder="1" applyAlignment="1">
      <alignment horizontal="center"/>
    </xf>
    <xf numFmtId="0" fontId="5" fillId="5" borderId="0" xfId="0" applyFont="1" applyFill="1" applyAlignment="1">
      <alignment horizontal="center"/>
    </xf>
    <xf numFmtId="0" fontId="6" fillId="6" borderId="8" xfId="0" applyFont="1" applyFill="1" applyBorder="1" applyAlignment="1" applyProtection="1">
      <alignment horizontal="center" vertical="center"/>
      <protection hidden="1"/>
    </xf>
    <xf numFmtId="0" fontId="6" fillId="7" borderId="8" xfId="0" applyFont="1" applyFill="1" applyBorder="1" applyAlignment="1">
      <alignment horizontal="center" vertical="center" wrapText="1"/>
    </xf>
    <xf numFmtId="0" fontId="6" fillId="7" borderId="8" xfId="0" applyFont="1" applyFill="1" applyBorder="1" applyAlignment="1">
      <alignment horizontal="center" vertical="center"/>
    </xf>
    <xf numFmtId="0" fontId="6" fillId="8" borderId="8" xfId="0" applyFont="1" applyFill="1" applyBorder="1" applyAlignment="1">
      <alignment horizontal="center" vertical="center" wrapText="1"/>
    </xf>
    <xf numFmtId="0" fontId="7" fillId="8" borderId="8" xfId="0" applyFont="1" applyFill="1" applyBorder="1" applyAlignment="1">
      <alignment horizontal="center" vertical="center" wrapText="1"/>
    </xf>
    <xf numFmtId="0" fontId="7" fillId="9" borderId="8" xfId="0" applyFont="1" applyFill="1" applyBorder="1" applyAlignment="1">
      <alignment horizontal="center" vertical="center" wrapText="1"/>
    </xf>
    <xf numFmtId="3" fontId="6" fillId="9" borderId="8" xfId="0" applyNumberFormat="1" applyFont="1" applyFill="1" applyBorder="1" applyAlignment="1">
      <alignment horizontal="center" vertical="center" wrapText="1"/>
    </xf>
    <xf numFmtId="0" fontId="6" fillId="9" borderId="8" xfId="0" applyFont="1" applyFill="1" applyBorder="1" applyAlignment="1">
      <alignment horizontal="center" vertical="center" wrapText="1"/>
    </xf>
    <xf numFmtId="3" fontId="6" fillId="10" borderId="8" xfId="0" applyNumberFormat="1" applyFont="1" applyFill="1" applyBorder="1" applyAlignment="1">
      <alignment horizontal="center" vertical="center" wrapText="1"/>
    </xf>
    <xf numFmtId="0" fontId="6" fillId="10" borderId="8" xfId="0" applyFont="1" applyFill="1" applyBorder="1" applyAlignment="1">
      <alignment horizontal="center" vertical="center" wrapText="1"/>
    </xf>
    <xf numFmtId="0" fontId="6" fillId="9" borderId="9" xfId="0" applyFont="1" applyFill="1" applyBorder="1" applyAlignment="1">
      <alignment horizontal="center" vertical="center" wrapText="1"/>
    </xf>
    <xf numFmtId="0" fontId="6" fillId="11" borderId="9" xfId="0" applyFont="1" applyFill="1" applyBorder="1" applyAlignment="1">
      <alignment horizontal="center" vertical="center" wrapText="1"/>
    </xf>
    <xf numFmtId="0" fontId="4" fillId="0" borderId="0" xfId="0" applyFont="1" applyAlignment="1">
      <alignment horizontal="center" vertical="center"/>
    </xf>
    <xf numFmtId="0" fontId="8" fillId="12" borderId="0" xfId="0" applyFont="1" applyFill="1" applyProtection="1">
      <protection hidden="1"/>
    </xf>
    <xf numFmtId="0" fontId="8" fillId="0" borderId="0" xfId="0" applyFont="1" applyAlignment="1">
      <alignment horizontal="center" vertical="center" wrapText="1"/>
    </xf>
    <xf numFmtId="0" fontId="8" fillId="0" borderId="0" xfId="0" applyFont="1" applyAlignment="1">
      <alignment horizontal="center" vertical="center"/>
    </xf>
    <xf numFmtId="0" fontId="8" fillId="0" borderId="0" xfId="2" applyFont="1" applyAlignment="1">
      <alignment horizontal="center" vertical="center" wrapText="1"/>
    </xf>
    <xf numFmtId="0" fontId="8" fillId="0" borderId="0" xfId="0" applyFont="1" applyAlignment="1">
      <alignment horizontal="left" vertical="center" wrapText="1"/>
    </xf>
    <xf numFmtId="164" fontId="9" fillId="0" borderId="0" xfId="1" applyNumberFormat="1" applyFont="1" applyFill="1" applyAlignment="1" applyProtection="1">
      <alignment horizontal="center" vertical="center"/>
    </xf>
    <xf numFmtId="164" fontId="9" fillId="13" borderId="0" xfId="1" applyNumberFormat="1" applyFont="1" applyFill="1" applyAlignment="1" applyProtection="1">
      <alignment horizontal="right" vertical="center"/>
    </xf>
    <xf numFmtId="2" fontId="10" fillId="0" borderId="0" xfId="0" applyNumberFormat="1" applyFont="1" applyAlignment="1">
      <alignment horizontal="center" vertical="center"/>
    </xf>
    <xf numFmtId="165" fontId="11" fillId="0" borderId="0" xfId="0" applyNumberFormat="1" applyFont="1" applyAlignment="1" applyProtection="1">
      <alignment horizontal="center" vertical="center"/>
      <protection hidden="1"/>
    </xf>
    <xf numFmtId="2" fontId="10" fillId="0" borderId="0" xfId="0" applyNumberFormat="1" applyFont="1" applyAlignment="1">
      <alignment horizontal="right" vertical="center"/>
    </xf>
    <xf numFmtId="164" fontId="9" fillId="13" borderId="0" xfId="1" applyNumberFormat="1" applyFont="1" applyFill="1" applyAlignment="1">
      <alignment horizontal="right" vertical="center"/>
    </xf>
    <xf numFmtId="164" fontId="11" fillId="0" borderId="0" xfId="1" applyNumberFormat="1" applyFont="1" applyFill="1" applyAlignment="1">
      <alignment horizontal="center" vertical="center"/>
    </xf>
    <xf numFmtId="164" fontId="9" fillId="0" borderId="0" xfId="1" applyNumberFormat="1" applyFont="1" applyFill="1" applyAlignment="1" applyProtection="1">
      <alignment horizontal="center" vertical="center"/>
      <protection hidden="1"/>
    </xf>
    <xf numFmtId="164" fontId="12" fillId="0" borderId="0" xfId="1" applyNumberFormat="1" applyFont="1" applyFill="1" applyAlignment="1">
      <alignment horizontal="right" vertical="center"/>
    </xf>
    <xf numFmtId="3" fontId="12" fillId="0" borderId="0" xfId="0" applyNumberFormat="1" applyFont="1" applyAlignment="1">
      <alignment horizontal="right" vertical="center"/>
    </xf>
    <xf numFmtId="2" fontId="11" fillId="0" borderId="0" xfId="0" applyNumberFormat="1" applyFont="1" applyAlignment="1">
      <alignment horizontal="right" vertical="center"/>
    </xf>
    <xf numFmtId="2" fontId="9" fillId="0" borderId="0" xfId="0" applyNumberFormat="1" applyFont="1" applyAlignment="1">
      <alignment horizontal="right" vertical="center"/>
    </xf>
    <xf numFmtId="0" fontId="11" fillId="14" borderId="0" xfId="0" applyFont="1" applyFill="1" applyAlignment="1">
      <alignment horizontal="center" vertical="center"/>
    </xf>
    <xf numFmtId="2" fontId="11" fillId="14" borderId="0" xfId="0" applyNumberFormat="1" applyFont="1" applyFill="1" applyAlignment="1">
      <alignment horizontal="left" vertical="center"/>
    </xf>
    <xf numFmtId="2" fontId="11" fillId="14" borderId="0" xfId="0" applyNumberFormat="1" applyFont="1" applyFill="1" applyAlignment="1">
      <alignment horizontal="center" vertical="center"/>
    </xf>
    <xf numFmtId="2" fontId="11" fillId="13" borderId="0" xfId="0" applyNumberFormat="1" applyFont="1" applyFill="1" applyAlignment="1" applyProtection="1">
      <alignment horizontal="center" vertical="center"/>
      <protection locked="0"/>
    </xf>
    <xf numFmtId="0" fontId="4" fillId="0" borderId="0" xfId="0" applyFont="1" applyProtection="1">
      <protection locked="0"/>
    </xf>
    <xf numFmtId="0" fontId="8" fillId="0" borderId="0" xfId="0" quotePrefix="1" applyFont="1" applyAlignment="1">
      <alignment horizontal="center" vertical="center" wrapText="1"/>
    </xf>
    <xf numFmtId="0" fontId="11" fillId="0" borderId="0" xfId="0" applyFont="1" applyAlignment="1">
      <alignment horizontal="center" vertical="center" wrapText="1"/>
    </xf>
    <xf numFmtId="0" fontId="11" fillId="0" borderId="0" xfId="0" applyFont="1" applyAlignment="1">
      <alignment horizontal="center" vertical="center"/>
    </xf>
    <xf numFmtId="0" fontId="11" fillId="0" borderId="0" xfId="2" applyFont="1" applyAlignment="1">
      <alignment horizontal="center" vertical="center" wrapText="1"/>
    </xf>
    <xf numFmtId="0" fontId="11" fillId="0" borderId="0" xfId="0" applyFont="1" applyAlignment="1">
      <alignment horizontal="left" vertical="center" wrapText="1"/>
    </xf>
    <xf numFmtId="0" fontId="4" fillId="0" borderId="0" xfId="0" applyFont="1" applyAlignment="1" applyProtection="1">
      <alignment horizontal="left"/>
      <protection locked="0"/>
    </xf>
    <xf numFmtId="0" fontId="13" fillId="0" borderId="0" xfId="0" applyFont="1" applyAlignment="1">
      <alignment horizontal="left"/>
    </xf>
    <xf numFmtId="0" fontId="4" fillId="0" borderId="0" xfId="0" applyFont="1" applyAlignment="1">
      <alignment horizontal="left"/>
    </xf>
    <xf numFmtId="0" fontId="14" fillId="0" borderId="0" xfId="0" applyFont="1" applyAlignment="1">
      <alignment horizontal="center" vertical="center" wrapText="1"/>
    </xf>
    <xf numFmtId="0" fontId="14" fillId="0" borderId="0" xfId="0" applyFont="1" applyAlignment="1">
      <alignment horizontal="center" vertical="center"/>
    </xf>
    <xf numFmtId="0" fontId="4" fillId="15" borderId="0" xfId="0" applyFont="1" applyFill="1" applyProtection="1">
      <protection locked="0"/>
    </xf>
    <xf numFmtId="0" fontId="4" fillId="15" borderId="0" xfId="0" applyFont="1" applyFill="1"/>
    <xf numFmtId="0" fontId="8" fillId="15" borderId="0" xfId="0" applyFont="1" applyFill="1" applyProtection="1">
      <protection hidden="1"/>
    </xf>
    <xf numFmtId="0" fontId="8" fillId="15" borderId="0" xfId="0" applyFont="1" applyFill="1" applyAlignment="1">
      <alignment horizontal="center" vertical="center" wrapText="1"/>
    </xf>
    <xf numFmtId="0" fontId="8" fillId="15" borderId="0" xfId="0" applyFont="1" applyFill="1" applyAlignment="1">
      <alignment horizontal="center" vertical="center"/>
    </xf>
    <xf numFmtId="0" fontId="8" fillId="15" borderId="0" xfId="2" applyFont="1" applyFill="1" applyAlignment="1">
      <alignment horizontal="center" vertical="center" wrapText="1"/>
    </xf>
    <xf numFmtId="0" fontId="8" fillId="15" borderId="0" xfId="0" applyFont="1" applyFill="1" applyAlignment="1">
      <alignment horizontal="left" vertical="center" wrapText="1"/>
    </xf>
    <xf numFmtId="164" fontId="9" fillId="15" borderId="0" xfId="1" applyNumberFormat="1" applyFont="1" applyFill="1" applyAlignment="1" applyProtection="1">
      <alignment horizontal="center" vertical="center"/>
    </xf>
    <xf numFmtId="2" fontId="10" fillId="15" borderId="0" xfId="0" applyNumberFormat="1" applyFont="1" applyFill="1" applyAlignment="1">
      <alignment horizontal="center" vertical="center"/>
    </xf>
    <xf numFmtId="165" fontId="11" fillId="15" borderId="0" xfId="0" applyNumberFormat="1" applyFont="1" applyFill="1" applyAlignment="1" applyProtection="1">
      <alignment horizontal="center" vertical="center"/>
      <protection hidden="1"/>
    </xf>
    <xf numFmtId="2" fontId="10" fillId="15" borderId="0" xfId="0" applyNumberFormat="1" applyFont="1" applyFill="1" applyAlignment="1">
      <alignment horizontal="right" vertical="center"/>
    </xf>
    <xf numFmtId="164" fontId="11" fillId="15" borderId="0" xfId="1" applyNumberFormat="1" applyFont="1" applyFill="1" applyAlignment="1">
      <alignment horizontal="center" vertical="center"/>
    </xf>
    <xf numFmtId="3" fontId="12" fillId="15" borderId="0" xfId="0" applyNumberFormat="1" applyFont="1" applyFill="1" applyAlignment="1">
      <alignment horizontal="right" vertical="center"/>
    </xf>
    <xf numFmtId="2" fontId="11" fillId="15" borderId="0" xfId="0" applyNumberFormat="1" applyFont="1" applyFill="1" applyAlignment="1">
      <alignment horizontal="right" vertical="center"/>
    </xf>
    <xf numFmtId="164" fontId="12" fillId="15" borderId="0" xfId="1" applyNumberFormat="1" applyFont="1" applyFill="1" applyAlignment="1">
      <alignment horizontal="right" vertical="center"/>
    </xf>
    <xf numFmtId="2" fontId="9" fillId="15" borderId="0" xfId="0" applyNumberFormat="1" applyFont="1" applyFill="1" applyAlignment="1">
      <alignment horizontal="right" vertical="center"/>
    </xf>
    <xf numFmtId="0" fontId="11" fillId="15" borderId="0" xfId="0" applyFont="1" applyFill="1" applyAlignment="1">
      <alignment horizontal="center" vertical="center"/>
    </xf>
    <xf numFmtId="2" fontId="11" fillId="15" borderId="0" xfId="0" applyNumberFormat="1" applyFont="1" applyFill="1" applyAlignment="1">
      <alignment horizontal="left" vertical="center"/>
    </xf>
    <xf numFmtId="2" fontId="11" fillId="15" borderId="0" xfId="0" applyNumberFormat="1" applyFont="1" applyFill="1" applyAlignment="1" applyProtection="1">
      <alignment horizontal="center" vertical="center"/>
      <protection locked="0"/>
    </xf>
    <xf numFmtId="0" fontId="8" fillId="16" borderId="0" xfId="0" applyFont="1" applyFill="1" applyAlignment="1">
      <alignment horizontal="left" vertical="center" wrapText="1"/>
    </xf>
    <xf numFmtId="2" fontId="11" fillId="4" borderId="0" xfId="0" applyNumberFormat="1" applyFont="1" applyFill="1" applyAlignment="1" applyProtection="1">
      <alignment horizontal="center" vertical="center"/>
      <protection locked="0"/>
    </xf>
    <xf numFmtId="0" fontId="8" fillId="11" borderId="0" xfId="0" applyFont="1" applyFill="1" applyAlignment="1">
      <alignment horizontal="left" vertical="center" wrapText="1"/>
    </xf>
    <xf numFmtId="0" fontId="11" fillId="15" borderId="0" xfId="0" applyFont="1" applyFill="1" applyAlignment="1">
      <alignment horizontal="center" vertical="center" wrapText="1"/>
    </xf>
    <xf numFmtId="0" fontId="11" fillId="15" borderId="0" xfId="2" applyFont="1" applyFill="1" applyAlignment="1">
      <alignment horizontal="center" vertical="center" wrapText="1"/>
    </xf>
    <xf numFmtId="0" fontId="11" fillId="15" borderId="0" xfId="0" applyFont="1" applyFill="1" applyAlignment="1">
      <alignment horizontal="left" vertical="center" wrapText="1"/>
    </xf>
    <xf numFmtId="2" fontId="11" fillId="0" borderId="0" xfId="0" applyNumberFormat="1" applyFont="1" applyAlignment="1" applyProtection="1">
      <alignment horizontal="center" vertical="center"/>
      <protection locked="0"/>
    </xf>
    <xf numFmtId="164" fontId="9" fillId="15" borderId="0" xfId="1" applyNumberFormat="1" applyFont="1" applyFill="1" applyAlignment="1" applyProtection="1">
      <alignment horizontal="center" vertical="center"/>
      <protection hidden="1"/>
    </xf>
    <xf numFmtId="0" fontId="11" fillId="11" borderId="0" xfId="0" applyFont="1" applyFill="1" applyAlignment="1">
      <alignment horizontal="left" vertical="center" wrapText="1"/>
    </xf>
    <xf numFmtId="0" fontId="11" fillId="16" borderId="0" xfId="0" applyFont="1" applyFill="1" applyAlignment="1">
      <alignment horizontal="left" vertical="center" wrapText="1"/>
    </xf>
    <xf numFmtId="0" fontId="14" fillId="0" borderId="0" xfId="0" quotePrefix="1" applyFont="1" applyAlignment="1">
      <alignment horizontal="center" vertical="center" wrapText="1"/>
    </xf>
    <xf numFmtId="2" fontId="11" fillId="15" borderId="0" xfId="0" applyNumberFormat="1" applyFont="1" applyFill="1" applyAlignment="1">
      <alignment horizontal="center" vertical="center"/>
    </xf>
    <xf numFmtId="0" fontId="8" fillId="0" borderId="0" xfId="2" applyFont="1" applyAlignment="1">
      <alignment horizontal="left" vertical="center" wrapText="1"/>
    </xf>
    <xf numFmtId="164" fontId="15" fillId="0" borderId="0" xfId="1" applyNumberFormat="1" applyFont="1" applyFill="1" applyAlignment="1" applyProtection="1">
      <alignment horizontal="center" vertical="center"/>
    </xf>
    <xf numFmtId="164" fontId="16" fillId="0" borderId="0" xfId="1" applyNumberFormat="1" applyFont="1" applyFill="1" applyAlignment="1">
      <alignment horizontal="center" vertical="center"/>
    </xf>
    <xf numFmtId="164" fontId="8" fillId="0" borderId="0" xfId="1" applyNumberFormat="1" applyFont="1" applyFill="1" applyAlignment="1">
      <alignment horizontal="center" vertical="center"/>
    </xf>
    <xf numFmtId="164" fontId="12" fillId="0" borderId="0" xfId="1" applyNumberFormat="1" applyFont="1" applyFill="1" applyAlignment="1" applyProtection="1">
      <alignment horizontal="right" vertical="center"/>
    </xf>
    <xf numFmtId="0" fontId="11" fillId="14" borderId="0" xfId="0" applyFont="1" applyFill="1" applyAlignment="1" applyProtection="1">
      <alignment horizontal="center" vertical="center"/>
      <protection locked="0"/>
    </xf>
    <xf numFmtId="2" fontId="11" fillId="14" borderId="0" xfId="0" applyNumberFormat="1" applyFont="1" applyFill="1" applyAlignment="1" applyProtection="1">
      <alignment horizontal="left" vertical="center"/>
      <protection locked="0"/>
    </xf>
    <xf numFmtId="49" fontId="8" fillId="0" borderId="0" xfId="2" applyNumberFormat="1" applyFont="1" applyAlignment="1">
      <alignment horizontal="center" vertical="center" wrapText="1"/>
    </xf>
    <xf numFmtId="0" fontId="8" fillId="0" borderId="0" xfId="0" applyFont="1" applyAlignment="1" applyProtection="1">
      <alignment horizontal="left" vertical="center"/>
      <protection hidden="1"/>
    </xf>
    <xf numFmtId="0" fontId="8" fillId="6" borderId="0" xfId="2" applyFont="1" applyFill="1" applyAlignment="1">
      <alignment horizontal="left" vertical="center" wrapText="1"/>
    </xf>
    <xf numFmtId="0" fontId="8" fillId="0" borderId="0" xfId="0" applyFont="1" applyAlignment="1" applyProtection="1">
      <alignment horizontal="center" vertical="center"/>
      <protection hidden="1"/>
    </xf>
    <xf numFmtId="0" fontId="4" fillId="0" borderId="0" xfId="0" applyFont="1" applyAlignment="1">
      <alignment horizontal="center" vertical="center" wrapText="1"/>
    </xf>
    <xf numFmtId="0" fontId="4" fillId="0" borderId="0" xfId="0" applyFont="1" applyAlignment="1">
      <alignment horizontal="center" wrapText="1"/>
    </xf>
    <xf numFmtId="0" fontId="4" fillId="0" borderId="0" xfId="0" applyFont="1" applyAlignment="1">
      <alignment wrapText="1"/>
    </xf>
    <xf numFmtId="0" fontId="17" fillId="0" borderId="0" xfId="0" applyFont="1" applyAlignment="1">
      <alignment horizontal="right"/>
    </xf>
    <xf numFmtId="0" fontId="18" fillId="0" borderId="0" xfId="0" applyFont="1" applyAlignment="1">
      <alignment horizontal="center"/>
    </xf>
    <xf numFmtId="0" fontId="17" fillId="0" borderId="0" xfId="0" applyFont="1"/>
    <xf numFmtId="0" fontId="19" fillId="0" borderId="0" xfId="0" applyFont="1" applyProtection="1">
      <protection hidden="1"/>
    </xf>
    <xf numFmtId="0" fontId="6" fillId="6" borderId="8" xfId="0" applyFont="1" applyFill="1" applyBorder="1" applyAlignment="1" applyProtection="1">
      <alignment horizontal="center" vertical="center" wrapText="1"/>
      <protection hidden="1"/>
    </xf>
    <xf numFmtId="0" fontId="8" fillId="0" borderId="0" xfId="0" applyFont="1" applyAlignment="1" applyProtection="1">
      <alignment wrapText="1"/>
      <protection hidden="1"/>
    </xf>
    <xf numFmtId="0" fontId="8" fillId="0" borderId="0" xfId="0" applyFont="1" applyAlignment="1">
      <alignment vertical="center" wrapText="1"/>
    </xf>
    <xf numFmtId="0" fontId="8" fillId="0" borderId="0" xfId="3" applyFont="1" applyAlignment="1">
      <alignment horizontal="center" vertical="center" wrapText="1"/>
    </xf>
    <xf numFmtId="0" fontId="11" fillId="0" borderId="0" xfId="2" applyFont="1" applyAlignment="1">
      <alignment vertical="top" wrapText="1"/>
    </xf>
    <xf numFmtId="164" fontId="9" fillId="18" borderId="10" xfId="1" applyNumberFormat="1" applyFont="1" applyFill="1" applyBorder="1" applyAlignment="1" applyProtection="1">
      <alignment horizontal="right" vertical="center"/>
      <protection locked="0"/>
    </xf>
    <xf numFmtId="164" fontId="9" fillId="2" borderId="10" xfId="1" applyNumberFormat="1" applyFont="1" applyFill="1" applyBorder="1" applyAlignment="1" applyProtection="1">
      <alignment horizontal="center" vertical="center"/>
    </xf>
    <xf numFmtId="164" fontId="9" fillId="18" borderId="10" xfId="1" applyNumberFormat="1" applyFont="1" applyFill="1" applyBorder="1" applyAlignment="1" applyProtection="1">
      <alignment horizontal="right" vertical="center"/>
    </xf>
    <xf numFmtId="164" fontId="12" fillId="14" borderId="0" xfId="1" applyNumberFormat="1" applyFont="1" applyFill="1" applyAlignment="1">
      <alignment horizontal="right" vertical="center"/>
    </xf>
    <xf numFmtId="3" fontId="20" fillId="0" borderId="0" xfId="0" applyNumberFormat="1" applyFont="1" applyAlignment="1">
      <alignment horizontal="right" vertical="center"/>
    </xf>
    <xf numFmtId="164" fontId="12" fillId="19" borderId="0" xfId="1" applyNumberFormat="1" applyFont="1" applyFill="1" applyAlignment="1">
      <alignment horizontal="right" vertical="center"/>
    </xf>
    <xf numFmtId="0" fontId="11" fillId="14" borderId="0" xfId="0" applyFont="1" applyFill="1" applyAlignment="1">
      <alignment horizontal="left" vertical="center"/>
    </xf>
    <xf numFmtId="0" fontId="8" fillId="0" borderId="0" xfId="0" applyFont="1" applyProtection="1">
      <protection hidden="1"/>
    </xf>
    <xf numFmtId="0" fontId="8" fillId="0" borderId="0" xfId="2" applyFont="1" applyAlignment="1">
      <alignment vertical="top" wrapText="1"/>
    </xf>
    <xf numFmtId="164" fontId="9" fillId="14" borderId="10" xfId="1" applyNumberFormat="1" applyFont="1" applyFill="1" applyBorder="1" applyAlignment="1" applyProtection="1">
      <alignment horizontal="right" vertical="center"/>
    </xf>
    <xf numFmtId="164" fontId="9" fillId="13" borderId="10" xfId="1" applyNumberFormat="1" applyFont="1" applyFill="1" applyBorder="1" applyAlignment="1" applyProtection="1">
      <alignment horizontal="right" vertical="center"/>
      <protection locked="0"/>
    </xf>
    <xf numFmtId="164" fontId="9" fillId="13" borderId="10" xfId="1" applyNumberFormat="1" applyFont="1" applyFill="1" applyBorder="1" applyAlignment="1" applyProtection="1">
      <alignment horizontal="right" vertical="center"/>
    </xf>
    <xf numFmtId="164" fontId="9" fillId="18" borderId="10" xfId="4" applyNumberFormat="1" applyFont="1" applyFill="1" applyBorder="1" applyAlignment="1" applyProtection="1">
      <alignment horizontal="right" vertical="center"/>
      <protection locked="0"/>
    </xf>
    <xf numFmtId="0" fontId="8" fillId="15" borderId="0" xfId="0" applyFont="1" applyFill="1" applyAlignment="1" applyProtection="1">
      <alignment wrapText="1"/>
      <protection hidden="1"/>
    </xf>
    <xf numFmtId="0" fontId="8" fillId="15" borderId="0" xfId="0" applyFont="1" applyFill="1" applyAlignment="1">
      <alignment vertical="center" wrapText="1"/>
    </xf>
    <xf numFmtId="0" fontId="8" fillId="15" borderId="0" xfId="3" applyFont="1" applyFill="1" applyAlignment="1">
      <alignment horizontal="center" vertical="center" wrapText="1"/>
    </xf>
    <xf numFmtId="0" fontId="8" fillId="15" borderId="0" xfId="2" applyFont="1" applyFill="1" applyAlignment="1">
      <alignment horizontal="left" vertical="center" wrapText="1"/>
    </xf>
    <xf numFmtId="0" fontId="8" fillId="15" borderId="0" xfId="2" applyFont="1" applyFill="1" applyAlignment="1">
      <alignment vertical="top" wrapText="1"/>
    </xf>
    <xf numFmtId="164" fontId="9" fillId="15" borderId="10" xfId="1" applyNumberFormat="1" applyFont="1" applyFill="1" applyBorder="1" applyAlignment="1" applyProtection="1">
      <alignment horizontal="right" vertical="center"/>
      <protection locked="0"/>
    </xf>
    <xf numFmtId="164" fontId="9" fillId="15" borderId="10" xfId="1" applyNumberFormat="1" applyFont="1" applyFill="1" applyBorder="1" applyAlignment="1" applyProtection="1">
      <alignment horizontal="center" vertical="center"/>
    </xf>
    <xf numFmtId="164" fontId="9" fillId="15" borderId="10" xfId="1" applyNumberFormat="1" applyFont="1" applyFill="1" applyBorder="1" applyAlignment="1" applyProtection="1">
      <alignment horizontal="right" vertical="center"/>
    </xf>
    <xf numFmtId="3" fontId="20" fillId="15" borderId="0" xfId="0" applyNumberFormat="1" applyFont="1" applyFill="1" applyAlignment="1">
      <alignment horizontal="right" vertical="center"/>
    </xf>
    <xf numFmtId="0" fontId="11" fillId="15" borderId="0" xfId="0" applyFont="1" applyFill="1" applyAlignment="1">
      <alignment horizontal="left" vertical="center"/>
    </xf>
    <xf numFmtId="0" fontId="11" fillId="15" borderId="0" xfId="2" applyFont="1" applyFill="1" applyAlignment="1">
      <alignment vertical="top" wrapText="1"/>
    </xf>
    <xf numFmtId="0" fontId="11" fillId="11" borderId="0" xfId="2" applyFont="1" applyFill="1" applyAlignment="1">
      <alignment vertical="top" wrapText="1"/>
    </xf>
    <xf numFmtId="164" fontId="9" fillId="14" borderId="10" xfId="1" applyNumberFormat="1" applyFont="1" applyFill="1" applyBorder="1" applyAlignment="1" applyProtection="1">
      <alignment horizontal="right" vertical="center"/>
      <protection locked="0"/>
    </xf>
    <xf numFmtId="164" fontId="9" fillId="20" borderId="10" xfId="1" applyNumberFormat="1" applyFont="1" applyFill="1" applyBorder="1" applyAlignment="1" applyProtection="1">
      <alignment horizontal="right" vertical="center"/>
    </xf>
    <xf numFmtId="43" fontId="9" fillId="0" borderId="0" xfId="1" applyFont="1" applyFill="1" applyAlignment="1" applyProtection="1">
      <alignment horizontal="center" vertical="center"/>
    </xf>
    <xf numFmtId="4" fontId="20" fillId="0" borderId="0" xfId="0" applyNumberFormat="1" applyFont="1" applyAlignment="1">
      <alignment horizontal="right" vertical="center"/>
    </xf>
    <xf numFmtId="49" fontId="8" fillId="0" borderId="0" xfId="2" applyNumberFormat="1" applyFont="1" applyAlignment="1">
      <alignment horizontal="left" vertical="center" wrapText="1"/>
    </xf>
    <xf numFmtId="164" fontId="12" fillId="14" borderId="0" xfId="1" applyNumberFormat="1" applyFont="1" applyFill="1" applyAlignment="1" applyProtection="1">
      <alignment horizontal="right" vertical="center"/>
    </xf>
    <xf numFmtId="0" fontId="11" fillId="14" borderId="0" xfId="0" applyFont="1" applyFill="1" applyAlignment="1" applyProtection="1">
      <alignment horizontal="left" vertical="center"/>
      <protection locked="0"/>
    </xf>
    <xf numFmtId="0" fontId="8" fillId="11" borderId="0" xfId="2" applyFont="1" applyFill="1" applyAlignment="1">
      <alignment vertical="top" wrapText="1"/>
    </xf>
    <xf numFmtId="0" fontId="0" fillId="17" borderId="0" xfId="0" applyFill="1"/>
    <xf numFmtId="2" fontId="0" fillId="0" borderId="0" xfId="0" applyNumberFormat="1"/>
    <xf numFmtId="0" fontId="0" fillId="6" borderId="0" xfId="0" applyFill="1"/>
  </cellXfs>
  <cellStyles count="5">
    <cellStyle name="Millares" xfId="1" builtinId="3"/>
    <cellStyle name="Millares 2" xfId="4" xr:uid="{B98EA0DF-D3CA-442D-95C6-B01F558D1D98}"/>
    <cellStyle name="Normal" xfId="0" builtinId="0"/>
    <cellStyle name="Normal 102 5 2" xfId="2" xr:uid="{8AE481F0-A2B6-4ABD-9E59-ED124EC9807E}"/>
    <cellStyle name="Normal 13 10 2 3 2" xfId="3" xr:uid="{407B6100-10BF-418B-9845-D9D5AF9FEF55}"/>
  </cellStyles>
  <dxfs count="121">
    <dxf>
      <font>
        <b val="0"/>
        <i val="0"/>
        <strike val="0"/>
        <condense val="0"/>
        <extend val="0"/>
        <outline val="0"/>
        <shadow val="0"/>
        <u val="none"/>
        <vertAlign val="baseline"/>
        <sz val="14"/>
        <color theme="1"/>
        <name val="Calibri"/>
        <family val="2"/>
        <scheme val="minor"/>
      </font>
      <numFmt numFmtId="0" formatCode="General"/>
      <fill>
        <patternFill patternType="solid">
          <fgColor indexed="64"/>
          <bgColor theme="7" tint="0.79998168889431442"/>
        </patternFill>
      </fill>
      <alignment horizontal="left" vertical="center" textRotation="0" wrapText="0" indent="0" justifyLastLine="0" shrinkToFit="0" readingOrder="0"/>
      <protection locked="1" hidden="1"/>
    </dxf>
    <dxf>
      <font>
        <b val="0"/>
        <i val="0"/>
        <strike val="0"/>
        <condense val="0"/>
        <extend val="0"/>
        <outline val="0"/>
        <shadow val="0"/>
        <u val="none"/>
        <vertAlign val="baseline"/>
        <sz val="14"/>
        <color auto="1"/>
        <name val="Calibri"/>
        <family val="2"/>
        <scheme val="minor"/>
      </font>
      <numFmt numFmtId="2" formatCode="0.00"/>
      <fill>
        <patternFill patternType="solid">
          <fgColor indexed="64"/>
          <bgColor theme="7" tint="0.79998168889431442"/>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14"/>
        <color auto="1"/>
        <name val="Calibri"/>
        <family val="2"/>
        <scheme val="minor"/>
      </font>
      <numFmt numFmtId="2" formatCode="0.00"/>
      <fill>
        <patternFill patternType="solid">
          <fgColor indexed="64"/>
          <bgColor theme="7" tint="0.79998168889431442"/>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14"/>
        <color auto="1"/>
        <name val="Calibri"/>
        <family val="2"/>
        <scheme val="minor"/>
      </font>
      <numFmt numFmtId="2" formatCode="0.00"/>
      <fill>
        <patternFill patternType="solid">
          <fgColor indexed="64"/>
          <bgColor theme="7" tint="0.79998168889431442"/>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14"/>
        <color auto="1"/>
        <name val="Calibri"/>
        <family val="2"/>
        <scheme val="minor"/>
      </font>
      <numFmt numFmtId="0" formatCode="General"/>
      <fill>
        <patternFill patternType="solid">
          <fgColor indexed="64"/>
          <bgColor theme="7" tint="0.79998168889431442"/>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14"/>
        <color auto="1"/>
        <name val="Calibri"/>
        <family val="2"/>
        <scheme val="minor"/>
      </font>
      <numFmt numFmtId="2" formatCode="0.00"/>
      <fill>
        <patternFill patternType="none">
          <fgColor indexed="64"/>
          <bgColor auto="1"/>
        </patternFill>
      </fill>
      <alignment horizontal="right" vertical="center" textRotation="0" wrapText="0" indent="0" justifyLastLine="0" shrinkToFit="0" readingOrder="0"/>
      <protection locked="1" hidden="0"/>
    </dxf>
    <dxf>
      <font>
        <b/>
        <i val="0"/>
        <strike val="0"/>
        <condense val="0"/>
        <extend val="0"/>
        <outline val="0"/>
        <shadow val="0"/>
        <u val="none"/>
        <vertAlign val="baseline"/>
        <sz val="14"/>
        <color auto="1"/>
        <name val="Calibri"/>
        <family val="2"/>
        <scheme val="minor"/>
      </font>
      <numFmt numFmtId="3" formatCode="#,##0"/>
      <fill>
        <patternFill patternType="none">
          <fgColor indexed="64"/>
          <bgColor auto="1"/>
        </patternFill>
      </fill>
      <alignment horizontal="right" vertical="center" textRotation="0" wrapText="0" indent="0" justifyLastLine="0" shrinkToFit="0" readingOrder="0"/>
      <protection locked="1" hidden="0"/>
    </dxf>
    <dxf>
      <font>
        <b val="0"/>
        <i val="0"/>
        <strike val="0"/>
        <condense val="0"/>
        <extend val="0"/>
        <outline val="0"/>
        <shadow val="0"/>
        <u val="none"/>
        <vertAlign val="baseline"/>
        <sz val="14"/>
        <color auto="1"/>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protection locked="1" hidden="1"/>
    </dxf>
    <dxf>
      <font>
        <b val="0"/>
        <i val="0"/>
        <strike val="0"/>
        <condense val="0"/>
        <extend val="0"/>
        <outline val="0"/>
        <shadow val="0"/>
        <u val="none"/>
        <vertAlign val="baseline"/>
        <sz val="18"/>
        <color auto="1"/>
        <name val="Calibri"/>
        <family val="2"/>
        <scheme val="minor"/>
      </font>
      <numFmt numFmtId="2" formatCode="0.00"/>
      <fill>
        <patternFill patternType="none">
          <fgColor indexed="64"/>
          <bgColor auto="1"/>
        </patternFill>
      </fill>
      <alignment horizontal="right" vertical="center" textRotation="0" wrapText="0" indent="0" justifyLastLine="0" shrinkToFit="0" readingOrder="0"/>
      <protection locked="1" hidden="0"/>
    </dxf>
    <dxf>
      <font>
        <b/>
        <i val="0"/>
        <strike val="0"/>
        <condense val="0"/>
        <extend val="0"/>
        <outline val="0"/>
        <shadow val="0"/>
        <u val="none"/>
        <vertAlign val="baseline"/>
        <sz val="20"/>
        <color auto="1"/>
        <name val="Calibri"/>
        <family val="2"/>
        <scheme val="minor"/>
      </font>
      <numFmt numFmtId="164" formatCode="_-* #,##0_-;\-* #,##0_-;_-* &quot;-&quot;??_-;_-@_-"/>
      <fill>
        <patternFill patternType="solid">
          <fgColor indexed="64"/>
          <bgColor rgb="FFE4D2F2"/>
        </patternFill>
      </fill>
      <alignment horizontal="right" vertical="center" textRotation="0" wrapText="0" indent="0" justifyLastLine="0" shrinkToFit="0" readingOrder="0"/>
      <protection locked="1" hidden="0"/>
    </dxf>
    <dxf>
      <font>
        <b val="0"/>
        <i val="0"/>
        <strike val="0"/>
        <condense val="0"/>
        <extend val="0"/>
        <outline val="0"/>
        <shadow val="0"/>
        <u val="none"/>
        <vertAlign val="baseline"/>
        <sz val="14"/>
        <color auto="1"/>
        <name val="Calibri"/>
        <family val="2"/>
        <scheme val="minor"/>
      </font>
      <numFmt numFmtId="2" formatCode="0.00"/>
      <fill>
        <patternFill patternType="none">
          <fgColor indexed="64"/>
          <bgColor auto="1"/>
        </patternFill>
      </fill>
      <alignment horizontal="right" vertical="center" textRotation="0" wrapText="0" indent="0" justifyLastLine="0" shrinkToFit="0" readingOrder="0"/>
      <protection locked="1" hidden="0"/>
    </dxf>
    <dxf>
      <font>
        <b/>
        <i val="0"/>
        <strike val="0"/>
        <condense val="0"/>
        <extend val="0"/>
        <outline val="0"/>
        <shadow val="0"/>
        <u val="none"/>
        <vertAlign val="baseline"/>
        <sz val="14"/>
        <color auto="1"/>
        <name val="Calibri"/>
        <family val="2"/>
        <scheme val="minor"/>
      </font>
      <numFmt numFmtId="3" formatCode="#,##0"/>
      <fill>
        <patternFill patternType="none">
          <fgColor indexed="64"/>
          <bgColor auto="1"/>
        </patternFill>
      </fill>
      <alignment horizontal="right" vertical="center" textRotation="0" wrapText="0" indent="0" justifyLastLine="0" shrinkToFit="0" readingOrder="0"/>
      <protection locked="1" hidden="0"/>
    </dxf>
    <dxf>
      <font>
        <b val="0"/>
        <i val="0"/>
        <strike val="0"/>
        <condense val="0"/>
        <extend val="0"/>
        <outline val="0"/>
        <shadow val="0"/>
        <u val="none"/>
        <vertAlign val="baseline"/>
        <sz val="14"/>
        <color auto="1"/>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protection locked="1" hidden="1"/>
    </dxf>
    <dxf>
      <font>
        <b val="0"/>
        <i val="0"/>
        <strike val="0"/>
        <condense val="0"/>
        <extend val="0"/>
        <outline val="0"/>
        <shadow val="0"/>
        <u val="none"/>
        <vertAlign val="baseline"/>
        <sz val="18"/>
        <color auto="1"/>
        <name val="Calibri"/>
        <family val="2"/>
        <scheme val="minor"/>
      </font>
      <numFmt numFmtId="2" formatCode="0.00"/>
      <fill>
        <patternFill patternType="none">
          <fgColor indexed="64"/>
          <bgColor auto="1"/>
        </patternFill>
      </fill>
      <alignment horizontal="right" vertical="center" textRotation="0" wrapText="0" indent="0" justifyLastLine="0" shrinkToFit="0" readingOrder="0"/>
      <protection locked="1" hidden="0"/>
    </dxf>
    <dxf>
      <font>
        <b/>
        <i val="0"/>
        <strike val="0"/>
        <condense val="0"/>
        <extend val="0"/>
        <outline val="0"/>
        <shadow val="0"/>
        <u val="none"/>
        <vertAlign val="baseline"/>
        <sz val="20"/>
        <color auto="1"/>
        <name val="Calibri"/>
        <family val="2"/>
        <scheme val="minor"/>
      </font>
      <numFmt numFmtId="164" formatCode="_-* #,##0_-;\-* #,##0_-;_-* &quot;-&quot;??_-;_-@_-"/>
      <fill>
        <patternFill patternType="solid">
          <fgColor indexed="64"/>
          <bgColor theme="7" tint="0.79998168889431442"/>
        </patternFill>
      </fill>
      <alignment horizontal="right" vertical="center" textRotation="0" wrapText="0" indent="0" justifyLastLine="0" shrinkToFit="0" readingOrder="0"/>
      <protection locked="1" hidden="0"/>
    </dxf>
    <dxf>
      <font>
        <b val="0"/>
        <i val="0"/>
        <strike val="0"/>
        <condense val="0"/>
        <extend val="0"/>
        <outline val="0"/>
        <shadow val="0"/>
        <u val="none"/>
        <vertAlign val="baseline"/>
        <sz val="20"/>
        <color auto="1"/>
        <name val="Calibri"/>
        <family val="2"/>
        <scheme val="minor"/>
      </font>
      <numFmt numFmtId="164" formatCode="_-* #,##0_-;\-* #,##0_-;_-* &quot;-&quot;??_-;_-@_-"/>
      <fill>
        <patternFill patternType="none">
          <fgColor indexed="64"/>
          <bgColor auto="1"/>
        </patternFill>
      </fill>
      <alignment horizontal="center" vertical="center" textRotation="0" wrapText="0" indent="0" justifyLastLine="0" shrinkToFit="0" readingOrder="0"/>
      <protection locked="1" hidden="1"/>
    </dxf>
    <dxf>
      <font>
        <b val="0"/>
        <i val="0"/>
        <strike val="0"/>
        <condense val="0"/>
        <extend val="0"/>
        <outline val="0"/>
        <shadow val="0"/>
        <u val="none"/>
        <vertAlign val="baseline"/>
        <sz val="14"/>
        <color theme="1"/>
        <name val="Calibri"/>
        <family val="2"/>
        <scheme val="minor"/>
      </font>
      <numFmt numFmtId="164" formatCode="_-* #,##0_-;\-* #,##0_-;_-* &quot;-&quot;??_-;_-@_-"/>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8"/>
        <color theme="1"/>
        <name val="Calibri"/>
        <family val="2"/>
        <scheme val="minor"/>
      </font>
      <numFmt numFmtId="164" formatCode="_-* #,##0_-;\-* #,##0_-;_-* &quot;-&quot;??_-;_-@_-"/>
      <fill>
        <patternFill patternType="none">
          <fgColor indexed="64"/>
          <bgColor auto="1"/>
        </patternFill>
      </fill>
      <alignment horizontal="center" vertical="center" textRotation="0" wrapText="0" indent="0" justifyLastLine="0" shrinkToFit="0" readingOrder="0"/>
      <border outline="0">
        <left style="thin">
          <color theme="0" tint="-0.249977111117893"/>
        </left>
      </border>
    </dxf>
    <dxf>
      <font>
        <b/>
        <i val="0"/>
        <strike val="0"/>
        <condense val="0"/>
        <extend val="0"/>
        <outline val="0"/>
        <shadow val="0"/>
        <u val="none"/>
        <vertAlign val="baseline"/>
        <sz val="20"/>
        <color auto="1"/>
        <name val="Calibri"/>
        <family val="2"/>
        <scheme val="minor"/>
      </font>
      <numFmt numFmtId="164" formatCode="_-* #,##0_-;\-* #,##0_-;_-* &quot;-&quot;??_-;_-@_-"/>
      <fill>
        <patternFill patternType="solid">
          <fgColor indexed="64"/>
          <bgColor rgb="FFF6DEE5"/>
        </patternFill>
      </fill>
      <alignment horizontal="right" vertical="center" textRotation="0" wrapText="0" indent="0" justifyLastLine="0" shrinkToFit="0" readingOrder="0"/>
      <border diagonalUp="0" diagonalDown="0" outline="0">
        <left style="thin">
          <color theme="0" tint="-0.249977111117893"/>
        </left>
        <right/>
        <top style="thin">
          <color theme="0" tint="-0.249977111117893"/>
        </top>
        <bottom style="thin">
          <color theme="0" tint="-0.249977111117893"/>
        </bottom>
      </border>
      <protection locked="1" hidden="0"/>
    </dxf>
    <dxf>
      <font>
        <b val="0"/>
        <i val="0"/>
        <strike val="0"/>
        <condense val="0"/>
        <extend val="0"/>
        <outline val="0"/>
        <shadow val="0"/>
        <u val="none"/>
        <vertAlign val="baseline"/>
        <sz val="20"/>
        <color auto="1"/>
        <name val="Calibri"/>
        <family val="2"/>
        <scheme val="minor"/>
      </font>
      <numFmt numFmtId="164" formatCode="_-* #,##0_-;\-* #,##0_-;_-* &quot;-&quot;??_-;_-@_-"/>
      <fill>
        <patternFill patternType="solid">
          <fgColor indexed="64"/>
          <bgColor theme="0"/>
        </patternFill>
      </fill>
      <alignment horizontal="center" vertical="center" textRotation="0" wrapText="0" indent="0" justifyLastLine="0" shrinkToFit="0" readingOrder="0"/>
      <border diagonalUp="0" diagonalDown="0" outline="0">
        <left style="thin">
          <color theme="0" tint="-0.249977111117893"/>
        </left>
        <right style="thin">
          <color theme="0" tint="-0.249977111117893"/>
        </right>
        <top style="thin">
          <color theme="0" tint="-0.249977111117893"/>
        </top>
        <bottom style="thin">
          <color theme="0" tint="-0.249977111117893"/>
        </bottom>
      </border>
      <protection locked="1" hidden="0"/>
    </dxf>
    <dxf>
      <font>
        <b val="0"/>
        <i val="0"/>
        <strike val="0"/>
        <condense val="0"/>
        <extend val="0"/>
        <outline val="0"/>
        <shadow val="0"/>
        <u val="none"/>
        <vertAlign val="baseline"/>
        <sz val="14"/>
        <color auto="1"/>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outline="0">
        <left/>
        <right style="thin">
          <color theme="0" tint="-0.249977111117893"/>
        </right>
      </border>
      <protection locked="1" hidden="1"/>
    </dxf>
    <dxf>
      <font>
        <b val="0"/>
        <i val="0"/>
        <strike val="0"/>
        <condense val="0"/>
        <extend val="0"/>
        <outline val="0"/>
        <shadow val="0"/>
        <u val="none"/>
        <vertAlign val="baseline"/>
        <sz val="18"/>
        <color auto="1"/>
        <name val="Calibri"/>
        <family val="2"/>
        <scheme val="minor"/>
      </font>
      <numFmt numFmtId="2" formatCode="0.00"/>
      <fill>
        <patternFill patternType="none">
          <fgColor indexed="64"/>
          <bgColor auto="1"/>
        </patternFill>
      </fill>
      <alignment horizontal="right" vertical="center" textRotation="0" wrapText="0" indent="0" justifyLastLine="0" shrinkToFit="0" readingOrder="0"/>
      <protection locked="1" hidden="0"/>
    </dxf>
    <dxf>
      <font>
        <b/>
        <i val="0"/>
        <strike val="0"/>
        <condense val="0"/>
        <extend val="0"/>
        <outline val="0"/>
        <shadow val="0"/>
        <u val="none"/>
        <vertAlign val="baseline"/>
        <sz val="20"/>
        <color auto="1"/>
        <name val="Calibri"/>
        <family val="2"/>
        <scheme val="minor"/>
      </font>
      <numFmt numFmtId="164" formatCode="_-* #,##0_-;\-* #,##0_-;_-* &quot;-&quot;??_-;_-@_-"/>
      <fill>
        <patternFill patternType="solid">
          <fgColor indexed="64"/>
          <bgColor rgb="FFF6DEE5"/>
        </patternFill>
      </fill>
      <alignment horizontal="right" vertical="center" textRotation="0" wrapText="0" indent="0" justifyLastLine="0" shrinkToFit="0" readingOrder="0"/>
      <border diagonalUp="0" diagonalDown="0" outline="0">
        <left style="thin">
          <color theme="0" tint="-0.249977111117893"/>
        </left>
        <right/>
        <top style="thin">
          <color theme="0" tint="-0.249977111117893"/>
        </top>
        <bottom style="thin">
          <color theme="0" tint="-0.249977111117893"/>
        </bottom>
      </border>
      <protection locked="1" hidden="0"/>
    </dxf>
    <dxf>
      <font>
        <b val="0"/>
        <i val="0"/>
        <strike val="0"/>
        <condense val="0"/>
        <extend val="0"/>
        <outline val="0"/>
        <shadow val="0"/>
        <u val="none"/>
        <vertAlign val="baseline"/>
        <sz val="20"/>
        <color auto="1"/>
        <name val="Calibri"/>
        <family val="2"/>
        <scheme val="minor"/>
      </font>
      <numFmt numFmtId="164" formatCode="_-* #,##0_-;\-* #,##0_-;_-* &quot;-&quot;??_-;_-@_-"/>
      <fill>
        <patternFill patternType="solid">
          <fgColor indexed="64"/>
          <bgColor theme="0"/>
        </patternFill>
      </fill>
      <alignment horizontal="center" vertical="center" textRotation="0" wrapText="0" indent="0" justifyLastLine="0" shrinkToFit="0" readingOrder="0"/>
      <border diagonalUp="0" diagonalDown="0" outline="0">
        <left style="thin">
          <color theme="0" tint="-0.249977111117893"/>
        </left>
        <right style="thin">
          <color theme="0" tint="-0.249977111117893"/>
        </right>
        <top style="thin">
          <color theme="0" tint="-0.249977111117893"/>
        </top>
        <bottom style="thin">
          <color theme="0" tint="-0.249977111117893"/>
        </bottom>
      </border>
      <protection locked="1" hidden="0"/>
    </dxf>
    <dxf>
      <font>
        <b val="0"/>
        <i val="0"/>
        <strike val="0"/>
        <condense val="0"/>
        <extend val="0"/>
        <outline val="0"/>
        <shadow val="0"/>
        <u val="none"/>
        <vertAlign val="baseline"/>
        <sz val="14"/>
        <color auto="1"/>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protection locked="1" hidden="1"/>
    </dxf>
    <dxf>
      <font>
        <b val="0"/>
        <i val="0"/>
        <strike val="0"/>
        <condense val="0"/>
        <extend val="0"/>
        <outline val="0"/>
        <shadow val="0"/>
        <u val="none"/>
        <vertAlign val="baseline"/>
        <sz val="18"/>
        <color auto="1"/>
        <name val="Calibri"/>
        <family val="2"/>
        <scheme val="minor"/>
      </font>
      <numFmt numFmtId="2" formatCode="0.00"/>
      <fill>
        <patternFill patternType="none">
          <fgColor indexed="64"/>
          <bgColor auto="1"/>
        </patternFill>
      </fill>
      <alignment horizontal="right" vertical="center" textRotation="0" wrapText="0" indent="0" justifyLastLine="0" shrinkToFit="0" readingOrder="0"/>
      <protection locked="1" hidden="0"/>
    </dxf>
    <dxf>
      <font>
        <b/>
        <i val="0"/>
        <strike val="0"/>
        <condense val="0"/>
        <extend val="0"/>
        <outline val="0"/>
        <shadow val="0"/>
        <u val="none"/>
        <vertAlign val="baseline"/>
        <sz val="20"/>
        <color auto="1"/>
        <name val="Calibri"/>
        <family val="2"/>
        <scheme val="minor"/>
      </font>
      <numFmt numFmtId="164" formatCode="_-* #,##0_-;\-* #,##0_-;_-* &quot;-&quot;??_-;_-@_-"/>
      <fill>
        <patternFill patternType="solid">
          <fgColor indexed="64"/>
          <bgColor rgb="FFF6DEE5"/>
        </patternFill>
      </fill>
      <alignment horizontal="right" vertical="center" textRotation="0" wrapText="0" indent="0" justifyLastLine="0" shrinkToFit="0" readingOrder="0"/>
      <border diagonalUp="0" diagonalDown="0" outline="0">
        <left style="thin">
          <color theme="0" tint="-0.249977111117893"/>
        </left>
        <right/>
        <top style="thin">
          <color theme="0" tint="-0.249977111117893"/>
        </top>
        <bottom style="thin">
          <color theme="0" tint="-0.249977111117893"/>
        </bottom>
      </border>
      <protection locked="1" hidden="0"/>
    </dxf>
    <dxf>
      <font>
        <b val="0"/>
        <i val="0"/>
        <strike val="0"/>
        <condense val="0"/>
        <extend val="0"/>
        <outline val="0"/>
        <shadow val="0"/>
        <u val="none"/>
        <vertAlign val="baseline"/>
        <sz val="20"/>
        <color auto="1"/>
        <name val="Calibri"/>
        <family val="2"/>
        <scheme val="minor"/>
      </font>
      <numFmt numFmtId="164" formatCode="_-* #,##0_-;\-* #,##0_-;_-* &quot;-&quot;??_-;_-@_-"/>
      <fill>
        <patternFill patternType="solid">
          <fgColor indexed="64"/>
          <bgColor theme="0"/>
        </patternFill>
      </fill>
      <alignment horizontal="center" vertical="center" textRotation="0" wrapText="0" indent="0" justifyLastLine="0" shrinkToFit="0" readingOrder="0"/>
      <border diagonalUp="0" diagonalDown="0" outline="0">
        <left style="thin">
          <color theme="0" tint="-0.249977111117893"/>
        </left>
        <right style="thin">
          <color theme="0" tint="-0.249977111117893"/>
        </right>
        <top style="thin">
          <color theme="0" tint="-0.249977111117893"/>
        </top>
        <bottom style="thin">
          <color theme="0" tint="-0.249977111117893"/>
        </bottom>
      </border>
      <protection locked="1" hidden="0"/>
    </dxf>
    <dxf>
      <font>
        <b val="0"/>
        <i val="0"/>
        <strike val="0"/>
        <condense val="0"/>
        <extend val="0"/>
        <outline val="0"/>
        <shadow val="0"/>
        <u val="none"/>
        <vertAlign val="baseline"/>
        <sz val="14"/>
        <color auto="1"/>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protection locked="1" hidden="1"/>
    </dxf>
    <dxf>
      <font>
        <b val="0"/>
        <i val="0"/>
        <strike val="0"/>
        <condense val="0"/>
        <extend val="0"/>
        <outline val="0"/>
        <shadow val="0"/>
        <u val="none"/>
        <vertAlign val="baseline"/>
        <sz val="18"/>
        <color auto="1"/>
        <name val="Calibri"/>
        <family val="2"/>
        <scheme val="minor"/>
      </font>
      <numFmt numFmtId="2" formatCode="0.00"/>
      <fill>
        <patternFill patternType="none">
          <fgColor indexed="64"/>
          <bgColor auto="1"/>
        </patternFill>
      </fill>
      <alignment horizontal="center" vertical="center" textRotation="0" wrapText="0" indent="0" justifyLastLine="0" shrinkToFit="0" readingOrder="0"/>
      <protection locked="1" hidden="0"/>
    </dxf>
    <dxf>
      <font>
        <b/>
        <i val="0"/>
        <strike val="0"/>
        <condense val="0"/>
        <extend val="0"/>
        <outline val="0"/>
        <shadow val="0"/>
        <u val="none"/>
        <vertAlign val="baseline"/>
        <sz val="20"/>
        <color auto="1"/>
        <name val="Calibri"/>
        <family val="2"/>
        <scheme val="minor"/>
      </font>
      <numFmt numFmtId="164" formatCode="_-* #,##0_-;\-* #,##0_-;_-* &quot;-&quot;??_-;_-@_-"/>
      <fill>
        <patternFill patternType="solid">
          <fgColor indexed="64"/>
          <bgColor rgb="FFF6DEE5"/>
        </patternFill>
      </fill>
      <alignment horizontal="right" vertical="center" textRotation="0" wrapText="0" indent="0" justifyLastLine="0" shrinkToFit="0" readingOrder="0"/>
      <border diagonalUp="0" diagonalDown="0" outline="0">
        <left style="thin">
          <color theme="0" tint="-0.249977111117893"/>
        </left>
        <right/>
        <top style="thin">
          <color theme="0" tint="-0.249977111117893"/>
        </top>
        <bottom style="thin">
          <color theme="0" tint="-0.249977111117893"/>
        </bottom>
      </border>
      <protection locked="0" hidden="0"/>
    </dxf>
    <dxf>
      <font>
        <b val="0"/>
        <i val="0"/>
        <strike val="0"/>
        <condense val="0"/>
        <extend val="0"/>
        <outline val="0"/>
        <shadow val="0"/>
        <u val="none"/>
        <vertAlign val="baseline"/>
        <sz val="20"/>
        <color theme="1"/>
        <name val="Calibri"/>
        <family val="2"/>
        <scheme val="minor"/>
      </font>
      <numFmt numFmtId="164" formatCode="_-* #,##0_-;\-* #,##0_-;_-* &quot;-&quot;??_-;_-@_-"/>
      <fill>
        <patternFill patternType="none">
          <fgColor indexed="64"/>
          <bgColor auto="1"/>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20"/>
        <color theme="1"/>
        <name val="Calibri"/>
        <family val="2"/>
        <scheme val="minor"/>
      </font>
      <numFmt numFmtId="164" formatCode="_-* #,##0_-;\-* #,##0_-;_-* &quot;-&quot;??_-;_-@_-"/>
      <fill>
        <patternFill patternType="none">
          <fgColor indexed="64"/>
          <bgColor auto="1"/>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4"/>
        <color auto="1"/>
        <name val="Calibri"/>
        <family val="2"/>
        <scheme val="minor"/>
      </font>
      <fill>
        <patternFill patternType="none">
          <fgColor indexed="64"/>
          <bgColor auto="1"/>
        </patternFill>
      </fill>
      <alignment horizontal="center" vertical="center" textRotation="0" wrapText="1" indent="0" justifyLastLine="0" shrinkToFit="0" readingOrder="0"/>
    </dxf>
    <dxf>
      <font>
        <b val="0"/>
        <i val="0"/>
        <strike val="0"/>
        <condense val="0"/>
        <extend val="0"/>
        <outline val="0"/>
        <shadow val="0"/>
        <u val="none"/>
        <vertAlign val="baseline"/>
        <sz val="14"/>
        <color auto="1"/>
        <name val="Calibri"/>
        <family val="2"/>
        <scheme val="minor"/>
      </font>
      <numFmt numFmtId="0" formatCode="General"/>
      <fill>
        <patternFill patternType="none">
          <fgColor indexed="64"/>
          <bgColor auto="1"/>
        </patternFill>
      </fill>
      <alignment horizontal="center" vertical="center" textRotation="0" wrapText="1" indent="0" justifyLastLine="0" shrinkToFit="0" readingOrder="0"/>
    </dxf>
    <dxf>
      <font>
        <b val="0"/>
        <i val="0"/>
        <strike val="0"/>
        <condense val="0"/>
        <extend val="0"/>
        <outline val="0"/>
        <shadow val="0"/>
        <u val="none"/>
        <vertAlign val="baseline"/>
        <sz val="14"/>
        <color theme="1"/>
        <name val="Calibri"/>
        <family val="2"/>
        <scheme val="minor"/>
      </font>
      <numFmt numFmtId="0" formatCode="General"/>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4"/>
        <color auto="1"/>
        <name val="Calibri"/>
        <family val="2"/>
        <scheme val="minor"/>
      </font>
      <fill>
        <patternFill patternType="none">
          <fgColor indexed="64"/>
          <bgColor auto="1"/>
        </patternFill>
      </fill>
      <alignment horizontal="general" vertical="top" textRotation="0" wrapText="1" indent="0" justifyLastLine="0" shrinkToFit="0" readingOrder="0"/>
    </dxf>
    <dxf>
      <font>
        <b val="0"/>
        <i val="0"/>
        <strike val="0"/>
        <condense val="0"/>
        <extend val="0"/>
        <outline val="0"/>
        <shadow val="0"/>
        <u val="none"/>
        <vertAlign val="baseline"/>
        <sz val="14"/>
        <color theme="1"/>
        <name val="Calibri"/>
        <family val="2"/>
        <scheme val="minor"/>
      </font>
      <numFmt numFmtId="0" formatCode="General"/>
      <fill>
        <patternFill patternType="none">
          <fgColor indexed="64"/>
          <bgColor auto="1"/>
        </patternFill>
      </fill>
      <alignment horizontal="general" vertical="top" textRotation="0" wrapText="1" indent="0" justifyLastLine="0" shrinkToFit="0" readingOrder="0"/>
      <protection locked="1" hidden="0"/>
    </dxf>
    <dxf>
      <font>
        <b val="0"/>
        <i val="0"/>
        <strike val="0"/>
        <condense val="0"/>
        <extend val="0"/>
        <outline val="0"/>
        <shadow val="0"/>
        <u val="none"/>
        <vertAlign val="baseline"/>
        <sz val="14"/>
        <color theme="1"/>
        <name val="Calibri"/>
        <family val="2"/>
        <scheme val="minor"/>
      </font>
      <numFmt numFmtId="0" formatCode="General"/>
      <fill>
        <patternFill patternType="none">
          <fgColor indexed="64"/>
          <bgColor auto="1"/>
        </patternFill>
      </fill>
      <alignment horizontal="general" vertical="top" textRotation="0" wrapText="1" indent="0" justifyLastLine="0" shrinkToFit="0" readingOrder="0"/>
      <protection locked="1" hidden="0"/>
    </dxf>
    <dxf>
      <font>
        <b val="0"/>
        <i val="0"/>
        <strike val="0"/>
        <condense val="0"/>
        <extend val="0"/>
        <outline val="0"/>
        <shadow val="0"/>
        <u val="none"/>
        <vertAlign val="baseline"/>
        <sz val="14"/>
        <color theme="1"/>
        <name val="Calibri"/>
        <family val="2"/>
        <scheme val="minor"/>
      </font>
      <fill>
        <patternFill patternType="none">
          <fgColor indexed="64"/>
          <bgColor auto="1"/>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4"/>
        <color theme="1"/>
        <name val="Calibri"/>
        <family val="2"/>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4"/>
        <color theme="1"/>
        <name val="Calibri"/>
        <family val="2"/>
        <scheme val="minor"/>
      </font>
      <numFmt numFmtId="0" formatCode="General"/>
      <fill>
        <patternFill patternType="none">
          <fgColor indexed="64"/>
          <bgColor auto="1"/>
        </patternFill>
      </fill>
      <alignment horizontal="left" vertical="center" textRotation="0" wrapText="1" indent="0" justifyLastLine="0" shrinkToFit="0" readingOrder="0"/>
      <protection locked="1" hidden="0"/>
    </dxf>
    <dxf>
      <font>
        <b val="0"/>
        <i val="0"/>
        <strike val="0"/>
        <condense val="0"/>
        <extend val="0"/>
        <outline val="0"/>
        <shadow val="0"/>
        <u val="none"/>
        <vertAlign val="baseline"/>
        <sz val="14"/>
        <color theme="1"/>
        <name val="Calibri"/>
        <family val="2"/>
        <scheme val="minor"/>
      </font>
      <numFmt numFmtId="0" formatCode="General"/>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4"/>
        <color theme="1"/>
        <name val="Calibri"/>
        <family val="2"/>
        <scheme val="minor"/>
      </font>
      <numFmt numFmtId="0" formatCode="General"/>
      <fill>
        <patternFill patternType="none">
          <fgColor indexed="64"/>
          <bgColor auto="1"/>
        </patternFill>
      </fill>
      <alignment horizontal="left" vertical="center" textRotation="0" wrapText="1" indent="0" justifyLastLine="0" shrinkToFit="0" readingOrder="0"/>
      <protection locked="1" hidden="0"/>
    </dxf>
    <dxf>
      <font>
        <b val="0"/>
        <i val="0"/>
        <strike val="0"/>
        <condense val="0"/>
        <extend val="0"/>
        <outline val="0"/>
        <shadow val="0"/>
        <u val="none"/>
        <vertAlign val="baseline"/>
        <sz val="14"/>
        <color theme="1"/>
        <name val="Calibri"/>
        <family val="2"/>
        <scheme val="minor"/>
      </font>
      <numFmt numFmtId="0" formatCode="General"/>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4"/>
        <color theme="1"/>
        <name val="Calibri"/>
        <family val="2"/>
        <scheme val="minor"/>
      </font>
      <numFmt numFmtId="0" formatCode="General"/>
      <fill>
        <patternFill patternType="none">
          <fgColor indexed="64"/>
          <bgColor auto="1"/>
        </patternFill>
      </fill>
      <alignment horizontal="center" vertical="center" textRotation="0" wrapText="1" indent="0" justifyLastLine="0" shrinkToFit="0" readingOrder="0"/>
      <protection locked="1"/>
    </dxf>
    <dxf>
      <font>
        <b val="0"/>
        <i val="0"/>
        <strike val="0"/>
        <condense val="0"/>
        <extend val="0"/>
        <outline val="0"/>
        <shadow val="0"/>
        <u val="none"/>
        <vertAlign val="baseline"/>
        <sz val="14"/>
        <color theme="1"/>
        <name val="Calibri"/>
        <family val="2"/>
        <scheme val="minor"/>
      </font>
      <numFmt numFmtId="0" formatCode="General"/>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14"/>
        <color theme="1"/>
        <name val="Calibri"/>
        <family val="2"/>
        <scheme val="minor"/>
      </font>
      <numFmt numFmtId="30" formatCode="@"/>
      <fill>
        <patternFill patternType="none">
          <fgColor indexed="64"/>
          <bgColor auto="1"/>
        </patternFill>
      </fill>
      <alignment horizontal="left" vertical="center" textRotation="0" wrapText="1" indent="0" justifyLastLine="0" shrinkToFit="0" readingOrder="0"/>
      <protection locked="1" hidden="0"/>
    </dxf>
    <dxf>
      <font>
        <b val="0"/>
        <i val="0"/>
        <strike val="0"/>
        <condense val="0"/>
        <extend val="0"/>
        <outline val="0"/>
        <shadow val="0"/>
        <u val="none"/>
        <vertAlign val="baseline"/>
        <sz val="14"/>
        <color theme="1"/>
        <name val="Calibri"/>
        <family val="2"/>
        <scheme val="minor"/>
      </font>
      <numFmt numFmtId="0" formatCode="General"/>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4"/>
        <color theme="1"/>
        <name val="Calibri"/>
        <family val="2"/>
        <scheme val="minor"/>
      </font>
      <fill>
        <patternFill patternType="none">
          <fgColor indexed="64"/>
          <bgColor auto="1"/>
        </patternFill>
      </fill>
      <alignment horizontal="center" vertical="center" textRotation="0" wrapText="1" indent="0" justifyLastLine="0" shrinkToFit="0" readingOrder="0"/>
    </dxf>
    <dxf>
      <font>
        <b val="0"/>
        <i val="0"/>
        <strike val="0"/>
        <condense val="0"/>
        <extend val="0"/>
        <outline val="0"/>
        <shadow val="0"/>
        <u val="none"/>
        <vertAlign val="baseline"/>
        <sz val="14"/>
        <color theme="1"/>
        <name val="Calibri"/>
        <family val="2"/>
        <scheme val="minor"/>
      </font>
      <fill>
        <patternFill patternType="none">
          <fgColor indexed="64"/>
          <bgColor auto="1"/>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4"/>
        <color theme="1"/>
        <name val="Calibri"/>
        <family val="2"/>
        <scheme val="minor"/>
      </font>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4"/>
        <color theme="1"/>
        <name val="Calibri"/>
        <family val="2"/>
        <scheme val="minor"/>
      </font>
      <fill>
        <patternFill patternType="none">
          <fgColor indexed="64"/>
          <bgColor auto="1"/>
        </patternFill>
      </fill>
      <alignment horizontal="general" vertical="bottom" textRotation="0" wrapText="1" indent="0" justifyLastLine="0" shrinkToFit="0" readingOrder="0"/>
      <protection locked="1" hidden="1"/>
    </dxf>
    <dxf>
      <font>
        <b val="0"/>
        <i val="0"/>
        <strike val="0"/>
        <condense val="0"/>
        <extend val="0"/>
        <outline val="0"/>
        <shadow val="0"/>
        <u val="none"/>
        <vertAlign val="baseline"/>
        <sz val="14"/>
        <color theme="1"/>
        <name val="Calibri"/>
        <family val="2"/>
        <scheme val="minor"/>
      </font>
      <numFmt numFmtId="0" formatCode="General"/>
      <fill>
        <patternFill patternType="solid">
          <fgColor theme="4" tint="0.79998168889431442"/>
          <bgColor theme="9"/>
        </patternFill>
      </fill>
      <alignment horizontal="center" vertical="center" textRotation="0" wrapText="0" indent="0" justifyLastLine="0" shrinkToFit="0" readingOrder="0"/>
      <protection locked="1" hidden="1"/>
    </dxf>
    <dxf>
      <border outline="0">
        <top style="thin">
          <color rgb="FF000000"/>
        </top>
      </border>
    </dxf>
    <dxf>
      <font>
        <strike val="0"/>
        <outline val="0"/>
        <shadow val="0"/>
        <u val="none"/>
        <vertAlign val="baseline"/>
        <sz val="14"/>
        <name val="Calibri"/>
        <family val="2"/>
        <scheme val="minor"/>
      </font>
    </dxf>
    <dxf>
      <font>
        <b/>
        <i val="0"/>
        <strike val="0"/>
        <condense val="0"/>
        <extend val="0"/>
        <outline val="0"/>
        <shadow val="0"/>
        <u val="none"/>
        <vertAlign val="baseline"/>
        <sz val="12"/>
        <color theme="0"/>
        <name val="Calibri"/>
        <scheme val="minor"/>
      </font>
      <fill>
        <patternFill patternType="solid">
          <fgColor indexed="64"/>
          <bgColor theme="7" tint="0.39997558519241921"/>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color theme="0"/>
      </font>
      <fill>
        <patternFill>
          <bgColor rgb="FFFF0000"/>
        </patternFill>
      </fill>
    </dxf>
    <dxf>
      <fill>
        <patternFill>
          <bgColor rgb="FFFFC000"/>
        </patternFill>
      </fill>
    </dxf>
    <dxf>
      <fill>
        <patternFill>
          <bgColor rgb="FFFFFF00"/>
        </patternFill>
      </fill>
    </dxf>
    <dxf>
      <font>
        <color theme="0"/>
      </font>
      <fill>
        <patternFill>
          <bgColor rgb="FF00B050"/>
        </patternFill>
      </fill>
    </dxf>
    <dxf>
      <font>
        <color theme="0"/>
      </font>
      <fill>
        <patternFill>
          <bgColor rgb="FF7030A0"/>
        </patternFill>
      </fill>
    </dxf>
    <dxf>
      <font>
        <b val="0"/>
        <i val="0"/>
        <strike val="0"/>
        <condense val="0"/>
        <extend val="0"/>
        <outline val="0"/>
        <shadow val="0"/>
        <u val="none"/>
        <vertAlign val="baseline"/>
        <sz val="14"/>
        <color auto="1"/>
        <name val="Calibri"/>
        <family val="2"/>
        <scheme val="minor"/>
      </font>
      <numFmt numFmtId="2" formatCode="0.00"/>
      <fill>
        <patternFill patternType="solid">
          <fgColor indexed="64"/>
          <bgColor theme="5" tint="0.79998168889431442"/>
        </patternFill>
      </fill>
      <alignment horizontal="center" vertical="center" textRotation="0" wrapText="0" indent="0" justifyLastLine="0" shrinkToFit="0" readingOrder="0"/>
      <protection locked="0" hidden="0"/>
    </dxf>
    <dxf>
      <font>
        <b val="0"/>
        <i val="0"/>
        <strike val="0"/>
        <condense val="0"/>
        <extend val="0"/>
        <outline val="0"/>
        <shadow val="0"/>
        <u val="none"/>
        <vertAlign val="baseline"/>
        <sz val="14"/>
        <color auto="1"/>
        <name val="Calibri"/>
        <family val="2"/>
        <scheme val="minor"/>
      </font>
      <numFmt numFmtId="2" formatCode="0.00"/>
      <fill>
        <patternFill patternType="solid">
          <fgColor indexed="64"/>
          <bgColor theme="7" tint="0.79998168889431442"/>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14"/>
        <color auto="1"/>
        <name val="Calibri"/>
        <family val="2"/>
        <scheme val="minor"/>
      </font>
      <numFmt numFmtId="2" formatCode="0.00"/>
      <fill>
        <patternFill patternType="solid">
          <fgColor indexed="64"/>
          <bgColor theme="7" tint="0.79998168889431442"/>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14"/>
        <color auto="1"/>
        <name val="Calibri"/>
        <family val="2"/>
        <scheme val="minor"/>
      </font>
      <numFmt numFmtId="2" formatCode="0.00"/>
      <fill>
        <patternFill patternType="solid">
          <fgColor indexed="64"/>
          <bgColor theme="7" tint="0.79998168889431442"/>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14"/>
        <color auto="1"/>
        <name val="Calibri"/>
        <family val="2"/>
        <scheme val="minor"/>
      </font>
      <numFmt numFmtId="0" formatCode="General"/>
      <fill>
        <patternFill patternType="solid">
          <fgColor indexed="64"/>
          <bgColor theme="7" tint="0.79998168889431442"/>
        </patternFill>
      </fill>
      <alignment horizontal="center" vertical="center" textRotation="0" wrapText="0" indent="0" justifyLastLine="0" shrinkToFit="0" readingOrder="0"/>
      <protection locked="0" hidden="0"/>
    </dxf>
    <dxf>
      <font>
        <b val="0"/>
        <i val="0"/>
        <strike val="0"/>
        <condense val="0"/>
        <extend val="0"/>
        <outline val="0"/>
        <shadow val="0"/>
        <u val="none"/>
        <vertAlign val="baseline"/>
        <sz val="20"/>
        <color auto="1"/>
        <name val="Calibri"/>
        <family val="2"/>
        <scheme val="minor"/>
      </font>
      <numFmt numFmtId="2" formatCode="0.00"/>
      <fill>
        <patternFill patternType="none">
          <fgColor indexed="64"/>
          <bgColor auto="1"/>
        </patternFill>
      </fill>
      <alignment horizontal="right" vertical="center" textRotation="0" wrapText="0" indent="0" justifyLastLine="0" shrinkToFit="0" readingOrder="0"/>
      <protection locked="1" hidden="0"/>
    </dxf>
    <dxf>
      <font>
        <b/>
        <i val="0"/>
        <strike val="0"/>
        <condense val="0"/>
        <extend val="0"/>
        <outline val="0"/>
        <shadow val="0"/>
        <u val="none"/>
        <vertAlign val="baseline"/>
        <sz val="20"/>
        <color auto="1"/>
        <name val="Calibri"/>
        <family val="2"/>
        <scheme val="minor"/>
      </font>
      <numFmt numFmtId="3" formatCode="#,##0"/>
      <fill>
        <patternFill patternType="none">
          <fgColor indexed="64"/>
          <bgColor auto="1"/>
        </patternFill>
      </fill>
      <alignment horizontal="right" vertical="center" textRotation="0" wrapText="0" indent="0" justifyLastLine="0" shrinkToFit="0" readingOrder="0"/>
      <protection locked="1" hidden="0"/>
    </dxf>
    <dxf>
      <font>
        <b val="0"/>
        <i val="0"/>
        <strike val="0"/>
        <condense val="0"/>
        <extend val="0"/>
        <outline val="0"/>
        <shadow val="0"/>
        <u val="none"/>
        <vertAlign val="baseline"/>
        <sz val="14"/>
        <color auto="1"/>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protection locked="1" hidden="1"/>
    </dxf>
    <dxf>
      <font>
        <b val="0"/>
        <i val="0"/>
        <strike val="0"/>
        <condense val="0"/>
        <extend val="0"/>
        <outline val="0"/>
        <shadow val="0"/>
        <u val="none"/>
        <vertAlign val="baseline"/>
        <sz val="18"/>
        <color auto="1"/>
        <name val="Calibri"/>
        <family val="2"/>
        <scheme val="minor"/>
      </font>
      <numFmt numFmtId="2" formatCode="0.00"/>
      <fill>
        <patternFill patternType="none">
          <fgColor indexed="64"/>
          <bgColor auto="1"/>
        </patternFill>
      </fill>
      <alignment horizontal="right" vertical="center" textRotation="0" wrapText="0" indent="0" justifyLastLine="0" shrinkToFit="0" readingOrder="0"/>
      <protection locked="1" hidden="0"/>
    </dxf>
    <dxf>
      <font>
        <b/>
        <i val="0"/>
        <strike val="0"/>
        <condense val="0"/>
        <extend val="0"/>
        <outline val="0"/>
        <shadow val="0"/>
        <u val="none"/>
        <vertAlign val="baseline"/>
        <sz val="20"/>
        <color auto="1"/>
        <name val="Calibri"/>
        <family val="2"/>
        <scheme val="minor"/>
      </font>
      <numFmt numFmtId="164" formatCode="_-* #,##0_-;\-* #,##0_-;_-* &quot;-&quot;??_-;_-@_-"/>
      <fill>
        <patternFill patternType="none">
          <fgColor indexed="64"/>
          <bgColor auto="1"/>
        </patternFill>
      </fill>
      <alignment horizontal="right" vertical="center" textRotation="0" wrapText="0" indent="0" justifyLastLine="0" shrinkToFit="0" readingOrder="0"/>
      <protection locked="1" hidden="0"/>
    </dxf>
    <dxf>
      <font>
        <b val="0"/>
        <i val="0"/>
        <strike val="0"/>
        <condense val="0"/>
        <extend val="0"/>
        <outline val="0"/>
        <shadow val="0"/>
        <u val="none"/>
        <vertAlign val="baseline"/>
        <sz val="14"/>
        <color auto="1"/>
        <name val="Calibri"/>
        <family val="2"/>
        <scheme val="minor"/>
      </font>
      <numFmt numFmtId="2" formatCode="0.00"/>
      <fill>
        <patternFill patternType="none">
          <fgColor indexed="64"/>
          <bgColor auto="1"/>
        </patternFill>
      </fill>
      <alignment horizontal="right" vertical="center" textRotation="0" wrapText="0" indent="0" justifyLastLine="0" shrinkToFit="0" readingOrder="0"/>
      <protection locked="1" hidden="0"/>
    </dxf>
    <dxf>
      <font>
        <b/>
        <i val="0"/>
        <strike val="0"/>
        <condense val="0"/>
        <extend val="0"/>
        <outline val="0"/>
        <shadow val="0"/>
        <u val="none"/>
        <vertAlign val="baseline"/>
        <sz val="20"/>
        <color auto="1"/>
        <name val="Calibri"/>
        <family val="2"/>
        <scheme val="minor"/>
      </font>
      <numFmt numFmtId="3" formatCode="#,##0"/>
      <fill>
        <patternFill patternType="none">
          <fgColor indexed="64"/>
          <bgColor auto="1"/>
        </patternFill>
      </fill>
      <alignment horizontal="right" vertical="center" textRotation="0" wrapText="0" indent="0" justifyLastLine="0" shrinkToFit="0" readingOrder="0"/>
      <protection locked="1" hidden="0"/>
    </dxf>
    <dxf>
      <font>
        <b val="0"/>
        <i val="0"/>
        <strike val="0"/>
        <condense val="0"/>
        <extend val="0"/>
        <outline val="0"/>
        <shadow val="0"/>
        <u val="none"/>
        <vertAlign val="baseline"/>
        <sz val="14"/>
        <color auto="1"/>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protection locked="1" hidden="1"/>
    </dxf>
    <dxf>
      <font>
        <b val="0"/>
        <i val="0"/>
        <strike val="0"/>
        <condense val="0"/>
        <extend val="0"/>
        <outline val="0"/>
        <shadow val="0"/>
        <u val="none"/>
        <vertAlign val="baseline"/>
        <sz val="18"/>
        <color auto="1"/>
        <name val="Calibri"/>
        <family val="2"/>
        <scheme val="minor"/>
      </font>
      <numFmt numFmtId="2" formatCode="0.00"/>
      <fill>
        <patternFill patternType="none">
          <fgColor indexed="64"/>
          <bgColor auto="1"/>
        </patternFill>
      </fill>
      <alignment horizontal="right" vertical="center" textRotation="0" wrapText="0" indent="0" justifyLastLine="0" shrinkToFit="0" readingOrder="0"/>
      <protection locked="1" hidden="0"/>
    </dxf>
    <dxf>
      <font>
        <b/>
        <i val="0"/>
        <strike val="0"/>
        <condense val="0"/>
        <extend val="0"/>
        <outline val="0"/>
        <shadow val="0"/>
        <u val="none"/>
        <vertAlign val="baseline"/>
        <sz val="20"/>
        <color auto="1"/>
        <name val="Calibri"/>
        <family val="2"/>
        <scheme val="minor"/>
      </font>
      <numFmt numFmtId="164" formatCode="_-* #,##0_-;\-* #,##0_-;_-* &quot;-&quot;??_-;_-@_-"/>
      <fill>
        <patternFill patternType="none">
          <fgColor indexed="64"/>
          <bgColor auto="1"/>
        </patternFill>
      </fill>
      <alignment horizontal="right" vertical="center" textRotation="0" wrapText="0" indent="0" justifyLastLine="0" shrinkToFit="0" readingOrder="0"/>
      <protection locked="1" hidden="0"/>
    </dxf>
    <dxf>
      <font>
        <b val="0"/>
        <i val="0"/>
        <strike val="0"/>
        <condense val="0"/>
        <extend val="0"/>
        <outline val="0"/>
        <shadow val="0"/>
        <u val="none"/>
        <vertAlign val="baseline"/>
        <sz val="20"/>
        <color auto="1"/>
        <name val="Calibri"/>
        <family val="2"/>
        <scheme val="minor"/>
      </font>
      <numFmt numFmtId="164" formatCode="_-* #,##0_-;\-* #,##0_-;_-* &quot;-&quot;??_-;_-@_-"/>
      <fill>
        <patternFill patternType="none">
          <fgColor indexed="64"/>
          <bgColor auto="1"/>
        </patternFill>
      </fill>
      <alignment horizontal="center" vertical="center" textRotation="0" wrapText="0" indent="0" justifyLastLine="0" shrinkToFit="0" readingOrder="0"/>
      <protection locked="1" hidden="1"/>
    </dxf>
    <dxf>
      <font>
        <b val="0"/>
        <i val="0"/>
        <strike val="0"/>
        <condense val="0"/>
        <extend val="0"/>
        <outline val="0"/>
        <shadow val="0"/>
        <u val="none"/>
        <vertAlign val="baseline"/>
        <sz val="14"/>
        <color theme="1"/>
        <name val="Calibri"/>
        <family val="2"/>
        <scheme val="minor"/>
      </font>
      <numFmt numFmtId="164" formatCode="_-* #,##0_-;\-* #,##0_-;_-* &quot;-&quot;??_-;_-@_-"/>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8"/>
        <color theme="1"/>
        <name val="Calibri"/>
        <family val="2"/>
        <scheme val="minor"/>
      </font>
      <numFmt numFmtId="164" formatCode="_-* #,##0_-;\-* #,##0_-;_-* &quot;-&quot;??_-;_-@_-"/>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20"/>
        <color auto="1"/>
        <name val="Calibri"/>
        <family val="2"/>
        <scheme val="minor"/>
      </font>
      <numFmt numFmtId="164" formatCode="_-* #,##0_-;\-* #,##0_-;_-* &quot;-&quot;??_-;_-@_-"/>
      <fill>
        <patternFill patternType="solid">
          <fgColor indexed="64"/>
          <bgColor theme="5" tint="0.79998168889431442"/>
        </patternFill>
      </fill>
      <alignment horizontal="right" vertical="center" textRotation="0" wrapText="0" indent="0" justifyLastLine="0" shrinkToFit="0" readingOrder="0"/>
    </dxf>
    <dxf>
      <font>
        <b val="0"/>
        <i val="0"/>
        <strike val="0"/>
        <condense val="0"/>
        <extend val="0"/>
        <outline val="0"/>
        <shadow val="0"/>
        <u val="none"/>
        <vertAlign val="baseline"/>
        <sz val="20"/>
        <color auto="1"/>
        <name val="Calibri"/>
        <family val="2"/>
        <scheme val="minor"/>
      </font>
      <numFmt numFmtId="164" formatCode="_-* #,##0_-;\-* #,##0_-;_-*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4"/>
        <color auto="1"/>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protection locked="1" hidden="1"/>
    </dxf>
    <dxf>
      <font>
        <b val="0"/>
        <i val="0"/>
        <strike val="0"/>
        <condense val="0"/>
        <extend val="0"/>
        <outline val="0"/>
        <shadow val="0"/>
        <u val="none"/>
        <vertAlign val="baseline"/>
        <sz val="18"/>
        <color auto="1"/>
        <name val="Calibri"/>
        <family val="2"/>
        <scheme val="minor"/>
      </font>
      <numFmt numFmtId="2" formatCode="0.00"/>
      <fill>
        <patternFill patternType="none">
          <fgColor indexed="64"/>
          <bgColor auto="1"/>
        </patternFill>
      </fill>
      <alignment horizontal="right" vertical="center" textRotation="0" wrapText="0" indent="0" justifyLastLine="0" shrinkToFit="0" readingOrder="0"/>
      <protection locked="1" hidden="0"/>
    </dxf>
    <dxf>
      <font>
        <b val="0"/>
        <i val="0"/>
        <strike val="0"/>
        <condense val="0"/>
        <extend val="0"/>
        <outline val="0"/>
        <shadow val="0"/>
        <u val="none"/>
        <vertAlign val="baseline"/>
        <sz val="20"/>
        <color auto="1"/>
        <name val="Calibri"/>
        <family val="2"/>
        <scheme val="minor"/>
      </font>
      <numFmt numFmtId="164" formatCode="_-* #,##0_-;\-* #,##0_-;_-* &quot;-&quot;??_-;_-@_-"/>
      <fill>
        <patternFill patternType="solid">
          <fgColor indexed="64"/>
          <bgColor theme="5" tint="0.79998168889431442"/>
        </patternFill>
      </fill>
      <alignment horizontal="right" vertical="center" textRotation="0" wrapText="0" indent="0" justifyLastLine="0" shrinkToFit="0" readingOrder="0"/>
      <protection locked="1" hidden="0"/>
    </dxf>
    <dxf>
      <font>
        <b val="0"/>
        <i val="0"/>
        <strike val="0"/>
        <condense val="0"/>
        <extend val="0"/>
        <outline val="0"/>
        <shadow val="0"/>
        <u val="none"/>
        <vertAlign val="baseline"/>
        <sz val="20"/>
        <color auto="1"/>
        <name val="Calibri"/>
        <family val="2"/>
        <scheme val="minor"/>
      </font>
      <numFmt numFmtId="164" formatCode="_-* #,##0_-;\-* #,##0_-;_-*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4"/>
        <color auto="1"/>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protection locked="1" hidden="1"/>
    </dxf>
    <dxf>
      <font>
        <b val="0"/>
        <i val="0"/>
        <strike val="0"/>
        <condense val="0"/>
        <extend val="0"/>
        <outline val="0"/>
        <shadow val="0"/>
        <u val="none"/>
        <vertAlign val="baseline"/>
        <sz val="18"/>
        <color auto="1"/>
        <name val="Calibri"/>
        <family val="2"/>
        <scheme val="minor"/>
      </font>
      <numFmt numFmtId="2" formatCode="0.00"/>
      <fill>
        <patternFill patternType="none">
          <fgColor indexed="64"/>
          <bgColor auto="1"/>
        </patternFill>
      </fill>
      <alignment horizontal="right" vertical="center" textRotation="0" wrapText="0" indent="0" justifyLastLine="0" shrinkToFit="0" readingOrder="0"/>
      <protection locked="1" hidden="0"/>
    </dxf>
    <dxf>
      <font>
        <b val="0"/>
        <i val="0"/>
        <strike val="0"/>
        <condense val="0"/>
        <extend val="0"/>
        <outline val="0"/>
        <shadow val="0"/>
        <u val="none"/>
        <vertAlign val="baseline"/>
        <sz val="20"/>
        <color auto="1"/>
        <name val="Calibri"/>
        <family val="2"/>
        <scheme val="minor"/>
      </font>
      <numFmt numFmtId="164" formatCode="_-* #,##0_-;\-* #,##0_-;_-* &quot;-&quot;??_-;_-@_-"/>
      <fill>
        <patternFill patternType="solid">
          <fgColor indexed="64"/>
          <bgColor theme="5" tint="0.79998168889431442"/>
        </patternFill>
      </fill>
      <alignment horizontal="right" vertical="center" textRotation="0" wrapText="0" indent="0" justifyLastLine="0" shrinkToFit="0" readingOrder="0"/>
      <protection locked="1" hidden="0"/>
    </dxf>
    <dxf>
      <font>
        <b val="0"/>
        <i val="0"/>
        <strike val="0"/>
        <condense val="0"/>
        <extend val="0"/>
        <outline val="0"/>
        <shadow val="0"/>
        <u val="none"/>
        <vertAlign val="baseline"/>
        <sz val="20"/>
        <color auto="1"/>
        <name val="Calibri"/>
        <family val="2"/>
        <scheme val="minor"/>
      </font>
      <numFmt numFmtId="164" formatCode="_-* #,##0_-;\-* #,##0_-;_-*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4"/>
        <color auto="1"/>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protection locked="1" hidden="1"/>
    </dxf>
    <dxf>
      <font>
        <b val="0"/>
        <i val="0"/>
        <strike val="0"/>
        <condense val="0"/>
        <extend val="0"/>
        <outline val="0"/>
        <shadow val="0"/>
        <u val="none"/>
        <vertAlign val="baseline"/>
        <sz val="18"/>
        <color auto="1"/>
        <name val="Calibri"/>
        <family val="2"/>
        <scheme val="minor"/>
      </font>
      <numFmt numFmtId="2" formatCode="0.00"/>
      <fill>
        <patternFill patternType="none">
          <fgColor indexed="64"/>
          <bgColor auto="1"/>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20"/>
        <color auto="1"/>
        <name val="Calibri"/>
        <family val="2"/>
        <scheme val="minor"/>
      </font>
      <numFmt numFmtId="164" formatCode="_-* #,##0_-;\-* #,##0_-;_-* &quot;-&quot;??_-;_-@_-"/>
      <fill>
        <patternFill patternType="none">
          <fgColor indexed="64"/>
          <bgColor theme="5" tint="0.79998168889431442"/>
        </patternFill>
      </fill>
      <alignment horizontal="right" vertical="center" textRotation="0" wrapText="0" indent="0" justifyLastLine="0" shrinkToFit="0" readingOrder="0"/>
      <protection locked="1" hidden="0"/>
    </dxf>
    <dxf>
      <font>
        <b val="0"/>
        <i val="0"/>
        <strike val="0"/>
        <condense val="0"/>
        <extend val="0"/>
        <outline val="0"/>
        <shadow val="0"/>
        <u val="none"/>
        <vertAlign val="baseline"/>
        <sz val="20"/>
        <color theme="1"/>
        <name val="Calibri"/>
        <family val="2"/>
        <scheme val="minor"/>
      </font>
      <numFmt numFmtId="164" formatCode="_-* #,##0_-;\-* #,##0_-;_-* &quot;-&quot;??_-;_-@_-"/>
      <fill>
        <patternFill patternType="none">
          <fgColor indexed="64"/>
          <bgColor auto="1"/>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20"/>
        <color theme="1"/>
        <name val="Calibri"/>
        <family val="2"/>
        <scheme val="minor"/>
      </font>
      <numFmt numFmtId="164" formatCode="_-* #,##0_-;\-* #,##0_-;_-* &quot;-&quot;??_-;_-@_-"/>
      <fill>
        <patternFill patternType="none">
          <fgColor indexed="64"/>
          <bgColor auto="1"/>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4"/>
        <color theme="1"/>
        <name val="Calibri"/>
        <family val="2"/>
        <scheme val="minor"/>
      </font>
      <numFmt numFmtId="0" formatCode="General"/>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4"/>
        <color theme="1"/>
        <name val="Calibri"/>
        <family val="2"/>
        <scheme val="minor"/>
      </font>
      <numFmt numFmtId="0" formatCode="General"/>
      <fill>
        <patternFill patternType="none">
          <fgColor indexed="64"/>
          <bgColor auto="1"/>
        </patternFill>
      </fill>
      <alignment horizontal="left" vertical="center" textRotation="0" wrapText="1" indent="0" justifyLastLine="0" shrinkToFit="0" readingOrder="0"/>
      <protection locked="1" hidden="0"/>
    </dxf>
    <dxf>
      <font>
        <b val="0"/>
        <i val="0"/>
        <strike val="0"/>
        <condense val="0"/>
        <extend val="0"/>
        <outline val="0"/>
        <shadow val="0"/>
        <u val="none"/>
        <vertAlign val="baseline"/>
        <sz val="14"/>
        <color theme="1"/>
        <name val="Calibri"/>
        <family val="2"/>
        <scheme val="minor"/>
      </font>
      <fill>
        <patternFill patternType="none">
          <fgColor indexed="64"/>
          <bgColor auto="1"/>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4"/>
        <color auto="1"/>
        <name val="Calibri"/>
        <family val="2"/>
        <scheme val="minor"/>
      </font>
      <numFmt numFmtId="0" formatCode="General"/>
      <fill>
        <patternFill patternType="none">
          <fgColor indexed="64"/>
          <bgColor auto="1"/>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4"/>
        <color auto="1"/>
        <name val="Calibri"/>
        <family val="2"/>
        <scheme val="minor"/>
      </font>
      <numFmt numFmtId="0" formatCode="General"/>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4"/>
        <color auto="1"/>
        <name val="Calibri"/>
        <family val="2"/>
        <scheme val="minor"/>
      </font>
      <numFmt numFmtId="0" formatCode="General"/>
      <fill>
        <patternFill patternType="none">
          <fgColor indexed="64"/>
          <bgColor auto="1"/>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4"/>
        <color auto="1"/>
        <name val="Calibri"/>
        <family val="2"/>
        <scheme val="minor"/>
      </font>
      <numFmt numFmtId="0" formatCode="General"/>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4"/>
        <color theme="1"/>
        <name val="Calibri"/>
        <family val="2"/>
        <scheme val="minor"/>
      </font>
      <numFmt numFmtId="30" formatCode="@"/>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4"/>
        <color auto="1"/>
        <name val="Calibri"/>
        <family val="2"/>
        <scheme val="minor"/>
      </font>
      <numFmt numFmtId="0" formatCode="General"/>
      <fill>
        <patternFill patternType="none">
          <fgColor indexed="64"/>
          <bgColor auto="1"/>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4"/>
        <color auto="1"/>
        <name val="Calibri"/>
        <family val="2"/>
        <scheme val="minor"/>
      </font>
      <numFmt numFmtId="0" formatCode="General"/>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4"/>
        <color auto="1"/>
        <name val="Calibri"/>
        <family val="2"/>
        <scheme val="minor"/>
      </font>
      <numFmt numFmtId="0" formatCode="General"/>
      <fill>
        <patternFill patternType="none">
          <fgColor indexed="64"/>
          <bgColor auto="1"/>
        </patternFill>
      </fill>
      <alignment horizontal="general" vertical="center" textRotation="0" wrapText="1" indent="0" justifyLastLine="0" shrinkToFit="0" readingOrder="0"/>
    </dxf>
    <dxf>
      <font>
        <b val="0"/>
        <i val="0"/>
        <strike val="0"/>
        <condense val="0"/>
        <extend val="0"/>
        <outline val="0"/>
        <shadow val="0"/>
        <u val="none"/>
        <vertAlign val="baseline"/>
        <sz val="14"/>
        <color auto="1"/>
        <name val="Calibri"/>
        <family val="2"/>
        <scheme val="minor"/>
      </font>
      <numFmt numFmtId="0" formatCode="General"/>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4"/>
        <color theme="1"/>
        <name val="Calibri"/>
        <family val="2"/>
        <scheme val="minor"/>
      </font>
      <numFmt numFmtId="0" formatCode="General"/>
      <fill>
        <patternFill patternType="none">
          <fgColor indexed="64"/>
          <bgColor auto="1"/>
        </patternFill>
      </fill>
      <alignment horizontal="left" vertical="center" textRotation="0" wrapText="0" indent="0" justifyLastLine="0" shrinkToFit="0" readingOrder="0"/>
      <protection locked="1" hidden="1"/>
    </dxf>
    <dxf>
      <font>
        <b val="0"/>
        <i val="0"/>
        <strike val="0"/>
        <condense val="0"/>
        <extend val="0"/>
        <outline val="0"/>
        <shadow val="0"/>
        <u val="none"/>
        <vertAlign val="baseline"/>
        <sz val="14"/>
        <color theme="1"/>
        <name val="Calibri"/>
        <family val="2"/>
        <scheme val="minor"/>
      </font>
      <numFmt numFmtId="0" formatCode="General"/>
      <fill>
        <patternFill patternType="solid">
          <fgColor theme="4" tint="0.79998168889431442"/>
          <bgColor theme="9"/>
        </patternFill>
      </fill>
      <alignment horizontal="center" vertical="center" textRotation="0" wrapText="0" indent="0" justifyLastLine="0" shrinkToFit="0" readingOrder="0"/>
      <protection locked="1" hidden="1"/>
    </dxf>
    <dxf>
      <border outline="0">
        <top style="thin">
          <color indexed="64"/>
        </top>
      </border>
    </dxf>
    <dxf>
      <font>
        <strike val="0"/>
        <outline val="0"/>
        <shadow val="0"/>
        <u val="none"/>
        <vertAlign val="baseline"/>
        <sz val="14"/>
        <name val="Calibri"/>
        <family val="2"/>
        <scheme val="minor"/>
      </font>
    </dxf>
    <dxf>
      <font>
        <b/>
        <i val="0"/>
        <strike val="0"/>
        <condense val="0"/>
        <extend val="0"/>
        <outline val="0"/>
        <shadow val="0"/>
        <u val="none"/>
        <vertAlign val="baseline"/>
        <sz val="12"/>
        <color theme="0"/>
        <name val="Calibri"/>
        <scheme val="minor"/>
      </font>
      <fill>
        <patternFill patternType="solid">
          <fgColor indexed="64"/>
          <bgColor theme="7" tint="0.39997558519241921"/>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0"/>
      </font>
      <fill>
        <patternFill>
          <bgColor rgb="FFFF0000"/>
        </patternFill>
      </fill>
    </dxf>
    <dxf>
      <fill>
        <patternFill>
          <bgColor rgb="FFFFC000"/>
        </patternFill>
      </fill>
    </dxf>
    <dxf>
      <fill>
        <patternFill>
          <bgColor rgb="FFFFFF00"/>
        </patternFill>
      </fill>
    </dxf>
    <dxf>
      <font>
        <color theme="0"/>
      </font>
      <fill>
        <patternFill>
          <bgColor rgb="FF00B050"/>
        </patternFill>
      </fill>
    </dxf>
    <dxf>
      <font>
        <color theme="0"/>
      </font>
      <fill>
        <patternFill>
          <bgColor rgb="FF7030A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36</xdr:col>
      <xdr:colOff>309563</xdr:colOff>
      <xdr:row>0</xdr:row>
      <xdr:rowOff>500006</xdr:rowOff>
    </xdr:from>
    <xdr:to>
      <xdr:col>40</xdr:col>
      <xdr:colOff>958845</xdr:colOff>
      <xdr:row>0</xdr:row>
      <xdr:rowOff>1626949</xdr:rowOff>
    </xdr:to>
    <xdr:pic>
      <xdr:nvPicPr>
        <xdr:cNvPr id="2" name="Imagen 1">
          <a:extLst>
            <a:ext uri="{FF2B5EF4-FFF2-40B4-BE49-F238E27FC236}">
              <a16:creationId xmlns:a16="http://schemas.microsoft.com/office/drawing/2014/main" id="{907850A3-159D-4723-9437-012C9EFDA39F}"/>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5172313" y="500006"/>
          <a:ext cx="5440357" cy="1126943"/>
        </a:xfrm>
        <a:prstGeom prst="rect">
          <a:avLst/>
        </a:prstGeom>
      </xdr:spPr>
    </xdr:pic>
    <xdr:clientData/>
  </xdr:twoCellAnchor>
  <xdr:oneCellAnchor>
    <xdr:from>
      <xdr:col>1</xdr:col>
      <xdr:colOff>1262063</xdr:colOff>
      <xdr:row>0</xdr:row>
      <xdr:rowOff>659707</xdr:rowOff>
    </xdr:from>
    <xdr:ext cx="3053185" cy="982165"/>
    <xdr:pic>
      <xdr:nvPicPr>
        <xdr:cNvPr id="3" name="1 Imagen">
          <a:extLst>
            <a:ext uri="{FF2B5EF4-FFF2-40B4-BE49-F238E27FC236}">
              <a16:creationId xmlns:a16="http://schemas.microsoft.com/office/drawing/2014/main" id="{414FB44E-2BF5-47C3-8D5F-61F9501C4F13}"/>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xdr:blipFill>
      <xdr:spPr>
        <a:xfrm>
          <a:off x="1909763" y="659707"/>
          <a:ext cx="3053185" cy="982165"/>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oneCellAnchor>
    <xdr:from>
      <xdr:col>2</xdr:col>
      <xdr:colOff>0</xdr:colOff>
      <xdr:row>0</xdr:row>
      <xdr:rowOff>635895</xdr:rowOff>
    </xdr:from>
    <xdr:ext cx="3053185" cy="982165"/>
    <xdr:pic>
      <xdr:nvPicPr>
        <xdr:cNvPr id="2" name="1 Imagen">
          <a:extLst>
            <a:ext uri="{FF2B5EF4-FFF2-40B4-BE49-F238E27FC236}">
              <a16:creationId xmlns:a16="http://schemas.microsoft.com/office/drawing/2014/main" id="{0D5B6A7F-BAAF-4E4F-843A-0C6AAFED938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a:xfrm>
          <a:off x="3162300" y="635895"/>
          <a:ext cx="3053185" cy="982165"/>
        </a:xfrm>
        <a:prstGeom prst="rect">
          <a:avLst/>
        </a:prstGeom>
      </xdr:spPr>
    </xdr:pic>
    <xdr:clientData/>
  </xdr:oneCellAnchor>
  <xdr:twoCellAnchor editAs="oneCell">
    <xdr:from>
      <xdr:col>42</xdr:col>
      <xdr:colOff>309282</xdr:colOff>
      <xdr:row>0</xdr:row>
      <xdr:rowOff>562702</xdr:rowOff>
    </xdr:from>
    <xdr:to>
      <xdr:col>46</xdr:col>
      <xdr:colOff>195983</xdr:colOff>
      <xdr:row>0</xdr:row>
      <xdr:rowOff>1689645</xdr:rowOff>
    </xdr:to>
    <xdr:pic>
      <xdr:nvPicPr>
        <xdr:cNvPr id="3" name="Imagen 2">
          <a:extLst>
            <a:ext uri="{FF2B5EF4-FFF2-40B4-BE49-F238E27FC236}">
              <a16:creationId xmlns:a16="http://schemas.microsoft.com/office/drawing/2014/main" id="{34B7359B-31EA-4AA9-B1DF-9568B408860E}"/>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63488607" y="562702"/>
          <a:ext cx="5411201" cy="112694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CUAUTITLAN%20IZCALLI\2026\SISTEMA\CUAUTITLAN%20METAS%20E%20INDICADORES%202026.xlsm" TargetMode="External"/><Relationship Id="rId1" Type="http://schemas.openxmlformats.org/officeDocument/2006/relationships/externalLinkPath" Target="CUAUTITLAN%20METAS%20E%20INDICADORES%202026.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BSERVACIONES ANTE"/>
      <sheetName val="ITSP METAS"/>
      <sheetName val="ITSP INDI"/>
      <sheetName val="resultados general"/>
      <sheetName val="DINA RES GRAL"/>
      <sheetName val="METAS"/>
      <sheetName val="INDICADORES"/>
      <sheetName val="FORMATO INDICADORES OSFEM"/>
      <sheetName val="FORMATO INDICADORES"/>
      <sheetName val="COMPORTAMIENTO"/>
      <sheetName val="SEMAFOROS METAS"/>
      <sheetName val="SEM. METAS"/>
      <sheetName val="SEM. GRAFICAS"/>
      <sheetName val="SEMAFOROS INDICADORES"/>
      <sheetName val="SEM. INDICADORES"/>
      <sheetName val="METAS1"/>
      <sheetName val="METAS2"/>
      <sheetName val="METAS3"/>
      <sheetName val="METAS4"/>
      <sheetName val="INDICADORES1"/>
      <sheetName val="INDICADORES2"/>
      <sheetName val="INDICADORES3"/>
      <sheetName val="INDICADORES4"/>
    </sheetNames>
    <sheetDataSet>
      <sheetData sheetId="0"/>
      <sheetData sheetId="1"/>
      <sheetData sheetId="2"/>
      <sheetData sheetId="3"/>
      <sheetData sheetId="4"/>
      <sheetData sheetId="5">
        <row r="2">
          <cell r="AF2" t="str">
            <v>RESULTADO ACUMULADO AL 2° TRIMESTRE</v>
          </cell>
        </row>
      </sheetData>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9099DA6-A074-4ABC-BB66-DC666E72CEDC}" name="TABLA_AVANCE_METAS" displayName="TABLA_AVANCE_METAS" ref="A3:AU250" totalsRowShown="0" headerRowDxfId="111" dataDxfId="110" tableBorderDxfId="109">
  <autoFilter ref="A3:AU250" xr:uid="{00000000-0009-0000-0100-000004000000}">
    <filterColumn colId="3">
      <filters>
        <filter val="Dirección General"/>
      </filters>
    </filterColumn>
  </autoFilter>
  <tableColumns count="47">
    <tableColumn id="1" xr3:uid="{DD14EB92-08F7-4605-A6F8-8F5FA3AF5969}" name="CLAVE" dataDxfId="108">
      <calculatedColumnFormula>CONCATENATE(TABLA_AVANCE_METAS[[#This Row],[ESTRUCTURA]],TABLA_AVANCE_METAS[[#This Row],['#]])</calculatedColumnFormula>
    </tableColumn>
    <tableColumn id="10" xr3:uid="{4147A2BA-5995-49B2-91D4-065ADBD1CCCB}" name="ÁREA ENCARGADA" dataDxfId="107"/>
    <tableColumn id="2" xr3:uid="{3CCA4866-EB9C-4E3E-9955-D386564198B3}" name="DGM" dataDxfId="106"/>
    <tableColumn id="18" xr3:uid="{AC19F5F2-FD99-410F-A4BE-7040873D2368}" name="DEPENDENCIA GENERAL" dataDxfId="105"/>
    <tableColumn id="4" xr3:uid="{40EC3416-B744-4D08-B308-81A3B2189E89}" name="DAA" dataDxfId="104"/>
    <tableColumn id="54" xr3:uid="{AE4CBAB8-7D78-4A8A-A2DA-E26A298EB1FA}" name="AUX" dataDxfId="103" dataCellStyle="Normal 102 5 2"/>
    <tableColumn id="5" xr3:uid="{1071FEB3-9B5B-45B7-904E-07D69A4E60DF}" name="ESTRUCTURA" dataDxfId="102" dataCellStyle="Normal 102 5 2"/>
    <tableColumn id="6" xr3:uid="{9534D093-E97B-4DB3-81A2-C29494568798}" name="ESTRUCTURA PROGRAMA" dataDxfId="101" dataCellStyle="Normal 102 5 2"/>
    <tableColumn id="59" xr3:uid="{747375EF-E4D5-4544-9D25-029A7748D137}" name="PROGRAMA" dataDxfId="100" dataCellStyle="Normal 102 5 2"/>
    <tableColumn id="7" xr3:uid="{537EBCE9-5C23-49B8-8D09-523B87B7A6B0}" name="ESTRUCTURA PROYECTO" dataDxfId="99" dataCellStyle="Normal 102 5 2"/>
    <tableColumn id="9" xr3:uid="{ED41A781-9082-4D8F-99EE-6D7887EC242C}" name="PROYECTO" dataDxfId="98" dataCellStyle="Normal 102 5 2"/>
    <tableColumn id="11" xr3:uid="{614F0E7D-D054-4102-A94B-E0C562360D3D}" name="#" dataDxfId="97"/>
    <tableColumn id="12" xr3:uid="{2AE076E4-0075-48ED-B152-1FCEBE7C5BB6}" name="DESCRIPCIÓN DE LA META FÍSICA" dataDxfId="96" dataCellStyle="Normal 102 5 2"/>
    <tableColumn id="13" xr3:uid="{F758E239-8078-4C38-8849-8F0EF0C2BC44}" name="UNIDAD DE MEDIDA" dataDxfId="95" dataCellStyle="Normal 102 5 2"/>
    <tableColumn id="15" xr3:uid="{47C37765-4658-49EF-B75B-9CD492CAB640}" name="PROGRAMADO ANUAL" dataDxfId="94" dataCellStyle="Millares"/>
    <tableColumn id="16" xr3:uid="{B86DC147-33CA-4783-BDB0-3A38257E49A5}" name="PROGR. 1° TRIM" dataDxfId="93" dataCellStyle="Millares"/>
    <tableColumn id="20" xr3:uid="{0D9F2DDA-F309-4B33-AE2D-0922EF75286A}" name="AVANCE 1°. TRIM" dataDxfId="92" dataCellStyle="Millares"/>
    <tableColumn id="21" xr3:uid="{9E366F2A-F61D-4E15-9A90-4457D8743892}" name="% AVANCE 1er. TRIM" dataDxfId="91">
      <calculatedColumnFormula>IFERROR((TABLA_AVANCE_METAS[[#This Row],[AVANCE 1°. TRIM]]/TABLA_AVANCE_METAS[[#This Row],[PROGR. 1° TRIM]])*100,"0")</calculatedColumnFormula>
    </tableColumn>
    <tableColumn id="22" xr3:uid="{C36BE388-4DA1-4B12-9C0C-678D803AB116}" name="1°_SEMAFORO" dataDxfId="90">
      <calculatedColumnFormula>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calculatedColumnFormula>
    </tableColumn>
    <tableColumn id="23" xr3:uid="{67F10FEE-A1DD-4D1F-89B1-75C30C310164}" name="PROGR. 2° TRIM" dataDxfId="89" dataCellStyle="Millares"/>
    <tableColumn id="27" xr3:uid="{28D935FD-21C6-4F82-98FE-CE11638A97FE}" name="AVANCE 2°. TRIM" dataDxfId="88" dataCellStyle="Millares"/>
    <tableColumn id="28" xr3:uid="{9B766C10-A3F4-43FF-A9F5-6A726EF07CB1}" name="% AVANCE 2o. TRIM" dataDxfId="87">
      <calculatedColumnFormula>IFERROR((U4/T4)*100,"0")</calculatedColumnFormula>
    </tableColumn>
    <tableColumn id="29" xr3:uid="{880399F0-504C-430F-A93A-637C76564546}" name="2°_SEMAFORO" dataDxfId="86">
      <calculatedColumnFormula>IF(AND(V4&gt;=0,V4&lt;=49.9999999999999),"CRÍTICO",IF(AND(V4&gt;=50,V4&lt;=69.9999999999999),"DEFICIENTE",IF(AND(V4&gt;=70,V4&lt;=89.9999999999999),"REGULAR",IF(AND(V4&gt;=90,V4&lt;=110.999999999999),"ADECUADO",IF(AND(V4&gt;=111,V4&lt;=999999),"SOBREPASADO","NO PROG.")))))</calculatedColumnFormula>
    </tableColumn>
    <tableColumn id="30" xr3:uid="{D758F5E4-3B35-4D7C-AF2A-0D57879BBDB5}" name="PROGR. 3° TRIM" dataDxfId="85" dataCellStyle="Millares"/>
    <tableColumn id="34" xr3:uid="{9DB2ECFF-0D9D-417A-BD6C-E59CA9144F2B}" name="AVANCE 3°. TRIM" dataDxfId="84" dataCellStyle="Millares"/>
    <tableColumn id="35" xr3:uid="{4DB28824-500B-42B8-A9D8-66AF2B7D947A}" name="% AVANCE 3o. TRIM" dataDxfId="83"/>
    <tableColumn id="36" xr3:uid="{C6A04DA4-19DE-4E75-BED5-9FD27B023E2E}" name="3°_SEMAFORO" dataDxfId="82"/>
    <tableColumn id="37" xr3:uid="{B317D7FD-AC8F-4D8C-B6E0-4D0C0E8C4C0F}" name="PROGR. 4° TRIM" dataDxfId="81" dataCellStyle="Millares"/>
    <tableColumn id="40" xr3:uid="{8DD68FD3-41AB-4299-AA00-1B2FD9A3FB06}" name="AVANCE 4°. TRIM" dataDxfId="80" dataCellStyle="Millares"/>
    <tableColumn id="39" xr3:uid="{BBF2AA38-0D2F-40AF-B8E7-AE116C03844F}" name="% AVANCE 4o. TRIM" dataDxfId="79" dataCellStyle="Millares">
      <calculatedColumnFormula>IFERROR((TABLA_AVANCE_METAS[[#This Row],[AVANCE 4°. TRIM]]/TABLA_AVANCE_METAS[[#This Row],[PROGR. 4° TRIM]])*100,"0")</calculatedColumnFormula>
    </tableColumn>
    <tableColumn id="38" xr3:uid="{C7F7BD20-D278-4D3C-976B-8490533BC196}" name="4°_SEMAFORO" dataDxfId="78" dataCellStyle="Millares">
      <calculatedColumnFormula>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calculatedColumnFormula>
    </tableColumn>
    <tableColumn id="68" xr3:uid="{1E63894F-B043-4292-B5AE-11278A35A4BB}" name="PROG. ACUM" dataDxfId="77" dataCellStyle="Millares">
      <calculatedColumnFormula array="1">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calculatedColumnFormula>
    </tableColumn>
    <tableColumn id="44" xr3:uid="{67531604-11BF-440F-B14C-519AD84C3553}" name="AVANCE ACUM. TRIM." dataDxfId="76" dataCellStyle="Millares">
      <calculatedColumnFormula array="1">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calculatedColumnFormula>
    </tableColumn>
    <tableColumn id="45" xr3:uid="{7A3417C8-E3B8-4DDD-AE1D-6AC9D2ECAE68}" name="% ACUMULADO SEM." dataDxfId="75">
      <calculatedColumnFormula>IFERROR((TABLA_AVANCE_METAS[[#This Row],[AVANCE ACUM. TRIM.]]/TABLA_AVANCE_METAS[[#This Row],[PROG. ACUM]])*100,"N/A")</calculatedColumnFormula>
    </tableColumn>
    <tableColumn id="46" xr3:uid="{390D2644-9F4D-4F62-9F99-3D76042C8CB9}" name="SEME SEMAFORO" dataDxfId="74">
      <calculatedColumnFormula>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calculatedColumnFormula>
    </tableColumn>
    <tableColumn id="47" xr3:uid="{71655806-2C76-4CCD-B202-C78ADC4DDFC6}" name="DIFERENCIA ABSOLUTA SEMESTRAL" dataDxfId="73">
      <calculatedColumnFormula>TABLA_AVANCE_METAS[[#This Row],[AVANCE ACUM. TRIM.]]-TABLA_AVANCE_METAS[[#This Row],[PROG. ACUM]]</calculatedColumnFormula>
    </tableColumn>
    <tableColumn id="48" xr3:uid="{70E6C3AB-422A-4224-8BFD-B110C774E123}" name="% DIFERENCIA SEMESTRAL" dataDxfId="72">
      <calculatedColumnFormula>IFERROR((TABLA_AVANCE_METAS[[#This Row],[DIFERENCIA ABSOLUTA SEMESTRAL]]/TABLA_AVANCE_METAS[[#This Row],[PROG. ACUM]])*100,"N/A")</calculatedColumnFormula>
    </tableColumn>
    <tableColumn id="49" xr3:uid="{9C31F7C3-C757-4762-A8E3-02502D48D146}" name="AVANCE ACUM. ANUAL" dataDxfId="71" dataCellStyle="Millares">
      <calculatedColumnFormula>TABLA_AVANCE_METAS[[#This Row],[AVANCE 1°. TRIM]]+TABLA_AVANCE_METAS[[#This Row],[AVANCE 2°. TRIM]]+TABLA_AVANCE_METAS[[#This Row],[AVANCE 3°. TRIM]]+TABLA_AVANCE_METAS[[#This Row],[AVANCE 4°. TRIM]]</calculatedColumnFormula>
    </tableColumn>
    <tableColumn id="50" xr3:uid="{60E303B3-BB54-4000-B2D1-0C6BF06AB616}" name="% ACUMULADO ANUAL" dataDxfId="70">
      <calculatedColumnFormula>IFERROR((TABLA_AVANCE_METAS[[#This Row],[AVANCE ACUM. ANUAL]]/TABLA_AVANCE_METAS[[#This Row],[PROGRAMADO ANUAL]])*100,"N/A")</calculatedColumnFormula>
    </tableColumn>
    <tableColumn id="51" xr3:uid="{02FE68F0-125D-4DD7-ABDD-484EAE078268}" name="ANUAL_SEMAFORO" dataDxfId="69">
      <calculatedColumnFormula>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calculatedColumnFormula>
    </tableColumn>
    <tableColumn id="52" xr3:uid="{7352A11E-387B-4A34-B714-3D850FCD4645}" name="DIFERENCIA ABSOLUTA ANUAL" dataDxfId="68">
      <calculatedColumnFormula>TABLA_AVANCE_METAS[[#This Row],[AVANCE ACUM. ANUAL]]-TABLA_AVANCE_METAS[[#This Row],[PROGRAMADO ANUAL]]</calculatedColumnFormula>
    </tableColumn>
    <tableColumn id="53" xr3:uid="{5FEEC649-45A0-4CFE-BCED-B6C11291729F}" name="% DIFERENCIA ANUAL" dataDxfId="67">
      <calculatedColumnFormula>IFERROR((TABLA_AVANCE_METAS[[#This Row],[DIFERENCIA ABSOLUTA ANUAL]]/TABLA_AVANCE_METAS[[#This Row],[PROGRAMADO ANUAL]])*100,"N/A")</calculatedColumnFormula>
    </tableColumn>
    <tableColumn id="55" xr3:uid="{9DFA3F8B-D054-4F76-B9C6-F97528C37D48}" name="PRIMER TRIMESTRE" dataDxfId="66"/>
    <tableColumn id="58" xr3:uid="{43A75EE5-0E0F-4306-97A3-7D6404AE1ABD}" name="SEGUNDO TRIMESTRE" dataDxfId="65"/>
    <tableColumn id="57" xr3:uid="{0DD2E1A0-B6DC-4A60-AE68-BF34C14FAC76}" name="TERCER TRIMESTRE" dataDxfId="64"/>
    <tableColumn id="8" xr3:uid="{F1E1D896-A84C-4551-B252-71EB1B247169}" name="CUARTO TRIMESTRE" dataDxfId="63"/>
    <tableColumn id="3" xr3:uid="{7CD0837E-07A9-491D-947D-E59EB129EF79}" name="COMPROBACIÓN" dataDxfId="62">
      <calculatedColumnFormula>TABLA_AVANCE_METAS[[#This Row],[PROGRAMADO ANUAL]]=SUM(TABLA_AVANCE_METAS[[#This Row],[PROGR. 1° TRIM]],TABLA_AVANCE_METAS[[#This Row],[PROGR. 2° TRIM]],TABLA_AVANCE_METAS[[#This Row],[PROGR. 3° TRIM]],TABLA_AVANCE_METAS[[#This Row],[PROGR. 4° TRIM]])</calculatedColumnFormula>
    </tableColum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AD20305-D075-4000-9E40-3698E8F93B14}" name="TABLA_AVANCE_INDICADORES" displayName="TABLA_AVANCE_INDICADORES" ref="A3:BB235" totalsRowShown="0" headerRowDxfId="56" dataDxfId="55" tableBorderDxfId="54">
  <autoFilter ref="A3:BB235" xr:uid="{00000000-0009-0000-0100-000003000000}">
    <filterColumn colId="3">
      <filters>
        <filter val="Dirección General"/>
      </filters>
    </filterColumn>
  </autoFilter>
  <tableColumns count="54">
    <tableColumn id="1" xr3:uid="{BBE25B8B-6A57-4B24-97AA-64438899297C}" name="CLAVE" dataDxfId="53"/>
    <tableColumn id="10" xr3:uid="{2D9E8B66-E201-48D3-99DA-675D794CC709}" name="ÁREA ENCARGADA" dataDxfId="52"/>
    <tableColumn id="2" xr3:uid="{705B449E-1D10-4EEA-920B-8ABE229716EB}" name="DGM" dataDxfId="51"/>
    <tableColumn id="3" xr3:uid="{403297A9-6B0F-486D-B11B-2FF5D1AC7F52}" name="DEPENDENCIA GENERAL" dataDxfId="50"/>
    <tableColumn id="18" xr3:uid="{DC815D0E-A2DE-4847-8933-DDE5010D7FC2}" name="DAA" dataDxfId="49"/>
    <tableColumn id="4" xr3:uid="{CBC97D06-4410-4D2C-9C2F-E7466B115D16}" name="AUX" dataDxfId="48" dataCellStyle="Normal 13 10 2 3 2"/>
    <tableColumn id="54" xr3:uid="{A92D5E3B-D695-46E5-995B-36567E8D86BF}" name="ESTRUCTURA" dataDxfId="47" dataCellStyle="Normal 102 5 2"/>
    <tableColumn id="5" xr3:uid="{BB899742-57B0-4FD0-865A-1254D62E5494}" name="ESTR. PROGRAMA" dataDxfId="46" dataCellStyle="Normal 102 5 2"/>
    <tableColumn id="70" xr3:uid="{F630DE12-B373-4C03-937B-70575342A30A}" name="PILAR O EJE TRANSVERSAL" dataDxfId="45" dataCellStyle="Normal 102 5 2"/>
    <tableColumn id="6" xr3:uid="{252CD372-594D-47BE-91CB-081710525D1C}" name="ESTRUCTURA PROGRAMA" dataDxfId="44" dataCellStyle="Normal 102 5 2"/>
    <tableColumn id="59" xr3:uid="{3BE599B5-5897-4ECD-A522-786F035CD931}" name="PROGRAMA" dataDxfId="43" dataCellStyle="Normal 102 5 2"/>
    <tableColumn id="7" xr3:uid="{1C95FAAF-E1E9-4EEF-B83B-040ECE1A2A3D}" name="ESTRUCTURA PROYECTO" dataDxfId="42" dataCellStyle="Normal 102 5 2"/>
    <tableColumn id="9" xr3:uid="{38277B88-A3CE-4B8E-A7C2-E487BC794E1A}" name="PROYECTO" dataDxfId="41" dataCellStyle="Normal 102 5 2"/>
    <tableColumn id="17" xr3:uid="{0403DDC8-DF74-42DE-BDE7-8320596419A1}" name="NUM. SERIE" dataDxfId="40"/>
    <tableColumn id="11" xr3:uid="{248AA8E3-C31D-4F0D-AA1E-A771C150A898}" name="NIVEL" dataDxfId="39"/>
    <tableColumn id="12" xr3:uid="{F176EBF3-FE68-438E-99F7-27E4653CB376}" name="DESCRIPCIÓN DEL INDICADOR" dataDxfId="38" dataCellStyle="Normal 102 5 2"/>
    <tableColumn id="14" xr3:uid="{694CFDD6-F8E3-4157-923D-F94361882936}" name="VARIABLES" dataDxfId="37" dataCellStyle="Normal 102 5 2"/>
    <tableColumn id="19" xr3:uid="{90368327-A83A-4DA9-A651-0EF58A04D406}" name="FÓRMULA DEL INDICADOR" dataDxfId="36" dataCellStyle="Normal 102 5 2"/>
    <tableColumn id="13" xr3:uid="{D50A650B-6D30-4ED8-BE6C-BE9AD12703F2}" name="UNIDAD DE MEDIDA" dataDxfId="35" dataCellStyle="Normal 102 5 2"/>
    <tableColumn id="26" xr3:uid="{27C1A4E0-ACBE-475C-8AEE-C0ED8892FE36}" name="TIPO DE OPERACIÓN" dataDxfId="34" dataCellStyle="Normal 102 5 2"/>
    <tableColumn id="24" xr3:uid="{95618E1B-FE2F-4C34-8DA1-7823EF1C2268}" name="FRECUENCIA DE MEDICIÓN" dataDxfId="33" dataCellStyle="Normal 102 5 2"/>
    <tableColumn id="15" xr3:uid="{6979DD0A-0F7B-49A6-8FE8-9213517E03EF}" name="PROGRAMADO ANUAL" dataDxfId="32" dataCellStyle="Millares"/>
    <tableColumn id="16" xr3:uid="{9A759730-D15B-4CB7-8831-9E87790F8AC3}" name="PROGR. 1° TRIM" dataDxfId="31" dataCellStyle="Millares"/>
    <tableColumn id="20" xr3:uid="{8BE08FCF-EF68-43B5-AB30-C011D86490A7}" name="AVANCE 1°. TRIM" dataDxfId="30" dataCellStyle="Millares"/>
    <tableColumn id="21" xr3:uid="{E6F1AA36-9409-47C7-9499-845506320449}" name="% AVANCE 1er. TRIM" dataDxfId="29">
      <calculatedColumnFormula>IFERROR((TABLA_AVANCE_INDICADORES[[#This Row],[AVANCE 1°. TRIM]]/TABLA_AVANCE_INDICADORES[[#This Row],[PROGR. 1° TRIM]])*100,"0")</calculatedColumnFormula>
    </tableColumn>
    <tableColumn id="22" xr3:uid="{29C28531-6CFF-441C-A1FA-5BD1099DACE6}" name="1°_SEMAFORO" dataDxfId="28">
      <calculatedColumnFormula>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calculatedColumnFormula>
    </tableColumn>
    <tableColumn id="23" xr3:uid="{CD7B3AE6-9423-4BA6-ADFA-D25C0BFF7618}" name="PROGR. 2° TRIM" dataDxfId="27" dataCellStyle="Millares"/>
    <tableColumn id="27" xr3:uid="{14EE4CF2-F158-463D-851A-5811036962B0}" name="AVANCE 2°. TRIM" dataDxfId="26" dataCellStyle="Millares"/>
    <tableColumn id="28" xr3:uid="{06AFA2AC-B4EC-49ED-9E2B-0C506F1889D4}" name="% AVANCE 2o. TRIM" dataDxfId="25">
      <calculatedColumnFormula>IFERROR((AB4/AA4)*100,"0")</calculatedColumnFormula>
    </tableColumn>
    <tableColumn id="29" xr3:uid="{2A8199CB-A120-455F-B347-92CD1044338B}" name="2°_SEMAFORO" dataDxfId="24">
      <calculatedColumnFormula>IF(AND(AC4&gt;=0,AC4&lt;=49.9999999999999),"CRÍTICO",IF(AND(AC4&gt;=50,AC4&lt;=69.9999999999999),"DEFICIENTE",IF(AND(AC4&gt;=70,AC4&lt;=89.9999999999999),"REGULAR",IF(AND(AC4&gt;=90,AC4&lt;=110.999999999999),"ADECUADO",IF(AND(AC4&gt;=111,AC4&lt;=999999),"SOBREPASADO","NO PROG.")))))</calculatedColumnFormula>
    </tableColumn>
    <tableColumn id="30" xr3:uid="{FC0DAB9E-A262-46CB-BBCF-51A14FE14864}" name="PROGR. 3° TRIM" dataDxfId="23" dataCellStyle="Millares"/>
    <tableColumn id="34" xr3:uid="{3FFD65F6-9239-4CBA-A5C6-1814624445CD}" name="AVANCE 3°. TRIM" dataDxfId="22" dataCellStyle="Millares"/>
    <tableColumn id="35" xr3:uid="{1B858153-C193-4B1F-9F3E-A8C0AE3E2795}" name="% AVANCE 3o. TRIM" dataDxfId="21">
      <calculatedColumnFormula>IFERROR((TABLA_AVANCE_INDICADORES[[#This Row],[AVANCE 3°. TRIM]]/TABLA_AVANCE_INDICADORES[[#This Row],[PROGR. 3° TRIM]])*100,"0")</calculatedColumnFormula>
    </tableColumn>
    <tableColumn id="36" xr3:uid="{4F275908-AFDB-4545-8F38-2BB32F905FC1}" name="3°_SEMAFORO" dataDxfId="20">
      <calculatedColumnFormula>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calculatedColumnFormula>
    </tableColumn>
    <tableColumn id="37" xr3:uid="{83FA4BA6-6824-4700-ABBB-D13BDFEF2BF1}" name="PROGR. 4° TRIM" dataDxfId="19" dataCellStyle="Millares"/>
    <tableColumn id="40" xr3:uid="{1571F74A-0645-40BC-B25D-FBE05658664E}" name="AVANCE 4°. TRIM" dataDxfId="18" dataCellStyle="Millares"/>
    <tableColumn id="39" xr3:uid="{6F0A8515-4696-4072-B06D-346BF522C761}" name="% AVANCE 4o. TRIM" dataDxfId="17" dataCellStyle="Millares">
      <calculatedColumnFormula>IFERROR((TABLA_AVANCE_INDICADORES[[#This Row],[AVANCE 4°. TRIM]]/TABLA_AVANCE_INDICADORES[[#This Row],[PROGR. 4° TRIM]])*100,"0")</calculatedColumnFormula>
    </tableColumn>
    <tableColumn id="38" xr3:uid="{3FC605A0-46EC-4FAA-B54D-E56E620EF40E}" name="4°_SEMAFORO" dataDxfId="16" dataCellStyle="Millares">
      <calculatedColumnFormula>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calculatedColumnFormula>
    </tableColumn>
    <tableColumn id="68" xr3:uid="{8988D098-28C6-45FA-AF2A-79BA095C8F96}" name="PROG. ACUM" dataDxfId="15" dataCellStyle="Millares">
      <calculatedColumnFormula>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calculatedColumnFormula>
    </tableColumn>
    <tableColumn id="44" xr3:uid="{A3332010-48AC-4F28-A243-705CE80EADE0}" name="AVANCE ACUM. TRIM." dataDxfId="14" dataCellStyle="Millares">
      <calculatedColumnFormula>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calculatedColumnFormula>
    </tableColumn>
    <tableColumn id="45" xr3:uid="{B3D3ABEF-74C6-4CDE-8DC1-68D39D60CA2E}" name="% ACUMULADO SEM." dataDxfId="13">
      <calculatedColumnFormula>IFERROR((TABLA_AVANCE_INDICADORES[[#This Row],[AVANCE ACUM. TRIM.]]/TABLA_AVANCE_INDICADORES[[#This Row],[PROG. ACUM]])*100,"N/A")</calculatedColumnFormula>
    </tableColumn>
    <tableColumn id="46" xr3:uid="{C4BC382C-DD76-4663-9A62-776983BA0419}" name="SEME SEMAFORO" dataDxfId="12">
      <calculatedColumnFormula>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calculatedColumnFormula>
    </tableColumn>
    <tableColumn id="47" xr3:uid="{25086A1C-C7EA-46B2-8336-3938E9BB4E14}" name="DIFERENCIA ABSOLUTA SEMESTRAL" dataDxfId="11">
      <calculatedColumnFormula>TABLA_AVANCE_INDICADORES[[#This Row],[AVANCE ACUM. TRIM.]]-TABLA_AVANCE_INDICADORES[[#This Row],[PROG. ACUM]]</calculatedColumnFormula>
    </tableColumn>
    <tableColumn id="48" xr3:uid="{40256163-9A33-4009-99C9-6E44056CC9BC}" name="% DIFERENCIA SEMESTRAL" dataDxfId="10">
      <calculatedColumnFormula>IFERROR((TABLA_AVANCE_INDICADORES[[#This Row],[DIFERENCIA ABSOLUTA SEMESTRAL]]/TABLA_AVANCE_INDICADORES[[#This Row],[PROG. ACUM]])*100,"N/A")</calculatedColumnFormula>
    </tableColumn>
    <tableColumn id="49" xr3:uid="{CAC2D578-3394-45CB-885F-523748C10925}" name="AVANCE ACUM. ANUAL" dataDxfId="9" dataCellStyle="Millares">
      <calculatedColumnFormula>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calculatedColumnFormula>
    </tableColumn>
    <tableColumn id="50" xr3:uid="{83CAA314-8A0B-41CB-8FF1-F07F02CEC04F}" name="% ACUMULADO ANUAL" dataDxfId="8">
      <calculatedColumnFormula>IFERROR((TABLA_AVANCE_INDICADORES[[#This Row],[AVANCE ACUM. ANUAL]]/TABLA_AVANCE_INDICADORES[[#This Row],[PROGRAMADO ANUAL]])*100,"N/A")</calculatedColumnFormula>
    </tableColumn>
    <tableColumn id="51" xr3:uid="{512E11DA-9612-4872-BF11-4BA5DF6068CC}" name="ANUAL_SEMAFORO" dataDxfId="7">
      <calculatedColumnFormula>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calculatedColumnFormula>
    </tableColumn>
    <tableColumn id="52" xr3:uid="{D7211F7C-FB21-4D03-A2AB-A7B253B85D11}" name="DIFERENCIA ABSOLUTA ANUAL" dataDxfId="6">
      <calculatedColumnFormula>TABLA_AVANCE_INDICADORES[[#This Row],[AVANCE ACUM. ANUAL]]-TABLA_AVANCE_INDICADORES[[#This Row],[PROGRAMADO ANUAL]]</calculatedColumnFormula>
    </tableColumn>
    <tableColumn id="53" xr3:uid="{EE1121D9-7D4E-428D-9F93-8C2CA8CFE2FB}" name="% DIFERENCIA ANUAL" dataDxfId="5">
      <calculatedColumnFormula>IFERROR((TABLA_AVANCE_INDICADORES[[#This Row],[DIFERENCIA ABSOLUTA ANUAL]]/TABLA_AVANCE_INDICADORES[[#This Row],[PROGRAMADO ANUAL]])*100,"N/A")</calculatedColumnFormula>
    </tableColumn>
    <tableColumn id="55" xr3:uid="{69C80965-BD74-4565-A512-5815926A8D24}" name="PRIMER TRIMESTRE" dataDxfId="4"/>
    <tableColumn id="58" xr3:uid="{D96605E6-2ECA-46E7-969B-F9F8A02B2562}" name="SEGUNDO TRIMESTRE" dataDxfId="3"/>
    <tableColumn id="57" xr3:uid="{639D3819-E838-4B70-9F6A-144DADB08EC2}" name="TERCER TRIMESTRE" dataDxfId="2"/>
    <tableColumn id="8" xr3:uid="{48ECF1B2-336A-4B03-81CB-DAFD202FFF3D}" name="CUARTO TRIMESTRE" dataDxfId="1"/>
    <tableColumn id="67" xr3:uid="{E958FB04-CE25-43DC-AA11-90F3C5211F43}" name="SUMATORIA" dataDxfId="0">
      <calculatedColumnFormula>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calculatedColumnFormula>
    </tableColumn>
  </tableColumns>
  <tableStyleInfo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mbria"/>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85E9D-547E-42F4-9CBA-57190DDCA37F}">
  <sheetPr codeName="Hoja12">
    <tabColor rgb="FF92D050"/>
    <pageSetUpPr fitToPage="1"/>
  </sheetPr>
  <dimension ref="A1:AY250"/>
  <sheetViews>
    <sheetView topLeftCell="B1" zoomScale="60" zoomScaleNormal="60" workbookViewId="0">
      <selection activeCell="H234" sqref="H234"/>
    </sheetView>
  </sheetViews>
  <sheetFormatPr baseColWidth="10" defaultColWidth="10.85546875" defaultRowHeight="15.75" outlineLevelCol="1" x14ac:dyDescent="0.25"/>
  <cols>
    <col min="1" max="1" width="9.7109375" style="30" customWidth="1"/>
    <col min="2" max="2" width="37.7109375" style="30" customWidth="1"/>
    <col min="3" max="3" width="8" style="105" customWidth="1"/>
    <col min="4" max="4" width="30.42578125" style="106" customWidth="1"/>
    <col min="5" max="5" width="9.7109375" style="105" customWidth="1"/>
    <col min="6" max="6" width="20.7109375" style="30" customWidth="1"/>
    <col min="7" max="7" width="30" style="105" bestFit="1" customWidth="1"/>
    <col min="8" max="8" width="25.7109375" style="105" customWidth="1"/>
    <col min="9" max="9" width="25.7109375" style="30" customWidth="1"/>
    <col min="10" max="10" width="25.42578125" style="105" customWidth="1"/>
    <col min="11" max="11" width="28.5703125" style="30" customWidth="1"/>
    <col min="12" max="12" width="8.85546875" style="105" customWidth="1"/>
    <col min="13" max="13" width="45.140625" style="107" customWidth="1"/>
    <col min="14" max="14" width="21.28515625" style="2" customWidth="1"/>
    <col min="15" max="15" width="22.42578125" style="2" customWidth="1"/>
    <col min="16" max="16" width="22.140625" style="2" bestFit="1" customWidth="1"/>
    <col min="17" max="17" width="22.28515625" style="108" customWidth="1"/>
    <col min="18" max="18" width="12.7109375" style="2" customWidth="1" outlineLevel="1"/>
    <col min="19" max="19" width="16.28515625" style="109" customWidth="1" outlineLevel="1"/>
    <col min="20" max="20" width="22.140625" style="2" bestFit="1" customWidth="1"/>
    <col min="21" max="21" width="20.7109375" style="110" customWidth="1"/>
    <col min="22" max="22" width="12.7109375" style="110" customWidth="1" outlineLevel="1"/>
    <col min="23" max="23" width="16.28515625" style="110" customWidth="1" outlineLevel="1"/>
    <col min="24" max="24" width="22.140625" style="2" bestFit="1" customWidth="1"/>
    <col min="25" max="25" width="18" style="110" customWidth="1"/>
    <col min="26" max="26" width="12.7109375" style="110" hidden="1" customWidth="1" outlineLevel="1"/>
    <col min="27" max="27" width="16.28515625" style="110" hidden="1" customWidth="1" outlineLevel="1"/>
    <col min="28" max="28" width="22.140625" style="2" bestFit="1" customWidth="1" collapsed="1"/>
    <col min="29" max="29" width="21.85546875" style="2" customWidth="1"/>
    <col min="30" max="30" width="12.7109375" style="2" hidden="1" customWidth="1" outlineLevel="1"/>
    <col min="31" max="31" width="16.28515625" style="2" hidden="1" customWidth="1" outlineLevel="1"/>
    <col min="32" max="32" width="22.140625" style="2" bestFit="1" customWidth="1" collapsed="1"/>
    <col min="33" max="33" width="22.140625" style="2" bestFit="1" customWidth="1"/>
    <col min="34" max="34" width="12.7109375" style="2" customWidth="1"/>
    <col min="35" max="35" width="16.28515625" style="2" customWidth="1"/>
    <col min="36" max="37" width="20.7109375" style="2" customWidth="1"/>
    <col min="38" max="38" width="22.140625" style="2" bestFit="1" customWidth="1"/>
    <col min="39" max="39" width="12.7109375" style="2" customWidth="1"/>
    <col min="40" max="40" width="16.28515625" style="2" customWidth="1"/>
    <col min="41" max="41" width="22.140625" style="110" customWidth="1"/>
    <col min="42" max="42" width="20.7109375" style="2" customWidth="1"/>
    <col min="43" max="43" width="85.7109375" style="2" hidden="1" customWidth="1"/>
    <col min="44" max="44" width="85.7109375" style="2" customWidth="1"/>
    <col min="45" max="46" width="85.7109375" style="2" hidden="1" customWidth="1"/>
    <col min="47" max="47" width="25.5703125" style="2" bestFit="1" customWidth="1"/>
    <col min="48" max="56" width="10.85546875" style="2" customWidth="1"/>
    <col min="57" max="16384" width="10.85546875" style="2"/>
  </cols>
  <sheetData>
    <row r="1" spans="1:51" ht="160.5" customHeight="1" x14ac:dyDescent="0.25">
      <c r="A1" s="1" t="s">
        <v>0</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row>
    <row r="2" spans="1:51" x14ac:dyDescent="0.25">
      <c r="A2" s="3"/>
      <c r="B2" s="3"/>
      <c r="C2" s="4"/>
      <c r="D2" s="5"/>
      <c r="E2" s="4"/>
      <c r="F2" s="3"/>
      <c r="G2" s="4"/>
      <c r="H2" s="5"/>
      <c r="I2" s="6"/>
      <c r="J2" s="5"/>
      <c r="K2" s="6"/>
      <c r="L2" s="4"/>
      <c r="M2" s="5"/>
      <c r="N2" s="6"/>
      <c r="O2" s="6"/>
      <c r="P2" s="7" t="s">
        <v>1</v>
      </c>
      <c r="Q2" s="8"/>
      <c r="R2" s="8"/>
      <c r="S2" s="9"/>
      <c r="T2" s="7" t="s">
        <v>2</v>
      </c>
      <c r="U2" s="8"/>
      <c r="V2" s="8"/>
      <c r="W2" s="9"/>
      <c r="X2" s="7" t="s">
        <v>3</v>
      </c>
      <c r="Y2" s="8"/>
      <c r="Z2" s="8"/>
      <c r="AA2" s="9"/>
      <c r="AB2" s="10" t="s">
        <v>4</v>
      </c>
      <c r="AC2" s="11"/>
      <c r="AD2" s="11"/>
      <c r="AE2" s="12"/>
      <c r="AF2" s="10" t="s">
        <v>5</v>
      </c>
      <c r="AG2" s="11"/>
      <c r="AH2" s="11"/>
      <c r="AI2" s="11"/>
      <c r="AJ2" s="11"/>
      <c r="AK2" s="12"/>
      <c r="AL2" s="13" t="s">
        <v>6</v>
      </c>
      <c r="AM2" s="14"/>
      <c r="AN2" s="14"/>
      <c r="AO2" s="14"/>
      <c r="AP2" s="15"/>
      <c r="AQ2" s="16" t="s">
        <v>7</v>
      </c>
      <c r="AR2" s="17"/>
      <c r="AS2" s="17"/>
      <c r="AT2" s="17"/>
    </row>
    <row r="3" spans="1:51" s="30" customFormat="1" ht="47.1" customHeight="1" x14ac:dyDescent="0.2">
      <c r="A3" s="18" t="s">
        <v>8</v>
      </c>
      <c r="B3" s="19" t="s">
        <v>9</v>
      </c>
      <c r="C3" s="19" t="s">
        <v>10</v>
      </c>
      <c r="D3" s="19" t="s">
        <v>11</v>
      </c>
      <c r="E3" s="19" t="s">
        <v>12</v>
      </c>
      <c r="F3" s="20" t="s">
        <v>13</v>
      </c>
      <c r="G3" s="19" t="s">
        <v>14</v>
      </c>
      <c r="H3" s="19" t="s">
        <v>15</v>
      </c>
      <c r="I3" s="20" t="s">
        <v>16</v>
      </c>
      <c r="J3" s="19" t="s">
        <v>17</v>
      </c>
      <c r="K3" s="20" t="s">
        <v>18</v>
      </c>
      <c r="L3" s="19" t="s">
        <v>19</v>
      </c>
      <c r="M3" s="19" t="s">
        <v>20</v>
      </c>
      <c r="N3" s="19" t="s">
        <v>21</v>
      </c>
      <c r="O3" s="19" t="s">
        <v>22</v>
      </c>
      <c r="P3" s="21" t="s">
        <v>23</v>
      </c>
      <c r="Q3" s="21" t="s">
        <v>24</v>
      </c>
      <c r="R3" s="21" t="s">
        <v>25</v>
      </c>
      <c r="S3" s="21" t="s">
        <v>26</v>
      </c>
      <c r="T3" s="21" t="s">
        <v>27</v>
      </c>
      <c r="U3" s="21" t="s">
        <v>28</v>
      </c>
      <c r="V3" s="21" t="s">
        <v>29</v>
      </c>
      <c r="W3" s="22" t="s">
        <v>30</v>
      </c>
      <c r="X3" s="21" t="s">
        <v>31</v>
      </c>
      <c r="Y3" s="21" t="s">
        <v>32</v>
      </c>
      <c r="Z3" s="21" t="s">
        <v>33</v>
      </c>
      <c r="AA3" s="22" t="s">
        <v>34</v>
      </c>
      <c r="AB3" s="21" t="s">
        <v>35</v>
      </c>
      <c r="AC3" s="21" t="s">
        <v>36</v>
      </c>
      <c r="AD3" s="21" t="s">
        <v>37</v>
      </c>
      <c r="AE3" s="22" t="s">
        <v>38</v>
      </c>
      <c r="AF3" s="23" t="s">
        <v>39</v>
      </c>
      <c r="AG3" s="24" t="s">
        <v>40</v>
      </c>
      <c r="AH3" s="25" t="s">
        <v>41</v>
      </c>
      <c r="AI3" s="25" t="s">
        <v>42</v>
      </c>
      <c r="AJ3" s="25" t="s">
        <v>43</v>
      </c>
      <c r="AK3" s="25" t="s">
        <v>44</v>
      </c>
      <c r="AL3" s="26" t="s">
        <v>45</v>
      </c>
      <c r="AM3" s="27" t="s">
        <v>46</v>
      </c>
      <c r="AN3" s="27" t="s">
        <v>47</v>
      </c>
      <c r="AO3" s="27" t="s">
        <v>48</v>
      </c>
      <c r="AP3" s="27" t="s">
        <v>49</v>
      </c>
      <c r="AQ3" s="28" t="s">
        <v>1</v>
      </c>
      <c r="AR3" s="28" t="s">
        <v>2</v>
      </c>
      <c r="AS3" s="28" t="s">
        <v>3</v>
      </c>
      <c r="AT3" s="28" t="s">
        <v>4</v>
      </c>
      <c r="AU3" s="29" t="s">
        <v>50</v>
      </c>
    </row>
    <row r="4" spans="1:51" ht="37.5" x14ac:dyDescent="0.3">
      <c r="A4" s="31" t="str">
        <f>CONCATENATE(TABLA_AVANCE_METAS[[#This Row],[ESTRUCTURA]],TABLA_AVANCE_METAS[[#This Row],['#]])</f>
        <v>A0021201030101031</v>
      </c>
      <c r="B4" s="32" t="s">
        <v>51</v>
      </c>
      <c r="C4" s="32" t="s">
        <v>52</v>
      </c>
      <c r="D4" s="33" t="s">
        <v>51</v>
      </c>
      <c r="E4" s="32" t="s">
        <v>53</v>
      </c>
      <c r="F4" s="32" t="s">
        <v>54</v>
      </c>
      <c r="G4" s="34" t="s">
        <v>55</v>
      </c>
      <c r="H4" s="32" t="s">
        <v>56</v>
      </c>
      <c r="I4" s="32" t="s">
        <v>57</v>
      </c>
      <c r="J4" s="32" t="s">
        <v>58</v>
      </c>
      <c r="K4" s="32" t="s">
        <v>59</v>
      </c>
      <c r="L4" s="33">
        <v>1</v>
      </c>
      <c r="M4" s="35" t="s">
        <v>60</v>
      </c>
      <c r="N4" s="34" t="s">
        <v>61</v>
      </c>
      <c r="O4" s="36">
        <v>6</v>
      </c>
      <c r="P4" s="36">
        <v>2</v>
      </c>
      <c r="Q4" s="37">
        <v>2</v>
      </c>
      <c r="R4" s="38">
        <f>IFERROR((TABLA_AVANCE_METAS[[#This Row],[AVANCE 1°. TRIM]]/TABLA_AVANCE_METAS[[#This Row],[PROGR. 1° TRIM]])*100,"0")</f>
        <v>100</v>
      </c>
      <c r="S4"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4" s="36">
        <v>1</v>
      </c>
      <c r="U4" s="37">
        <v>1</v>
      </c>
      <c r="V4" s="40">
        <f>IFERROR((U4/T4)*100,"0")</f>
        <v>100</v>
      </c>
      <c r="W4" s="39" t="str">
        <f>IF(AND(V4&gt;=0,V4&lt;=49.9999999999999),"CRÍTICO",IF(AND(V4&gt;=50,V4&lt;=69.9999999999999),"DEFICIENTE",IF(AND(V4&gt;=70,V4&lt;=89.9999999999999),"REGULAR",IF(AND(V4&gt;=90,V4&lt;=110.999999999999),"ADECUADO",IF(AND(V4&gt;=111,V4&lt;=999999),"SOBREPASADO","NO PROG.")))))</f>
        <v>ADECUADO</v>
      </c>
      <c r="X4" s="36">
        <v>2</v>
      </c>
      <c r="Y4" s="37">
        <v>0</v>
      </c>
      <c r="Z4" s="40">
        <v>0</v>
      </c>
      <c r="AA4" s="39" t="s">
        <v>62</v>
      </c>
      <c r="AB4" s="36">
        <v>1</v>
      </c>
      <c r="AC4" s="41">
        <v>0</v>
      </c>
      <c r="AD4" s="40">
        <f>IFERROR((TABLA_AVANCE_METAS[[#This Row],[AVANCE 4°. TRIM]]/TABLA_AVANCE_METAS[[#This Row],[PROGR. 4° TRIM]])*100,"0")</f>
        <v>0</v>
      </c>
      <c r="AE4"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4" s="43" cm="1">
        <f t="array" ref="AF4">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3</v>
      </c>
      <c r="AG4" s="44" cm="1">
        <f t="array" ref="AG4">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3</v>
      </c>
      <c r="AH4" s="40">
        <f>IFERROR((TABLA_AVANCE_METAS[[#This Row],[AVANCE ACUM. TRIM.]]/TABLA_AVANCE_METAS[[#This Row],[PROG. ACUM]])*100,"N/A")</f>
        <v>100</v>
      </c>
      <c r="AI4"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4" s="45">
        <f>TABLA_AVANCE_METAS[[#This Row],[AVANCE ACUM. TRIM.]]-TABLA_AVANCE_METAS[[#This Row],[PROG. ACUM]]</f>
        <v>0</v>
      </c>
      <c r="AK4" s="46">
        <f>IFERROR((TABLA_AVANCE_METAS[[#This Row],[DIFERENCIA ABSOLUTA SEMESTRAL]]/TABLA_AVANCE_METAS[[#This Row],[PROG. ACUM]])*100,"N/A")</f>
        <v>0</v>
      </c>
      <c r="AL4" s="44">
        <f>TABLA_AVANCE_METAS[[#This Row],[AVANCE 1°. TRIM]]+TABLA_AVANCE_METAS[[#This Row],[AVANCE 2°. TRIM]]+TABLA_AVANCE_METAS[[#This Row],[AVANCE 3°. TRIM]]+TABLA_AVANCE_METAS[[#This Row],[AVANCE 4°. TRIM]]</f>
        <v>3</v>
      </c>
      <c r="AM4" s="40">
        <f>IFERROR((TABLA_AVANCE_METAS[[#This Row],[AVANCE ACUM. ANUAL]]/TABLA_AVANCE_METAS[[#This Row],[PROGRAMADO ANUAL]])*100,"N/A")</f>
        <v>50</v>
      </c>
      <c r="AN4"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4" s="45">
        <f>TABLA_AVANCE_METAS[[#This Row],[AVANCE ACUM. ANUAL]]-TABLA_AVANCE_METAS[[#This Row],[PROGRAMADO ANUAL]]</f>
        <v>-3</v>
      </c>
      <c r="AP4" s="47">
        <f>IFERROR((TABLA_AVANCE_METAS[[#This Row],[DIFERENCIA ABSOLUTA ANUAL]]/TABLA_AVANCE_METAS[[#This Row],[PROGRAMADO ANUAL]])*100,"N/A")</f>
        <v>-50</v>
      </c>
      <c r="AQ4" s="48" t="s">
        <v>63</v>
      </c>
      <c r="AR4" s="49"/>
      <c r="AS4" s="50"/>
      <c r="AT4" s="50"/>
      <c r="AU4" s="51" t="b">
        <f>TABLA_AVANCE_METAS[[#This Row],[PROGRAMADO ANUAL]]=SUM(TABLA_AVANCE_METAS[[#This Row],[PROGR. 1° TRIM]],TABLA_AVANCE_METAS[[#This Row],[PROGR. 2° TRIM]],TABLA_AVANCE_METAS[[#This Row],[PROGR. 3° TRIM]],TABLA_AVANCE_METAS[[#This Row],[PROGR. 4° TRIM]])</f>
        <v>1</v>
      </c>
      <c r="AV4" s="52"/>
    </row>
    <row r="5" spans="1:51" ht="75" customHeight="1" x14ac:dyDescent="0.3">
      <c r="A5" s="31" t="str">
        <f>CONCATENATE(TABLA_AVANCE_METAS[[#This Row],[ESTRUCTURA]],TABLA_AVANCE_METAS[[#This Row],['#]])</f>
        <v>A0021201030101032</v>
      </c>
      <c r="B5" s="32" t="s">
        <v>51</v>
      </c>
      <c r="C5" s="32" t="s">
        <v>52</v>
      </c>
      <c r="D5" s="33" t="s">
        <v>51</v>
      </c>
      <c r="E5" s="32" t="s">
        <v>53</v>
      </c>
      <c r="F5" s="32" t="s">
        <v>54</v>
      </c>
      <c r="G5" s="34" t="s">
        <v>55</v>
      </c>
      <c r="H5" s="32" t="s">
        <v>56</v>
      </c>
      <c r="I5" s="32" t="s">
        <v>57</v>
      </c>
      <c r="J5" s="32" t="s">
        <v>58</v>
      </c>
      <c r="K5" s="32" t="s">
        <v>59</v>
      </c>
      <c r="L5" s="33">
        <v>2</v>
      </c>
      <c r="M5" s="35" t="s">
        <v>64</v>
      </c>
      <c r="N5" s="34" t="s">
        <v>65</v>
      </c>
      <c r="O5" s="36">
        <v>12</v>
      </c>
      <c r="P5" s="36">
        <v>3</v>
      </c>
      <c r="Q5" s="37">
        <v>3</v>
      </c>
      <c r="R5" s="38">
        <f>IFERROR((TABLA_AVANCE_METAS[[#This Row],[AVANCE 1°. TRIM]]/TABLA_AVANCE_METAS[[#This Row],[PROGR. 1° TRIM]])*100,"0")</f>
        <v>100</v>
      </c>
      <c r="S5"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5" s="36">
        <v>3</v>
      </c>
      <c r="U5" s="37">
        <v>3</v>
      </c>
      <c r="V5" s="40">
        <f t="shared" ref="V5:V68" si="0">IFERROR((U5/T5)*100,"0")</f>
        <v>100</v>
      </c>
      <c r="W5" s="39" t="str">
        <f t="shared" ref="W5:W68" si="1">IF(AND(V5&gt;=0,V5&lt;=49.9999999999999),"CRÍTICO",IF(AND(V5&gt;=50,V5&lt;=69.9999999999999),"DEFICIENTE",IF(AND(V5&gt;=70,V5&lt;=89.9999999999999),"REGULAR",IF(AND(V5&gt;=90,V5&lt;=110.999999999999),"ADECUADO",IF(AND(V5&gt;=111,V5&lt;=999999),"SOBREPASADO","NO PROG.")))))</f>
        <v>ADECUADO</v>
      </c>
      <c r="X5" s="36">
        <v>3</v>
      </c>
      <c r="Y5" s="37">
        <v>0</v>
      </c>
      <c r="Z5" s="40">
        <v>0</v>
      </c>
      <c r="AA5" s="39" t="s">
        <v>62</v>
      </c>
      <c r="AB5" s="36">
        <v>3</v>
      </c>
      <c r="AC5" s="41">
        <v>0</v>
      </c>
      <c r="AD5" s="40">
        <f>IFERROR((TABLA_AVANCE_METAS[[#This Row],[AVANCE 4°. TRIM]]/TABLA_AVANCE_METAS[[#This Row],[PROGR. 4° TRIM]])*100,"0")</f>
        <v>0</v>
      </c>
      <c r="AE5"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5" s="43" cm="1">
        <f t="array" ref="AF5">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6</v>
      </c>
      <c r="AG5" s="44" cm="1">
        <f t="array" ref="AG5">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6</v>
      </c>
      <c r="AH5" s="40">
        <f>IFERROR((TABLA_AVANCE_METAS[[#This Row],[AVANCE ACUM. TRIM.]]/TABLA_AVANCE_METAS[[#This Row],[PROG. ACUM]])*100,"N/A")</f>
        <v>100</v>
      </c>
      <c r="AI5"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5" s="45">
        <f>TABLA_AVANCE_METAS[[#This Row],[AVANCE ACUM. TRIM.]]-TABLA_AVANCE_METAS[[#This Row],[PROG. ACUM]]</f>
        <v>0</v>
      </c>
      <c r="AK5" s="46">
        <f>IFERROR((TABLA_AVANCE_METAS[[#This Row],[DIFERENCIA ABSOLUTA SEMESTRAL]]/TABLA_AVANCE_METAS[[#This Row],[PROG. ACUM]])*100,"N/A")</f>
        <v>0</v>
      </c>
      <c r="AL5" s="44">
        <f>TABLA_AVANCE_METAS[[#This Row],[AVANCE 1°. TRIM]]+TABLA_AVANCE_METAS[[#This Row],[AVANCE 2°. TRIM]]+TABLA_AVANCE_METAS[[#This Row],[AVANCE 3°. TRIM]]+TABLA_AVANCE_METAS[[#This Row],[AVANCE 4°. TRIM]]</f>
        <v>6</v>
      </c>
      <c r="AM5" s="40">
        <f>IFERROR((TABLA_AVANCE_METAS[[#This Row],[AVANCE ACUM. ANUAL]]/TABLA_AVANCE_METAS[[#This Row],[PROGRAMADO ANUAL]])*100,"N/A")</f>
        <v>50</v>
      </c>
      <c r="AN5"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5" s="45">
        <f>TABLA_AVANCE_METAS[[#This Row],[AVANCE ACUM. ANUAL]]-TABLA_AVANCE_METAS[[#This Row],[PROGRAMADO ANUAL]]</f>
        <v>-6</v>
      </c>
      <c r="AP5" s="47">
        <f>IFERROR((TABLA_AVANCE_METAS[[#This Row],[DIFERENCIA ABSOLUTA ANUAL]]/TABLA_AVANCE_METAS[[#This Row],[PROGRAMADO ANUAL]])*100,"N/A")</f>
        <v>-50</v>
      </c>
      <c r="AQ5" s="48" t="s">
        <v>63</v>
      </c>
      <c r="AR5" s="49"/>
      <c r="AS5" s="50"/>
      <c r="AT5" s="50"/>
      <c r="AU5" s="51" t="b">
        <f>TABLA_AVANCE_METAS[[#This Row],[PROGRAMADO ANUAL]]=SUM(TABLA_AVANCE_METAS[[#This Row],[PROGR. 1° TRIM]],TABLA_AVANCE_METAS[[#This Row],[PROGR. 2° TRIM]],TABLA_AVANCE_METAS[[#This Row],[PROGR. 3° TRIM]],TABLA_AVANCE_METAS[[#This Row],[PROGR. 4° TRIM]])</f>
        <v>1</v>
      </c>
      <c r="AV5" s="52"/>
    </row>
    <row r="6" spans="1:51" ht="75" customHeight="1" x14ac:dyDescent="0.3">
      <c r="A6" s="31" t="str">
        <f>CONCATENATE(TABLA_AVANCE_METAS[[#This Row],[ESTRUCTURA]],TABLA_AVANCE_METAS[[#This Row],['#]])</f>
        <v>A0021201030101033</v>
      </c>
      <c r="B6" s="32" t="s">
        <v>51</v>
      </c>
      <c r="C6" s="32" t="s">
        <v>52</v>
      </c>
      <c r="D6" s="33" t="s">
        <v>51</v>
      </c>
      <c r="E6" s="32" t="s">
        <v>53</v>
      </c>
      <c r="F6" s="32" t="s">
        <v>54</v>
      </c>
      <c r="G6" s="34" t="s">
        <v>55</v>
      </c>
      <c r="H6" s="53" t="s">
        <v>56</v>
      </c>
      <c r="I6" s="32" t="s">
        <v>57</v>
      </c>
      <c r="J6" s="32" t="s">
        <v>58</v>
      </c>
      <c r="K6" s="32" t="s">
        <v>59</v>
      </c>
      <c r="L6" s="33">
        <v>3</v>
      </c>
      <c r="M6" s="35" t="s">
        <v>66</v>
      </c>
      <c r="N6" s="34" t="s">
        <v>67</v>
      </c>
      <c r="O6" s="36">
        <v>12</v>
      </c>
      <c r="P6" s="36">
        <v>3</v>
      </c>
      <c r="Q6" s="37">
        <v>3</v>
      </c>
      <c r="R6" s="38">
        <f>IFERROR((TABLA_AVANCE_METAS[[#This Row],[AVANCE 1°. TRIM]]/TABLA_AVANCE_METAS[[#This Row],[PROGR. 1° TRIM]])*100,"0")</f>
        <v>100</v>
      </c>
      <c r="S6"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6" s="36">
        <v>3</v>
      </c>
      <c r="U6" s="37">
        <v>3</v>
      </c>
      <c r="V6" s="40">
        <f t="shared" si="0"/>
        <v>100</v>
      </c>
      <c r="W6" s="39" t="str">
        <f t="shared" si="1"/>
        <v>ADECUADO</v>
      </c>
      <c r="X6" s="36">
        <v>3</v>
      </c>
      <c r="Y6" s="37">
        <v>0</v>
      </c>
      <c r="Z6" s="40">
        <v>0</v>
      </c>
      <c r="AA6" s="39" t="s">
        <v>62</v>
      </c>
      <c r="AB6" s="36">
        <v>3</v>
      </c>
      <c r="AC6" s="41">
        <v>0</v>
      </c>
      <c r="AD6" s="40">
        <f>IFERROR((TABLA_AVANCE_METAS[[#This Row],[AVANCE 4°. TRIM]]/TABLA_AVANCE_METAS[[#This Row],[PROGR. 4° TRIM]])*100,"0")</f>
        <v>0</v>
      </c>
      <c r="AE6"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6" s="43" cm="1">
        <f t="array" ref="AF6">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6</v>
      </c>
      <c r="AG6" s="44" cm="1">
        <f t="array" ref="AG6">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6</v>
      </c>
      <c r="AH6" s="40">
        <f>IFERROR((TABLA_AVANCE_METAS[[#This Row],[AVANCE ACUM. TRIM.]]/TABLA_AVANCE_METAS[[#This Row],[PROG. ACUM]])*100,"N/A")</f>
        <v>100</v>
      </c>
      <c r="AI6"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6" s="45">
        <f>TABLA_AVANCE_METAS[[#This Row],[AVANCE ACUM. TRIM.]]-TABLA_AVANCE_METAS[[#This Row],[PROG. ACUM]]</f>
        <v>0</v>
      </c>
      <c r="AK6" s="46">
        <f>IFERROR((TABLA_AVANCE_METAS[[#This Row],[DIFERENCIA ABSOLUTA SEMESTRAL]]/TABLA_AVANCE_METAS[[#This Row],[PROG. ACUM]])*100,"N/A")</f>
        <v>0</v>
      </c>
      <c r="AL6" s="44">
        <f>TABLA_AVANCE_METAS[[#This Row],[AVANCE 1°. TRIM]]+TABLA_AVANCE_METAS[[#This Row],[AVANCE 2°. TRIM]]+TABLA_AVANCE_METAS[[#This Row],[AVANCE 3°. TRIM]]+TABLA_AVANCE_METAS[[#This Row],[AVANCE 4°. TRIM]]</f>
        <v>6</v>
      </c>
      <c r="AM6" s="40">
        <f>IFERROR((TABLA_AVANCE_METAS[[#This Row],[AVANCE ACUM. ANUAL]]/TABLA_AVANCE_METAS[[#This Row],[PROGRAMADO ANUAL]])*100,"N/A")</f>
        <v>50</v>
      </c>
      <c r="AN6"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6" s="45">
        <f>TABLA_AVANCE_METAS[[#This Row],[AVANCE ACUM. ANUAL]]-TABLA_AVANCE_METAS[[#This Row],[PROGRAMADO ANUAL]]</f>
        <v>-6</v>
      </c>
      <c r="AP6" s="47">
        <f>IFERROR((TABLA_AVANCE_METAS[[#This Row],[DIFERENCIA ABSOLUTA ANUAL]]/TABLA_AVANCE_METAS[[#This Row],[PROGRAMADO ANUAL]])*100,"N/A")</f>
        <v>-50</v>
      </c>
      <c r="AQ6" s="48" t="s">
        <v>63</v>
      </c>
      <c r="AR6" s="49"/>
      <c r="AS6" s="50"/>
      <c r="AT6" s="50"/>
      <c r="AU6" s="51" t="b">
        <f>TABLA_AVANCE_METAS[[#This Row],[PROGRAMADO ANUAL]]=SUM(TABLA_AVANCE_METAS[[#This Row],[PROGR. 1° TRIM]],TABLA_AVANCE_METAS[[#This Row],[PROGR. 2° TRIM]],TABLA_AVANCE_METAS[[#This Row],[PROGR. 3° TRIM]],TABLA_AVANCE_METAS[[#This Row],[PROGR. 4° TRIM]])</f>
        <v>1</v>
      </c>
      <c r="AV6" s="52"/>
    </row>
    <row r="7" spans="1:51" ht="75" customHeight="1" x14ac:dyDescent="0.3">
      <c r="A7" s="31" t="str">
        <f>CONCATENATE(TABLA_AVANCE_METAS[[#This Row],[ESTRUCTURA]],TABLA_AVANCE_METAS[[#This Row],['#]])</f>
        <v>A0021201030101034</v>
      </c>
      <c r="B7" s="32" t="s">
        <v>51</v>
      </c>
      <c r="C7" s="32" t="s">
        <v>52</v>
      </c>
      <c r="D7" s="33" t="s">
        <v>51</v>
      </c>
      <c r="E7" s="32" t="s">
        <v>53</v>
      </c>
      <c r="F7" s="32" t="s">
        <v>54</v>
      </c>
      <c r="G7" s="34" t="s">
        <v>55</v>
      </c>
      <c r="H7" s="32" t="s">
        <v>56</v>
      </c>
      <c r="I7" s="32" t="s">
        <v>57</v>
      </c>
      <c r="J7" s="32" t="s">
        <v>58</v>
      </c>
      <c r="K7" s="32" t="s">
        <v>59</v>
      </c>
      <c r="L7" s="33">
        <v>4</v>
      </c>
      <c r="M7" s="35" t="s">
        <v>68</v>
      </c>
      <c r="N7" s="34" t="s">
        <v>61</v>
      </c>
      <c r="O7" s="36">
        <v>8</v>
      </c>
      <c r="P7" s="36">
        <v>2</v>
      </c>
      <c r="Q7" s="37">
        <v>1</v>
      </c>
      <c r="R7" s="38">
        <f>IFERROR((TABLA_AVANCE_METAS[[#This Row],[AVANCE 1°. TRIM]]/TABLA_AVANCE_METAS[[#This Row],[PROGR. 1° TRIM]])*100,"0")</f>
        <v>50</v>
      </c>
      <c r="S7"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DEFICIENTE</v>
      </c>
      <c r="T7" s="36">
        <v>2</v>
      </c>
      <c r="U7" s="37">
        <v>3</v>
      </c>
      <c r="V7" s="40">
        <f t="shared" si="0"/>
        <v>150</v>
      </c>
      <c r="W7" s="39" t="str">
        <f t="shared" si="1"/>
        <v>SOBREPASADO</v>
      </c>
      <c r="X7" s="36">
        <v>2</v>
      </c>
      <c r="Y7" s="37">
        <v>0</v>
      </c>
      <c r="Z7" s="40">
        <v>0</v>
      </c>
      <c r="AA7" s="39" t="s">
        <v>62</v>
      </c>
      <c r="AB7" s="36">
        <v>2</v>
      </c>
      <c r="AC7" s="41">
        <v>0</v>
      </c>
      <c r="AD7" s="40">
        <f>IFERROR((TABLA_AVANCE_METAS[[#This Row],[AVANCE 4°. TRIM]]/TABLA_AVANCE_METAS[[#This Row],[PROGR. 4° TRIM]])*100,"0")</f>
        <v>0</v>
      </c>
      <c r="AE7"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7" s="43" cm="1">
        <f t="array" ref="AF7">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4</v>
      </c>
      <c r="AG7" s="44" cm="1">
        <f t="array" ref="AG7">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4</v>
      </c>
      <c r="AH7" s="40">
        <f>IFERROR((TABLA_AVANCE_METAS[[#This Row],[AVANCE ACUM. TRIM.]]/TABLA_AVANCE_METAS[[#This Row],[PROG. ACUM]])*100,"N/A")</f>
        <v>100</v>
      </c>
      <c r="AI7"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7" s="45">
        <f>TABLA_AVANCE_METAS[[#This Row],[AVANCE ACUM. TRIM.]]-TABLA_AVANCE_METAS[[#This Row],[PROG. ACUM]]</f>
        <v>0</v>
      </c>
      <c r="AK7" s="46">
        <f>IFERROR((TABLA_AVANCE_METAS[[#This Row],[DIFERENCIA ABSOLUTA SEMESTRAL]]/TABLA_AVANCE_METAS[[#This Row],[PROG. ACUM]])*100,"N/A")</f>
        <v>0</v>
      </c>
      <c r="AL7" s="44">
        <f>TABLA_AVANCE_METAS[[#This Row],[AVANCE 1°. TRIM]]+TABLA_AVANCE_METAS[[#This Row],[AVANCE 2°. TRIM]]+TABLA_AVANCE_METAS[[#This Row],[AVANCE 3°. TRIM]]+TABLA_AVANCE_METAS[[#This Row],[AVANCE 4°. TRIM]]</f>
        <v>4</v>
      </c>
      <c r="AM7" s="40">
        <f>IFERROR((TABLA_AVANCE_METAS[[#This Row],[AVANCE ACUM. ANUAL]]/TABLA_AVANCE_METAS[[#This Row],[PROGRAMADO ANUAL]])*100,"N/A")</f>
        <v>50</v>
      </c>
      <c r="AN7"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7" s="45">
        <f>TABLA_AVANCE_METAS[[#This Row],[AVANCE ACUM. ANUAL]]-TABLA_AVANCE_METAS[[#This Row],[PROGRAMADO ANUAL]]</f>
        <v>-4</v>
      </c>
      <c r="AP7" s="47">
        <f>IFERROR((TABLA_AVANCE_METAS[[#This Row],[DIFERENCIA ABSOLUTA ANUAL]]/TABLA_AVANCE_METAS[[#This Row],[PROGRAMADO ANUAL]])*100,"N/A")</f>
        <v>-50</v>
      </c>
      <c r="AQ7" s="48" t="s">
        <v>69</v>
      </c>
      <c r="AR7" s="49"/>
      <c r="AS7" s="50"/>
      <c r="AT7" s="50"/>
      <c r="AU7" s="51" t="b">
        <f>TABLA_AVANCE_METAS[[#This Row],[PROGRAMADO ANUAL]]=SUM(TABLA_AVANCE_METAS[[#This Row],[PROGR. 1° TRIM]],TABLA_AVANCE_METAS[[#This Row],[PROGR. 2° TRIM]],TABLA_AVANCE_METAS[[#This Row],[PROGR. 3° TRIM]],TABLA_AVANCE_METAS[[#This Row],[PROGR. 4° TRIM]])</f>
        <v>1</v>
      </c>
      <c r="AV7" s="52"/>
    </row>
    <row r="8" spans="1:51" ht="75" customHeight="1" x14ac:dyDescent="0.3">
      <c r="A8" s="31" t="str">
        <f>CONCATENATE(TABLA_AVANCE_METAS[[#This Row],[ESTRUCTURA]],TABLA_AVANCE_METAS[[#This Row],['#]])</f>
        <v>A0021201030101035</v>
      </c>
      <c r="B8" s="32" t="s">
        <v>51</v>
      </c>
      <c r="C8" s="32" t="s">
        <v>52</v>
      </c>
      <c r="D8" s="33" t="s">
        <v>51</v>
      </c>
      <c r="E8" s="32" t="s">
        <v>53</v>
      </c>
      <c r="F8" s="32" t="s">
        <v>54</v>
      </c>
      <c r="G8" s="34" t="s">
        <v>55</v>
      </c>
      <c r="H8" s="32" t="s">
        <v>56</v>
      </c>
      <c r="I8" s="32" t="s">
        <v>57</v>
      </c>
      <c r="J8" s="32" t="s">
        <v>58</v>
      </c>
      <c r="K8" s="32" t="s">
        <v>59</v>
      </c>
      <c r="L8" s="33">
        <v>5</v>
      </c>
      <c r="M8" s="35" t="s">
        <v>70</v>
      </c>
      <c r="N8" s="34" t="s">
        <v>71</v>
      </c>
      <c r="O8" s="36">
        <v>1</v>
      </c>
      <c r="P8" s="36">
        <v>0</v>
      </c>
      <c r="Q8" s="37">
        <v>0</v>
      </c>
      <c r="R8" s="38" t="str">
        <f>IFERROR((TABLA_AVANCE_METAS[[#This Row],[AVANCE 1°. TRIM]]/TABLA_AVANCE_METAS[[#This Row],[PROGR. 1° TRIM]])*100,"0")</f>
        <v>0</v>
      </c>
      <c r="S8"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NO PROG.</v>
      </c>
      <c r="T8" s="36">
        <v>1</v>
      </c>
      <c r="U8" s="37">
        <v>1</v>
      </c>
      <c r="V8" s="40">
        <f t="shared" si="0"/>
        <v>100</v>
      </c>
      <c r="W8" s="39" t="str">
        <f t="shared" si="1"/>
        <v>ADECUADO</v>
      </c>
      <c r="X8" s="36">
        <v>0</v>
      </c>
      <c r="Y8" s="37">
        <v>0</v>
      </c>
      <c r="Z8" s="40" t="s">
        <v>72</v>
      </c>
      <c r="AA8" s="39" t="s">
        <v>73</v>
      </c>
      <c r="AB8" s="36">
        <v>0</v>
      </c>
      <c r="AC8" s="41">
        <v>0</v>
      </c>
      <c r="AD8" s="40" t="str">
        <f>IFERROR((TABLA_AVANCE_METAS[[#This Row],[AVANCE 4°. TRIM]]/TABLA_AVANCE_METAS[[#This Row],[PROGR. 4° TRIM]])*100,"0")</f>
        <v>0</v>
      </c>
      <c r="AE8"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NO PROG.</v>
      </c>
      <c r="AF8" s="43" cm="1">
        <f t="array" ref="AF8">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v>
      </c>
      <c r="AG8" s="44" cm="1">
        <f t="array" ref="AG8">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1</v>
      </c>
      <c r="AH8" s="40">
        <f>IFERROR((TABLA_AVANCE_METAS[[#This Row],[AVANCE ACUM. TRIM.]]/TABLA_AVANCE_METAS[[#This Row],[PROG. ACUM]])*100,"N/A")</f>
        <v>100</v>
      </c>
      <c r="AI8"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8" s="45">
        <f>TABLA_AVANCE_METAS[[#This Row],[AVANCE ACUM. TRIM.]]-TABLA_AVANCE_METAS[[#This Row],[PROG. ACUM]]</f>
        <v>0</v>
      </c>
      <c r="AK8" s="46">
        <f>IFERROR((TABLA_AVANCE_METAS[[#This Row],[DIFERENCIA ABSOLUTA SEMESTRAL]]/TABLA_AVANCE_METAS[[#This Row],[PROG. ACUM]])*100,"N/A")</f>
        <v>0</v>
      </c>
      <c r="AL8" s="44">
        <f>TABLA_AVANCE_METAS[[#This Row],[AVANCE 1°. TRIM]]+TABLA_AVANCE_METAS[[#This Row],[AVANCE 2°. TRIM]]+TABLA_AVANCE_METAS[[#This Row],[AVANCE 3°. TRIM]]+TABLA_AVANCE_METAS[[#This Row],[AVANCE 4°. TRIM]]</f>
        <v>1</v>
      </c>
      <c r="AM8" s="40">
        <f>IFERROR((TABLA_AVANCE_METAS[[#This Row],[AVANCE ACUM. ANUAL]]/TABLA_AVANCE_METAS[[#This Row],[PROGRAMADO ANUAL]])*100,"N/A")</f>
        <v>100</v>
      </c>
      <c r="AN8"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ADECUADO</v>
      </c>
      <c r="AO8" s="45">
        <f>TABLA_AVANCE_METAS[[#This Row],[AVANCE ACUM. ANUAL]]-TABLA_AVANCE_METAS[[#This Row],[PROGRAMADO ANUAL]]</f>
        <v>0</v>
      </c>
      <c r="AP8" s="47">
        <f>IFERROR((TABLA_AVANCE_METAS[[#This Row],[DIFERENCIA ABSOLUTA ANUAL]]/TABLA_AVANCE_METAS[[#This Row],[PROGRAMADO ANUAL]])*100,"N/A")</f>
        <v>0</v>
      </c>
      <c r="AQ8" s="48" t="s">
        <v>63</v>
      </c>
      <c r="AR8" s="49"/>
      <c r="AS8" s="50"/>
      <c r="AT8" s="50"/>
      <c r="AU8" s="51" t="b">
        <f>TABLA_AVANCE_METAS[[#This Row],[PROGRAMADO ANUAL]]=SUM(TABLA_AVANCE_METAS[[#This Row],[PROGR. 1° TRIM]],TABLA_AVANCE_METAS[[#This Row],[PROGR. 2° TRIM]],TABLA_AVANCE_METAS[[#This Row],[PROGR. 3° TRIM]],TABLA_AVANCE_METAS[[#This Row],[PROGR. 4° TRIM]])</f>
        <v>1</v>
      </c>
      <c r="AV8" s="52"/>
    </row>
    <row r="9" spans="1:51" ht="75" hidden="1" customHeight="1" x14ac:dyDescent="0.3">
      <c r="A9" s="31" t="str">
        <f>CONCATENATE(TABLA_AVANCE_METAS[[#This Row],[ESTRUCTURA]],TABLA_AVANCE_METAS[[#This Row],['#]])</f>
        <v>A0121501030101011</v>
      </c>
      <c r="B9" s="32" t="s">
        <v>74</v>
      </c>
      <c r="C9" s="32" t="s">
        <v>75</v>
      </c>
      <c r="D9" s="33" t="s">
        <v>76</v>
      </c>
      <c r="E9" s="32" t="s">
        <v>77</v>
      </c>
      <c r="F9" s="32" t="s">
        <v>78</v>
      </c>
      <c r="G9" s="34" t="s">
        <v>79</v>
      </c>
      <c r="H9" s="32" t="s">
        <v>56</v>
      </c>
      <c r="I9" s="32" t="s">
        <v>57</v>
      </c>
      <c r="J9" s="32" t="s">
        <v>80</v>
      </c>
      <c r="K9" s="32" t="s">
        <v>81</v>
      </c>
      <c r="L9" s="33">
        <v>1</v>
      </c>
      <c r="M9" s="35" t="s">
        <v>82</v>
      </c>
      <c r="N9" s="34" t="s">
        <v>83</v>
      </c>
      <c r="O9" s="36">
        <v>12</v>
      </c>
      <c r="P9" s="36">
        <v>3</v>
      </c>
      <c r="Q9" s="37">
        <v>3</v>
      </c>
      <c r="R9" s="38">
        <f>IFERROR((TABLA_AVANCE_METAS[[#This Row],[AVANCE 1°. TRIM]]/TABLA_AVANCE_METAS[[#This Row],[PROGR. 1° TRIM]])*100,"0")</f>
        <v>100</v>
      </c>
      <c r="S9"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9" s="36">
        <v>3</v>
      </c>
      <c r="U9" s="37">
        <v>3</v>
      </c>
      <c r="V9" s="40">
        <f t="shared" si="0"/>
        <v>100</v>
      </c>
      <c r="W9" s="39" t="str">
        <f t="shared" si="1"/>
        <v>ADECUADO</v>
      </c>
      <c r="X9" s="36">
        <v>3</v>
      </c>
      <c r="Y9" s="37">
        <v>0</v>
      </c>
      <c r="Z9" s="40">
        <v>0</v>
      </c>
      <c r="AA9" s="39" t="s">
        <v>62</v>
      </c>
      <c r="AB9" s="36">
        <v>3</v>
      </c>
      <c r="AC9" s="41">
        <v>0</v>
      </c>
      <c r="AD9" s="40">
        <f>IFERROR((TABLA_AVANCE_METAS[[#This Row],[AVANCE 4°. TRIM]]/TABLA_AVANCE_METAS[[#This Row],[PROGR. 4° TRIM]])*100,"0")</f>
        <v>0</v>
      </c>
      <c r="AE9"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9" s="43" cm="1">
        <f t="array" ref="AF9">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6</v>
      </c>
      <c r="AG9" s="44" cm="1">
        <f t="array" ref="AG9">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6</v>
      </c>
      <c r="AH9" s="40">
        <f>IFERROR((TABLA_AVANCE_METAS[[#This Row],[AVANCE ACUM. TRIM.]]/TABLA_AVANCE_METAS[[#This Row],[PROG. ACUM]])*100,"N/A")</f>
        <v>100</v>
      </c>
      <c r="AI9"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9" s="45">
        <f>TABLA_AVANCE_METAS[[#This Row],[AVANCE ACUM. TRIM.]]-TABLA_AVANCE_METAS[[#This Row],[PROG. ACUM]]</f>
        <v>0</v>
      </c>
      <c r="AK9" s="46">
        <f>IFERROR((TABLA_AVANCE_METAS[[#This Row],[DIFERENCIA ABSOLUTA SEMESTRAL]]/TABLA_AVANCE_METAS[[#This Row],[PROG. ACUM]])*100,"N/A")</f>
        <v>0</v>
      </c>
      <c r="AL9" s="44">
        <f>TABLA_AVANCE_METAS[[#This Row],[AVANCE 1°. TRIM]]+TABLA_AVANCE_METAS[[#This Row],[AVANCE 2°. TRIM]]+TABLA_AVANCE_METAS[[#This Row],[AVANCE 3°. TRIM]]+TABLA_AVANCE_METAS[[#This Row],[AVANCE 4°. TRIM]]</f>
        <v>6</v>
      </c>
      <c r="AM9" s="40">
        <f>IFERROR((TABLA_AVANCE_METAS[[#This Row],[AVANCE ACUM. ANUAL]]/TABLA_AVANCE_METAS[[#This Row],[PROGRAMADO ANUAL]])*100,"N/A")</f>
        <v>50</v>
      </c>
      <c r="AN9"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9" s="45">
        <f>TABLA_AVANCE_METAS[[#This Row],[AVANCE ACUM. ANUAL]]-TABLA_AVANCE_METAS[[#This Row],[PROGRAMADO ANUAL]]</f>
        <v>-6</v>
      </c>
      <c r="AP9" s="47">
        <f>IFERROR((TABLA_AVANCE_METAS[[#This Row],[DIFERENCIA ABSOLUTA ANUAL]]/TABLA_AVANCE_METAS[[#This Row],[PROGRAMADO ANUAL]])*100,"N/A")</f>
        <v>-50</v>
      </c>
      <c r="AQ9" s="48" t="s">
        <v>63</v>
      </c>
      <c r="AR9" s="49"/>
      <c r="AS9" s="50"/>
      <c r="AT9" s="50"/>
      <c r="AU9" s="51" t="b">
        <f>TABLA_AVANCE_METAS[[#This Row],[PROGRAMADO ANUAL]]=SUM(TABLA_AVANCE_METAS[[#This Row],[PROGR. 1° TRIM]],TABLA_AVANCE_METAS[[#This Row],[PROGR. 2° TRIM]],TABLA_AVANCE_METAS[[#This Row],[PROGR. 3° TRIM]],TABLA_AVANCE_METAS[[#This Row],[PROGR. 4° TRIM]])</f>
        <v>1</v>
      </c>
      <c r="AV9" s="52"/>
    </row>
    <row r="10" spans="1:51" ht="75" hidden="1" customHeight="1" x14ac:dyDescent="0.3">
      <c r="A10" s="31" t="str">
        <f>CONCATENATE(TABLA_AVANCE_METAS[[#This Row],[ESTRUCTURA]],TABLA_AVANCE_METAS[[#This Row],['#]])</f>
        <v>A0121501030101012</v>
      </c>
      <c r="B10" s="32" t="s">
        <v>74</v>
      </c>
      <c r="C10" s="32" t="s">
        <v>75</v>
      </c>
      <c r="D10" s="33" t="s">
        <v>76</v>
      </c>
      <c r="E10" s="32" t="s">
        <v>77</v>
      </c>
      <c r="F10" s="32" t="s">
        <v>78</v>
      </c>
      <c r="G10" s="34" t="s">
        <v>79</v>
      </c>
      <c r="H10" s="32" t="s">
        <v>56</v>
      </c>
      <c r="I10" s="32" t="s">
        <v>57</v>
      </c>
      <c r="J10" s="32" t="s">
        <v>80</v>
      </c>
      <c r="K10" s="32" t="s">
        <v>81</v>
      </c>
      <c r="L10" s="33">
        <v>2</v>
      </c>
      <c r="M10" s="35" t="s">
        <v>84</v>
      </c>
      <c r="N10" s="34" t="s">
        <v>85</v>
      </c>
      <c r="O10" s="36">
        <v>8</v>
      </c>
      <c r="P10" s="36">
        <v>2</v>
      </c>
      <c r="Q10" s="37">
        <v>2</v>
      </c>
      <c r="R10" s="38">
        <f>IFERROR((TABLA_AVANCE_METAS[[#This Row],[AVANCE 1°. TRIM]]/TABLA_AVANCE_METAS[[#This Row],[PROGR. 1° TRIM]])*100,"0")</f>
        <v>100</v>
      </c>
      <c r="S10"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10" s="36">
        <v>2</v>
      </c>
      <c r="U10" s="37">
        <v>2</v>
      </c>
      <c r="V10" s="40">
        <f t="shared" si="0"/>
        <v>100</v>
      </c>
      <c r="W10" s="39" t="str">
        <f t="shared" si="1"/>
        <v>ADECUADO</v>
      </c>
      <c r="X10" s="36">
        <v>2</v>
      </c>
      <c r="Y10" s="37">
        <v>0</v>
      </c>
      <c r="Z10" s="40">
        <v>0</v>
      </c>
      <c r="AA10" s="39" t="s">
        <v>62</v>
      </c>
      <c r="AB10" s="36">
        <v>2</v>
      </c>
      <c r="AC10" s="41">
        <v>0</v>
      </c>
      <c r="AD10" s="40">
        <f>IFERROR((TABLA_AVANCE_METAS[[#This Row],[AVANCE 4°. TRIM]]/TABLA_AVANCE_METAS[[#This Row],[PROGR. 4° TRIM]])*100,"0")</f>
        <v>0</v>
      </c>
      <c r="AE10"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0" s="43" cm="1">
        <f t="array" ref="AF10">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4</v>
      </c>
      <c r="AG10" s="44" cm="1">
        <f t="array" ref="AG10">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4</v>
      </c>
      <c r="AH10" s="40">
        <f>IFERROR((TABLA_AVANCE_METAS[[#This Row],[AVANCE ACUM. TRIM.]]/TABLA_AVANCE_METAS[[#This Row],[PROG. ACUM]])*100,"N/A")</f>
        <v>100</v>
      </c>
      <c r="AI10"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10" s="45">
        <f>TABLA_AVANCE_METAS[[#This Row],[AVANCE ACUM. TRIM.]]-TABLA_AVANCE_METAS[[#This Row],[PROG. ACUM]]</f>
        <v>0</v>
      </c>
      <c r="AK10" s="46">
        <f>IFERROR((TABLA_AVANCE_METAS[[#This Row],[DIFERENCIA ABSOLUTA SEMESTRAL]]/TABLA_AVANCE_METAS[[#This Row],[PROG. ACUM]])*100,"N/A")</f>
        <v>0</v>
      </c>
      <c r="AL10" s="44">
        <f>TABLA_AVANCE_METAS[[#This Row],[AVANCE 1°. TRIM]]+TABLA_AVANCE_METAS[[#This Row],[AVANCE 2°. TRIM]]+TABLA_AVANCE_METAS[[#This Row],[AVANCE 3°. TRIM]]+TABLA_AVANCE_METAS[[#This Row],[AVANCE 4°. TRIM]]</f>
        <v>4</v>
      </c>
      <c r="AM10" s="40">
        <f>IFERROR((TABLA_AVANCE_METAS[[#This Row],[AVANCE ACUM. ANUAL]]/TABLA_AVANCE_METAS[[#This Row],[PROGRAMADO ANUAL]])*100,"N/A")</f>
        <v>50</v>
      </c>
      <c r="AN10"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10" s="45">
        <f>TABLA_AVANCE_METAS[[#This Row],[AVANCE ACUM. ANUAL]]-TABLA_AVANCE_METAS[[#This Row],[PROGRAMADO ANUAL]]</f>
        <v>-4</v>
      </c>
      <c r="AP10" s="47">
        <f>IFERROR((TABLA_AVANCE_METAS[[#This Row],[DIFERENCIA ABSOLUTA ANUAL]]/TABLA_AVANCE_METAS[[#This Row],[PROGRAMADO ANUAL]])*100,"N/A")</f>
        <v>-50</v>
      </c>
      <c r="AQ10" s="48" t="s">
        <v>63</v>
      </c>
      <c r="AR10" s="49"/>
      <c r="AS10" s="50"/>
      <c r="AT10" s="50"/>
      <c r="AU10" s="51" t="b">
        <f>TABLA_AVANCE_METAS[[#This Row],[PROGRAMADO ANUAL]]=SUM(TABLA_AVANCE_METAS[[#This Row],[PROGR. 1° TRIM]],TABLA_AVANCE_METAS[[#This Row],[PROGR. 2° TRIM]],TABLA_AVANCE_METAS[[#This Row],[PROGR. 3° TRIM]],TABLA_AVANCE_METAS[[#This Row],[PROGR. 4° TRIM]])</f>
        <v>1</v>
      </c>
      <c r="AV10" s="52"/>
    </row>
    <row r="11" spans="1:51" ht="75" hidden="1" customHeight="1" x14ac:dyDescent="0.3">
      <c r="A11" s="31" t="str">
        <f>CONCATENATE(TABLA_AVANCE_METAS[[#This Row],[ESTRUCTURA]],TABLA_AVANCE_METAS[[#This Row],['#]])</f>
        <v>A0121501030101013</v>
      </c>
      <c r="B11" s="32" t="s">
        <v>74</v>
      </c>
      <c r="C11" s="54" t="s">
        <v>75</v>
      </c>
      <c r="D11" s="55" t="s">
        <v>76</v>
      </c>
      <c r="E11" s="32" t="s">
        <v>77</v>
      </c>
      <c r="F11" s="54" t="s">
        <v>78</v>
      </c>
      <c r="G11" s="56" t="s">
        <v>79</v>
      </c>
      <c r="H11" s="54" t="s">
        <v>56</v>
      </c>
      <c r="I11" s="54" t="s">
        <v>57</v>
      </c>
      <c r="J11" s="54" t="s">
        <v>80</v>
      </c>
      <c r="K11" s="54" t="s">
        <v>81</v>
      </c>
      <c r="L11" s="55">
        <v>3</v>
      </c>
      <c r="M11" s="57" t="s">
        <v>86</v>
      </c>
      <c r="N11" s="56" t="s">
        <v>87</v>
      </c>
      <c r="O11" s="36">
        <v>16</v>
      </c>
      <c r="P11" s="36">
        <v>4</v>
      </c>
      <c r="Q11" s="37">
        <v>4</v>
      </c>
      <c r="R11" s="38">
        <f>IFERROR((TABLA_AVANCE_METAS[[#This Row],[AVANCE 1°. TRIM]]/TABLA_AVANCE_METAS[[#This Row],[PROGR. 1° TRIM]])*100,"0")</f>
        <v>100</v>
      </c>
      <c r="S11"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11" s="36">
        <v>4</v>
      </c>
      <c r="U11" s="37">
        <v>4</v>
      </c>
      <c r="V11" s="40">
        <f t="shared" si="0"/>
        <v>100</v>
      </c>
      <c r="W11" s="39" t="str">
        <f t="shared" si="1"/>
        <v>ADECUADO</v>
      </c>
      <c r="X11" s="36">
        <v>4</v>
      </c>
      <c r="Y11" s="37">
        <v>0</v>
      </c>
      <c r="Z11" s="40">
        <v>0</v>
      </c>
      <c r="AA11" s="39" t="s">
        <v>62</v>
      </c>
      <c r="AB11" s="36">
        <v>4</v>
      </c>
      <c r="AC11" s="41">
        <v>0</v>
      </c>
      <c r="AD11" s="40">
        <f>IFERROR((TABLA_AVANCE_METAS[[#This Row],[AVANCE 4°. TRIM]]/TABLA_AVANCE_METAS[[#This Row],[PROGR. 4° TRIM]])*100,"0")</f>
        <v>0</v>
      </c>
      <c r="AE11"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1" s="43" cm="1">
        <f t="array" ref="AF11">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8</v>
      </c>
      <c r="AG11" s="44" cm="1">
        <f t="array" ref="AG11">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8</v>
      </c>
      <c r="AH11" s="40">
        <f>IFERROR((TABLA_AVANCE_METAS[[#This Row],[AVANCE ACUM. TRIM.]]/TABLA_AVANCE_METAS[[#This Row],[PROG. ACUM]])*100,"N/A")</f>
        <v>100</v>
      </c>
      <c r="AI11"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11" s="45">
        <f>TABLA_AVANCE_METAS[[#This Row],[AVANCE ACUM. TRIM.]]-TABLA_AVANCE_METAS[[#This Row],[PROG. ACUM]]</f>
        <v>0</v>
      </c>
      <c r="AK11" s="46">
        <f>IFERROR((TABLA_AVANCE_METAS[[#This Row],[DIFERENCIA ABSOLUTA SEMESTRAL]]/TABLA_AVANCE_METAS[[#This Row],[PROG. ACUM]])*100,"N/A")</f>
        <v>0</v>
      </c>
      <c r="AL11" s="44">
        <f>TABLA_AVANCE_METAS[[#This Row],[AVANCE 1°. TRIM]]+TABLA_AVANCE_METAS[[#This Row],[AVANCE 2°. TRIM]]+TABLA_AVANCE_METAS[[#This Row],[AVANCE 3°. TRIM]]+TABLA_AVANCE_METAS[[#This Row],[AVANCE 4°. TRIM]]</f>
        <v>8</v>
      </c>
      <c r="AM11" s="40">
        <f>IFERROR((TABLA_AVANCE_METAS[[#This Row],[AVANCE ACUM. ANUAL]]/TABLA_AVANCE_METAS[[#This Row],[PROGRAMADO ANUAL]])*100,"N/A")</f>
        <v>50</v>
      </c>
      <c r="AN11"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11" s="45">
        <f>TABLA_AVANCE_METAS[[#This Row],[AVANCE ACUM. ANUAL]]-TABLA_AVANCE_METAS[[#This Row],[PROGRAMADO ANUAL]]</f>
        <v>-8</v>
      </c>
      <c r="AP11" s="47">
        <f>IFERROR((TABLA_AVANCE_METAS[[#This Row],[DIFERENCIA ABSOLUTA ANUAL]]/TABLA_AVANCE_METAS[[#This Row],[PROGRAMADO ANUAL]])*100,"N/A")</f>
        <v>-50</v>
      </c>
      <c r="AQ11" s="48" t="s">
        <v>63</v>
      </c>
      <c r="AR11" s="49"/>
      <c r="AS11" s="50"/>
      <c r="AT11" s="50"/>
      <c r="AU11" s="51" t="b">
        <f>TABLA_AVANCE_METAS[[#This Row],[PROGRAMADO ANUAL]]=SUM(TABLA_AVANCE_METAS[[#This Row],[PROGR. 1° TRIM]],TABLA_AVANCE_METAS[[#This Row],[PROGR. 2° TRIM]],TABLA_AVANCE_METAS[[#This Row],[PROGR. 3° TRIM]],TABLA_AVANCE_METAS[[#This Row],[PROGR. 4° TRIM]])</f>
        <v>1</v>
      </c>
      <c r="AV11" s="52"/>
    </row>
    <row r="12" spans="1:51" ht="123" customHeight="1" x14ac:dyDescent="0.3">
      <c r="A12" s="31" t="str">
        <f>CONCATENATE(TABLA_AVANCE_METAS[[#This Row],[ESTRUCTURA]],TABLA_AVANCE_METAS[[#This Row],['#]])</f>
        <v>A0023101080401011</v>
      </c>
      <c r="B12" s="32" t="s">
        <v>88</v>
      </c>
      <c r="C12" s="32" t="s">
        <v>52</v>
      </c>
      <c r="D12" s="33" t="s">
        <v>51</v>
      </c>
      <c r="E12" s="32" t="s">
        <v>89</v>
      </c>
      <c r="F12" s="32" t="s">
        <v>90</v>
      </c>
      <c r="G12" s="34" t="s">
        <v>91</v>
      </c>
      <c r="H12" s="32" t="s">
        <v>92</v>
      </c>
      <c r="I12" s="32" t="s">
        <v>93</v>
      </c>
      <c r="J12" s="32" t="s">
        <v>94</v>
      </c>
      <c r="K12" s="32" t="s">
        <v>95</v>
      </c>
      <c r="L12" s="33">
        <v>1</v>
      </c>
      <c r="M12" s="35" t="s">
        <v>96</v>
      </c>
      <c r="N12" s="34" t="s">
        <v>97</v>
      </c>
      <c r="O12" s="36">
        <v>220</v>
      </c>
      <c r="P12" s="36">
        <v>55</v>
      </c>
      <c r="Q12" s="37">
        <v>56</v>
      </c>
      <c r="R12" s="38">
        <f>IFERROR((TABLA_AVANCE_METAS[[#This Row],[AVANCE 1°. TRIM]]/TABLA_AVANCE_METAS[[#This Row],[PROGR. 1° TRIM]])*100,"0")</f>
        <v>101.81818181818181</v>
      </c>
      <c r="S12"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12" s="36">
        <v>55</v>
      </c>
      <c r="U12" s="37">
        <v>53</v>
      </c>
      <c r="V12" s="40">
        <f t="shared" si="0"/>
        <v>96.36363636363636</v>
      </c>
      <c r="W12" s="39" t="str">
        <f t="shared" si="1"/>
        <v>ADECUADO</v>
      </c>
      <c r="X12" s="36">
        <v>55</v>
      </c>
      <c r="Y12" s="37">
        <v>0</v>
      </c>
      <c r="Z12" s="40">
        <v>0</v>
      </c>
      <c r="AA12" s="39" t="s">
        <v>62</v>
      </c>
      <c r="AB12" s="36">
        <v>55</v>
      </c>
      <c r="AC12" s="41">
        <v>0</v>
      </c>
      <c r="AD12" s="40">
        <f>IFERROR((TABLA_AVANCE_METAS[[#This Row],[AVANCE 4°. TRIM]]/TABLA_AVANCE_METAS[[#This Row],[PROGR. 4° TRIM]])*100,"0")</f>
        <v>0</v>
      </c>
      <c r="AE12"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2" s="43" cm="1">
        <f t="array" ref="AF12">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110</v>
      </c>
      <c r="AG12" s="44" cm="1">
        <f t="array" ref="AG12">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109</v>
      </c>
      <c r="AH12" s="40">
        <f>IFERROR((TABLA_AVANCE_METAS[[#This Row],[AVANCE ACUM. TRIM.]]/TABLA_AVANCE_METAS[[#This Row],[PROG. ACUM]])*100,"N/A")</f>
        <v>99.090909090909093</v>
      </c>
      <c r="AI12"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12" s="45">
        <f>TABLA_AVANCE_METAS[[#This Row],[AVANCE ACUM. TRIM.]]-TABLA_AVANCE_METAS[[#This Row],[PROG. ACUM]]</f>
        <v>-1</v>
      </c>
      <c r="AK12" s="46">
        <f>IFERROR((TABLA_AVANCE_METAS[[#This Row],[DIFERENCIA ABSOLUTA SEMESTRAL]]/TABLA_AVANCE_METAS[[#This Row],[PROG. ACUM]])*100,"N/A")</f>
        <v>-0.90909090909090906</v>
      </c>
      <c r="AL12" s="44">
        <f>TABLA_AVANCE_METAS[[#This Row],[AVANCE 1°. TRIM]]+TABLA_AVANCE_METAS[[#This Row],[AVANCE 2°. TRIM]]+TABLA_AVANCE_METAS[[#This Row],[AVANCE 3°. TRIM]]+TABLA_AVANCE_METAS[[#This Row],[AVANCE 4°. TRIM]]</f>
        <v>109</v>
      </c>
      <c r="AM12" s="40">
        <f>IFERROR((TABLA_AVANCE_METAS[[#This Row],[AVANCE ACUM. ANUAL]]/TABLA_AVANCE_METAS[[#This Row],[PROGRAMADO ANUAL]])*100,"N/A")</f>
        <v>49.545454545454547</v>
      </c>
      <c r="AN12"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12" s="45">
        <f>TABLA_AVANCE_METAS[[#This Row],[AVANCE ACUM. ANUAL]]-TABLA_AVANCE_METAS[[#This Row],[PROGRAMADO ANUAL]]</f>
        <v>-111</v>
      </c>
      <c r="AP12" s="47">
        <f>IFERROR((TABLA_AVANCE_METAS[[#This Row],[DIFERENCIA ABSOLUTA ANUAL]]/TABLA_AVANCE_METAS[[#This Row],[PROGRAMADO ANUAL]])*100,"N/A")</f>
        <v>-50.454545454545453</v>
      </c>
      <c r="AQ12" s="48" t="s">
        <v>63</v>
      </c>
      <c r="AR12" s="49"/>
      <c r="AS12" s="50"/>
      <c r="AT12" s="50"/>
      <c r="AU12" s="51" t="b">
        <f>TABLA_AVANCE_METAS[[#This Row],[PROGRAMADO ANUAL]]=SUM(TABLA_AVANCE_METAS[[#This Row],[PROGR. 1° TRIM]],TABLA_AVANCE_METAS[[#This Row],[PROGR. 2° TRIM]],TABLA_AVANCE_METAS[[#This Row],[PROGR. 3° TRIM]],TABLA_AVANCE_METAS[[#This Row],[PROGR. 4° TRIM]])</f>
        <v>1</v>
      </c>
      <c r="AV12" s="52"/>
    </row>
    <row r="13" spans="1:51" ht="75" customHeight="1" x14ac:dyDescent="0.3">
      <c r="A13" s="31" t="str">
        <f>CONCATENATE(TABLA_AVANCE_METAS[[#This Row],[ESTRUCTURA]],TABLA_AVANCE_METAS[[#This Row],['#]])</f>
        <v>A0023101080401012</v>
      </c>
      <c r="B13" s="32" t="s">
        <v>88</v>
      </c>
      <c r="C13" s="32" t="s">
        <v>52</v>
      </c>
      <c r="D13" s="33" t="s">
        <v>51</v>
      </c>
      <c r="E13" s="32" t="s">
        <v>89</v>
      </c>
      <c r="F13" s="32" t="s">
        <v>90</v>
      </c>
      <c r="G13" s="34" t="s">
        <v>91</v>
      </c>
      <c r="H13" s="32" t="s">
        <v>92</v>
      </c>
      <c r="I13" s="32" t="s">
        <v>93</v>
      </c>
      <c r="J13" s="32" t="s">
        <v>94</v>
      </c>
      <c r="K13" s="32" t="s">
        <v>95</v>
      </c>
      <c r="L13" s="33">
        <v>2</v>
      </c>
      <c r="M13" s="35" t="s">
        <v>98</v>
      </c>
      <c r="N13" s="34" t="s">
        <v>99</v>
      </c>
      <c r="O13" s="36">
        <v>4</v>
      </c>
      <c r="P13" s="36">
        <v>1</v>
      </c>
      <c r="Q13" s="37">
        <v>1</v>
      </c>
      <c r="R13" s="38">
        <f>IFERROR((TABLA_AVANCE_METAS[[#This Row],[AVANCE 1°. TRIM]]/TABLA_AVANCE_METAS[[#This Row],[PROGR. 1° TRIM]])*100,"0")</f>
        <v>100</v>
      </c>
      <c r="S13"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13" s="36">
        <v>1</v>
      </c>
      <c r="U13" s="37">
        <v>1</v>
      </c>
      <c r="V13" s="40">
        <f t="shared" si="0"/>
        <v>100</v>
      </c>
      <c r="W13" s="39" t="str">
        <f t="shared" si="1"/>
        <v>ADECUADO</v>
      </c>
      <c r="X13" s="36">
        <v>1</v>
      </c>
      <c r="Y13" s="37">
        <v>0</v>
      </c>
      <c r="Z13" s="40">
        <v>0</v>
      </c>
      <c r="AA13" s="39" t="s">
        <v>62</v>
      </c>
      <c r="AB13" s="36">
        <v>1</v>
      </c>
      <c r="AC13" s="41">
        <v>0</v>
      </c>
      <c r="AD13" s="40">
        <f>IFERROR((TABLA_AVANCE_METAS[[#This Row],[AVANCE 4°. TRIM]]/TABLA_AVANCE_METAS[[#This Row],[PROGR. 4° TRIM]])*100,"0")</f>
        <v>0</v>
      </c>
      <c r="AE13"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3" s="43" cm="1">
        <f t="array" ref="AF13">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2</v>
      </c>
      <c r="AG13" s="44" cm="1">
        <f t="array" ref="AG13">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2</v>
      </c>
      <c r="AH13" s="40">
        <f>IFERROR((TABLA_AVANCE_METAS[[#This Row],[AVANCE ACUM. TRIM.]]/TABLA_AVANCE_METAS[[#This Row],[PROG. ACUM]])*100,"N/A")</f>
        <v>100</v>
      </c>
      <c r="AI13"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13" s="45">
        <f>TABLA_AVANCE_METAS[[#This Row],[AVANCE ACUM. TRIM.]]-TABLA_AVANCE_METAS[[#This Row],[PROG. ACUM]]</f>
        <v>0</v>
      </c>
      <c r="AK13" s="46">
        <f>IFERROR((TABLA_AVANCE_METAS[[#This Row],[DIFERENCIA ABSOLUTA SEMESTRAL]]/TABLA_AVANCE_METAS[[#This Row],[PROG. ACUM]])*100,"N/A")</f>
        <v>0</v>
      </c>
      <c r="AL13" s="44">
        <f>TABLA_AVANCE_METAS[[#This Row],[AVANCE 1°. TRIM]]+TABLA_AVANCE_METAS[[#This Row],[AVANCE 2°. TRIM]]+TABLA_AVANCE_METAS[[#This Row],[AVANCE 3°. TRIM]]+TABLA_AVANCE_METAS[[#This Row],[AVANCE 4°. TRIM]]</f>
        <v>2</v>
      </c>
      <c r="AM13" s="40">
        <f>IFERROR((TABLA_AVANCE_METAS[[#This Row],[AVANCE ACUM. ANUAL]]/TABLA_AVANCE_METAS[[#This Row],[PROGRAMADO ANUAL]])*100,"N/A")</f>
        <v>50</v>
      </c>
      <c r="AN13"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13" s="45">
        <f>TABLA_AVANCE_METAS[[#This Row],[AVANCE ACUM. ANUAL]]-TABLA_AVANCE_METAS[[#This Row],[PROGRAMADO ANUAL]]</f>
        <v>-2</v>
      </c>
      <c r="AP13" s="47">
        <f>IFERROR((TABLA_AVANCE_METAS[[#This Row],[DIFERENCIA ABSOLUTA ANUAL]]/TABLA_AVANCE_METAS[[#This Row],[PROGRAMADO ANUAL]])*100,"N/A")</f>
        <v>-50</v>
      </c>
      <c r="AQ13" s="48" t="s">
        <v>63</v>
      </c>
      <c r="AR13" s="49"/>
      <c r="AS13" s="50"/>
      <c r="AT13" s="50"/>
      <c r="AU13" s="51" t="b">
        <f>TABLA_AVANCE_METAS[[#This Row],[PROGRAMADO ANUAL]]=SUM(TABLA_AVANCE_METAS[[#This Row],[PROGR. 1° TRIM]],TABLA_AVANCE_METAS[[#This Row],[PROGR. 2° TRIM]],TABLA_AVANCE_METAS[[#This Row],[PROGR. 3° TRIM]],TABLA_AVANCE_METAS[[#This Row],[PROGR. 4° TRIM]])</f>
        <v>1</v>
      </c>
      <c r="AV13" s="52"/>
    </row>
    <row r="14" spans="1:51" ht="75" customHeight="1" x14ac:dyDescent="0.3">
      <c r="A14" s="31" t="str">
        <f>CONCATENATE(TABLA_AVANCE_METAS[[#This Row],[ESTRUCTURA]],TABLA_AVANCE_METAS[[#This Row],['#]])</f>
        <v>A0023101080401013</v>
      </c>
      <c r="B14" s="32" t="s">
        <v>88</v>
      </c>
      <c r="C14" s="32" t="s">
        <v>52</v>
      </c>
      <c r="D14" s="33" t="s">
        <v>51</v>
      </c>
      <c r="E14" s="32" t="s">
        <v>89</v>
      </c>
      <c r="F14" s="32" t="s">
        <v>90</v>
      </c>
      <c r="G14" s="34" t="s">
        <v>91</v>
      </c>
      <c r="H14" s="32" t="s">
        <v>92</v>
      </c>
      <c r="I14" s="32" t="s">
        <v>93</v>
      </c>
      <c r="J14" s="32" t="s">
        <v>94</v>
      </c>
      <c r="K14" s="32" t="s">
        <v>95</v>
      </c>
      <c r="L14" s="33">
        <v>3</v>
      </c>
      <c r="M14" s="35" t="s">
        <v>100</v>
      </c>
      <c r="N14" s="34" t="s">
        <v>101</v>
      </c>
      <c r="O14" s="36">
        <v>2</v>
      </c>
      <c r="P14" s="36">
        <v>0</v>
      </c>
      <c r="Q14" s="37">
        <v>0</v>
      </c>
      <c r="R14" s="38" t="str">
        <f>IFERROR((TABLA_AVANCE_METAS[[#This Row],[AVANCE 1°. TRIM]]/TABLA_AVANCE_METAS[[#This Row],[PROGR. 1° TRIM]])*100,"0")</f>
        <v>0</v>
      </c>
      <c r="S14"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NO PROG.</v>
      </c>
      <c r="T14" s="36">
        <v>1</v>
      </c>
      <c r="U14" s="37">
        <v>1</v>
      </c>
      <c r="V14" s="40">
        <f t="shared" si="0"/>
        <v>100</v>
      </c>
      <c r="W14" s="39" t="str">
        <f t="shared" si="1"/>
        <v>ADECUADO</v>
      </c>
      <c r="X14" s="36">
        <v>0</v>
      </c>
      <c r="Y14" s="37">
        <v>0</v>
      </c>
      <c r="Z14" s="40" t="s">
        <v>72</v>
      </c>
      <c r="AA14" s="39" t="s">
        <v>73</v>
      </c>
      <c r="AB14" s="36">
        <v>1</v>
      </c>
      <c r="AC14" s="41">
        <v>0</v>
      </c>
      <c r="AD14" s="40">
        <f>IFERROR((TABLA_AVANCE_METAS[[#This Row],[AVANCE 4°. TRIM]]/TABLA_AVANCE_METAS[[#This Row],[PROGR. 4° TRIM]])*100,"0")</f>
        <v>0</v>
      </c>
      <c r="AE14"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4" s="43" cm="1">
        <f t="array" ref="AF14">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v>
      </c>
      <c r="AG14" s="44" cm="1">
        <f t="array" ref="AG14">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1</v>
      </c>
      <c r="AH14" s="40">
        <f>IFERROR((TABLA_AVANCE_METAS[[#This Row],[AVANCE ACUM. TRIM.]]/TABLA_AVANCE_METAS[[#This Row],[PROG. ACUM]])*100,"N/A")</f>
        <v>100</v>
      </c>
      <c r="AI14"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14" s="45">
        <f>TABLA_AVANCE_METAS[[#This Row],[AVANCE ACUM. TRIM.]]-TABLA_AVANCE_METAS[[#This Row],[PROG. ACUM]]</f>
        <v>0</v>
      </c>
      <c r="AK14" s="46">
        <f>IFERROR((TABLA_AVANCE_METAS[[#This Row],[DIFERENCIA ABSOLUTA SEMESTRAL]]/TABLA_AVANCE_METAS[[#This Row],[PROG. ACUM]])*100,"N/A")</f>
        <v>0</v>
      </c>
      <c r="AL14" s="44">
        <f>TABLA_AVANCE_METAS[[#This Row],[AVANCE 1°. TRIM]]+TABLA_AVANCE_METAS[[#This Row],[AVANCE 2°. TRIM]]+TABLA_AVANCE_METAS[[#This Row],[AVANCE 3°. TRIM]]+TABLA_AVANCE_METAS[[#This Row],[AVANCE 4°. TRIM]]</f>
        <v>1</v>
      </c>
      <c r="AM14" s="40">
        <f>IFERROR((TABLA_AVANCE_METAS[[#This Row],[AVANCE ACUM. ANUAL]]/TABLA_AVANCE_METAS[[#This Row],[PROGRAMADO ANUAL]])*100,"N/A")</f>
        <v>50</v>
      </c>
      <c r="AN14"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14" s="45">
        <f>TABLA_AVANCE_METAS[[#This Row],[AVANCE ACUM. ANUAL]]-TABLA_AVANCE_METAS[[#This Row],[PROGRAMADO ANUAL]]</f>
        <v>-1</v>
      </c>
      <c r="AP14" s="47">
        <f>IFERROR((TABLA_AVANCE_METAS[[#This Row],[DIFERENCIA ABSOLUTA ANUAL]]/TABLA_AVANCE_METAS[[#This Row],[PROGRAMADO ANUAL]])*100,"N/A")</f>
        <v>-50</v>
      </c>
      <c r="AQ14" s="48" t="s">
        <v>63</v>
      </c>
      <c r="AR14" s="49"/>
      <c r="AS14" s="50"/>
      <c r="AT14" s="50"/>
      <c r="AU14" s="51" t="b">
        <f>TABLA_AVANCE_METAS[[#This Row],[PROGRAMADO ANUAL]]=SUM(TABLA_AVANCE_METAS[[#This Row],[PROGR. 1° TRIM]],TABLA_AVANCE_METAS[[#This Row],[PROGR. 2° TRIM]],TABLA_AVANCE_METAS[[#This Row],[PROGR. 3° TRIM]],TABLA_AVANCE_METAS[[#This Row],[PROGR. 4° TRIM]])</f>
        <v>1</v>
      </c>
      <c r="AV14" s="52"/>
    </row>
    <row r="15" spans="1:51" s="60" customFormat="1" ht="75" customHeight="1" x14ac:dyDescent="0.3">
      <c r="A15" s="31" t="str">
        <f>CONCATENATE(TABLA_AVANCE_METAS[[#This Row],[ESTRUCTURA]],TABLA_AVANCE_METAS[[#This Row],['#]])</f>
        <v>A0023101080401014</v>
      </c>
      <c r="B15" s="32" t="s">
        <v>88</v>
      </c>
      <c r="C15" s="32" t="s">
        <v>52</v>
      </c>
      <c r="D15" s="33" t="s">
        <v>51</v>
      </c>
      <c r="E15" s="32" t="s">
        <v>89</v>
      </c>
      <c r="F15" s="32" t="s">
        <v>90</v>
      </c>
      <c r="G15" s="34" t="s">
        <v>91</v>
      </c>
      <c r="H15" s="32" t="s">
        <v>92</v>
      </c>
      <c r="I15" s="32" t="s">
        <v>93</v>
      </c>
      <c r="J15" s="32" t="s">
        <v>94</v>
      </c>
      <c r="K15" s="32" t="s">
        <v>95</v>
      </c>
      <c r="L15" s="33">
        <v>4</v>
      </c>
      <c r="M15" s="35" t="s">
        <v>102</v>
      </c>
      <c r="N15" s="34" t="s">
        <v>103</v>
      </c>
      <c r="O15" s="36">
        <v>40</v>
      </c>
      <c r="P15" s="36">
        <v>10</v>
      </c>
      <c r="Q15" s="37">
        <v>4</v>
      </c>
      <c r="R15" s="38">
        <f>IFERROR((TABLA_AVANCE_METAS[[#This Row],[AVANCE 1°. TRIM]]/TABLA_AVANCE_METAS[[#This Row],[PROGR. 1° TRIM]])*100,"0")</f>
        <v>40</v>
      </c>
      <c r="S15"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CRÍTICO</v>
      </c>
      <c r="T15" s="36">
        <v>10</v>
      </c>
      <c r="U15" s="37">
        <v>5</v>
      </c>
      <c r="V15" s="40">
        <f t="shared" si="0"/>
        <v>50</v>
      </c>
      <c r="W15" s="39" t="str">
        <f t="shared" si="1"/>
        <v>DEFICIENTE</v>
      </c>
      <c r="X15" s="36">
        <v>10</v>
      </c>
      <c r="Y15" s="37">
        <v>0</v>
      </c>
      <c r="Z15" s="40">
        <v>0</v>
      </c>
      <c r="AA15" s="39" t="s">
        <v>62</v>
      </c>
      <c r="AB15" s="36">
        <v>10</v>
      </c>
      <c r="AC15" s="41">
        <v>0</v>
      </c>
      <c r="AD15" s="40">
        <f>IFERROR((TABLA_AVANCE_METAS[[#This Row],[AVANCE 4°. TRIM]]/TABLA_AVANCE_METAS[[#This Row],[PROGR. 4° TRIM]])*100,"0")</f>
        <v>0</v>
      </c>
      <c r="AE15"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5" s="43" cm="1">
        <f t="array" ref="AF15">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20</v>
      </c>
      <c r="AG15" s="44" cm="1">
        <f t="array" ref="AG15">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9</v>
      </c>
      <c r="AH15" s="40">
        <f>IFERROR((TABLA_AVANCE_METAS[[#This Row],[AVANCE ACUM. TRIM.]]/TABLA_AVANCE_METAS[[#This Row],[PROG. ACUM]])*100,"N/A")</f>
        <v>45</v>
      </c>
      <c r="AI15"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CRÍTICO</v>
      </c>
      <c r="AJ15" s="45">
        <f>TABLA_AVANCE_METAS[[#This Row],[AVANCE ACUM. TRIM.]]-TABLA_AVANCE_METAS[[#This Row],[PROG. ACUM]]</f>
        <v>-11</v>
      </c>
      <c r="AK15" s="46">
        <f>IFERROR((TABLA_AVANCE_METAS[[#This Row],[DIFERENCIA ABSOLUTA SEMESTRAL]]/TABLA_AVANCE_METAS[[#This Row],[PROG. ACUM]])*100,"N/A")</f>
        <v>-55.000000000000007</v>
      </c>
      <c r="AL15" s="44">
        <f>TABLA_AVANCE_METAS[[#This Row],[AVANCE 1°. TRIM]]+TABLA_AVANCE_METAS[[#This Row],[AVANCE 2°. TRIM]]+TABLA_AVANCE_METAS[[#This Row],[AVANCE 3°. TRIM]]+TABLA_AVANCE_METAS[[#This Row],[AVANCE 4°. TRIM]]</f>
        <v>9</v>
      </c>
      <c r="AM15" s="40">
        <f>IFERROR((TABLA_AVANCE_METAS[[#This Row],[AVANCE ACUM. ANUAL]]/TABLA_AVANCE_METAS[[#This Row],[PROGRAMADO ANUAL]])*100,"N/A")</f>
        <v>22.5</v>
      </c>
      <c r="AN15"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15" s="45">
        <f>TABLA_AVANCE_METAS[[#This Row],[AVANCE ACUM. ANUAL]]-TABLA_AVANCE_METAS[[#This Row],[PROGRAMADO ANUAL]]</f>
        <v>-31</v>
      </c>
      <c r="AP15" s="47">
        <f>IFERROR((TABLA_AVANCE_METAS[[#This Row],[DIFERENCIA ABSOLUTA ANUAL]]/TABLA_AVANCE_METAS[[#This Row],[PROGRAMADO ANUAL]])*100,"N/A")</f>
        <v>-77.5</v>
      </c>
      <c r="AQ15" s="48" t="s">
        <v>104</v>
      </c>
      <c r="AR15" s="49"/>
      <c r="AS15" s="50"/>
      <c r="AT15" s="50"/>
      <c r="AU15" s="51" t="b">
        <f>TABLA_AVANCE_METAS[[#This Row],[PROGRAMADO ANUAL]]=SUM(TABLA_AVANCE_METAS[[#This Row],[PROGR. 1° TRIM]],TABLA_AVANCE_METAS[[#This Row],[PROGR. 2° TRIM]],TABLA_AVANCE_METAS[[#This Row],[PROGR. 3° TRIM]],TABLA_AVANCE_METAS[[#This Row],[PROGR. 4° TRIM]])</f>
        <v>1</v>
      </c>
      <c r="AV15" s="58"/>
      <c r="AW15" s="59"/>
      <c r="AY15" s="2"/>
    </row>
    <row r="16" spans="1:51" s="60" customFormat="1" ht="75" hidden="1" customHeight="1" x14ac:dyDescent="0.3">
      <c r="A16" s="31" t="str">
        <f>CONCATENATE(TABLA_AVANCE_METAS[[#This Row],[ESTRUCTURA]],TABLA_AVANCE_METAS[[#This Row],['#]])</f>
        <v>A0123401080301031</v>
      </c>
      <c r="B16" s="32" t="s">
        <v>105</v>
      </c>
      <c r="C16" s="32" t="s">
        <v>75</v>
      </c>
      <c r="D16" s="33" t="s">
        <v>76</v>
      </c>
      <c r="E16" s="32" t="s">
        <v>106</v>
      </c>
      <c r="F16" s="32" t="s">
        <v>107</v>
      </c>
      <c r="G16" s="34" t="s">
        <v>108</v>
      </c>
      <c r="H16" s="32" t="s">
        <v>109</v>
      </c>
      <c r="I16" s="32" t="s">
        <v>110</v>
      </c>
      <c r="J16" s="32" t="s">
        <v>111</v>
      </c>
      <c r="K16" s="32" t="s">
        <v>112</v>
      </c>
      <c r="L16" s="33">
        <v>1</v>
      </c>
      <c r="M16" s="35" t="s">
        <v>113</v>
      </c>
      <c r="N16" s="34" t="s">
        <v>114</v>
      </c>
      <c r="O16" s="36">
        <v>12</v>
      </c>
      <c r="P16" s="36">
        <v>3</v>
      </c>
      <c r="Q16" s="37">
        <v>3</v>
      </c>
      <c r="R16" s="38">
        <f>IFERROR((TABLA_AVANCE_METAS[[#This Row],[AVANCE 1°. TRIM]]/TABLA_AVANCE_METAS[[#This Row],[PROGR. 1° TRIM]])*100,"0")</f>
        <v>100</v>
      </c>
      <c r="S16"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16" s="36">
        <v>3</v>
      </c>
      <c r="U16" s="37">
        <v>3</v>
      </c>
      <c r="V16" s="40">
        <f t="shared" si="0"/>
        <v>100</v>
      </c>
      <c r="W16" s="39" t="str">
        <f t="shared" si="1"/>
        <v>ADECUADO</v>
      </c>
      <c r="X16" s="36">
        <v>3</v>
      </c>
      <c r="Y16" s="37">
        <v>0</v>
      </c>
      <c r="Z16" s="40">
        <v>0</v>
      </c>
      <c r="AA16" s="39" t="s">
        <v>62</v>
      </c>
      <c r="AB16" s="36">
        <v>3</v>
      </c>
      <c r="AC16" s="41">
        <v>0</v>
      </c>
      <c r="AD16" s="40">
        <f>IFERROR((TABLA_AVANCE_METAS[[#This Row],[AVANCE 4°. TRIM]]/TABLA_AVANCE_METAS[[#This Row],[PROGR. 4° TRIM]])*100,"0")</f>
        <v>0</v>
      </c>
      <c r="AE16"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6" s="43" cm="1">
        <f t="array" ref="AF16">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6</v>
      </c>
      <c r="AG16" s="44" cm="1">
        <f t="array" ref="AG16">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6</v>
      </c>
      <c r="AH16" s="40">
        <f>IFERROR((TABLA_AVANCE_METAS[[#This Row],[AVANCE ACUM. TRIM.]]/TABLA_AVANCE_METAS[[#This Row],[PROG. ACUM]])*100,"N/A")</f>
        <v>100</v>
      </c>
      <c r="AI16"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16" s="45">
        <f>TABLA_AVANCE_METAS[[#This Row],[AVANCE ACUM. TRIM.]]-TABLA_AVANCE_METAS[[#This Row],[PROG. ACUM]]</f>
        <v>0</v>
      </c>
      <c r="AK16" s="46">
        <f>IFERROR((TABLA_AVANCE_METAS[[#This Row],[DIFERENCIA ABSOLUTA SEMESTRAL]]/TABLA_AVANCE_METAS[[#This Row],[PROG. ACUM]])*100,"N/A")</f>
        <v>0</v>
      </c>
      <c r="AL16" s="44">
        <f>TABLA_AVANCE_METAS[[#This Row],[AVANCE 1°. TRIM]]+TABLA_AVANCE_METAS[[#This Row],[AVANCE 2°. TRIM]]+TABLA_AVANCE_METAS[[#This Row],[AVANCE 3°. TRIM]]+TABLA_AVANCE_METAS[[#This Row],[AVANCE 4°. TRIM]]</f>
        <v>6</v>
      </c>
      <c r="AM16" s="40">
        <f>IFERROR((TABLA_AVANCE_METAS[[#This Row],[AVANCE ACUM. ANUAL]]/TABLA_AVANCE_METAS[[#This Row],[PROGRAMADO ANUAL]])*100,"N/A")</f>
        <v>50</v>
      </c>
      <c r="AN16"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16" s="45">
        <f>TABLA_AVANCE_METAS[[#This Row],[AVANCE ACUM. ANUAL]]-TABLA_AVANCE_METAS[[#This Row],[PROGRAMADO ANUAL]]</f>
        <v>-6</v>
      </c>
      <c r="AP16" s="47">
        <f>IFERROR((TABLA_AVANCE_METAS[[#This Row],[DIFERENCIA ABSOLUTA ANUAL]]/TABLA_AVANCE_METAS[[#This Row],[PROGRAMADO ANUAL]])*100,"N/A")</f>
        <v>-50</v>
      </c>
      <c r="AQ16" s="48" t="s">
        <v>63</v>
      </c>
      <c r="AR16" s="49"/>
      <c r="AS16" s="50"/>
      <c r="AT16" s="50"/>
      <c r="AU16" s="51" t="b">
        <f>TABLA_AVANCE_METAS[[#This Row],[PROGRAMADO ANUAL]]=SUM(TABLA_AVANCE_METAS[[#This Row],[PROGR. 1° TRIM]],TABLA_AVANCE_METAS[[#This Row],[PROGR. 2° TRIM]],TABLA_AVANCE_METAS[[#This Row],[PROGR. 3° TRIM]],TABLA_AVANCE_METAS[[#This Row],[PROGR. 4° TRIM]])</f>
        <v>1</v>
      </c>
      <c r="AV16" s="58"/>
      <c r="AY16" s="2"/>
    </row>
    <row r="17" spans="1:51" s="60" customFormat="1" ht="75" hidden="1" customHeight="1" x14ac:dyDescent="0.3">
      <c r="A17" s="31" t="str">
        <f>CONCATENATE(TABLA_AVANCE_METAS[[#This Row],[ESTRUCTURA]],TABLA_AVANCE_METAS[[#This Row],['#]])</f>
        <v>A0123401080301032</v>
      </c>
      <c r="B17" s="32" t="s">
        <v>105</v>
      </c>
      <c r="C17" s="32" t="s">
        <v>75</v>
      </c>
      <c r="D17" s="33" t="s">
        <v>76</v>
      </c>
      <c r="E17" s="32" t="s">
        <v>106</v>
      </c>
      <c r="F17" s="32" t="s">
        <v>107</v>
      </c>
      <c r="G17" s="34" t="s">
        <v>108</v>
      </c>
      <c r="H17" s="32" t="s">
        <v>109</v>
      </c>
      <c r="I17" s="32" t="s">
        <v>110</v>
      </c>
      <c r="J17" s="32" t="s">
        <v>111</v>
      </c>
      <c r="K17" s="32" t="s">
        <v>112</v>
      </c>
      <c r="L17" s="33">
        <v>2</v>
      </c>
      <c r="M17" s="35" t="s">
        <v>115</v>
      </c>
      <c r="N17" s="34" t="s">
        <v>116</v>
      </c>
      <c r="O17" s="36">
        <v>1</v>
      </c>
      <c r="P17" s="36">
        <v>1</v>
      </c>
      <c r="Q17" s="37">
        <v>1</v>
      </c>
      <c r="R17" s="38">
        <f>IFERROR((TABLA_AVANCE_METAS[[#This Row],[AVANCE 1°. TRIM]]/TABLA_AVANCE_METAS[[#This Row],[PROGR. 1° TRIM]])*100,"0")</f>
        <v>100</v>
      </c>
      <c r="S17"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17" s="36">
        <v>0</v>
      </c>
      <c r="U17" s="37">
        <v>0</v>
      </c>
      <c r="V17" s="40" t="str">
        <f t="shared" si="0"/>
        <v>0</v>
      </c>
      <c r="W17" s="39" t="str">
        <f t="shared" si="1"/>
        <v>NO PROG.</v>
      </c>
      <c r="X17" s="36">
        <v>0</v>
      </c>
      <c r="Y17" s="37">
        <v>0</v>
      </c>
      <c r="Z17" s="40" t="s">
        <v>72</v>
      </c>
      <c r="AA17" s="39" t="s">
        <v>73</v>
      </c>
      <c r="AB17" s="36">
        <v>0</v>
      </c>
      <c r="AC17" s="41">
        <v>0</v>
      </c>
      <c r="AD17" s="40" t="str">
        <f>IFERROR((TABLA_AVANCE_METAS[[#This Row],[AVANCE 4°. TRIM]]/TABLA_AVANCE_METAS[[#This Row],[PROGR. 4° TRIM]])*100,"0")</f>
        <v>0</v>
      </c>
      <c r="AE17"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NO PROG.</v>
      </c>
      <c r="AF17" s="43" cm="1">
        <f t="array" ref="AF17">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v>
      </c>
      <c r="AG17" s="44" cm="1">
        <f t="array" ref="AG17">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1</v>
      </c>
      <c r="AH17" s="40">
        <f>IFERROR((TABLA_AVANCE_METAS[[#This Row],[AVANCE ACUM. TRIM.]]/TABLA_AVANCE_METAS[[#This Row],[PROG. ACUM]])*100,"N/A")</f>
        <v>100</v>
      </c>
      <c r="AI17"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17" s="45">
        <f>TABLA_AVANCE_METAS[[#This Row],[AVANCE ACUM. TRIM.]]-TABLA_AVANCE_METAS[[#This Row],[PROG. ACUM]]</f>
        <v>0</v>
      </c>
      <c r="AK17" s="46">
        <f>IFERROR((TABLA_AVANCE_METAS[[#This Row],[DIFERENCIA ABSOLUTA SEMESTRAL]]/TABLA_AVANCE_METAS[[#This Row],[PROG. ACUM]])*100,"N/A")</f>
        <v>0</v>
      </c>
      <c r="AL17" s="44">
        <f>TABLA_AVANCE_METAS[[#This Row],[AVANCE 1°. TRIM]]+TABLA_AVANCE_METAS[[#This Row],[AVANCE 2°. TRIM]]+TABLA_AVANCE_METAS[[#This Row],[AVANCE 3°. TRIM]]+TABLA_AVANCE_METAS[[#This Row],[AVANCE 4°. TRIM]]</f>
        <v>1</v>
      </c>
      <c r="AM17" s="40">
        <f>IFERROR((TABLA_AVANCE_METAS[[#This Row],[AVANCE ACUM. ANUAL]]/TABLA_AVANCE_METAS[[#This Row],[PROGRAMADO ANUAL]])*100,"N/A")</f>
        <v>100</v>
      </c>
      <c r="AN17"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ADECUADO</v>
      </c>
      <c r="AO17" s="45">
        <f>TABLA_AVANCE_METAS[[#This Row],[AVANCE ACUM. ANUAL]]-TABLA_AVANCE_METAS[[#This Row],[PROGRAMADO ANUAL]]</f>
        <v>0</v>
      </c>
      <c r="AP17" s="47">
        <f>IFERROR((TABLA_AVANCE_METAS[[#This Row],[DIFERENCIA ABSOLUTA ANUAL]]/TABLA_AVANCE_METAS[[#This Row],[PROGRAMADO ANUAL]])*100,"N/A")</f>
        <v>0</v>
      </c>
      <c r="AQ17" s="48" t="s">
        <v>63</v>
      </c>
      <c r="AR17" s="49"/>
      <c r="AS17" s="50"/>
      <c r="AT17" s="50"/>
      <c r="AU17" s="51" t="b">
        <f>TABLA_AVANCE_METAS[[#This Row],[PROGRAMADO ANUAL]]=SUM(TABLA_AVANCE_METAS[[#This Row],[PROGR. 1° TRIM]],TABLA_AVANCE_METAS[[#This Row],[PROGR. 2° TRIM]],TABLA_AVANCE_METAS[[#This Row],[PROGR. 3° TRIM]],TABLA_AVANCE_METAS[[#This Row],[PROGR. 4° TRIM]])</f>
        <v>1</v>
      </c>
      <c r="AV17" s="58"/>
      <c r="AY17" s="2"/>
    </row>
    <row r="18" spans="1:51" s="60" customFormat="1" ht="75" hidden="1" customHeight="1" x14ac:dyDescent="0.3">
      <c r="A18" s="31" t="str">
        <f>CONCATENATE(TABLA_AVANCE_METAS[[#This Row],[ESTRUCTURA]],TABLA_AVANCE_METAS[[#This Row],['#]])</f>
        <v>A0123401080301033</v>
      </c>
      <c r="B18" s="32" t="s">
        <v>105</v>
      </c>
      <c r="C18" s="32" t="s">
        <v>75</v>
      </c>
      <c r="D18" s="33" t="s">
        <v>76</v>
      </c>
      <c r="E18" s="32" t="s">
        <v>106</v>
      </c>
      <c r="F18" s="32" t="s">
        <v>107</v>
      </c>
      <c r="G18" s="34" t="s">
        <v>108</v>
      </c>
      <c r="H18" s="32" t="s">
        <v>109</v>
      </c>
      <c r="I18" s="32" t="s">
        <v>110</v>
      </c>
      <c r="J18" s="32" t="s">
        <v>111</v>
      </c>
      <c r="K18" s="32" t="s">
        <v>112</v>
      </c>
      <c r="L18" s="33">
        <v>3</v>
      </c>
      <c r="M18" s="35" t="s">
        <v>117</v>
      </c>
      <c r="N18" s="34" t="s">
        <v>118</v>
      </c>
      <c r="O18" s="36">
        <v>12</v>
      </c>
      <c r="P18" s="36">
        <v>3</v>
      </c>
      <c r="Q18" s="37">
        <v>3</v>
      </c>
      <c r="R18" s="38">
        <f>IFERROR((TABLA_AVANCE_METAS[[#This Row],[AVANCE 1°. TRIM]]/TABLA_AVANCE_METAS[[#This Row],[PROGR. 1° TRIM]])*100,"0")</f>
        <v>100</v>
      </c>
      <c r="S18"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18" s="36">
        <v>3</v>
      </c>
      <c r="U18" s="37">
        <v>3</v>
      </c>
      <c r="V18" s="40">
        <f t="shared" si="0"/>
        <v>100</v>
      </c>
      <c r="W18" s="39" t="str">
        <f t="shared" si="1"/>
        <v>ADECUADO</v>
      </c>
      <c r="X18" s="36">
        <v>3</v>
      </c>
      <c r="Y18" s="37">
        <v>0</v>
      </c>
      <c r="Z18" s="40">
        <v>0</v>
      </c>
      <c r="AA18" s="39" t="s">
        <v>62</v>
      </c>
      <c r="AB18" s="36">
        <v>3</v>
      </c>
      <c r="AC18" s="41">
        <v>0</v>
      </c>
      <c r="AD18" s="40">
        <f>IFERROR((TABLA_AVANCE_METAS[[#This Row],[AVANCE 4°. TRIM]]/TABLA_AVANCE_METAS[[#This Row],[PROGR. 4° TRIM]])*100,"0")</f>
        <v>0</v>
      </c>
      <c r="AE18"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8" s="43" cm="1">
        <f t="array" ref="AF18">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6</v>
      </c>
      <c r="AG18" s="44" cm="1">
        <f t="array" ref="AG18">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6</v>
      </c>
      <c r="AH18" s="40">
        <f>IFERROR((TABLA_AVANCE_METAS[[#This Row],[AVANCE ACUM. TRIM.]]/TABLA_AVANCE_METAS[[#This Row],[PROG. ACUM]])*100,"N/A")</f>
        <v>100</v>
      </c>
      <c r="AI18"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18" s="45">
        <f>TABLA_AVANCE_METAS[[#This Row],[AVANCE ACUM. TRIM.]]-TABLA_AVANCE_METAS[[#This Row],[PROG. ACUM]]</f>
        <v>0</v>
      </c>
      <c r="AK18" s="46">
        <f>IFERROR((TABLA_AVANCE_METAS[[#This Row],[DIFERENCIA ABSOLUTA SEMESTRAL]]/TABLA_AVANCE_METAS[[#This Row],[PROG. ACUM]])*100,"N/A")</f>
        <v>0</v>
      </c>
      <c r="AL18" s="44">
        <f>TABLA_AVANCE_METAS[[#This Row],[AVANCE 1°. TRIM]]+TABLA_AVANCE_METAS[[#This Row],[AVANCE 2°. TRIM]]+TABLA_AVANCE_METAS[[#This Row],[AVANCE 3°. TRIM]]+TABLA_AVANCE_METAS[[#This Row],[AVANCE 4°. TRIM]]</f>
        <v>6</v>
      </c>
      <c r="AM18" s="40">
        <f>IFERROR((TABLA_AVANCE_METAS[[#This Row],[AVANCE ACUM. ANUAL]]/TABLA_AVANCE_METAS[[#This Row],[PROGRAMADO ANUAL]])*100,"N/A")</f>
        <v>50</v>
      </c>
      <c r="AN18"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18" s="45">
        <f>TABLA_AVANCE_METAS[[#This Row],[AVANCE ACUM. ANUAL]]-TABLA_AVANCE_METAS[[#This Row],[PROGRAMADO ANUAL]]</f>
        <v>-6</v>
      </c>
      <c r="AP18" s="47">
        <f>IFERROR((TABLA_AVANCE_METAS[[#This Row],[DIFERENCIA ABSOLUTA ANUAL]]/TABLA_AVANCE_METAS[[#This Row],[PROGRAMADO ANUAL]])*100,"N/A")</f>
        <v>-50</v>
      </c>
      <c r="AQ18" s="48" t="s">
        <v>63</v>
      </c>
      <c r="AR18" s="49"/>
      <c r="AS18" s="50"/>
      <c r="AT18" s="50"/>
      <c r="AU18" s="51" t="b">
        <f>TABLA_AVANCE_METAS[[#This Row],[PROGRAMADO ANUAL]]=SUM(TABLA_AVANCE_METAS[[#This Row],[PROGR. 1° TRIM]],TABLA_AVANCE_METAS[[#This Row],[PROGR. 2° TRIM]],TABLA_AVANCE_METAS[[#This Row],[PROGR. 3° TRIM]],TABLA_AVANCE_METAS[[#This Row],[PROGR. 4° TRIM]])</f>
        <v>1</v>
      </c>
      <c r="AV18" s="58"/>
      <c r="AY18" s="2"/>
    </row>
    <row r="19" spans="1:51" s="60" customFormat="1" ht="75" hidden="1" customHeight="1" x14ac:dyDescent="0.3">
      <c r="A19" s="31" t="str">
        <f>CONCATENATE(TABLA_AVANCE_METAS[[#This Row],[ESTRUCTURA]],TABLA_AVANCE_METAS[[#This Row],['#]])</f>
        <v>A0123401080301034</v>
      </c>
      <c r="B19" s="32" t="s">
        <v>105</v>
      </c>
      <c r="C19" s="32" t="s">
        <v>75</v>
      </c>
      <c r="D19" s="33" t="s">
        <v>76</v>
      </c>
      <c r="E19" s="32" t="s">
        <v>106</v>
      </c>
      <c r="F19" s="32" t="s">
        <v>107</v>
      </c>
      <c r="G19" s="34" t="s">
        <v>108</v>
      </c>
      <c r="H19" s="32" t="s">
        <v>109</v>
      </c>
      <c r="I19" s="32" t="s">
        <v>110</v>
      </c>
      <c r="J19" s="32" t="s">
        <v>111</v>
      </c>
      <c r="K19" s="32" t="s">
        <v>112</v>
      </c>
      <c r="L19" s="33">
        <v>4</v>
      </c>
      <c r="M19" s="35" t="s">
        <v>119</v>
      </c>
      <c r="N19" s="34" t="s">
        <v>120</v>
      </c>
      <c r="O19" s="36">
        <v>40</v>
      </c>
      <c r="P19" s="36">
        <v>10</v>
      </c>
      <c r="Q19" s="37">
        <v>10</v>
      </c>
      <c r="R19" s="38">
        <f>IFERROR((TABLA_AVANCE_METAS[[#This Row],[AVANCE 1°. TRIM]]/TABLA_AVANCE_METAS[[#This Row],[PROGR. 1° TRIM]])*100,"0")</f>
        <v>100</v>
      </c>
      <c r="S19"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19" s="36">
        <v>10</v>
      </c>
      <c r="U19" s="37">
        <v>10</v>
      </c>
      <c r="V19" s="40">
        <f t="shared" si="0"/>
        <v>100</v>
      </c>
      <c r="W19" s="39" t="str">
        <f t="shared" si="1"/>
        <v>ADECUADO</v>
      </c>
      <c r="X19" s="36">
        <v>10</v>
      </c>
      <c r="Y19" s="37">
        <v>0</v>
      </c>
      <c r="Z19" s="40">
        <v>0</v>
      </c>
      <c r="AA19" s="39" t="s">
        <v>62</v>
      </c>
      <c r="AB19" s="36">
        <v>10</v>
      </c>
      <c r="AC19" s="41">
        <v>0</v>
      </c>
      <c r="AD19" s="40">
        <f>IFERROR((TABLA_AVANCE_METAS[[#This Row],[AVANCE 4°. TRIM]]/TABLA_AVANCE_METAS[[#This Row],[PROGR. 4° TRIM]])*100,"0")</f>
        <v>0</v>
      </c>
      <c r="AE19"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9" s="43" cm="1">
        <f t="array" ref="AF19">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20</v>
      </c>
      <c r="AG19" s="44" cm="1">
        <f t="array" ref="AG19">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20</v>
      </c>
      <c r="AH19" s="40">
        <f>IFERROR((TABLA_AVANCE_METAS[[#This Row],[AVANCE ACUM. TRIM.]]/TABLA_AVANCE_METAS[[#This Row],[PROG. ACUM]])*100,"N/A")</f>
        <v>100</v>
      </c>
      <c r="AI19"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19" s="45">
        <f>TABLA_AVANCE_METAS[[#This Row],[AVANCE ACUM. TRIM.]]-TABLA_AVANCE_METAS[[#This Row],[PROG. ACUM]]</f>
        <v>0</v>
      </c>
      <c r="AK19" s="46">
        <f>IFERROR((TABLA_AVANCE_METAS[[#This Row],[DIFERENCIA ABSOLUTA SEMESTRAL]]/TABLA_AVANCE_METAS[[#This Row],[PROG. ACUM]])*100,"N/A")</f>
        <v>0</v>
      </c>
      <c r="AL19" s="44">
        <f>TABLA_AVANCE_METAS[[#This Row],[AVANCE 1°. TRIM]]+TABLA_AVANCE_METAS[[#This Row],[AVANCE 2°. TRIM]]+TABLA_AVANCE_METAS[[#This Row],[AVANCE 3°. TRIM]]+TABLA_AVANCE_METAS[[#This Row],[AVANCE 4°. TRIM]]</f>
        <v>20</v>
      </c>
      <c r="AM19" s="40">
        <f>IFERROR((TABLA_AVANCE_METAS[[#This Row],[AVANCE ACUM. ANUAL]]/TABLA_AVANCE_METAS[[#This Row],[PROGRAMADO ANUAL]])*100,"N/A")</f>
        <v>50</v>
      </c>
      <c r="AN19"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19" s="45">
        <f>TABLA_AVANCE_METAS[[#This Row],[AVANCE ACUM. ANUAL]]-TABLA_AVANCE_METAS[[#This Row],[PROGRAMADO ANUAL]]</f>
        <v>-20</v>
      </c>
      <c r="AP19" s="47">
        <f>IFERROR((TABLA_AVANCE_METAS[[#This Row],[DIFERENCIA ABSOLUTA ANUAL]]/TABLA_AVANCE_METAS[[#This Row],[PROGRAMADO ANUAL]])*100,"N/A")</f>
        <v>-50</v>
      </c>
      <c r="AQ19" s="48" t="s">
        <v>63</v>
      </c>
      <c r="AR19" s="49"/>
      <c r="AS19" s="50"/>
      <c r="AT19" s="50"/>
      <c r="AU19" s="51" t="b">
        <f>TABLA_AVANCE_METAS[[#This Row],[PROGRAMADO ANUAL]]=SUM(TABLA_AVANCE_METAS[[#This Row],[PROGR. 1° TRIM]],TABLA_AVANCE_METAS[[#This Row],[PROGR. 2° TRIM]],TABLA_AVANCE_METAS[[#This Row],[PROGR. 3° TRIM]],TABLA_AVANCE_METAS[[#This Row],[PROGR. 4° TRIM]])</f>
        <v>1</v>
      </c>
      <c r="AV19" s="58"/>
      <c r="AY19" s="2"/>
    </row>
    <row r="20" spans="1:51" s="60" customFormat="1" ht="75" hidden="1" customHeight="1" x14ac:dyDescent="0.3">
      <c r="A20" s="31" t="str">
        <f>CONCATENATE(TABLA_AVANCE_METAS[[#This Row],[ESTRUCTURA]],TABLA_AVANCE_METAS[[#This Row],['#]])</f>
        <v>A0123401080301035</v>
      </c>
      <c r="B20" s="32" t="s">
        <v>105</v>
      </c>
      <c r="C20" s="32" t="s">
        <v>75</v>
      </c>
      <c r="D20" s="33" t="s">
        <v>76</v>
      </c>
      <c r="E20" s="32" t="s">
        <v>106</v>
      </c>
      <c r="F20" s="32" t="s">
        <v>107</v>
      </c>
      <c r="G20" s="34" t="s">
        <v>108</v>
      </c>
      <c r="H20" s="32" t="s">
        <v>109</v>
      </c>
      <c r="I20" s="32" t="s">
        <v>110</v>
      </c>
      <c r="J20" s="32" t="s">
        <v>111</v>
      </c>
      <c r="K20" s="32" t="s">
        <v>112</v>
      </c>
      <c r="L20" s="33">
        <v>5</v>
      </c>
      <c r="M20" s="35" t="s">
        <v>121</v>
      </c>
      <c r="N20" s="34" t="s">
        <v>122</v>
      </c>
      <c r="O20" s="36">
        <v>80</v>
      </c>
      <c r="P20" s="36">
        <v>20</v>
      </c>
      <c r="Q20" s="37">
        <v>20</v>
      </c>
      <c r="R20" s="38">
        <f>IFERROR((TABLA_AVANCE_METAS[[#This Row],[AVANCE 1°. TRIM]]/TABLA_AVANCE_METAS[[#This Row],[PROGR. 1° TRIM]])*100,"0")</f>
        <v>100</v>
      </c>
      <c r="S20"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20" s="36">
        <v>20</v>
      </c>
      <c r="U20" s="37">
        <v>20</v>
      </c>
      <c r="V20" s="40">
        <f t="shared" si="0"/>
        <v>100</v>
      </c>
      <c r="W20" s="39" t="str">
        <f t="shared" si="1"/>
        <v>ADECUADO</v>
      </c>
      <c r="X20" s="36">
        <v>20</v>
      </c>
      <c r="Y20" s="37">
        <v>0</v>
      </c>
      <c r="Z20" s="40">
        <v>0</v>
      </c>
      <c r="AA20" s="39" t="s">
        <v>62</v>
      </c>
      <c r="AB20" s="36">
        <v>20</v>
      </c>
      <c r="AC20" s="41">
        <v>0</v>
      </c>
      <c r="AD20" s="40">
        <f>IFERROR((TABLA_AVANCE_METAS[[#This Row],[AVANCE 4°. TRIM]]/TABLA_AVANCE_METAS[[#This Row],[PROGR. 4° TRIM]])*100,"0")</f>
        <v>0</v>
      </c>
      <c r="AE20"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20" s="43" cm="1">
        <f t="array" ref="AF20">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40</v>
      </c>
      <c r="AG20" s="44" cm="1">
        <f t="array" ref="AG20">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40</v>
      </c>
      <c r="AH20" s="40">
        <f>IFERROR((TABLA_AVANCE_METAS[[#This Row],[AVANCE ACUM. TRIM.]]/TABLA_AVANCE_METAS[[#This Row],[PROG. ACUM]])*100,"N/A")</f>
        <v>100</v>
      </c>
      <c r="AI20"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20" s="45">
        <f>TABLA_AVANCE_METAS[[#This Row],[AVANCE ACUM. TRIM.]]-TABLA_AVANCE_METAS[[#This Row],[PROG. ACUM]]</f>
        <v>0</v>
      </c>
      <c r="AK20" s="46">
        <f>IFERROR((TABLA_AVANCE_METAS[[#This Row],[DIFERENCIA ABSOLUTA SEMESTRAL]]/TABLA_AVANCE_METAS[[#This Row],[PROG. ACUM]])*100,"N/A")</f>
        <v>0</v>
      </c>
      <c r="AL20" s="44">
        <f>TABLA_AVANCE_METAS[[#This Row],[AVANCE 1°. TRIM]]+TABLA_AVANCE_METAS[[#This Row],[AVANCE 2°. TRIM]]+TABLA_AVANCE_METAS[[#This Row],[AVANCE 3°. TRIM]]+TABLA_AVANCE_METAS[[#This Row],[AVANCE 4°. TRIM]]</f>
        <v>40</v>
      </c>
      <c r="AM20" s="40">
        <f>IFERROR((TABLA_AVANCE_METAS[[#This Row],[AVANCE ACUM. ANUAL]]/TABLA_AVANCE_METAS[[#This Row],[PROGRAMADO ANUAL]])*100,"N/A")</f>
        <v>50</v>
      </c>
      <c r="AN20"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20" s="45">
        <f>TABLA_AVANCE_METAS[[#This Row],[AVANCE ACUM. ANUAL]]-TABLA_AVANCE_METAS[[#This Row],[PROGRAMADO ANUAL]]</f>
        <v>-40</v>
      </c>
      <c r="AP20" s="47">
        <f>IFERROR((TABLA_AVANCE_METAS[[#This Row],[DIFERENCIA ABSOLUTA ANUAL]]/TABLA_AVANCE_METAS[[#This Row],[PROGRAMADO ANUAL]])*100,"N/A")</f>
        <v>-50</v>
      </c>
      <c r="AQ20" s="48" t="s">
        <v>63</v>
      </c>
      <c r="AR20" s="49"/>
      <c r="AS20" s="50"/>
      <c r="AT20" s="50"/>
      <c r="AU20" s="51" t="b">
        <f>TABLA_AVANCE_METAS[[#This Row],[PROGRAMADO ANUAL]]=SUM(TABLA_AVANCE_METAS[[#This Row],[PROGR. 1° TRIM]],TABLA_AVANCE_METAS[[#This Row],[PROGR. 2° TRIM]],TABLA_AVANCE_METAS[[#This Row],[PROGR. 3° TRIM]],TABLA_AVANCE_METAS[[#This Row],[PROGR. 4° TRIM]])</f>
        <v>1</v>
      </c>
      <c r="AV20" s="58"/>
      <c r="AY20" s="2"/>
    </row>
    <row r="21" spans="1:51" s="60" customFormat="1" ht="75" hidden="1" customHeight="1" x14ac:dyDescent="0.3">
      <c r="A21" s="31" t="str">
        <f>CONCATENATE(TABLA_AVANCE_METAS[[#This Row],[ESTRUCTURA]],TABLA_AVANCE_METAS[[#This Row],['#]])</f>
        <v>A0123401080301036</v>
      </c>
      <c r="B21" s="32" t="s">
        <v>105</v>
      </c>
      <c r="C21" s="32" t="s">
        <v>75</v>
      </c>
      <c r="D21" s="33" t="s">
        <v>76</v>
      </c>
      <c r="E21" s="32" t="s">
        <v>106</v>
      </c>
      <c r="F21" s="32" t="s">
        <v>107</v>
      </c>
      <c r="G21" s="34" t="s">
        <v>108</v>
      </c>
      <c r="H21" s="32" t="s">
        <v>109</v>
      </c>
      <c r="I21" s="32" t="s">
        <v>110</v>
      </c>
      <c r="J21" s="32" t="s">
        <v>111</v>
      </c>
      <c r="K21" s="32" t="s">
        <v>112</v>
      </c>
      <c r="L21" s="33">
        <v>6</v>
      </c>
      <c r="M21" s="35" t="s">
        <v>123</v>
      </c>
      <c r="N21" s="34" t="s">
        <v>124</v>
      </c>
      <c r="O21" s="36">
        <v>560</v>
      </c>
      <c r="P21" s="36">
        <v>140</v>
      </c>
      <c r="Q21" s="37">
        <v>141</v>
      </c>
      <c r="R21" s="38">
        <f>IFERROR((TABLA_AVANCE_METAS[[#This Row],[AVANCE 1°. TRIM]]/TABLA_AVANCE_METAS[[#This Row],[PROGR. 1° TRIM]])*100,"0")</f>
        <v>100.71428571428571</v>
      </c>
      <c r="S21"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21" s="36">
        <v>140</v>
      </c>
      <c r="U21" s="37">
        <v>142</v>
      </c>
      <c r="V21" s="40">
        <f t="shared" si="0"/>
        <v>101.42857142857142</v>
      </c>
      <c r="W21" s="39" t="str">
        <f t="shared" si="1"/>
        <v>ADECUADO</v>
      </c>
      <c r="X21" s="36">
        <v>140</v>
      </c>
      <c r="Y21" s="37">
        <v>0</v>
      </c>
      <c r="Z21" s="40">
        <v>0</v>
      </c>
      <c r="AA21" s="39" t="s">
        <v>62</v>
      </c>
      <c r="AB21" s="36">
        <v>140</v>
      </c>
      <c r="AC21" s="41">
        <v>0</v>
      </c>
      <c r="AD21" s="40">
        <f>IFERROR((TABLA_AVANCE_METAS[[#This Row],[AVANCE 4°. TRIM]]/TABLA_AVANCE_METAS[[#This Row],[PROGR. 4° TRIM]])*100,"0")</f>
        <v>0</v>
      </c>
      <c r="AE21"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21" s="43" cm="1">
        <f t="array" ref="AF21">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280</v>
      </c>
      <c r="AG21" s="44" cm="1">
        <f t="array" ref="AG21">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283</v>
      </c>
      <c r="AH21" s="40">
        <f>IFERROR((TABLA_AVANCE_METAS[[#This Row],[AVANCE ACUM. TRIM.]]/TABLA_AVANCE_METAS[[#This Row],[PROG. ACUM]])*100,"N/A")</f>
        <v>101.07142857142857</v>
      </c>
      <c r="AI21"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21" s="45">
        <f>TABLA_AVANCE_METAS[[#This Row],[AVANCE ACUM. TRIM.]]-TABLA_AVANCE_METAS[[#This Row],[PROG. ACUM]]</f>
        <v>3</v>
      </c>
      <c r="AK21" s="46">
        <f>IFERROR((TABLA_AVANCE_METAS[[#This Row],[DIFERENCIA ABSOLUTA SEMESTRAL]]/TABLA_AVANCE_METAS[[#This Row],[PROG. ACUM]])*100,"N/A")</f>
        <v>1.0714285714285714</v>
      </c>
      <c r="AL21" s="44">
        <f>TABLA_AVANCE_METAS[[#This Row],[AVANCE 1°. TRIM]]+TABLA_AVANCE_METAS[[#This Row],[AVANCE 2°. TRIM]]+TABLA_AVANCE_METAS[[#This Row],[AVANCE 3°. TRIM]]+TABLA_AVANCE_METAS[[#This Row],[AVANCE 4°. TRIM]]</f>
        <v>283</v>
      </c>
      <c r="AM21" s="40">
        <f>IFERROR((TABLA_AVANCE_METAS[[#This Row],[AVANCE ACUM. ANUAL]]/TABLA_AVANCE_METAS[[#This Row],[PROGRAMADO ANUAL]])*100,"N/A")</f>
        <v>50.535714285714285</v>
      </c>
      <c r="AN21"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21" s="45">
        <f>TABLA_AVANCE_METAS[[#This Row],[AVANCE ACUM. ANUAL]]-TABLA_AVANCE_METAS[[#This Row],[PROGRAMADO ANUAL]]</f>
        <v>-277</v>
      </c>
      <c r="AP21" s="47">
        <f>IFERROR((TABLA_AVANCE_METAS[[#This Row],[DIFERENCIA ABSOLUTA ANUAL]]/TABLA_AVANCE_METAS[[#This Row],[PROGRAMADO ANUAL]])*100,"N/A")</f>
        <v>-49.464285714285715</v>
      </c>
      <c r="AQ21" s="48" t="s">
        <v>63</v>
      </c>
      <c r="AR21" s="49"/>
      <c r="AS21" s="50"/>
      <c r="AT21" s="50"/>
      <c r="AU21" s="51" t="b">
        <f>TABLA_AVANCE_METAS[[#This Row],[PROGRAMADO ANUAL]]=SUM(TABLA_AVANCE_METAS[[#This Row],[PROGR. 1° TRIM]],TABLA_AVANCE_METAS[[#This Row],[PROGR. 2° TRIM]],TABLA_AVANCE_METAS[[#This Row],[PROGR. 3° TRIM]],TABLA_AVANCE_METAS[[#This Row],[PROGR. 4° TRIM]])</f>
        <v>1</v>
      </c>
      <c r="AV21" s="58"/>
      <c r="AY21" s="2"/>
    </row>
    <row r="22" spans="1:51" s="60" customFormat="1" ht="75" hidden="1" customHeight="1" x14ac:dyDescent="0.3">
      <c r="A22" s="31" t="str">
        <f>CONCATENATE(TABLA_AVANCE_METAS[[#This Row],[ESTRUCTURA]],TABLA_AVANCE_METAS[[#This Row],['#]])</f>
        <v>A0123401080301037</v>
      </c>
      <c r="B22" s="32" t="s">
        <v>105</v>
      </c>
      <c r="C22" s="32" t="s">
        <v>75</v>
      </c>
      <c r="D22" s="33" t="s">
        <v>76</v>
      </c>
      <c r="E22" s="32" t="s">
        <v>106</v>
      </c>
      <c r="F22" s="32" t="s">
        <v>107</v>
      </c>
      <c r="G22" s="34" t="s">
        <v>108</v>
      </c>
      <c r="H22" s="32" t="s">
        <v>109</v>
      </c>
      <c r="I22" s="32" t="s">
        <v>110</v>
      </c>
      <c r="J22" s="32" t="s">
        <v>111</v>
      </c>
      <c r="K22" s="32" t="s">
        <v>112</v>
      </c>
      <c r="L22" s="33">
        <v>7</v>
      </c>
      <c r="M22" s="35" t="s">
        <v>125</v>
      </c>
      <c r="N22" s="34" t="s">
        <v>126</v>
      </c>
      <c r="O22" s="36">
        <v>80</v>
      </c>
      <c r="P22" s="36">
        <v>20</v>
      </c>
      <c r="Q22" s="37">
        <v>20</v>
      </c>
      <c r="R22" s="38">
        <f>IFERROR((TABLA_AVANCE_METAS[[#This Row],[AVANCE 1°. TRIM]]/TABLA_AVANCE_METAS[[#This Row],[PROGR. 1° TRIM]])*100,"0")</f>
        <v>100</v>
      </c>
      <c r="S22"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22" s="36">
        <v>20</v>
      </c>
      <c r="U22" s="37">
        <v>20</v>
      </c>
      <c r="V22" s="40">
        <f t="shared" si="0"/>
        <v>100</v>
      </c>
      <c r="W22" s="39" t="str">
        <f t="shared" si="1"/>
        <v>ADECUADO</v>
      </c>
      <c r="X22" s="36">
        <v>20</v>
      </c>
      <c r="Y22" s="37">
        <v>0</v>
      </c>
      <c r="Z22" s="40">
        <v>0</v>
      </c>
      <c r="AA22" s="39" t="s">
        <v>62</v>
      </c>
      <c r="AB22" s="36">
        <v>20</v>
      </c>
      <c r="AC22" s="41">
        <v>0</v>
      </c>
      <c r="AD22" s="40">
        <f>IFERROR((TABLA_AVANCE_METAS[[#This Row],[AVANCE 4°. TRIM]]/TABLA_AVANCE_METAS[[#This Row],[PROGR. 4° TRIM]])*100,"0")</f>
        <v>0</v>
      </c>
      <c r="AE22"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22" s="43" cm="1">
        <f t="array" ref="AF22">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40</v>
      </c>
      <c r="AG22" s="44" cm="1">
        <f t="array" ref="AG22">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40</v>
      </c>
      <c r="AH22" s="40">
        <f>IFERROR((TABLA_AVANCE_METAS[[#This Row],[AVANCE ACUM. TRIM.]]/TABLA_AVANCE_METAS[[#This Row],[PROG. ACUM]])*100,"N/A")</f>
        <v>100</v>
      </c>
      <c r="AI22"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22" s="45">
        <f>TABLA_AVANCE_METAS[[#This Row],[AVANCE ACUM. TRIM.]]-TABLA_AVANCE_METAS[[#This Row],[PROG. ACUM]]</f>
        <v>0</v>
      </c>
      <c r="AK22" s="46">
        <f>IFERROR((TABLA_AVANCE_METAS[[#This Row],[DIFERENCIA ABSOLUTA SEMESTRAL]]/TABLA_AVANCE_METAS[[#This Row],[PROG. ACUM]])*100,"N/A")</f>
        <v>0</v>
      </c>
      <c r="AL22" s="44">
        <f>TABLA_AVANCE_METAS[[#This Row],[AVANCE 1°. TRIM]]+TABLA_AVANCE_METAS[[#This Row],[AVANCE 2°. TRIM]]+TABLA_AVANCE_METAS[[#This Row],[AVANCE 3°. TRIM]]+TABLA_AVANCE_METAS[[#This Row],[AVANCE 4°. TRIM]]</f>
        <v>40</v>
      </c>
      <c r="AM22" s="40">
        <f>IFERROR((TABLA_AVANCE_METAS[[#This Row],[AVANCE ACUM. ANUAL]]/TABLA_AVANCE_METAS[[#This Row],[PROGRAMADO ANUAL]])*100,"N/A")</f>
        <v>50</v>
      </c>
      <c r="AN22"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22" s="45">
        <f>TABLA_AVANCE_METAS[[#This Row],[AVANCE ACUM. ANUAL]]-TABLA_AVANCE_METAS[[#This Row],[PROGRAMADO ANUAL]]</f>
        <v>-40</v>
      </c>
      <c r="AP22" s="47">
        <f>IFERROR((TABLA_AVANCE_METAS[[#This Row],[DIFERENCIA ABSOLUTA ANUAL]]/TABLA_AVANCE_METAS[[#This Row],[PROGRAMADO ANUAL]])*100,"N/A")</f>
        <v>-50</v>
      </c>
      <c r="AQ22" s="48" t="s">
        <v>63</v>
      </c>
      <c r="AR22" s="49"/>
      <c r="AS22" s="50"/>
      <c r="AT22" s="50"/>
      <c r="AU22" s="51" t="b">
        <f>TABLA_AVANCE_METAS[[#This Row],[PROGRAMADO ANUAL]]=SUM(TABLA_AVANCE_METAS[[#This Row],[PROGR. 1° TRIM]],TABLA_AVANCE_METAS[[#This Row],[PROGR. 2° TRIM]],TABLA_AVANCE_METAS[[#This Row],[PROGR. 3° TRIM]],TABLA_AVANCE_METAS[[#This Row],[PROGR. 4° TRIM]])</f>
        <v>1</v>
      </c>
      <c r="AV22" s="58"/>
      <c r="AY22" s="2"/>
    </row>
    <row r="23" spans="1:51" s="60" customFormat="1" ht="75" hidden="1" customHeight="1" x14ac:dyDescent="0.3">
      <c r="A23" s="31" t="str">
        <f>CONCATENATE(TABLA_AVANCE_METAS[[#This Row],[ESTRUCTURA]],TABLA_AVANCE_METAS[[#This Row],['#]])</f>
        <v>A0123401080301038</v>
      </c>
      <c r="B23" s="32" t="s">
        <v>105</v>
      </c>
      <c r="C23" s="61" t="s">
        <v>75</v>
      </c>
      <c r="D23" s="62" t="s">
        <v>76</v>
      </c>
      <c r="E23" s="32" t="s">
        <v>106</v>
      </c>
      <c r="F23" s="61" t="s">
        <v>107</v>
      </c>
      <c r="G23" s="34" t="s">
        <v>108</v>
      </c>
      <c r="H23" s="61" t="s">
        <v>109</v>
      </c>
      <c r="I23" s="61" t="s">
        <v>110</v>
      </c>
      <c r="J23" s="61" t="s">
        <v>111</v>
      </c>
      <c r="K23" s="61" t="s">
        <v>112</v>
      </c>
      <c r="L23" s="33">
        <v>8</v>
      </c>
      <c r="M23" s="57" t="s">
        <v>127</v>
      </c>
      <c r="N23" s="34" t="s">
        <v>128</v>
      </c>
      <c r="O23" s="36">
        <v>4</v>
      </c>
      <c r="P23" s="36">
        <v>1</v>
      </c>
      <c r="Q23" s="37">
        <v>1</v>
      </c>
      <c r="R23" s="38">
        <f>IFERROR((TABLA_AVANCE_METAS[[#This Row],[AVANCE 1°. TRIM]]/TABLA_AVANCE_METAS[[#This Row],[PROGR. 1° TRIM]])*100,"0")</f>
        <v>100</v>
      </c>
      <c r="S23"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23" s="36">
        <v>1</v>
      </c>
      <c r="U23" s="37">
        <v>1</v>
      </c>
      <c r="V23" s="40">
        <f t="shared" si="0"/>
        <v>100</v>
      </c>
      <c r="W23" s="39" t="str">
        <f t="shared" si="1"/>
        <v>ADECUADO</v>
      </c>
      <c r="X23" s="36">
        <v>1</v>
      </c>
      <c r="Y23" s="37">
        <v>0</v>
      </c>
      <c r="Z23" s="40">
        <v>0</v>
      </c>
      <c r="AA23" s="39" t="s">
        <v>62</v>
      </c>
      <c r="AB23" s="36">
        <v>1</v>
      </c>
      <c r="AC23" s="41">
        <v>0</v>
      </c>
      <c r="AD23" s="40">
        <f>IFERROR((TABLA_AVANCE_METAS[[#This Row],[AVANCE 4°. TRIM]]/TABLA_AVANCE_METAS[[#This Row],[PROGR. 4° TRIM]])*100,"0")</f>
        <v>0</v>
      </c>
      <c r="AE23"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23" s="43" cm="1">
        <f t="array" ref="AF23">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2</v>
      </c>
      <c r="AG23" s="44" cm="1">
        <f t="array" ref="AG23">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2</v>
      </c>
      <c r="AH23" s="40">
        <f>IFERROR((TABLA_AVANCE_METAS[[#This Row],[AVANCE ACUM. TRIM.]]/TABLA_AVANCE_METAS[[#This Row],[PROG. ACUM]])*100,"N/A")</f>
        <v>100</v>
      </c>
      <c r="AI23"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23" s="45">
        <f>TABLA_AVANCE_METAS[[#This Row],[AVANCE ACUM. TRIM.]]-TABLA_AVANCE_METAS[[#This Row],[PROG. ACUM]]</f>
        <v>0</v>
      </c>
      <c r="AK23" s="46">
        <f>IFERROR((TABLA_AVANCE_METAS[[#This Row],[DIFERENCIA ABSOLUTA SEMESTRAL]]/TABLA_AVANCE_METAS[[#This Row],[PROG. ACUM]])*100,"N/A")</f>
        <v>0</v>
      </c>
      <c r="AL23" s="44">
        <f>TABLA_AVANCE_METAS[[#This Row],[AVANCE 1°. TRIM]]+TABLA_AVANCE_METAS[[#This Row],[AVANCE 2°. TRIM]]+TABLA_AVANCE_METAS[[#This Row],[AVANCE 3°. TRIM]]+TABLA_AVANCE_METAS[[#This Row],[AVANCE 4°. TRIM]]</f>
        <v>2</v>
      </c>
      <c r="AM23" s="40">
        <f>IFERROR((TABLA_AVANCE_METAS[[#This Row],[AVANCE ACUM. ANUAL]]/TABLA_AVANCE_METAS[[#This Row],[PROGRAMADO ANUAL]])*100,"N/A")</f>
        <v>50</v>
      </c>
      <c r="AN23"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23" s="45">
        <f>TABLA_AVANCE_METAS[[#This Row],[AVANCE ACUM. ANUAL]]-TABLA_AVANCE_METAS[[#This Row],[PROGRAMADO ANUAL]]</f>
        <v>-2</v>
      </c>
      <c r="AP23" s="47">
        <f>IFERROR((TABLA_AVANCE_METAS[[#This Row],[DIFERENCIA ABSOLUTA ANUAL]]/TABLA_AVANCE_METAS[[#This Row],[PROGRAMADO ANUAL]])*100,"N/A")</f>
        <v>-50</v>
      </c>
      <c r="AQ23" s="48" t="s">
        <v>63</v>
      </c>
      <c r="AR23" s="49"/>
      <c r="AS23" s="50"/>
      <c r="AT23" s="50"/>
      <c r="AU23" s="51" t="b">
        <f>TABLA_AVANCE_METAS[[#This Row],[PROGRAMADO ANUAL]]=SUM(TABLA_AVANCE_METAS[[#This Row],[PROGR. 1° TRIM]],TABLA_AVANCE_METAS[[#This Row],[PROGR. 2° TRIM]],TABLA_AVANCE_METAS[[#This Row],[PROGR. 3° TRIM]],TABLA_AVANCE_METAS[[#This Row],[PROGR. 4° TRIM]])</f>
        <v>1</v>
      </c>
      <c r="AV23" s="58"/>
      <c r="AY23" s="2"/>
    </row>
    <row r="24" spans="1:51" s="60" customFormat="1" ht="75" hidden="1" customHeight="1" x14ac:dyDescent="0.3">
      <c r="A24" s="31" t="str">
        <f>CONCATENATE(TABLA_AVANCE_METAS[[#This Row],[ESTRUCTURA]],TABLA_AVANCE_METAS[[#This Row],['#]])</f>
        <v>A0123401080301039</v>
      </c>
      <c r="B24" s="32" t="s">
        <v>105</v>
      </c>
      <c r="C24" s="32" t="s">
        <v>75</v>
      </c>
      <c r="D24" s="33" t="s">
        <v>76</v>
      </c>
      <c r="E24" s="32" t="s">
        <v>106</v>
      </c>
      <c r="F24" s="32" t="s">
        <v>107</v>
      </c>
      <c r="G24" s="34" t="s">
        <v>108</v>
      </c>
      <c r="H24" s="32" t="s">
        <v>109</v>
      </c>
      <c r="I24" s="32" t="s">
        <v>110</v>
      </c>
      <c r="J24" s="32" t="s">
        <v>111</v>
      </c>
      <c r="K24" s="32" t="s">
        <v>112</v>
      </c>
      <c r="L24" s="33">
        <v>9</v>
      </c>
      <c r="M24" s="35" t="s">
        <v>129</v>
      </c>
      <c r="N24" s="34" t="s">
        <v>85</v>
      </c>
      <c r="O24" s="36">
        <v>2</v>
      </c>
      <c r="P24" s="36">
        <v>0</v>
      </c>
      <c r="Q24" s="37">
        <v>0</v>
      </c>
      <c r="R24" s="38" t="str">
        <f>IFERROR((TABLA_AVANCE_METAS[[#This Row],[AVANCE 1°. TRIM]]/TABLA_AVANCE_METAS[[#This Row],[PROGR. 1° TRIM]])*100,"0")</f>
        <v>0</v>
      </c>
      <c r="S24"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NO PROG.</v>
      </c>
      <c r="T24" s="36">
        <v>1</v>
      </c>
      <c r="U24" s="37">
        <v>1</v>
      </c>
      <c r="V24" s="40">
        <f t="shared" si="0"/>
        <v>100</v>
      </c>
      <c r="W24" s="39" t="str">
        <f t="shared" si="1"/>
        <v>ADECUADO</v>
      </c>
      <c r="X24" s="36">
        <v>0</v>
      </c>
      <c r="Y24" s="37">
        <v>0</v>
      </c>
      <c r="Z24" s="40" t="s">
        <v>72</v>
      </c>
      <c r="AA24" s="39" t="s">
        <v>73</v>
      </c>
      <c r="AB24" s="36">
        <v>1</v>
      </c>
      <c r="AC24" s="41">
        <v>0</v>
      </c>
      <c r="AD24" s="40">
        <f>IFERROR((TABLA_AVANCE_METAS[[#This Row],[AVANCE 4°. TRIM]]/TABLA_AVANCE_METAS[[#This Row],[PROGR. 4° TRIM]])*100,"0")</f>
        <v>0</v>
      </c>
      <c r="AE24"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24" s="43" cm="1">
        <f t="array" ref="AF24">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v>
      </c>
      <c r="AG24" s="44" cm="1">
        <f t="array" ref="AG24">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1</v>
      </c>
      <c r="AH24" s="40">
        <f>IFERROR((TABLA_AVANCE_METAS[[#This Row],[AVANCE ACUM. TRIM.]]/TABLA_AVANCE_METAS[[#This Row],[PROG. ACUM]])*100,"N/A")</f>
        <v>100</v>
      </c>
      <c r="AI24"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24" s="45">
        <f>TABLA_AVANCE_METAS[[#This Row],[AVANCE ACUM. TRIM.]]-TABLA_AVANCE_METAS[[#This Row],[PROG. ACUM]]</f>
        <v>0</v>
      </c>
      <c r="AK24" s="46">
        <f>IFERROR((TABLA_AVANCE_METAS[[#This Row],[DIFERENCIA ABSOLUTA SEMESTRAL]]/TABLA_AVANCE_METAS[[#This Row],[PROG. ACUM]])*100,"N/A")</f>
        <v>0</v>
      </c>
      <c r="AL24" s="44">
        <f>TABLA_AVANCE_METAS[[#This Row],[AVANCE 1°. TRIM]]+TABLA_AVANCE_METAS[[#This Row],[AVANCE 2°. TRIM]]+TABLA_AVANCE_METAS[[#This Row],[AVANCE 3°. TRIM]]+TABLA_AVANCE_METAS[[#This Row],[AVANCE 4°. TRIM]]</f>
        <v>1</v>
      </c>
      <c r="AM24" s="40">
        <f>IFERROR((TABLA_AVANCE_METAS[[#This Row],[AVANCE ACUM. ANUAL]]/TABLA_AVANCE_METAS[[#This Row],[PROGRAMADO ANUAL]])*100,"N/A")</f>
        <v>50</v>
      </c>
      <c r="AN24"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24" s="45">
        <f>TABLA_AVANCE_METAS[[#This Row],[AVANCE ACUM. ANUAL]]-TABLA_AVANCE_METAS[[#This Row],[PROGRAMADO ANUAL]]</f>
        <v>-1</v>
      </c>
      <c r="AP24" s="47">
        <f>IFERROR((TABLA_AVANCE_METAS[[#This Row],[DIFERENCIA ABSOLUTA ANUAL]]/TABLA_AVANCE_METAS[[#This Row],[PROGRAMADO ANUAL]])*100,"N/A")</f>
        <v>-50</v>
      </c>
      <c r="AQ24" s="48" t="s">
        <v>63</v>
      </c>
      <c r="AR24" s="49"/>
      <c r="AS24" s="50"/>
      <c r="AT24" s="50"/>
      <c r="AU24" s="51" t="b">
        <f>TABLA_AVANCE_METAS[[#This Row],[PROGRAMADO ANUAL]]=SUM(TABLA_AVANCE_METAS[[#This Row],[PROGR. 1° TRIM]],TABLA_AVANCE_METAS[[#This Row],[PROGR. 2° TRIM]],TABLA_AVANCE_METAS[[#This Row],[PROGR. 3° TRIM]],TABLA_AVANCE_METAS[[#This Row],[PROGR. 4° TRIM]])</f>
        <v>1</v>
      </c>
      <c r="AV24" s="58"/>
      <c r="AY24" s="2"/>
    </row>
    <row r="25" spans="1:51" s="60" customFormat="1" ht="75" hidden="1" customHeight="1" x14ac:dyDescent="0.3">
      <c r="A25" s="31" t="str">
        <f>CONCATENATE(TABLA_AVANCE_METAS[[#This Row],[ESTRUCTURA]],TABLA_AVANCE_METAS[[#This Row],['#]])</f>
        <v>A01234010803010310</v>
      </c>
      <c r="B25" s="32" t="s">
        <v>105</v>
      </c>
      <c r="C25" s="32" t="s">
        <v>75</v>
      </c>
      <c r="D25" s="33" t="s">
        <v>76</v>
      </c>
      <c r="E25" s="32" t="s">
        <v>106</v>
      </c>
      <c r="F25" s="32" t="s">
        <v>107</v>
      </c>
      <c r="G25" s="34" t="s">
        <v>108</v>
      </c>
      <c r="H25" s="32" t="s">
        <v>109</v>
      </c>
      <c r="I25" s="32" t="s">
        <v>110</v>
      </c>
      <c r="J25" s="32" t="s">
        <v>111</v>
      </c>
      <c r="K25" s="32" t="s">
        <v>112</v>
      </c>
      <c r="L25" s="33">
        <v>10</v>
      </c>
      <c r="M25" s="35" t="s">
        <v>130</v>
      </c>
      <c r="N25" s="34" t="s">
        <v>131</v>
      </c>
      <c r="O25" s="36">
        <v>5</v>
      </c>
      <c r="P25" s="36">
        <v>1</v>
      </c>
      <c r="Q25" s="37">
        <v>1</v>
      </c>
      <c r="R25" s="38">
        <f>IFERROR((TABLA_AVANCE_METAS[[#This Row],[AVANCE 1°. TRIM]]/TABLA_AVANCE_METAS[[#This Row],[PROGR. 1° TRIM]])*100,"0")</f>
        <v>100</v>
      </c>
      <c r="S25"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25" s="36">
        <v>1</v>
      </c>
      <c r="U25" s="37">
        <v>1</v>
      </c>
      <c r="V25" s="40">
        <f t="shared" si="0"/>
        <v>100</v>
      </c>
      <c r="W25" s="39" t="str">
        <f t="shared" si="1"/>
        <v>ADECUADO</v>
      </c>
      <c r="X25" s="36">
        <v>2</v>
      </c>
      <c r="Y25" s="37">
        <v>0</v>
      </c>
      <c r="Z25" s="40">
        <v>0</v>
      </c>
      <c r="AA25" s="39" t="s">
        <v>62</v>
      </c>
      <c r="AB25" s="36">
        <v>1</v>
      </c>
      <c r="AC25" s="41">
        <v>0</v>
      </c>
      <c r="AD25" s="40">
        <f>IFERROR((TABLA_AVANCE_METAS[[#This Row],[AVANCE 4°. TRIM]]/TABLA_AVANCE_METAS[[#This Row],[PROGR. 4° TRIM]])*100,"0")</f>
        <v>0</v>
      </c>
      <c r="AE25"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25" s="43" cm="1">
        <f t="array" ref="AF25">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2</v>
      </c>
      <c r="AG25" s="44" cm="1">
        <f t="array" ref="AG25">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2</v>
      </c>
      <c r="AH25" s="40">
        <f>IFERROR((TABLA_AVANCE_METAS[[#This Row],[AVANCE ACUM. TRIM.]]/TABLA_AVANCE_METAS[[#This Row],[PROG. ACUM]])*100,"N/A")</f>
        <v>100</v>
      </c>
      <c r="AI25"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25" s="45">
        <f>TABLA_AVANCE_METAS[[#This Row],[AVANCE ACUM. TRIM.]]-TABLA_AVANCE_METAS[[#This Row],[PROG. ACUM]]</f>
        <v>0</v>
      </c>
      <c r="AK25" s="46">
        <f>IFERROR((TABLA_AVANCE_METAS[[#This Row],[DIFERENCIA ABSOLUTA SEMESTRAL]]/TABLA_AVANCE_METAS[[#This Row],[PROG. ACUM]])*100,"N/A")</f>
        <v>0</v>
      </c>
      <c r="AL25" s="44">
        <f>TABLA_AVANCE_METAS[[#This Row],[AVANCE 1°. TRIM]]+TABLA_AVANCE_METAS[[#This Row],[AVANCE 2°. TRIM]]+TABLA_AVANCE_METAS[[#This Row],[AVANCE 3°. TRIM]]+TABLA_AVANCE_METAS[[#This Row],[AVANCE 4°. TRIM]]</f>
        <v>2</v>
      </c>
      <c r="AM25" s="40">
        <f>IFERROR((TABLA_AVANCE_METAS[[#This Row],[AVANCE ACUM. ANUAL]]/TABLA_AVANCE_METAS[[#This Row],[PROGRAMADO ANUAL]])*100,"N/A")</f>
        <v>40</v>
      </c>
      <c r="AN25"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25" s="45">
        <f>TABLA_AVANCE_METAS[[#This Row],[AVANCE ACUM. ANUAL]]-TABLA_AVANCE_METAS[[#This Row],[PROGRAMADO ANUAL]]</f>
        <v>-3</v>
      </c>
      <c r="AP25" s="47">
        <f>IFERROR((TABLA_AVANCE_METAS[[#This Row],[DIFERENCIA ABSOLUTA ANUAL]]/TABLA_AVANCE_METAS[[#This Row],[PROGRAMADO ANUAL]])*100,"N/A")</f>
        <v>-60</v>
      </c>
      <c r="AQ25" s="48" t="s">
        <v>63</v>
      </c>
      <c r="AR25" s="49"/>
      <c r="AS25" s="50"/>
      <c r="AT25" s="50"/>
      <c r="AU25" s="51" t="b">
        <f>TABLA_AVANCE_METAS[[#This Row],[PROGRAMADO ANUAL]]=SUM(TABLA_AVANCE_METAS[[#This Row],[PROGR. 1° TRIM]],TABLA_AVANCE_METAS[[#This Row],[PROGR. 2° TRIM]],TABLA_AVANCE_METAS[[#This Row],[PROGR. 3° TRIM]],TABLA_AVANCE_METAS[[#This Row],[PROGR. 4° TRIM]])</f>
        <v>1</v>
      </c>
      <c r="AV25" s="58"/>
      <c r="AY25" s="2"/>
    </row>
    <row r="26" spans="1:51" ht="75" hidden="1" customHeight="1" x14ac:dyDescent="0.3">
      <c r="A26" s="31" t="str">
        <f>CONCATENATE(TABLA_AVANCE_METAS[[#This Row],[ESTRUCTURA]],TABLA_AVANCE_METAS[[#This Row],['#]])</f>
        <v>A0121501030101031</v>
      </c>
      <c r="B26" s="32" t="s">
        <v>132</v>
      </c>
      <c r="C26" s="32" t="s">
        <v>75</v>
      </c>
      <c r="D26" s="33" t="s">
        <v>76</v>
      </c>
      <c r="E26" s="32" t="s">
        <v>77</v>
      </c>
      <c r="F26" s="32" t="s">
        <v>78</v>
      </c>
      <c r="G26" s="34" t="s">
        <v>133</v>
      </c>
      <c r="H26" s="32" t="s">
        <v>56</v>
      </c>
      <c r="I26" s="32" t="s">
        <v>57</v>
      </c>
      <c r="J26" s="32" t="s">
        <v>58</v>
      </c>
      <c r="K26" s="32" t="s">
        <v>59</v>
      </c>
      <c r="L26" s="33">
        <v>1</v>
      </c>
      <c r="M26" s="35" t="s">
        <v>134</v>
      </c>
      <c r="N26" s="34" t="s">
        <v>85</v>
      </c>
      <c r="O26" s="36">
        <v>12</v>
      </c>
      <c r="P26" s="36">
        <v>3</v>
      </c>
      <c r="Q26" s="37">
        <v>3</v>
      </c>
      <c r="R26" s="38">
        <f>IFERROR((TABLA_AVANCE_METAS[[#This Row],[AVANCE 1°. TRIM]]/TABLA_AVANCE_METAS[[#This Row],[PROGR. 1° TRIM]])*100,"0")</f>
        <v>100</v>
      </c>
      <c r="S26"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26" s="36">
        <v>3</v>
      </c>
      <c r="U26" s="37">
        <v>3</v>
      </c>
      <c r="V26" s="40">
        <f t="shared" si="0"/>
        <v>100</v>
      </c>
      <c r="W26" s="39" t="str">
        <f t="shared" si="1"/>
        <v>ADECUADO</v>
      </c>
      <c r="X26" s="36">
        <v>3</v>
      </c>
      <c r="Y26" s="37">
        <v>0</v>
      </c>
      <c r="Z26" s="40">
        <v>0</v>
      </c>
      <c r="AA26" s="39" t="s">
        <v>62</v>
      </c>
      <c r="AB26" s="36">
        <v>3</v>
      </c>
      <c r="AC26" s="41">
        <v>0</v>
      </c>
      <c r="AD26" s="40">
        <f>IFERROR((TABLA_AVANCE_METAS[[#This Row],[AVANCE 4°. TRIM]]/TABLA_AVANCE_METAS[[#This Row],[PROGR. 4° TRIM]])*100,"0")</f>
        <v>0</v>
      </c>
      <c r="AE26"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26" s="43" cm="1">
        <f t="array" ref="AF26">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6</v>
      </c>
      <c r="AG26" s="44" cm="1">
        <f t="array" ref="AG26">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6</v>
      </c>
      <c r="AH26" s="40">
        <f>IFERROR((TABLA_AVANCE_METAS[[#This Row],[AVANCE ACUM. TRIM.]]/TABLA_AVANCE_METAS[[#This Row],[PROG. ACUM]])*100,"N/A")</f>
        <v>100</v>
      </c>
      <c r="AI26"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26" s="45">
        <f>TABLA_AVANCE_METAS[[#This Row],[AVANCE ACUM. TRIM.]]-TABLA_AVANCE_METAS[[#This Row],[PROG. ACUM]]</f>
        <v>0</v>
      </c>
      <c r="AK26" s="46">
        <f>IFERROR((TABLA_AVANCE_METAS[[#This Row],[DIFERENCIA ABSOLUTA SEMESTRAL]]/TABLA_AVANCE_METAS[[#This Row],[PROG. ACUM]])*100,"N/A")</f>
        <v>0</v>
      </c>
      <c r="AL26" s="44">
        <f>TABLA_AVANCE_METAS[[#This Row],[AVANCE 1°. TRIM]]+TABLA_AVANCE_METAS[[#This Row],[AVANCE 2°. TRIM]]+TABLA_AVANCE_METAS[[#This Row],[AVANCE 3°. TRIM]]+TABLA_AVANCE_METAS[[#This Row],[AVANCE 4°. TRIM]]</f>
        <v>6</v>
      </c>
      <c r="AM26" s="40">
        <f>IFERROR((TABLA_AVANCE_METAS[[#This Row],[AVANCE ACUM. ANUAL]]/TABLA_AVANCE_METAS[[#This Row],[PROGRAMADO ANUAL]])*100,"N/A")</f>
        <v>50</v>
      </c>
      <c r="AN26"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26" s="45">
        <f>TABLA_AVANCE_METAS[[#This Row],[AVANCE ACUM. ANUAL]]-TABLA_AVANCE_METAS[[#This Row],[PROGRAMADO ANUAL]]</f>
        <v>-6</v>
      </c>
      <c r="AP26" s="47">
        <f>IFERROR((TABLA_AVANCE_METAS[[#This Row],[DIFERENCIA ABSOLUTA ANUAL]]/TABLA_AVANCE_METAS[[#This Row],[PROGRAMADO ANUAL]])*100,"N/A")</f>
        <v>-50</v>
      </c>
      <c r="AQ26" s="48" t="s">
        <v>63</v>
      </c>
      <c r="AR26" s="49"/>
      <c r="AS26" s="50"/>
      <c r="AT26" s="50"/>
      <c r="AU26" s="51" t="b">
        <f>TABLA_AVANCE_METAS[[#This Row],[PROGRAMADO ANUAL]]=SUM(TABLA_AVANCE_METAS[[#This Row],[PROGR. 1° TRIM]],TABLA_AVANCE_METAS[[#This Row],[PROGR. 2° TRIM]],TABLA_AVANCE_METAS[[#This Row],[PROGR. 3° TRIM]],TABLA_AVANCE_METAS[[#This Row],[PROGR. 4° TRIM]])</f>
        <v>1</v>
      </c>
      <c r="AV26" s="58"/>
    </row>
    <row r="27" spans="1:51" ht="75" hidden="1" customHeight="1" x14ac:dyDescent="0.3">
      <c r="A27" s="31" t="str">
        <f>CONCATENATE(TABLA_AVANCE_METAS[[#This Row],[ESTRUCTURA]],TABLA_AVANCE_METAS[[#This Row],['#]])</f>
        <v>A0121501030101032</v>
      </c>
      <c r="B27" s="32" t="s">
        <v>132</v>
      </c>
      <c r="C27" s="33" t="s">
        <v>75</v>
      </c>
      <c r="D27" s="32" t="s">
        <v>76</v>
      </c>
      <c r="E27" s="32" t="s">
        <v>77</v>
      </c>
      <c r="F27" s="32" t="s">
        <v>78</v>
      </c>
      <c r="G27" s="34" t="s">
        <v>133</v>
      </c>
      <c r="H27" s="32" t="s">
        <v>56</v>
      </c>
      <c r="I27" s="32" t="s">
        <v>57</v>
      </c>
      <c r="J27" s="32" t="s">
        <v>58</v>
      </c>
      <c r="K27" s="32" t="s">
        <v>59</v>
      </c>
      <c r="L27" s="33">
        <v>2</v>
      </c>
      <c r="M27" s="35" t="s">
        <v>135</v>
      </c>
      <c r="N27" s="34" t="s">
        <v>124</v>
      </c>
      <c r="O27" s="36">
        <v>12</v>
      </c>
      <c r="P27" s="36">
        <v>3</v>
      </c>
      <c r="Q27" s="37">
        <v>3</v>
      </c>
      <c r="R27" s="38">
        <f>IFERROR((TABLA_AVANCE_METAS[[#This Row],[AVANCE 1°. TRIM]]/TABLA_AVANCE_METAS[[#This Row],[PROGR. 1° TRIM]])*100,"0")</f>
        <v>100</v>
      </c>
      <c r="S27"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27" s="36">
        <v>3</v>
      </c>
      <c r="U27" s="37">
        <v>3</v>
      </c>
      <c r="V27" s="40">
        <f t="shared" si="0"/>
        <v>100</v>
      </c>
      <c r="W27" s="39" t="str">
        <f t="shared" si="1"/>
        <v>ADECUADO</v>
      </c>
      <c r="X27" s="36">
        <v>3</v>
      </c>
      <c r="Y27" s="37">
        <v>0</v>
      </c>
      <c r="Z27" s="40">
        <v>0</v>
      </c>
      <c r="AA27" s="39" t="s">
        <v>62</v>
      </c>
      <c r="AB27" s="36">
        <v>3</v>
      </c>
      <c r="AC27" s="41">
        <v>0</v>
      </c>
      <c r="AD27" s="40">
        <f>IFERROR((TABLA_AVANCE_METAS[[#This Row],[AVANCE 4°. TRIM]]/TABLA_AVANCE_METAS[[#This Row],[PROGR. 4° TRIM]])*100,"0")</f>
        <v>0</v>
      </c>
      <c r="AE27"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27" s="43" cm="1">
        <f t="array" ref="AF27">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6</v>
      </c>
      <c r="AG27" s="44" cm="1">
        <f t="array" ref="AG27">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6</v>
      </c>
      <c r="AH27" s="40">
        <f>IFERROR((TABLA_AVANCE_METAS[[#This Row],[AVANCE ACUM. TRIM.]]/TABLA_AVANCE_METAS[[#This Row],[PROG. ACUM]])*100,"N/A")</f>
        <v>100</v>
      </c>
      <c r="AI27"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27" s="45">
        <f>TABLA_AVANCE_METAS[[#This Row],[AVANCE ACUM. TRIM.]]-TABLA_AVANCE_METAS[[#This Row],[PROG. ACUM]]</f>
        <v>0</v>
      </c>
      <c r="AK27" s="46">
        <f>IFERROR((TABLA_AVANCE_METAS[[#This Row],[DIFERENCIA ABSOLUTA SEMESTRAL]]/TABLA_AVANCE_METAS[[#This Row],[PROG. ACUM]])*100,"N/A")</f>
        <v>0</v>
      </c>
      <c r="AL27" s="44">
        <f>TABLA_AVANCE_METAS[[#This Row],[AVANCE 1°. TRIM]]+TABLA_AVANCE_METAS[[#This Row],[AVANCE 2°. TRIM]]+TABLA_AVANCE_METAS[[#This Row],[AVANCE 3°. TRIM]]+TABLA_AVANCE_METAS[[#This Row],[AVANCE 4°. TRIM]]</f>
        <v>6</v>
      </c>
      <c r="AM27" s="40">
        <f>IFERROR((TABLA_AVANCE_METAS[[#This Row],[AVANCE ACUM. ANUAL]]/TABLA_AVANCE_METAS[[#This Row],[PROGRAMADO ANUAL]])*100,"N/A")</f>
        <v>50</v>
      </c>
      <c r="AN27"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27" s="45">
        <f>TABLA_AVANCE_METAS[[#This Row],[AVANCE ACUM. ANUAL]]-TABLA_AVANCE_METAS[[#This Row],[PROGRAMADO ANUAL]]</f>
        <v>-6</v>
      </c>
      <c r="AP27" s="47">
        <f>IFERROR((TABLA_AVANCE_METAS[[#This Row],[DIFERENCIA ABSOLUTA ANUAL]]/TABLA_AVANCE_METAS[[#This Row],[PROGRAMADO ANUAL]])*100,"N/A")</f>
        <v>-50</v>
      </c>
      <c r="AQ27" s="48" t="s">
        <v>63</v>
      </c>
      <c r="AR27" s="49"/>
      <c r="AS27" s="50"/>
      <c r="AT27" s="50"/>
      <c r="AU27" s="51" t="b">
        <f>TABLA_AVANCE_METAS[[#This Row],[PROGRAMADO ANUAL]]=SUM(TABLA_AVANCE_METAS[[#This Row],[PROGR. 1° TRIM]],TABLA_AVANCE_METAS[[#This Row],[PROGR. 2° TRIM]],TABLA_AVANCE_METAS[[#This Row],[PROGR. 3° TRIM]],TABLA_AVANCE_METAS[[#This Row],[PROGR. 4° TRIM]])</f>
        <v>1</v>
      </c>
      <c r="AV27" s="52"/>
    </row>
    <row r="28" spans="1:51" ht="75" hidden="1" customHeight="1" x14ac:dyDescent="0.3">
      <c r="A28" s="31" t="str">
        <f>CONCATENATE(TABLA_AVANCE_METAS[[#This Row],[ESTRUCTURA]],TABLA_AVANCE_METAS[[#This Row],['#]])</f>
        <v>A0121401050206061</v>
      </c>
      <c r="B28" s="32" t="s">
        <v>136</v>
      </c>
      <c r="C28" s="33" t="s">
        <v>75</v>
      </c>
      <c r="D28" s="32" t="s">
        <v>76</v>
      </c>
      <c r="E28" s="32" t="s">
        <v>137</v>
      </c>
      <c r="F28" s="32" t="s">
        <v>138</v>
      </c>
      <c r="G28" s="34" t="s">
        <v>139</v>
      </c>
      <c r="H28" s="32" t="s">
        <v>140</v>
      </c>
      <c r="I28" s="32" t="s">
        <v>141</v>
      </c>
      <c r="J28" s="32" t="s">
        <v>142</v>
      </c>
      <c r="K28" s="32" t="s">
        <v>143</v>
      </c>
      <c r="L28" s="33">
        <v>1</v>
      </c>
      <c r="M28" s="35" t="s">
        <v>144</v>
      </c>
      <c r="N28" s="34" t="s">
        <v>145</v>
      </c>
      <c r="O28" s="36">
        <v>2</v>
      </c>
      <c r="P28" s="36">
        <v>0</v>
      </c>
      <c r="Q28" s="37">
        <v>0</v>
      </c>
      <c r="R28" s="38" t="str">
        <f>IFERROR((TABLA_AVANCE_METAS[[#This Row],[AVANCE 1°. TRIM]]/TABLA_AVANCE_METAS[[#This Row],[PROGR. 1° TRIM]])*100,"0")</f>
        <v>0</v>
      </c>
      <c r="S28"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NO PROG.</v>
      </c>
      <c r="T28" s="36">
        <v>1</v>
      </c>
      <c r="U28" s="37">
        <v>1</v>
      </c>
      <c r="V28" s="40">
        <f t="shared" si="0"/>
        <v>100</v>
      </c>
      <c r="W28" s="39" t="str">
        <f t="shared" si="1"/>
        <v>ADECUADO</v>
      </c>
      <c r="X28" s="36">
        <v>0</v>
      </c>
      <c r="Y28" s="37">
        <v>0</v>
      </c>
      <c r="Z28" s="40" t="s">
        <v>72</v>
      </c>
      <c r="AA28" s="39" t="s">
        <v>73</v>
      </c>
      <c r="AB28" s="36">
        <v>1</v>
      </c>
      <c r="AC28" s="41">
        <v>0</v>
      </c>
      <c r="AD28" s="40">
        <f>IFERROR((TABLA_AVANCE_METAS[[#This Row],[AVANCE 4°. TRIM]]/TABLA_AVANCE_METAS[[#This Row],[PROGR. 4° TRIM]])*100,"0")</f>
        <v>0</v>
      </c>
      <c r="AE28"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28" s="43" cm="1">
        <f t="array" ref="AF28">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v>
      </c>
      <c r="AG28" s="44" cm="1">
        <f t="array" ref="AG28">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1</v>
      </c>
      <c r="AH28" s="40">
        <f>IFERROR((TABLA_AVANCE_METAS[[#This Row],[AVANCE ACUM. TRIM.]]/TABLA_AVANCE_METAS[[#This Row],[PROG. ACUM]])*100,"N/A")</f>
        <v>100</v>
      </c>
      <c r="AI28"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28" s="45">
        <f>TABLA_AVANCE_METAS[[#This Row],[AVANCE ACUM. TRIM.]]-TABLA_AVANCE_METAS[[#This Row],[PROG. ACUM]]</f>
        <v>0</v>
      </c>
      <c r="AK28" s="46">
        <f>IFERROR((TABLA_AVANCE_METAS[[#This Row],[DIFERENCIA ABSOLUTA SEMESTRAL]]/TABLA_AVANCE_METAS[[#This Row],[PROG. ACUM]])*100,"N/A")</f>
        <v>0</v>
      </c>
      <c r="AL28" s="44">
        <f>TABLA_AVANCE_METAS[[#This Row],[AVANCE 1°. TRIM]]+TABLA_AVANCE_METAS[[#This Row],[AVANCE 2°. TRIM]]+TABLA_AVANCE_METAS[[#This Row],[AVANCE 3°. TRIM]]+TABLA_AVANCE_METAS[[#This Row],[AVANCE 4°. TRIM]]</f>
        <v>1</v>
      </c>
      <c r="AM28" s="40">
        <f>IFERROR((TABLA_AVANCE_METAS[[#This Row],[AVANCE ACUM. ANUAL]]/TABLA_AVANCE_METAS[[#This Row],[PROGRAMADO ANUAL]])*100,"N/A")</f>
        <v>50</v>
      </c>
      <c r="AN28"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28" s="45">
        <f>TABLA_AVANCE_METAS[[#This Row],[AVANCE ACUM. ANUAL]]-TABLA_AVANCE_METAS[[#This Row],[PROGRAMADO ANUAL]]</f>
        <v>-1</v>
      </c>
      <c r="AP28" s="47">
        <f>IFERROR((TABLA_AVANCE_METAS[[#This Row],[DIFERENCIA ABSOLUTA ANUAL]]/TABLA_AVANCE_METAS[[#This Row],[PROGRAMADO ANUAL]])*100,"N/A")</f>
        <v>-50</v>
      </c>
      <c r="AQ28" s="48" t="s">
        <v>63</v>
      </c>
      <c r="AR28" s="49"/>
      <c r="AS28" s="50"/>
      <c r="AT28" s="50"/>
      <c r="AU28" s="51" t="b">
        <f>TABLA_AVANCE_METAS[[#This Row],[PROGRAMADO ANUAL]]=SUM(TABLA_AVANCE_METAS[[#This Row],[PROGR. 1° TRIM]],TABLA_AVANCE_METAS[[#This Row],[PROGR. 2° TRIM]],TABLA_AVANCE_METAS[[#This Row],[PROGR. 3° TRIM]],TABLA_AVANCE_METAS[[#This Row],[PROGR. 4° TRIM]])</f>
        <v>1</v>
      </c>
      <c r="AV28" s="52"/>
    </row>
    <row r="29" spans="1:51" ht="75" hidden="1" customHeight="1" x14ac:dyDescent="0.3">
      <c r="A29" s="31" t="str">
        <f>CONCATENATE(TABLA_AVANCE_METAS[[#This Row],[ESTRUCTURA]],TABLA_AVANCE_METAS[[#This Row],['#]])</f>
        <v>A0121401050206062</v>
      </c>
      <c r="B29" s="32" t="s">
        <v>136</v>
      </c>
      <c r="C29" s="33" t="s">
        <v>75</v>
      </c>
      <c r="D29" s="32" t="s">
        <v>76</v>
      </c>
      <c r="E29" s="32" t="s">
        <v>137</v>
      </c>
      <c r="F29" s="32" t="s">
        <v>138</v>
      </c>
      <c r="G29" s="34" t="s">
        <v>139</v>
      </c>
      <c r="H29" s="32" t="s">
        <v>140</v>
      </c>
      <c r="I29" s="32" t="s">
        <v>141</v>
      </c>
      <c r="J29" s="32" t="s">
        <v>142</v>
      </c>
      <c r="K29" s="32" t="s">
        <v>143</v>
      </c>
      <c r="L29" s="33">
        <v>2</v>
      </c>
      <c r="M29" s="35" t="s">
        <v>146</v>
      </c>
      <c r="N29" s="34" t="s">
        <v>147</v>
      </c>
      <c r="O29" s="36">
        <v>4</v>
      </c>
      <c r="P29" s="36">
        <v>1</v>
      </c>
      <c r="Q29" s="37">
        <v>1</v>
      </c>
      <c r="R29" s="38">
        <f>IFERROR((TABLA_AVANCE_METAS[[#This Row],[AVANCE 1°. TRIM]]/TABLA_AVANCE_METAS[[#This Row],[PROGR. 1° TRIM]])*100,"0")</f>
        <v>100</v>
      </c>
      <c r="S29"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29" s="36">
        <v>1</v>
      </c>
      <c r="U29" s="37">
        <v>1</v>
      </c>
      <c r="V29" s="40">
        <f t="shared" si="0"/>
        <v>100</v>
      </c>
      <c r="W29" s="39" t="str">
        <f t="shared" si="1"/>
        <v>ADECUADO</v>
      </c>
      <c r="X29" s="36">
        <v>1</v>
      </c>
      <c r="Y29" s="37">
        <v>0</v>
      </c>
      <c r="Z29" s="40">
        <v>0</v>
      </c>
      <c r="AA29" s="39" t="s">
        <v>62</v>
      </c>
      <c r="AB29" s="36">
        <v>1</v>
      </c>
      <c r="AC29" s="41">
        <v>0</v>
      </c>
      <c r="AD29" s="40">
        <f>IFERROR((TABLA_AVANCE_METAS[[#This Row],[AVANCE 4°. TRIM]]/TABLA_AVANCE_METAS[[#This Row],[PROGR. 4° TRIM]])*100,"0")</f>
        <v>0</v>
      </c>
      <c r="AE29"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29" s="43" cm="1">
        <f t="array" ref="AF29">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2</v>
      </c>
      <c r="AG29" s="44" cm="1">
        <f t="array" ref="AG29">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2</v>
      </c>
      <c r="AH29" s="40">
        <f>IFERROR((TABLA_AVANCE_METAS[[#This Row],[AVANCE ACUM. TRIM.]]/TABLA_AVANCE_METAS[[#This Row],[PROG. ACUM]])*100,"N/A")</f>
        <v>100</v>
      </c>
      <c r="AI29"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29" s="45">
        <f>TABLA_AVANCE_METAS[[#This Row],[AVANCE ACUM. TRIM.]]-TABLA_AVANCE_METAS[[#This Row],[PROG. ACUM]]</f>
        <v>0</v>
      </c>
      <c r="AK29" s="46">
        <f>IFERROR((TABLA_AVANCE_METAS[[#This Row],[DIFERENCIA ABSOLUTA SEMESTRAL]]/TABLA_AVANCE_METAS[[#This Row],[PROG. ACUM]])*100,"N/A")</f>
        <v>0</v>
      </c>
      <c r="AL29" s="44">
        <f>TABLA_AVANCE_METAS[[#This Row],[AVANCE 1°. TRIM]]+TABLA_AVANCE_METAS[[#This Row],[AVANCE 2°. TRIM]]+TABLA_AVANCE_METAS[[#This Row],[AVANCE 3°. TRIM]]+TABLA_AVANCE_METAS[[#This Row],[AVANCE 4°. TRIM]]</f>
        <v>2</v>
      </c>
      <c r="AM29" s="40">
        <f>IFERROR((TABLA_AVANCE_METAS[[#This Row],[AVANCE ACUM. ANUAL]]/TABLA_AVANCE_METAS[[#This Row],[PROGRAMADO ANUAL]])*100,"N/A")</f>
        <v>50</v>
      </c>
      <c r="AN29"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29" s="45">
        <f>TABLA_AVANCE_METAS[[#This Row],[AVANCE ACUM. ANUAL]]-TABLA_AVANCE_METAS[[#This Row],[PROGRAMADO ANUAL]]</f>
        <v>-2</v>
      </c>
      <c r="AP29" s="47">
        <f>IFERROR((TABLA_AVANCE_METAS[[#This Row],[DIFERENCIA ABSOLUTA ANUAL]]/TABLA_AVANCE_METAS[[#This Row],[PROGRAMADO ANUAL]])*100,"N/A")</f>
        <v>-50</v>
      </c>
      <c r="AQ29" s="48" t="s">
        <v>63</v>
      </c>
      <c r="AR29" s="49"/>
      <c r="AS29" s="50"/>
      <c r="AT29" s="50"/>
      <c r="AU29" s="51" t="b">
        <f>TABLA_AVANCE_METAS[[#This Row],[PROGRAMADO ANUAL]]=SUM(TABLA_AVANCE_METAS[[#This Row],[PROGR. 1° TRIM]],TABLA_AVANCE_METAS[[#This Row],[PROGR. 2° TRIM]],TABLA_AVANCE_METAS[[#This Row],[PROGR. 3° TRIM]],TABLA_AVANCE_METAS[[#This Row],[PROGR. 4° TRIM]])</f>
        <v>1</v>
      </c>
      <c r="AV29" s="52"/>
    </row>
    <row r="30" spans="1:51" ht="75" hidden="1" customHeight="1" x14ac:dyDescent="0.3">
      <c r="A30" s="31" t="str">
        <f>CONCATENATE(TABLA_AVANCE_METAS[[#This Row],[ESTRUCTURA]],TABLA_AVANCE_METAS[[#This Row],['#]])</f>
        <v>A0121401050206063</v>
      </c>
      <c r="B30" s="32" t="s">
        <v>136</v>
      </c>
      <c r="C30" s="33" t="s">
        <v>75</v>
      </c>
      <c r="D30" s="32" t="s">
        <v>76</v>
      </c>
      <c r="E30" s="32" t="s">
        <v>137</v>
      </c>
      <c r="F30" s="32" t="s">
        <v>138</v>
      </c>
      <c r="G30" s="34" t="s">
        <v>139</v>
      </c>
      <c r="H30" s="32" t="s">
        <v>140</v>
      </c>
      <c r="I30" s="32" t="s">
        <v>141</v>
      </c>
      <c r="J30" s="32" t="s">
        <v>142</v>
      </c>
      <c r="K30" s="32" t="s">
        <v>143</v>
      </c>
      <c r="L30" s="33">
        <v>3</v>
      </c>
      <c r="M30" s="35" t="s">
        <v>148</v>
      </c>
      <c r="N30" s="34" t="s">
        <v>149</v>
      </c>
      <c r="O30" s="36">
        <v>6</v>
      </c>
      <c r="P30" s="36">
        <v>1</v>
      </c>
      <c r="Q30" s="37">
        <v>1</v>
      </c>
      <c r="R30" s="38">
        <f>IFERROR((TABLA_AVANCE_METAS[[#This Row],[AVANCE 1°. TRIM]]/TABLA_AVANCE_METAS[[#This Row],[PROGR. 1° TRIM]])*100,"0")</f>
        <v>100</v>
      </c>
      <c r="S30"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30" s="36">
        <v>2</v>
      </c>
      <c r="U30" s="37">
        <v>2</v>
      </c>
      <c r="V30" s="40">
        <f t="shared" si="0"/>
        <v>100</v>
      </c>
      <c r="W30" s="39" t="str">
        <f t="shared" si="1"/>
        <v>ADECUADO</v>
      </c>
      <c r="X30" s="36">
        <v>1</v>
      </c>
      <c r="Y30" s="37">
        <v>0</v>
      </c>
      <c r="Z30" s="40">
        <v>0</v>
      </c>
      <c r="AA30" s="39" t="s">
        <v>62</v>
      </c>
      <c r="AB30" s="36">
        <v>2</v>
      </c>
      <c r="AC30" s="41">
        <v>0</v>
      </c>
      <c r="AD30" s="40">
        <f>IFERROR((TABLA_AVANCE_METAS[[#This Row],[AVANCE 4°. TRIM]]/TABLA_AVANCE_METAS[[#This Row],[PROGR. 4° TRIM]])*100,"0")</f>
        <v>0</v>
      </c>
      <c r="AE30"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30" s="43" cm="1">
        <f t="array" ref="AF30">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3</v>
      </c>
      <c r="AG30" s="44" cm="1">
        <f t="array" ref="AG30">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3</v>
      </c>
      <c r="AH30" s="40">
        <f>IFERROR((TABLA_AVANCE_METAS[[#This Row],[AVANCE ACUM. TRIM.]]/TABLA_AVANCE_METAS[[#This Row],[PROG. ACUM]])*100,"N/A")</f>
        <v>100</v>
      </c>
      <c r="AI30"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30" s="45">
        <f>TABLA_AVANCE_METAS[[#This Row],[AVANCE ACUM. TRIM.]]-TABLA_AVANCE_METAS[[#This Row],[PROG. ACUM]]</f>
        <v>0</v>
      </c>
      <c r="AK30" s="46">
        <f>IFERROR((TABLA_AVANCE_METAS[[#This Row],[DIFERENCIA ABSOLUTA SEMESTRAL]]/TABLA_AVANCE_METAS[[#This Row],[PROG. ACUM]])*100,"N/A")</f>
        <v>0</v>
      </c>
      <c r="AL30" s="44">
        <f>TABLA_AVANCE_METAS[[#This Row],[AVANCE 1°. TRIM]]+TABLA_AVANCE_METAS[[#This Row],[AVANCE 2°. TRIM]]+TABLA_AVANCE_METAS[[#This Row],[AVANCE 3°. TRIM]]+TABLA_AVANCE_METAS[[#This Row],[AVANCE 4°. TRIM]]</f>
        <v>3</v>
      </c>
      <c r="AM30" s="40">
        <f>IFERROR((TABLA_AVANCE_METAS[[#This Row],[AVANCE ACUM. ANUAL]]/TABLA_AVANCE_METAS[[#This Row],[PROGRAMADO ANUAL]])*100,"N/A")</f>
        <v>50</v>
      </c>
      <c r="AN30"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30" s="45">
        <f>TABLA_AVANCE_METAS[[#This Row],[AVANCE ACUM. ANUAL]]-TABLA_AVANCE_METAS[[#This Row],[PROGRAMADO ANUAL]]</f>
        <v>-3</v>
      </c>
      <c r="AP30" s="47">
        <f>IFERROR((TABLA_AVANCE_METAS[[#This Row],[DIFERENCIA ABSOLUTA ANUAL]]/TABLA_AVANCE_METAS[[#This Row],[PROGRAMADO ANUAL]])*100,"N/A")</f>
        <v>-50</v>
      </c>
      <c r="AQ30" s="48" t="s">
        <v>63</v>
      </c>
      <c r="AR30" s="49"/>
      <c r="AS30" s="50"/>
      <c r="AT30" s="50"/>
      <c r="AU30" s="51" t="b">
        <f>TABLA_AVANCE_METAS[[#This Row],[PROGRAMADO ANUAL]]=SUM(TABLA_AVANCE_METAS[[#This Row],[PROGR. 1° TRIM]],TABLA_AVANCE_METAS[[#This Row],[PROGR. 2° TRIM]],TABLA_AVANCE_METAS[[#This Row],[PROGR. 3° TRIM]],TABLA_AVANCE_METAS[[#This Row],[PROGR. 4° TRIM]])</f>
        <v>1</v>
      </c>
      <c r="AV30" s="52"/>
    </row>
    <row r="31" spans="1:51" ht="75" hidden="1" customHeight="1" x14ac:dyDescent="0.3">
      <c r="A31" s="31" t="str">
        <f>CONCATENATE(TABLA_AVANCE_METAS[[#This Row],[ESTRUCTURA]],TABLA_AVANCE_METAS[[#This Row],['#]])</f>
        <v>A0121401050206064</v>
      </c>
      <c r="B31" s="32" t="s">
        <v>136</v>
      </c>
      <c r="C31" s="33" t="s">
        <v>75</v>
      </c>
      <c r="D31" s="32" t="s">
        <v>76</v>
      </c>
      <c r="E31" s="32" t="s">
        <v>137</v>
      </c>
      <c r="F31" s="32" t="s">
        <v>138</v>
      </c>
      <c r="G31" s="34" t="s">
        <v>139</v>
      </c>
      <c r="H31" s="32" t="s">
        <v>140</v>
      </c>
      <c r="I31" s="32" t="s">
        <v>141</v>
      </c>
      <c r="J31" s="32" t="s">
        <v>142</v>
      </c>
      <c r="K31" s="32" t="s">
        <v>143</v>
      </c>
      <c r="L31" s="33">
        <v>4</v>
      </c>
      <c r="M31" s="35" t="s">
        <v>150</v>
      </c>
      <c r="N31" s="34" t="s">
        <v>151</v>
      </c>
      <c r="O31" s="36">
        <v>1</v>
      </c>
      <c r="P31" s="36">
        <v>0</v>
      </c>
      <c r="Q31" s="37">
        <v>0</v>
      </c>
      <c r="R31" s="38" t="str">
        <f>IFERROR((TABLA_AVANCE_METAS[[#This Row],[AVANCE 1°. TRIM]]/TABLA_AVANCE_METAS[[#This Row],[PROGR. 1° TRIM]])*100,"0")</f>
        <v>0</v>
      </c>
      <c r="S31"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NO PROG.</v>
      </c>
      <c r="T31" s="36">
        <v>1</v>
      </c>
      <c r="U31" s="37">
        <v>1</v>
      </c>
      <c r="V31" s="40">
        <f t="shared" si="0"/>
        <v>100</v>
      </c>
      <c r="W31" s="39" t="str">
        <f t="shared" si="1"/>
        <v>ADECUADO</v>
      </c>
      <c r="X31" s="36">
        <v>0</v>
      </c>
      <c r="Y31" s="37">
        <v>0</v>
      </c>
      <c r="Z31" s="40" t="s">
        <v>72</v>
      </c>
      <c r="AA31" s="39" t="s">
        <v>73</v>
      </c>
      <c r="AB31" s="36">
        <v>0</v>
      </c>
      <c r="AC31" s="41">
        <v>0</v>
      </c>
      <c r="AD31" s="40" t="str">
        <f>IFERROR((TABLA_AVANCE_METAS[[#This Row],[AVANCE 4°. TRIM]]/TABLA_AVANCE_METAS[[#This Row],[PROGR. 4° TRIM]])*100,"0")</f>
        <v>0</v>
      </c>
      <c r="AE31"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NO PROG.</v>
      </c>
      <c r="AF31" s="43" cm="1">
        <f t="array" ref="AF31">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v>
      </c>
      <c r="AG31" s="44" cm="1">
        <f t="array" ref="AG31">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1</v>
      </c>
      <c r="AH31" s="40">
        <f>IFERROR((TABLA_AVANCE_METAS[[#This Row],[AVANCE ACUM. TRIM.]]/TABLA_AVANCE_METAS[[#This Row],[PROG. ACUM]])*100,"N/A")</f>
        <v>100</v>
      </c>
      <c r="AI31"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31" s="45">
        <f>TABLA_AVANCE_METAS[[#This Row],[AVANCE ACUM. TRIM.]]-TABLA_AVANCE_METAS[[#This Row],[PROG. ACUM]]</f>
        <v>0</v>
      </c>
      <c r="AK31" s="46">
        <f>IFERROR((TABLA_AVANCE_METAS[[#This Row],[DIFERENCIA ABSOLUTA SEMESTRAL]]/TABLA_AVANCE_METAS[[#This Row],[PROG. ACUM]])*100,"N/A")</f>
        <v>0</v>
      </c>
      <c r="AL31" s="44">
        <f>TABLA_AVANCE_METAS[[#This Row],[AVANCE 1°. TRIM]]+TABLA_AVANCE_METAS[[#This Row],[AVANCE 2°. TRIM]]+TABLA_AVANCE_METAS[[#This Row],[AVANCE 3°. TRIM]]+TABLA_AVANCE_METAS[[#This Row],[AVANCE 4°. TRIM]]</f>
        <v>1</v>
      </c>
      <c r="AM31" s="40">
        <f>IFERROR((TABLA_AVANCE_METAS[[#This Row],[AVANCE ACUM. ANUAL]]/TABLA_AVANCE_METAS[[#This Row],[PROGRAMADO ANUAL]])*100,"N/A")</f>
        <v>100</v>
      </c>
      <c r="AN31"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ADECUADO</v>
      </c>
      <c r="AO31" s="45">
        <f>TABLA_AVANCE_METAS[[#This Row],[AVANCE ACUM. ANUAL]]-TABLA_AVANCE_METAS[[#This Row],[PROGRAMADO ANUAL]]</f>
        <v>0</v>
      </c>
      <c r="AP31" s="47">
        <f>IFERROR((TABLA_AVANCE_METAS[[#This Row],[DIFERENCIA ABSOLUTA ANUAL]]/TABLA_AVANCE_METAS[[#This Row],[PROGRAMADO ANUAL]])*100,"N/A")</f>
        <v>0</v>
      </c>
      <c r="AQ31" s="48" t="s">
        <v>63</v>
      </c>
      <c r="AR31" s="49"/>
      <c r="AS31" s="50"/>
      <c r="AT31" s="50"/>
      <c r="AU31" s="51" t="b">
        <f>TABLA_AVANCE_METAS[[#This Row],[PROGRAMADO ANUAL]]=SUM(TABLA_AVANCE_METAS[[#This Row],[PROGR. 1° TRIM]],TABLA_AVANCE_METAS[[#This Row],[PROGR. 2° TRIM]],TABLA_AVANCE_METAS[[#This Row],[PROGR. 3° TRIM]],TABLA_AVANCE_METAS[[#This Row],[PROGR. 4° TRIM]])</f>
        <v>1</v>
      </c>
      <c r="AV31" s="52"/>
    </row>
    <row r="32" spans="1:51" ht="75" hidden="1" customHeight="1" x14ac:dyDescent="0.3">
      <c r="A32" s="31" t="str">
        <f>CONCATENATE(TABLA_AVANCE_METAS[[#This Row],[ESTRUCTURA]],TABLA_AVANCE_METAS[[#This Row],['#]])</f>
        <v>A0123101050206061</v>
      </c>
      <c r="B32" s="32" t="s">
        <v>152</v>
      </c>
      <c r="C32" s="33" t="s">
        <v>75</v>
      </c>
      <c r="D32" s="32" t="s">
        <v>76</v>
      </c>
      <c r="E32" s="32" t="s">
        <v>89</v>
      </c>
      <c r="F32" s="32" t="s">
        <v>90</v>
      </c>
      <c r="G32" s="34" t="s">
        <v>153</v>
      </c>
      <c r="H32" s="32" t="s">
        <v>140</v>
      </c>
      <c r="I32" s="32" t="s">
        <v>141</v>
      </c>
      <c r="J32" s="32" t="s">
        <v>142</v>
      </c>
      <c r="K32" s="32" t="s">
        <v>143</v>
      </c>
      <c r="L32" s="33">
        <v>1</v>
      </c>
      <c r="M32" s="35" t="s">
        <v>154</v>
      </c>
      <c r="N32" s="34" t="s">
        <v>155</v>
      </c>
      <c r="O32" s="36">
        <v>1</v>
      </c>
      <c r="P32" s="36">
        <v>1</v>
      </c>
      <c r="Q32" s="37">
        <v>1</v>
      </c>
      <c r="R32" s="38">
        <f>IFERROR((TABLA_AVANCE_METAS[[#This Row],[AVANCE 1°. TRIM]]/TABLA_AVANCE_METAS[[#This Row],[PROGR. 1° TRIM]])*100,"0")</f>
        <v>100</v>
      </c>
      <c r="S32"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32" s="36">
        <v>0</v>
      </c>
      <c r="U32" s="37">
        <v>0</v>
      </c>
      <c r="V32" s="40" t="str">
        <f t="shared" si="0"/>
        <v>0</v>
      </c>
      <c r="W32" s="39" t="str">
        <f t="shared" si="1"/>
        <v>NO PROG.</v>
      </c>
      <c r="X32" s="36">
        <v>0</v>
      </c>
      <c r="Y32" s="37">
        <v>0</v>
      </c>
      <c r="Z32" s="40" t="s">
        <v>72</v>
      </c>
      <c r="AA32" s="39" t="s">
        <v>73</v>
      </c>
      <c r="AB32" s="36">
        <v>0</v>
      </c>
      <c r="AC32" s="41">
        <v>0</v>
      </c>
      <c r="AD32" s="40" t="str">
        <f>IFERROR((TABLA_AVANCE_METAS[[#This Row],[AVANCE 4°. TRIM]]/TABLA_AVANCE_METAS[[#This Row],[PROGR. 4° TRIM]])*100,"0")</f>
        <v>0</v>
      </c>
      <c r="AE32"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NO PROG.</v>
      </c>
      <c r="AF32" s="43" cm="1">
        <f t="array" ref="AF32">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v>
      </c>
      <c r="AG32" s="44" cm="1">
        <f t="array" ref="AG32">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1</v>
      </c>
      <c r="AH32" s="40">
        <f>IFERROR((TABLA_AVANCE_METAS[[#This Row],[AVANCE ACUM. TRIM.]]/TABLA_AVANCE_METAS[[#This Row],[PROG. ACUM]])*100,"N/A")</f>
        <v>100</v>
      </c>
      <c r="AI32"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32" s="45">
        <f>TABLA_AVANCE_METAS[[#This Row],[AVANCE ACUM. TRIM.]]-TABLA_AVANCE_METAS[[#This Row],[PROG. ACUM]]</f>
        <v>0</v>
      </c>
      <c r="AK32" s="46">
        <f>IFERROR((TABLA_AVANCE_METAS[[#This Row],[DIFERENCIA ABSOLUTA SEMESTRAL]]/TABLA_AVANCE_METAS[[#This Row],[PROG. ACUM]])*100,"N/A")</f>
        <v>0</v>
      </c>
      <c r="AL32" s="44">
        <f>TABLA_AVANCE_METAS[[#This Row],[AVANCE 1°. TRIM]]+TABLA_AVANCE_METAS[[#This Row],[AVANCE 2°. TRIM]]+TABLA_AVANCE_METAS[[#This Row],[AVANCE 3°. TRIM]]+TABLA_AVANCE_METAS[[#This Row],[AVANCE 4°. TRIM]]</f>
        <v>1</v>
      </c>
      <c r="AM32" s="40">
        <f>IFERROR((TABLA_AVANCE_METAS[[#This Row],[AVANCE ACUM. ANUAL]]/TABLA_AVANCE_METAS[[#This Row],[PROGRAMADO ANUAL]])*100,"N/A")</f>
        <v>100</v>
      </c>
      <c r="AN32"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ADECUADO</v>
      </c>
      <c r="AO32" s="45">
        <f>TABLA_AVANCE_METAS[[#This Row],[AVANCE ACUM. ANUAL]]-TABLA_AVANCE_METAS[[#This Row],[PROGRAMADO ANUAL]]</f>
        <v>0</v>
      </c>
      <c r="AP32" s="47">
        <f>IFERROR((TABLA_AVANCE_METAS[[#This Row],[DIFERENCIA ABSOLUTA ANUAL]]/TABLA_AVANCE_METAS[[#This Row],[PROGRAMADO ANUAL]])*100,"N/A")</f>
        <v>0</v>
      </c>
      <c r="AQ32" s="48" t="s">
        <v>63</v>
      </c>
      <c r="AR32" s="49"/>
      <c r="AS32" s="50"/>
      <c r="AT32" s="50"/>
      <c r="AU32" s="51" t="b">
        <f>TABLA_AVANCE_METAS[[#This Row],[PROGRAMADO ANUAL]]=SUM(TABLA_AVANCE_METAS[[#This Row],[PROGR. 1° TRIM]],TABLA_AVANCE_METAS[[#This Row],[PROGR. 2° TRIM]],TABLA_AVANCE_METAS[[#This Row],[PROGR. 3° TRIM]],TABLA_AVANCE_METAS[[#This Row],[PROGR. 4° TRIM]])</f>
        <v>1</v>
      </c>
      <c r="AV32" s="52"/>
    </row>
    <row r="33" spans="1:48" ht="75" hidden="1" customHeight="1" x14ac:dyDescent="0.3">
      <c r="A33" s="31" t="str">
        <f>CONCATENATE(TABLA_AVANCE_METAS[[#This Row],[ESTRUCTURA]],TABLA_AVANCE_METAS[[#This Row],['#]])</f>
        <v>A0123101050206062</v>
      </c>
      <c r="B33" s="32" t="s">
        <v>152</v>
      </c>
      <c r="C33" s="33" t="s">
        <v>75</v>
      </c>
      <c r="D33" s="32" t="s">
        <v>76</v>
      </c>
      <c r="E33" s="32" t="s">
        <v>89</v>
      </c>
      <c r="F33" s="32" t="s">
        <v>90</v>
      </c>
      <c r="G33" s="34" t="s">
        <v>153</v>
      </c>
      <c r="H33" s="32" t="s">
        <v>140</v>
      </c>
      <c r="I33" s="32" t="s">
        <v>141</v>
      </c>
      <c r="J33" s="32" t="s">
        <v>142</v>
      </c>
      <c r="K33" s="32" t="s">
        <v>143</v>
      </c>
      <c r="L33" s="33">
        <v>2</v>
      </c>
      <c r="M33" s="35" t="s">
        <v>156</v>
      </c>
      <c r="N33" s="34" t="s">
        <v>157</v>
      </c>
      <c r="O33" s="36">
        <v>20</v>
      </c>
      <c r="P33" s="36">
        <v>5</v>
      </c>
      <c r="Q33" s="37">
        <v>5</v>
      </c>
      <c r="R33" s="38">
        <f>IFERROR((TABLA_AVANCE_METAS[[#This Row],[AVANCE 1°. TRIM]]/TABLA_AVANCE_METAS[[#This Row],[PROGR. 1° TRIM]])*100,"0")</f>
        <v>100</v>
      </c>
      <c r="S33"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33" s="36">
        <v>5</v>
      </c>
      <c r="U33" s="37">
        <v>5</v>
      </c>
      <c r="V33" s="40">
        <f t="shared" si="0"/>
        <v>100</v>
      </c>
      <c r="W33" s="39" t="str">
        <f t="shared" si="1"/>
        <v>ADECUADO</v>
      </c>
      <c r="X33" s="36">
        <v>5</v>
      </c>
      <c r="Y33" s="37">
        <v>0</v>
      </c>
      <c r="Z33" s="40">
        <v>0</v>
      </c>
      <c r="AA33" s="39" t="s">
        <v>62</v>
      </c>
      <c r="AB33" s="36">
        <v>5</v>
      </c>
      <c r="AC33" s="41">
        <v>0</v>
      </c>
      <c r="AD33" s="40">
        <f>IFERROR((TABLA_AVANCE_METAS[[#This Row],[AVANCE 4°. TRIM]]/TABLA_AVANCE_METAS[[#This Row],[PROGR. 4° TRIM]])*100,"0")</f>
        <v>0</v>
      </c>
      <c r="AE33"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33" s="43" cm="1">
        <f t="array" ref="AF33">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10</v>
      </c>
      <c r="AG33" s="44" cm="1">
        <f t="array" ref="AG33">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10</v>
      </c>
      <c r="AH33" s="40">
        <f>IFERROR((TABLA_AVANCE_METAS[[#This Row],[AVANCE ACUM. TRIM.]]/TABLA_AVANCE_METAS[[#This Row],[PROG. ACUM]])*100,"N/A")</f>
        <v>100</v>
      </c>
      <c r="AI33"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33" s="45">
        <f>TABLA_AVANCE_METAS[[#This Row],[AVANCE ACUM. TRIM.]]-TABLA_AVANCE_METAS[[#This Row],[PROG. ACUM]]</f>
        <v>0</v>
      </c>
      <c r="AK33" s="46">
        <f>IFERROR((TABLA_AVANCE_METAS[[#This Row],[DIFERENCIA ABSOLUTA SEMESTRAL]]/TABLA_AVANCE_METAS[[#This Row],[PROG. ACUM]])*100,"N/A")</f>
        <v>0</v>
      </c>
      <c r="AL33" s="44">
        <f>TABLA_AVANCE_METAS[[#This Row],[AVANCE 1°. TRIM]]+TABLA_AVANCE_METAS[[#This Row],[AVANCE 2°. TRIM]]+TABLA_AVANCE_METAS[[#This Row],[AVANCE 3°. TRIM]]+TABLA_AVANCE_METAS[[#This Row],[AVANCE 4°. TRIM]]</f>
        <v>10</v>
      </c>
      <c r="AM33" s="40">
        <f>IFERROR((TABLA_AVANCE_METAS[[#This Row],[AVANCE ACUM. ANUAL]]/TABLA_AVANCE_METAS[[#This Row],[PROGRAMADO ANUAL]])*100,"N/A")</f>
        <v>50</v>
      </c>
      <c r="AN33"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33" s="45">
        <f>TABLA_AVANCE_METAS[[#This Row],[AVANCE ACUM. ANUAL]]-TABLA_AVANCE_METAS[[#This Row],[PROGRAMADO ANUAL]]</f>
        <v>-10</v>
      </c>
      <c r="AP33" s="47">
        <f>IFERROR((TABLA_AVANCE_METAS[[#This Row],[DIFERENCIA ABSOLUTA ANUAL]]/TABLA_AVANCE_METAS[[#This Row],[PROGRAMADO ANUAL]])*100,"N/A")</f>
        <v>-50</v>
      </c>
      <c r="AQ33" s="48" t="s">
        <v>63</v>
      </c>
      <c r="AR33" s="49"/>
      <c r="AS33" s="50"/>
      <c r="AT33" s="50"/>
      <c r="AU33" s="51" t="b">
        <f>TABLA_AVANCE_METAS[[#This Row],[PROGRAMADO ANUAL]]=SUM(TABLA_AVANCE_METAS[[#This Row],[PROGR. 1° TRIM]],TABLA_AVANCE_METAS[[#This Row],[PROGR. 2° TRIM]],TABLA_AVANCE_METAS[[#This Row],[PROGR. 3° TRIM]],TABLA_AVANCE_METAS[[#This Row],[PROGR. 4° TRIM]])</f>
        <v>1</v>
      </c>
      <c r="AV33" s="52"/>
    </row>
    <row r="34" spans="1:48" ht="75" hidden="1" customHeight="1" x14ac:dyDescent="0.3">
      <c r="A34" s="31" t="str">
        <f>CONCATENATE(TABLA_AVANCE_METAS[[#This Row],[ESTRUCTURA]],TABLA_AVANCE_METAS[[#This Row],['#]])</f>
        <v>A0122901050206081</v>
      </c>
      <c r="B34" s="32" t="s">
        <v>158</v>
      </c>
      <c r="C34" s="33" t="s">
        <v>75</v>
      </c>
      <c r="D34" s="32" t="s">
        <v>76</v>
      </c>
      <c r="E34" s="32" t="s">
        <v>159</v>
      </c>
      <c r="F34" s="32" t="s">
        <v>160</v>
      </c>
      <c r="G34" s="34" t="s">
        <v>161</v>
      </c>
      <c r="H34" s="32" t="s">
        <v>140</v>
      </c>
      <c r="I34" s="32" t="s">
        <v>141</v>
      </c>
      <c r="J34" s="32" t="s">
        <v>162</v>
      </c>
      <c r="K34" s="32" t="s">
        <v>163</v>
      </c>
      <c r="L34" s="33">
        <v>1</v>
      </c>
      <c r="M34" s="35" t="s">
        <v>164</v>
      </c>
      <c r="N34" s="34" t="s">
        <v>155</v>
      </c>
      <c r="O34" s="36">
        <v>2</v>
      </c>
      <c r="P34" s="36">
        <v>0</v>
      </c>
      <c r="Q34" s="37">
        <v>0</v>
      </c>
      <c r="R34" s="38" t="str">
        <f>IFERROR((TABLA_AVANCE_METAS[[#This Row],[AVANCE 1°. TRIM]]/TABLA_AVANCE_METAS[[#This Row],[PROGR. 1° TRIM]])*100,"0")</f>
        <v>0</v>
      </c>
      <c r="S34"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NO PROG.</v>
      </c>
      <c r="T34" s="36">
        <v>1</v>
      </c>
      <c r="U34" s="37">
        <v>1</v>
      </c>
      <c r="V34" s="40">
        <f t="shared" si="0"/>
        <v>100</v>
      </c>
      <c r="W34" s="39" t="str">
        <f t="shared" si="1"/>
        <v>ADECUADO</v>
      </c>
      <c r="X34" s="36">
        <v>0</v>
      </c>
      <c r="Y34" s="37">
        <v>0</v>
      </c>
      <c r="Z34" s="40" t="s">
        <v>72</v>
      </c>
      <c r="AA34" s="39" t="s">
        <v>73</v>
      </c>
      <c r="AB34" s="36">
        <v>1</v>
      </c>
      <c r="AC34" s="41">
        <v>0</v>
      </c>
      <c r="AD34" s="40">
        <f>IFERROR((TABLA_AVANCE_METAS[[#This Row],[AVANCE 4°. TRIM]]/TABLA_AVANCE_METAS[[#This Row],[PROGR. 4° TRIM]])*100,"0")</f>
        <v>0</v>
      </c>
      <c r="AE34"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34" s="43" cm="1">
        <f t="array" ref="AF34">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v>
      </c>
      <c r="AG34" s="44" cm="1">
        <f t="array" ref="AG34">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1</v>
      </c>
      <c r="AH34" s="40">
        <f>IFERROR((TABLA_AVANCE_METAS[[#This Row],[AVANCE ACUM. TRIM.]]/TABLA_AVANCE_METAS[[#This Row],[PROG. ACUM]])*100,"N/A")</f>
        <v>100</v>
      </c>
      <c r="AI34"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34" s="45">
        <f>TABLA_AVANCE_METAS[[#This Row],[AVANCE ACUM. TRIM.]]-TABLA_AVANCE_METAS[[#This Row],[PROG. ACUM]]</f>
        <v>0</v>
      </c>
      <c r="AK34" s="46">
        <f>IFERROR((TABLA_AVANCE_METAS[[#This Row],[DIFERENCIA ABSOLUTA SEMESTRAL]]/TABLA_AVANCE_METAS[[#This Row],[PROG. ACUM]])*100,"N/A")</f>
        <v>0</v>
      </c>
      <c r="AL34" s="44">
        <f>TABLA_AVANCE_METAS[[#This Row],[AVANCE 1°. TRIM]]+TABLA_AVANCE_METAS[[#This Row],[AVANCE 2°. TRIM]]+TABLA_AVANCE_METAS[[#This Row],[AVANCE 3°. TRIM]]+TABLA_AVANCE_METAS[[#This Row],[AVANCE 4°. TRIM]]</f>
        <v>1</v>
      </c>
      <c r="AM34" s="40">
        <f>IFERROR((TABLA_AVANCE_METAS[[#This Row],[AVANCE ACUM. ANUAL]]/TABLA_AVANCE_METAS[[#This Row],[PROGRAMADO ANUAL]])*100,"N/A")</f>
        <v>50</v>
      </c>
      <c r="AN34"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34" s="45">
        <f>TABLA_AVANCE_METAS[[#This Row],[AVANCE ACUM. ANUAL]]-TABLA_AVANCE_METAS[[#This Row],[PROGRAMADO ANUAL]]</f>
        <v>-1</v>
      </c>
      <c r="AP34" s="47">
        <f>IFERROR((TABLA_AVANCE_METAS[[#This Row],[DIFERENCIA ABSOLUTA ANUAL]]/TABLA_AVANCE_METAS[[#This Row],[PROGRAMADO ANUAL]])*100,"N/A")</f>
        <v>-50</v>
      </c>
      <c r="AQ34" s="48" t="s">
        <v>63</v>
      </c>
      <c r="AR34" s="49"/>
      <c r="AS34" s="50"/>
      <c r="AT34" s="50"/>
      <c r="AU34" s="51" t="b">
        <f>TABLA_AVANCE_METAS[[#This Row],[PROGRAMADO ANUAL]]=SUM(TABLA_AVANCE_METAS[[#This Row],[PROGR. 1° TRIM]],TABLA_AVANCE_METAS[[#This Row],[PROGR. 2° TRIM]],TABLA_AVANCE_METAS[[#This Row],[PROGR. 3° TRIM]],TABLA_AVANCE_METAS[[#This Row],[PROGR. 4° TRIM]])</f>
        <v>1</v>
      </c>
      <c r="AV34" s="52"/>
    </row>
    <row r="35" spans="1:48" ht="75" hidden="1" customHeight="1" x14ac:dyDescent="0.3">
      <c r="A35" s="31" t="str">
        <f>CONCATENATE(TABLA_AVANCE_METAS[[#This Row],[ESTRUCTURA]],TABLA_AVANCE_METAS[[#This Row],['#]])</f>
        <v>A0122901050206082</v>
      </c>
      <c r="B35" s="32" t="s">
        <v>158</v>
      </c>
      <c r="C35" s="33" t="s">
        <v>75</v>
      </c>
      <c r="D35" s="32" t="s">
        <v>76</v>
      </c>
      <c r="E35" s="32" t="s">
        <v>159</v>
      </c>
      <c r="F35" s="32" t="s">
        <v>160</v>
      </c>
      <c r="G35" s="34" t="s">
        <v>161</v>
      </c>
      <c r="H35" s="32" t="s">
        <v>140</v>
      </c>
      <c r="I35" s="32" t="s">
        <v>141</v>
      </c>
      <c r="J35" s="32" t="s">
        <v>162</v>
      </c>
      <c r="K35" s="32" t="s">
        <v>163</v>
      </c>
      <c r="L35" s="33">
        <v>2</v>
      </c>
      <c r="M35" s="35" t="s">
        <v>165</v>
      </c>
      <c r="N35" s="34" t="s">
        <v>166</v>
      </c>
      <c r="O35" s="36">
        <v>26</v>
      </c>
      <c r="P35" s="36">
        <v>26</v>
      </c>
      <c r="Q35" s="37">
        <v>26</v>
      </c>
      <c r="R35" s="38">
        <f>IFERROR((TABLA_AVANCE_METAS[[#This Row],[AVANCE 1°. TRIM]]/TABLA_AVANCE_METAS[[#This Row],[PROGR. 1° TRIM]])*100,"0")</f>
        <v>100</v>
      </c>
      <c r="S35"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35" s="36">
        <v>0</v>
      </c>
      <c r="U35" s="37">
        <v>0</v>
      </c>
      <c r="V35" s="40" t="str">
        <f t="shared" si="0"/>
        <v>0</v>
      </c>
      <c r="W35" s="39" t="str">
        <f t="shared" si="1"/>
        <v>NO PROG.</v>
      </c>
      <c r="X35" s="36">
        <v>0</v>
      </c>
      <c r="Y35" s="37">
        <v>0</v>
      </c>
      <c r="Z35" s="40" t="s">
        <v>72</v>
      </c>
      <c r="AA35" s="39" t="s">
        <v>73</v>
      </c>
      <c r="AB35" s="36">
        <v>0</v>
      </c>
      <c r="AC35" s="41">
        <v>0</v>
      </c>
      <c r="AD35" s="40" t="str">
        <f>IFERROR((TABLA_AVANCE_METAS[[#This Row],[AVANCE 4°. TRIM]]/TABLA_AVANCE_METAS[[#This Row],[PROGR. 4° TRIM]])*100,"0")</f>
        <v>0</v>
      </c>
      <c r="AE35"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NO PROG.</v>
      </c>
      <c r="AF35" s="43" cm="1">
        <f t="array" ref="AF35">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26</v>
      </c>
      <c r="AG35" s="44" cm="1">
        <f t="array" ref="AG35">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26</v>
      </c>
      <c r="AH35" s="40">
        <f>IFERROR((TABLA_AVANCE_METAS[[#This Row],[AVANCE ACUM. TRIM.]]/TABLA_AVANCE_METAS[[#This Row],[PROG. ACUM]])*100,"N/A")</f>
        <v>100</v>
      </c>
      <c r="AI35"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35" s="45">
        <f>TABLA_AVANCE_METAS[[#This Row],[AVANCE ACUM. TRIM.]]-TABLA_AVANCE_METAS[[#This Row],[PROG. ACUM]]</f>
        <v>0</v>
      </c>
      <c r="AK35" s="46">
        <f>IFERROR((TABLA_AVANCE_METAS[[#This Row],[DIFERENCIA ABSOLUTA SEMESTRAL]]/TABLA_AVANCE_METAS[[#This Row],[PROG. ACUM]])*100,"N/A")</f>
        <v>0</v>
      </c>
      <c r="AL35" s="44">
        <f>TABLA_AVANCE_METAS[[#This Row],[AVANCE 1°. TRIM]]+TABLA_AVANCE_METAS[[#This Row],[AVANCE 2°. TRIM]]+TABLA_AVANCE_METAS[[#This Row],[AVANCE 3°. TRIM]]+TABLA_AVANCE_METAS[[#This Row],[AVANCE 4°. TRIM]]</f>
        <v>26</v>
      </c>
      <c r="AM35" s="40">
        <f>IFERROR((TABLA_AVANCE_METAS[[#This Row],[AVANCE ACUM. ANUAL]]/TABLA_AVANCE_METAS[[#This Row],[PROGRAMADO ANUAL]])*100,"N/A")</f>
        <v>100</v>
      </c>
      <c r="AN35"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ADECUADO</v>
      </c>
      <c r="AO35" s="45">
        <f>TABLA_AVANCE_METAS[[#This Row],[AVANCE ACUM. ANUAL]]-TABLA_AVANCE_METAS[[#This Row],[PROGRAMADO ANUAL]]</f>
        <v>0</v>
      </c>
      <c r="AP35" s="47">
        <f>IFERROR((TABLA_AVANCE_METAS[[#This Row],[DIFERENCIA ABSOLUTA ANUAL]]/TABLA_AVANCE_METAS[[#This Row],[PROGRAMADO ANUAL]])*100,"N/A")</f>
        <v>0</v>
      </c>
      <c r="AQ35" s="48" t="s">
        <v>63</v>
      </c>
      <c r="AR35" s="49"/>
      <c r="AS35" s="50"/>
      <c r="AT35" s="50"/>
      <c r="AU35" s="51" t="b">
        <f>TABLA_AVANCE_METAS[[#This Row],[PROGRAMADO ANUAL]]=SUM(TABLA_AVANCE_METAS[[#This Row],[PROGR. 1° TRIM]],TABLA_AVANCE_METAS[[#This Row],[PROGR. 2° TRIM]],TABLA_AVANCE_METAS[[#This Row],[PROGR. 3° TRIM]],TABLA_AVANCE_METAS[[#This Row],[PROGR. 4° TRIM]])</f>
        <v>1</v>
      </c>
      <c r="AV35" s="52"/>
    </row>
    <row r="36" spans="1:48" ht="75" hidden="1" customHeight="1" x14ac:dyDescent="0.3">
      <c r="A36" s="31" t="str">
        <f>CONCATENATE(TABLA_AVANCE_METAS[[#This Row],[ESTRUCTURA]],TABLA_AVANCE_METAS[[#This Row],['#]])</f>
        <v>A0122901050206083</v>
      </c>
      <c r="B36" s="32" t="s">
        <v>158</v>
      </c>
      <c r="C36" s="33" t="s">
        <v>75</v>
      </c>
      <c r="D36" s="32" t="s">
        <v>76</v>
      </c>
      <c r="E36" s="32" t="s">
        <v>159</v>
      </c>
      <c r="F36" s="32" t="s">
        <v>160</v>
      </c>
      <c r="G36" s="34" t="s">
        <v>161</v>
      </c>
      <c r="H36" s="32" t="s">
        <v>140</v>
      </c>
      <c r="I36" s="32" t="s">
        <v>141</v>
      </c>
      <c r="J36" s="32" t="s">
        <v>162</v>
      </c>
      <c r="K36" s="32" t="s">
        <v>163</v>
      </c>
      <c r="L36" s="33">
        <v>3</v>
      </c>
      <c r="M36" s="35" t="s">
        <v>167</v>
      </c>
      <c r="N36" s="34" t="s">
        <v>168</v>
      </c>
      <c r="O36" s="36">
        <v>1</v>
      </c>
      <c r="P36" s="36">
        <v>1</v>
      </c>
      <c r="Q36" s="37">
        <v>1</v>
      </c>
      <c r="R36" s="38">
        <f>IFERROR((TABLA_AVANCE_METAS[[#This Row],[AVANCE 1°. TRIM]]/TABLA_AVANCE_METAS[[#This Row],[PROGR. 1° TRIM]])*100,"0")</f>
        <v>100</v>
      </c>
      <c r="S36"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36" s="36">
        <v>0</v>
      </c>
      <c r="U36" s="37">
        <v>0</v>
      </c>
      <c r="V36" s="40" t="str">
        <f t="shared" si="0"/>
        <v>0</v>
      </c>
      <c r="W36" s="39" t="str">
        <f t="shared" si="1"/>
        <v>NO PROG.</v>
      </c>
      <c r="X36" s="36">
        <v>0</v>
      </c>
      <c r="Y36" s="37">
        <v>0</v>
      </c>
      <c r="Z36" s="40" t="s">
        <v>72</v>
      </c>
      <c r="AA36" s="39" t="s">
        <v>73</v>
      </c>
      <c r="AB36" s="36">
        <v>0</v>
      </c>
      <c r="AC36" s="41">
        <v>0</v>
      </c>
      <c r="AD36" s="40" t="str">
        <f>IFERROR((TABLA_AVANCE_METAS[[#This Row],[AVANCE 4°. TRIM]]/TABLA_AVANCE_METAS[[#This Row],[PROGR. 4° TRIM]])*100,"0")</f>
        <v>0</v>
      </c>
      <c r="AE36"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NO PROG.</v>
      </c>
      <c r="AF36" s="43" cm="1">
        <f t="array" ref="AF36">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v>
      </c>
      <c r="AG36" s="44" cm="1">
        <f t="array" ref="AG36">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1</v>
      </c>
      <c r="AH36" s="40">
        <f>IFERROR((TABLA_AVANCE_METAS[[#This Row],[AVANCE ACUM. TRIM.]]/TABLA_AVANCE_METAS[[#This Row],[PROG. ACUM]])*100,"N/A")</f>
        <v>100</v>
      </c>
      <c r="AI36"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36" s="45">
        <f>TABLA_AVANCE_METAS[[#This Row],[AVANCE ACUM. TRIM.]]-TABLA_AVANCE_METAS[[#This Row],[PROG. ACUM]]</f>
        <v>0</v>
      </c>
      <c r="AK36" s="46">
        <f>IFERROR((TABLA_AVANCE_METAS[[#This Row],[DIFERENCIA ABSOLUTA SEMESTRAL]]/TABLA_AVANCE_METAS[[#This Row],[PROG. ACUM]])*100,"N/A")</f>
        <v>0</v>
      </c>
      <c r="AL36" s="44">
        <f>TABLA_AVANCE_METAS[[#This Row],[AVANCE 1°. TRIM]]+TABLA_AVANCE_METAS[[#This Row],[AVANCE 2°. TRIM]]+TABLA_AVANCE_METAS[[#This Row],[AVANCE 3°. TRIM]]+TABLA_AVANCE_METAS[[#This Row],[AVANCE 4°. TRIM]]</f>
        <v>1</v>
      </c>
      <c r="AM36" s="40">
        <f>IFERROR((TABLA_AVANCE_METAS[[#This Row],[AVANCE ACUM. ANUAL]]/TABLA_AVANCE_METAS[[#This Row],[PROGRAMADO ANUAL]])*100,"N/A")</f>
        <v>100</v>
      </c>
      <c r="AN36"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ADECUADO</v>
      </c>
      <c r="AO36" s="45">
        <f>TABLA_AVANCE_METAS[[#This Row],[AVANCE ACUM. ANUAL]]-TABLA_AVANCE_METAS[[#This Row],[PROGRAMADO ANUAL]]</f>
        <v>0</v>
      </c>
      <c r="AP36" s="47">
        <f>IFERROR((TABLA_AVANCE_METAS[[#This Row],[DIFERENCIA ABSOLUTA ANUAL]]/TABLA_AVANCE_METAS[[#This Row],[PROGRAMADO ANUAL]])*100,"N/A")</f>
        <v>0</v>
      </c>
      <c r="AQ36" s="48" t="s">
        <v>63</v>
      </c>
      <c r="AR36" s="49"/>
      <c r="AS36" s="50"/>
      <c r="AT36" s="50"/>
      <c r="AU36" s="51" t="b">
        <f>TABLA_AVANCE_METAS[[#This Row],[PROGRAMADO ANUAL]]=SUM(TABLA_AVANCE_METAS[[#This Row],[PROGR. 1° TRIM]],TABLA_AVANCE_METAS[[#This Row],[PROGR. 2° TRIM]],TABLA_AVANCE_METAS[[#This Row],[PROGR. 3° TRIM]],TABLA_AVANCE_METAS[[#This Row],[PROGR. 4° TRIM]])</f>
        <v>1</v>
      </c>
      <c r="AV36" s="52"/>
    </row>
    <row r="37" spans="1:48" ht="75" hidden="1" customHeight="1" x14ac:dyDescent="0.3">
      <c r="A37" s="31" t="str">
        <f>CONCATENATE(TABLA_AVANCE_METAS[[#This Row],[ESTRUCTURA]],TABLA_AVANCE_METAS[[#This Row],['#]])</f>
        <v>A0122901080501031</v>
      </c>
      <c r="B37" s="32" t="s">
        <v>158</v>
      </c>
      <c r="C37" s="33" t="s">
        <v>75</v>
      </c>
      <c r="D37" s="32" t="s">
        <v>76</v>
      </c>
      <c r="E37" s="32" t="s">
        <v>159</v>
      </c>
      <c r="F37" s="32" t="s">
        <v>160</v>
      </c>
      <c r="G37" s="34" t="s">
        <v>169</v>
      </c>
      <c r="H37" s="32" t="s">
        <v>170</v>
      </c>
      <c r="I37" s="32" t="s">
        <v>171</v>
      </c>
      <c r="J37" s="32" t="s">
        <v>172</v>
      </c>
      <c r="K37" s="32" t="s">
        <v>173</v>
      </c>
      <c r="L37" s="33">
        <v>1</v>
      </c>
      <c r="M37" s="35" t="s">
        <v>174</v>
      </c>
      <c r="N37" s="34" t="s">
        <v>151</v>
      </c>
      <c r="O37" s="36">
        <v>1</v>
      </c>
      <c r="P37" s="36">
        <v>0</v>
      </c>
      <c r="Q37" s="37">
        <v>0</v>
      </c>
      <c r="R37" s="38" t="str">
        <f>IFERROR((TABLA_AVANCE_METAS[[#This Row],[AVANCE 1°. TRIM]]/TABLA_AVANCE_METAS[[#This Row],[PROGR. 1° TRIM]])*100,"0")</f>
        <v>0</v>
      </c>
      <c r="S37"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NO PROG.</v>
      </c>
      <c r="T37" s="36">
        <v>0</v>
      </c>
      <c r="U37" s="37">
        <v>0</v>
      </c>
      <c r="V37" s="40" t="str">
        <f t="shared" si="0"/>
        <v>0</v>
      </c>
      <c r="W37" s="39" t="str">
        <f t="shared" si="1"/>
        <v>NO PROG.</v>
      </c>
      <c r="X37" s="36">
        <v>1</v>
      </c>
      <c r="Y37" s="37">
        <v>0</v>
      </c>
      <c r="Z37" s="40">
        <v>0</v>
      </c>
      <c r="AA37" s="39" t="s">
        <v>62</v>
      </c>
      <c r="AB37" s="36">
        <v>0</v>
      </c>
      <c r="AC37" s="41">
        <v>0</v>
      </c>
      <c r="AD37" s="40" t="str">
        <f>IFERROR((TABLA_AVANCE_METAS[[#This Row],[AVANCE 4°. TRIM]]/TABLA_AVANCE_METAS[[#This Row],[PROGR. 4° TRIM]])*100,"0")</f>
        <v>0</v>
      </c>
      <c r="AE37"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NO PROG.</v>
      </c>
      <c r="AF37" s="43" cm="1">
        <f t="array" ref="AF37">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0</v>
      </c>
      <c r="AG37" s="44" cm="1">
        <f t="array" ref="AG37">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0</v>
      </c>
      <c r="AH37" s="40" t="str">
        <f>IFERROR((TABLA_AVANCE_METAS[[#This Row],[AVANCE ACUM. TRIM.]]/TABLA_AVANCE_METAS[[#This Row],[PROG. ACUM]])*100,"N/A")</f>
        <v>N/A</v>
      </c>
      <c r="AI37"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NO PROG.</v>
      </c>
      <c r="AJ37" s="45">
        <f>TABLA_AVANCE_METAS[[#This Row],[AVANCE ACUM. TRIM.]]-TABLA_AVANCE_METAS[[#This Row],[PROG. ACUM]]</f>
        <v>0</v>
      </c>
      <c r="AK37" s="46" t="str">
        <f>IFERROR((TABLA_AVANCE_METAS[[#This Row],[DIFERENCIA ABSOLUTA SEMESTRAL]]/TABLA_AVANCE_METAS[[#This Row],[PROG. ACUM]])*100,"N/A")</f>
        <v>N/A</v>
      </c>
      <c r="AL37" s="44">
        <f>TABLA_AVANCE_METAS[[#This Row],[AVANCE 1°. TRIM]]+TABLA_AVANCE_METAS[[#This Row],[AVANCE 2°. TRIM]]+TABLA_AVANCE_METAS[[#This Row],[AVANCE 3°. TRIM]]+TABLA_AVANCE_METAS[[#This Row],[AVANCE 4°. TRIM]]</f>
        <v>0</v>
      </c>
      <c r="AM37" s="40">
        <f>IFERROR((TABLA_AVANCE_METAS[[#This Row],[AVANCE ACUM. ANUAL]]/TABLA_AVANCE_METAS[[#This Row],[PROGRAMADO ANUAL]])*100,"N/A")</f>
        <v>0</v>
      </c>
      <c r="AN37"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37" s="45">
        <f>TABLA_AVANCE_METAS[[#This Row],[AVANCE ACUM. ANUAL]]-TABLA_AVANCE_METAS[[#This Row],[PROGRAMADO ANUAL]]</f>
        <v>-1</v>
      </c>
      <c r="AP37" s="47">
        <f>IFERROR((TABLA_AVANCE_METAS[[#This Row],[DIFERENCIA ABSOLUTA ANUAL]]/TABLA_AVANCE_METAS[[#This Row],[PROGRAMADO ANUAL]])*100,"N/A")</f>
        <v>-100</v>
      </c>
      <c r="AQ37" s="48" t="s">
        <v>63</v>
      </c>
      <c r="AR37" s="49"/>
      <c r="AS37" s="50"/>
      <c r="AT37" s="50"/>
      <c r="AU37" s="51" t="b">
        <f>TABLA_AVANCE_METAS[[#This Row],[PROGRAMADO ANUAL]]=SUM(TABLA_AVANCE_METAS[[#This Row],[PROGR. 1° TRIM]],TABLA_AVANCE_METAS[[#This Row],[PROGR. 2° TRIM]],TABLA_AVANCE_METAS[[#This Row],[PROGR. 3° TRIM]],TABLA_AVANCE_METAS[[#This Row],[PROGR. 4° TRIM]])</f>
        <v>1</v>
      </c>
      <c r="AV37" s="52"/>
    </row>
    <row r="38" spans="1:48" ht="75" hidden="1" customHeight="1" x14ac:dyDescent="0.3">
      <c r="A38" s="31" t="str">
        <f>CONCATENATE(TABLA_AVANCE_METAS[[#This Row],[ESTRUCTURA]],TABLA_AVANCE_METAS[[#This Row],['#]])</f>
        <v>A0122901080501032</v>
      </c>
      <c r="B38" s="32" t="s">
        <v>158</v>
      </c>
      <c r="C38" s="33" t="s">
        <v>75</v>
      </c>
      <c r="D38" s="32" t="s">
        <v>76</v>
      </c>
      <c r="E38" s="32" t="s">
        <v>159</v>
      </c>
      <c r="F38" s="32" t="s">
        <v>160</v>
      </c>
      <c r="G38" s="34" t="s">
        <v>169</v>
      </c>
      <c r="H38" s="32" t="s">
        <v>170</v>
      </c>
      <c r="I38" s="32" t="s">
        <v>171</v>
      </c>
      <c r="J38" s="32" t="s">
        <v>172</v>
      </c>
      <c r="K38" s="32" t="s">
        <v>173</v>
      </c>
      <c r="L38" s="33">
        <v>2</v>
      </c>
      <c r="M38" s="35" t="s">
        <v>175</v>
      </c>
      <c r="N38" s="34" t="s">
        <v>124</v>
      </c>
      <c r="O38" s="36">
        <v>4</v>
      </c>
      <c r="P38" s="36">
        <v>1</v>
      </c>
      <c r="Q38" s="37">
        <v>1</v>
      </c>
      <c r="R38" s="38">
        <f>IFERROR((TABLA_AVANCE_METAS[[#This Row],[AVANCE 1°. TRIM]]/TABLA_AVANCE_METAS[[#This Row],[PROGR. 1° TRIM]])*100,"0")</f>
        <v>100</v>
      </c>
      <c r="S38"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38" s="36">
        <v>1</v>
      </c>
      <c r="U38" s="37">
        <v>1</v>
      </c>
      <c r="V38" s="40">
        <f t="shared" si="0"/>
        <v>100</v>
      </c>
      <c r="W38" s="39" t="str">
        <f t="shared" si="1"/>
        <v>ADECUADO</v>
      </c>
      <c r="X38" s="36">
        <v>1</v>
      </c>
      <c r="Y38" s="37">
        <v>0</v>
      </c>
      <c r="Z38" s="40">
        <v>0</v>
      </c>
      <c r="AA38" s="39" t="s">
        <v>62</v>
      </c>
      <c r="AB38" s="36">
        <v>1</v>
      </c>
      <c r="AC38" s="41">
        <v>0</v>
      </c>
      <c r="AD38" s="40">
        <f>IFERROR((TABLA_AVANCE_METAS[[#This Row],[AVANCE 4°. TRIM]]/TABLA_AVANCE_METAS[[#This Row],[PROGR. 4° TRIM]])*100,"0")</f>
        <v>0</v>
      </c>
      <c r="AE38"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38" s="43" cm="1">
        <f t="array" ref="AF38">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2</v>
      </c>
      <c r="AG38" s="44" cm="1">
        <f t="array" ref="AG38">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2</v>
      </c>
      <c r="AH38" s="40">
        <f>IFERROR((TABLA_AVANCE_METAS[[#This Row],[AVANCE ACUM. TRIM.]]/TABLA_AVANCE_METAS[[#This Row],[PROG. ACUM]])*100,"N/A")</f>
        <v>100</v>
      </c>
      <c r="AI38"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38" s="45">
        <f>TABLA_AVANCE_METAS[[#This Row],[AVANCE ACUM. TRIM.]]-TABLA_AVANCE_METAS[[#This Row],[PROG. ACUM]]</f>
        <v>0</v>
      </c>
      <c r="AK38" s="46">
        <f>IFERROR((TABLA_AVANCE_METAS[[#This Row],[DIFERENCIA ABSOLUTA SEMESTRAL]]/TABLA_AVANCE_METAS[[#This Row],[PROG. ACUM]])*100,"N/A")</f>
        <v>0</v>
      </c>
      <c r="AL38" s="44">
        <f>TABLA_AVANCE_METAS[[#This Row],[AVANCE 1°. TRIM]]+TABLA_AVANCE_METAS[[#This Row],[AVANCE 2°. TRIM]]+TABLA_AVANCE_METAS[[#This Row],[AVANCE 3°. TRIM]]+TABLA_AVANCE_METAS[[#This Row],[AVANCE 4°. TRIM]]</f>
        <v>2</v>
      </c>
      <c r="AM38" s="40">
        <f>IFERROR((TABLA_AVANCE_METAS[[#This Row],[AVANCE ACUM. ANUAL]]/TABLA_AVANCE_METAS[[#This Row],[PROGRAMADO ANUAL]])*100,"N/A")</f>
        <v>50</v>
      </c>
      <c r="AN38"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38" s="45">
        <f>TABLA_AVANCE_METAS[[#This Row],[AVANCE ACUM. ANUAL]]-TABLA_AVANCE_METAS[[#This Row],[PROGRAMADO ANUAL]]</f>
        <v>-2</v>
      </c>
      <c r="AP38" s="47">
        <f>IFERROR((TABLA_AVANCE_METAS[[#This Row],[DIFERENCIA ABSOLUTA ANUAL]]/TABLA_AVANCE_METAS[[#This Row],[PROGRAMADO ANUAL]])*100,"N/A")</f>
        <v>-50</v>
      </c>
      <c r="AQ38" s="48" t="s">
        <v>63</v>
      </c>
      <c r="AR38" s="49"/>
      <c r="AS38" s="50"/>
      <c r="AT38" s="50"/>
      <c r="AU38" s="51" t="b">
        <f>TABLA_AVANCE_METAS[[#This Row],[PROGRAMADO ANUAL]]=SUM(TABLA_AVANCE_METAS[[#This Row],[PROGR. 1° TRIM]],TABLA_AVANCE_METAS[[#This Row],[PROGR. 2° TRIM]],TABLA_AVANCE_METAS[[#This Row],[PROGR. 3° TRIM]],TABLA_AVANCE_METAS[[#This Row],[PROGR. 4° TRIM]])</f>
        <v>1</v>
      </c>
      <c r="AV38" s="52"/>
    </row>
    <row r="39" spans="1:48" ht="75" hidden="1" customHeight="1" x14ac:dyDescent="0.3">
      <c r="A39" s="31" t="str">
        <f>CONCATENATE(TABLA_AVANCE_METAS[[#This Row],[ESTRUCTURA]],TABLA_AVANCE_METAS[[#This Row],['#]])</f>
        <v>A0123402020301081</v>
      </c>
      <c r="B39" s="32" t="s">
        <v>105</v>
      </c>
      <c r="C39" s="33" t="s">
        <v>75</v>
      </c>
      <c r="D39" s="32" t="s">
        <v>76</v>
      </c>
      <c r="E39" s="32" t="s">
        <v>106</v>
      </c>
      <c r="F39" s="32" t="s">
        <v>107</v>
      </c>
      <c r="G39" s="34" t="s">
        <v>176</v>
      </c>
      <c r="H39" s="32" t="s">
        <v>177</v>
      </c>
      <c r="I39" s="32" t="s">
        <v>178</v>
      </c>
      <c r="J39" s="32" t="s">
        <v>179</v>
      </c>
      <c r="K39" s="32" t="s">
        <v>180</v>
      </c>
      <c r="L39" s="33">
        <v>1</v>
      </c>
      <c r="M39" s="35" t="s">
        <v>181</v>
      </c>
      <c r="N39" s="34" t="s">
        <v>182</v>
      </c>
      <c r="O39" s="36">
        <v>180</v>
      </c>
      <c r="P39" s="36">
        <v>45</v>
      </c>
      <c r="Q39" s="37">
        <v>45</v>
      </c>
      <c r="R39" s="38">
        <f>IFERROR((TABLA_AVANCE_METAS[[#This Row],[AVANCE 1°. TRIM]]/TABLA_AVANCE_METAS[[#This Row],[PROGR. 1° TRIM]])*100,"0")</f>
        <v>100</v>
      </c>
      <c r="S39"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39" s="36">
        <v>45</v>
      </c>
      <c r="U39" s="37">
        <v>45</v>
      </c>
      <c r="V39" s="40">
        <f t="shared" si="0"/>
        <v>100</v>
      </c>
      <c r="W39" s="39" t="str">
        <f t="shared" si="1"/>
        <v>ADECUADO</v>
      </c>
      <c r="X39" s="36">
        <v>45</v>
      </c>
      <c r="Y39" s="37">
        <v>0</v>
      </c>
      <c r="Z39" s="40">
        <v>0</v>
      </c>
      <c r="AA39" s="39" t="s">
        <v>62</v>
      </c>
      <c r="AB39" s="36">
        <v>45</v>
      </c>
      <c r="AC39" s="41">
        <v>0</v>
      </c>
      <c r="AD39" s="40">
        <f>IFERROR((TABLA_AVANCE_METAS[[#This Row],[AVANCE 4°. TRIM]]/TABLA_AVANCE_METAS[[#This Row],[PROGR. 4° TRIM]])*100,"0")</f>
        <v>0</v>
      </c>
      <c r="AE39"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39" s="43" cm="1">
        <f t="array" ref="AF39">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90</v>
      </c>
      <c r="AG39" s="44" cm="1">
        <f t="array" ref="AG39">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90</v>
      </c>
      <c r="AH39" s="40">
        <f>IFERROR((TABLA_AVANCE_METAS[[#This Row],[AVANCE ACUM. TRIM.]]/TABLA_AVANCE_METAS[[#This Row],[PROG. ACUM]])*100,"N/A")</f>
        <v>100</v>
      </c>
      <c r="AI39"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39" s="45">
        <f>TABLA_AVANCE_METAS[[#This Row],[AVANCE ACUM. TRIM.]]-TABLA_AVANCE_METAS[[#This Row],[PROG. ACUM]]</f>
        <v>0</v>
      </c>
      <c r="AK39" s="46">
        <f>IFERROR((TABLA_AVANCE_METAS[[#This Row],[DIFERENCIA ABSOLUTA SEMESTRAL]]/TABLA_AVANCE_METAS[[#This Row],[PROG. ACUM]])*100,"N/A")</f>
        <v>0</v>
      </c>
      <c r="AL39" s="44">
        <f>TABLA_AVANCE_METAS[[#This Row],[AVANCE 1°. TRIM]]+TABLA_AVANCE_METAS[[#This Row],[AVANCE 2°. TRIM]]+TABLA_AVANCE_METAS[[#This Row],[AVANCE 3°. TRIM]]+TABLA_AVANCE_METAS[[#This Row],[AVANCE 4°. TRIM]]</f>
        <v>90</v>
      </c>
      <c r="AM39" s="40">
        <f>IFERROR((TABLA_AVANCE_METAS[[#This Row],[AVANCE ACUM. ANUAL]]/TABLA_AVANCE_METAS[[#This Row],[PROGRAMADO ANUAL]])*100,"N/A")</f>
        <v>50</v>
      </c>
      <c r="AN39"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39" s="45">
        <f>TABLA_AVANCE_METAS[[#This Row],[AVANCE ACUM. ANUAL]]-TABLA_AVANCE_METAS[[#This Row],[PROGRAMADO ANUAL]]</f>
        <v>-90</v>
      </c>
      <c r="AP39" s="47">
        <f>IFERROR((TABLA_AVANCE_METAS[[#This Row],[DIFERENCIA ABSOLUTA ANUAL]]/TABLA_AVANCE_METAS[[#This Row],[PROGRAMADO ANUAL]])*100,"N/A")</f>
        <v>-50</v>
      </c>
      <c r="AQ39" s="48" t="s">
        <v>183</v>
      </c>
      <c r="AR39" s="49"/>
      <c r="AS39" s="50"/>
      <c r="AT39" s="50"/>
      <c r="AU39" s="51" t="b">
        <f>TABLA_AVANCE_METAS[[#This Row],[PROGRAMADO ANUAL]]=SUM(TABLA_AVANCE_METAS[[#This Row],[PROGR. 1° TRIM]],TABLA_AVANCE_METAS[[#This Row],[PROGR. 2° TRIM]],TABLA_AVANCE_METAS[[#This Row],[PROGR. 3° TRIM]],TABLA_AVANCE_METAS[[#This Row],[PROGR. 4° TRIM]])</f>
        <v>1</v>
      </c>
      <c r="AV39" s="52"/>
    </row>
    <row r="40" spans="1:48" ht="75" hidden="1" customHeight="1" x14ac:dyDescent="0.3">
      <c r="A40" s="31" t="str">
        <f>CONCATENATE(TABLA_AVANCE_METAS[[#This Row],[ESTRUCTURA]],TABLA_AVANCE_METAS[[#This Row],['#]])</f>
        <v>A0123402020301082</v>
      </c>
      <c r="B40" s="32" t="s">
        <v>105</v>
      </c>
      <c r="C40" s="33" t="s">
        <v>75</v>
      </c>
      <c r="D40" s="32" t="s">
        <v>76</v>
      </c>
      <c r="E40" s="32" t="s">
        <v>106</v>
      </c>
      <c r="F40" s="32" t="s">
        <v>107</v>
      </c>
      <c r="G40" s="34" t="s">
        <v>176</v>
      </c>
      <c r="H40" s="32" t="s">
        <v>177</v>
      </c>
      <c r="I40" s="32" t="s">
        <v>178</v>
      </c>
      <c r="J40" s="32" t="s">
        <v>179</v>
      </c>
      <c r="K40" s="32" t="s">
        <v>180</v>
      </c>
      <c r="L40" s="33">
        <v>2</v>
      </c>
      <c r="M40" s="35" t="s">
        <v>184</v>
      </c>
      <c r="N40" s="34" t="s">
        <v>185</v>
      </c>
      <c r="O40" s="36">
        <v>12000</v>
      </c>
      <c r="P40" s="36">
        <v>3000</v>
      </c>
      <c r="Q40" s="37">
        <v>3281</v>
      </c>
      <c r="R40" s="38">
        <f>IFERROR((TABLA_AVANCE_METAS[[#This Row],[AVANCE 1°. TRIM]]/TABLA_AVANCE_METAS[[#This Row],[PROGR. 1° TRIM]])*100,"0")</f>
        <v>109.36666666666666</v>
      </c>
      <c r="S40"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40" s="36">
        <v>3000</v>
      </c>
      <c r="U40" s="37">
        <v>3288</v>
      </c>
      <c r="V40" s="40">
        <f t="shared" si="0"/>
        <v>109.60000000000001</v>
      </c>
      <c r="W40" s="39" t="str">
        <f t="shared" si="1"/>
        <v>ADECUADO</v>
      </c>
      <c r="X40" s="36">
        <v>3000</v>
      </c>
      <c r="Y40" s="37">
        <v>0</v>
      </c>
      <c r="Z40" s="40">
        <v>0</v>
      </c>
      <c r="AA40" s="39" t="s">
        <v>62</v>
      </c>
      <c r="AB40" s="36">
        <v>3000</v>
      </c>
      <c r="AC40" s="41">
        <v>0</v>
      </c>
      <c r="AD40" s="40">
        <f>IFERROR((TABLA_AVANCE_METAS[[#This Row],[AVANCE 4°. TRIM]]/TABLA_AVANCE_METAS[[#This Row],[PROGR. 4° TRIM]])*100,"0")</f>
        <v>0</v>
      </c>
      <c r="AE40"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40" s="43" cm="1">
        <f t="array" ref="AF40">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6000</v>
      </c>
      <c r="AG40" s="44" cm="1">
        <f t="array" ref="AG40">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6569</v>
      </c>
      <c r="AH40" s="40">
        <f>IFERROR((TABLA_AVANCE_METAS[[#This Row],[AVANCE ACUM. TRIM.]]/TABLA_AVANCE_METAS[[#This Row],[PROG. ACUM]])*100,"N/A")</f>
        <v>109.48333333333333</v>
      </c>
      <c r="AI40"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40" s="45">
        <f>TABLA_AVANCE_METAS[[#This Row],[AVANCE ACUM. TRIM.]]-TABLA_AVANCE_METAS[[#This Row],[PROG. ACUM]]</f>
        <v>569</v>
      </c>
      <c r="AK40" s="46">
        <f>IFERROR((TABLA_AVANCE_METAS[[#This Row],[DIFERENCIA ABSOLUTA SEMESTRAL]]/TABLA_AVANCE_METAS[[#This Row],[PROG. ACUM]])*100,"N/A")</f>
        <v>9.4833333333333343</v>
      </c>
      <c r="AL40" s="44">
        <f>TABLA_AVANCE_METAS[[#This Row],[AVANCE 1°. TRIM]]+TABLA_AVANCE_METAS[[#This Row],[AVANCE 2°. TRIM]]+TABLA_AVANCE_METAS[[#This Row],[AVANCE 3°. TRIM]]+TABLA_AVANCE_METAS[[#This Row],[AVANCE 4°. TRIM]]</f>
        <v>6569</v>
      </c>
      <c r="AM40" s="40">
        <f>IFERROR((TABLA_AVANCE_METAS[[#This Row],[AVANCE ACUM. ANUAL]]/TABLA_AVANCE_METAS[[#This Row],[PROGRAMADO ANUAL]])*100,"N/A")</f>
        <v>54.741666666666667</v>
      </c>
      <c r="AN40"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40" s="45">
        <f>TABLA_AVANCE_METAS[[#This Row],[AVANCE ACUM. ANUAL]]-TABLA_AVANCE_METAS[[#This Row],[PROGRAMADO ANUAL]]</f>
        <v>-5431</v>
      </c>
      <c r="AP40" s="47">
        <f>IFERROR((TABLA_AVANCE_METAS[[#This Row],[DIFERENCIA ABSOLUTA ANUAL]]/TABLA_AVANCE_METAS[[#This Row],[PROGRAMADO ANUAL]])*100,"N/A")</f>
        <v>-45.258333333333333</v>
      </c>
      <c r="AQ40" s="48" t="s">
        <v>186</v>
      </c>
      <c r="AR40" s="49"/>
      <c r="AS40" s="50"/>
      <c r="AT40" s="50"/>
      <c r="AU40" s="51" t="b">
        <f>TABLA_AVANCE_METAS[[#This Row],[PROGRAMADO ANUAL]]=SUM(TABLA_AVANCE_METAS[[#This Row],[PROGR. 1° TRIM]],TABLA_AVANCE_METAS[[#This Row],[PROGR. 2° TRIM]],TABLA_AVANCE_METAS[[#This Row],[PROGR. 3° TRIM]],TABLA_AVANCE_METAS[[#This Row],[PROGR. 4° TRIM]])</f>
        <v>1</v>
      </c>
      <c r="AV40" s="52"/>
    </row>
    <row r="41" spans="1:48" ht="75" hidden="1" customHeight="1" x14ac:dyDescent="0.3">
      <c r="A41" s="31" t="str">
        <f>CONCATENATE(TABLA_AVANCE_METAS[[#This Row],[ESTRUCTURA]],TABLA_AVANCE_METAS[[#This Row],['#]])</f>
        <v>A0121201050205021</v>
      </c>
      <c r="B41" s="32" t="s">
        <v>76</v>
      </c>
      <c r="C41" s="33" t="s">
        <v>75</v>
      </c>
      <c r="D41" s="32" t="s">
        <v>76</v>
      </c>
      <c r="E41" s="32" t="s">
        <v>53</v>
      </c>
      <c r="F41" s="32" t="s">
        <v>54</v>
      </c>
      <c r="G41" s="34" t="s">
        <v>187</v>
      </c>
      <c r="H41" s="32" t="s">
        <v>188</v>
      </c>
      <c r="I41" s="32" t="s">
        <v>189</v>
      </c>
      <c r="J41" s="32" t="s">
        <v>190</v>
      </c>
      <c r="K41" s="32" t="s">
        <v>191</v>
      </c>
      <c r="L41" s="33">
        <v>1</v>
      </c>
      <c r="M41" s="35" t="s">
        <v>192</v>
      </c>
      <c r="N41" s="34" t="s">
        <v>71</v>
      </c>
      <c r="O41" s="36">
        <v>12</v>
      </c>
      <c r="P41" s="36">
        <v>3</v>
      </c>
      <c r="Q41" s="37">
        <v>3</v>
      </c>
      <c r="R41" s="38">
        <f>IFERROR((TABLA_AVANCE_METAS[[#This Row],[AVANCE 1°. TRIM]]/TABLA_AVANCE_METAS[[#This Row],[PROGR. 1° TRIM]])*100,"0")</f>
        <v>100</v>
      </c>
      <c r="S41"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41" s="36">
        <v>3</v>
      </c>
      <c r="U41" s="37">
        <v>3</v>
      </c>
      <c r="V41" s="40">
        <f t="shared" si="0"/>
        <v>100</v>
      </c>
      <c r="W41" s="39" t="str">
        <f t="shared" si="1"/>
        <v>ADECUADO</v>
      </c>
      <c r="X41" s="36">
        <v>3</v>
      </c>
      <c r="Y41" s="37">
        <v>0</v>
      </c>
      <c r="Z41" s="40">
        <v>0</v>
      </c>
      <c r="AA41" s="39" t="s">
        <v>62</v>
      </c>
      <c r="AB41" s="36">
        <v>3</v>
      </c>
      <c r="AC41" s="41">
        <v>0</v>
      </c>
      <c r="AD41" s="40">
        <f>IFERROR((TABLA_AVANCE_METAS[[#This Row],[AVANCE 4°. TRIM]]/TABLA_AVANCE_METAS[[#This Row],[PROGR. 4° TRIM]])*100,"0")</f>
        <v>0</v>
      </c>
      <c r="AE41"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41" s="43" cm="1">
        <f t="array" ref="AF41">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6</v>
      </c>
      <c r="AG41" s="44" cm="1">
        <f t="array" ref="AG41">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6</v>
      </c>
      <c r="AH41" s="40">
        <f>IFERROR((TABLA_AVANCE_METAS[[#This Row],[AVANCE ACUM. TRIM.]]/TABLA_AVANCE_METAS[[#This Row],[PROG. ACUM]])*100,"N/A")</f>
        <v>100</v>
      </c>
      <c r="AI41"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41" s="45">
        <f>TABLA_AVANCE_METAS[[#This Row],[AVANCE ACUM. TRIM.]]-TABLA_AVANCE_METAS[[#This Row],[PROG. ACUM]]</f>
        <v>0</v>
      </c>
      <c r="AK41" s="46">
        <f>IFERROR((TABLA_AVANCE_METAS[[#This Row],[DIFERENCIA ABSOLUTA SEMESTRAL]]/TABLA_AVANCE_METAS[[#This Row],[PROG. ACUM]])*100,"N/A")</f>
        <v>0</v>
      </c>
      <c r="AL41" s="44">
        <f>TABLA_AVANCE_METAS[[#This Row],[AVANCE 1°. TRIM]]+TABLA_AVANCE_METAS[[#This Row],[AVANCE 2°. TRIM]]+TABLA_AVANCE_METAS[[#This Row],[AVANCE 3°. TRIM]]+TABLA_AVANCE_METAS[[#This Row],[AVANCE 4°. TRIM]]</f>
        <v>6</v>
      </c>
      <c r="AM41" s="40">
        <f>IFERROR((TABLA_AVANCE_METAS[[#This Row],[AVANCE ACUM. ANUAL]]/TABLA_AVANCE_METAS[[#This Row],[PROGRAMADO ANUAL]])*100,"N/A")</f>
        <v>50</v>
      </c>
      <c r="AN41"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41" s="45">
        <f>TABLA_AVANCE_METAS[[#This Row],[AVANCE ACUM. ANUAL]]-TABLA_AVANCE_METAS[[#This Row],[PROGRAMADO ANUAL]]</f>
        <v>-6</v>
      </c>
      <c r="AP41" s="47">
        <f>IFERROR((TABLA_AVANCE_METAS[[#This Row],[DIFERENCIA ABSOLUTA ANUAL]]/TABLA_AVANCE_METAS[[#This Row],[PROGRAMADO ANUAL]])*100,"N/A")</f>
        <v>-50</v>
      </c>
      <c r="AQ41" s="48" t="s">
        <v>63</v>
      </c>
      <c r="AR41" s="49"/>
      <c r="AS41" s="50"/>
      <c r="AT41" s="50"/>
      <c r="AU41" s="51" t="b">
        <f>TABLA_AVANCE_METAS[[#This Row],[PROGRAMADO ANUAL]]=SUM(TABLA_AVANCE_METAS[[#This Row],[PROGR. 1° TRIM]],TABLA_AVANCE_METAS[[#This Row],[PROGR. 2° TRIM]],TABLA_AVANCE_METAS[[#This Row],[PROGR. 3° TRIM]],TABLA_AVANCE_METAS[[#This Row],[PROGR. 4° TRIM]])</f>
        <v>1</v>
      </c>
      <c r="AV41" s="52"/>
    </row>
    <row r="42" spans="1:48" ht="75" hidden="1" customHeight="1" x14ac:dyDescent="0.3">
      <c r="A42" s="31" t="str">
        <f>CONCATENATE(TABLA_AVANCE_METAS[[#This Row],[ESTRUCTURA]],TABLA_AVANCE_METAS[[#This Row],['#]])</f>
        <v>A0121201050205022</v>
      </c>
      <c r="B42" s="32" t="s">
        <v>76</v>
      </c>
      <c r="C42" s="33" t="s">
        <v>75</v>
      </c>
      <c r="D42" s="32" t="s">
        <v>76</v>
      </c>
      <c r="E42" s="32" t="s">
        <v>53</v>
      </c>
      <c r="F42" s="32" t="s">
        <v>54</v>
      </c>
      <c r="G42" s="34" t="s">
        <v>187</v>
      </c>
      <c r="H42" s="32" t="s">
        <v>188</v>
      </c>
      <c r="I42" s="32" t="s">
        <v>189</v>
      </c>
      <c r="J42" s="32" t="s">
        <v>190</v>
      </c>
      <c r="K42" s="32" t="s">
        <v>191</v>
      </c>
      <c r="L42" s="33">
        <v>2</v>
      </c>
      <c r="M42" s="35" t="s">
        <v>193</v>
      </c>
      <c r="N42" s="34" t="s">
        <v>194</v>
      </c>
      <c r="O42" s="36">
        <v>12</v>
      </c>
      <c r="P42" s="36">
        <v>3</v>
      </c>
      <c r="Q42" s="37">
        <v>3</v>
      </c>
      <c r="R42" s="38">
        <f>IFERROR((TABLA_AVANCE_METAS[[#This Row],[AVANCE 1°. TRIM]]/TABLA_AVANCE_METAS[[#This Row],[PROGR. 1° TRIM]])*100,"0")</f>
        <v>100</v>
      </c>
      <c r="S42"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42" s="36">
        <v>3</v>
      </c>
      <c r="U42" s="37">
        <v>3</v>
      </c>
      <c r="V42" s="40">
        <f t="shared" si="0"/>
        <v>100</v>
      </c>
      <c r="W42" s="39" t="str">
        <f t="shared" si="1"/>
        <v>ADECUADO</v>
      </c>
      <c r="X42" s="36">
        <v>3</v>
      </c>
      <c r="Y42" s="37">
        <v>0</v>
      </c>
      <c r="Z42" s="40">
        <v>0</v>
      </c>
      <c r="AA42" s="39" t="s">
        <v>62</v>
      </c>
      <c r="AB42" s="36">
        <v>3</v>
      </c>
      <c r="AC42" s="41">
        <v>0</v>
      </c>
      <c r="AD42" s="40">
        <f>IFERROR((TABLA_AVANCE_METAS[[#This Row],[AVANCE 4°. TRIM]]/TABLA_AVANCE_METAS[[#This Row],[PROGR. 4° TRIM]])*100,"0")</f>
        <v>0</v>
      </c>
      <c r="AE42"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42" s="43" cm="1">
        <f t="array" ref="AF42">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6</v>
      </c>
      <c r="AG42" s="44" cm="1">
        <f t="array" ref="AG42">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6</v>
      </c>
      <c r="AH42" s="40">
        <f>IFERROR((TABLA_AVANCE_METAS[[#This Row],[AVANCE ACUM. TRIM.]]/TABLA_AVANCE_METAS[[#This Row],[PROG. ACUM]])*100,"N/A")</f>
        <v>100</v>
      </c>
      <c r="AI42"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42" s="45">
        <f>TABLA_AVANCE_METAS[[#This Row],[AVANCE ACUM. TRIM.]]-TABLA_AVANCE_METAS[[#This Row],[PROG. ACUM]]</f>
        <v>0</v>
      </c>
      <c r="AK42" s="46">
        <f>IFERROR((TABLA_AVANCE_METAS[[#This Row],[DIFERENCIA ABSOLUTA SEMESTRAL]]/TABLA_AVANCE_METAS[[#This Row],[PROG. ACUM]])*100,"N/A")</f>
        <v>0</v>
      </c>
      <c r="AL42" s="44">
        <f>TABLA_AVANCE_METAS[[#This Row],[AVANCE 1°. TRIM]]+TABLA_AVANCE_METAS[[#This Row],[AVANCE 2°. TRIM]]+TABLA_AVANCE_METAS[[#This Row],[AVANCE 3°. TRIM]]+TABLA_AVANCE_METAS[[#This Row],[AVANCE 4°. TRIM]]</f>
        <v>6</v>
      </c>
      <c r="AM42" s="40">
        <f>IFERROR((TABLA_AVANCE_METAS[[#This Row],[AVANCE ACUM. ANUAL]]/TABLA_AVANCE_METAS[[#This Row],[PROGRAMADO ANUAL]])*100,"N/A")</f>
        <v>50</v>
      </c>
      <c r="AN42"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42" s="45">
        <f>TABLA_AVANCE_METAS[[#This Row],[AVANCE ACUM. ANUAL]]-TABLA_AVANCE_METAS[[#This Row],[PROGRAMADO ANUAL]]</f>
        <v>-6</v>
      </c>
      <c r="AP42" s="47">
        <f>IFERROR((TABLA_AVANCE_METAS[[#This Row],[DIFERENCIA ABSOLUTA ANUAL]]/TABLA_AVANCE_METAS[[#This Row],[PROGRAMADO ANUAL]])*100,"N/A")</f>
        <v>-50</v>
      </c>
      <c r="AQ42" s="48" t="s">
        <v>63</v>
      </c>
      <c r="AR42" s="49"/>
      <c r="AS42" s="50"/>
      <c r="AT42" s="50"/>
      <c r="AU42" s="51" t="b">
        <f>TABLA_AVANCE_METAS[[#This Row],[PROGRAMADO ANUAL]]=SUM(TABLA_AVANCE_METAS[[#This Row],[PROGR. 1° TRIM]],TABLA_AVANCE_METAS[[#This Row],[PROGR. 2° TRIM]],TABLA_AVANCE_METAS[[#This Row],[PROGR. 3° TRIM]],TABLA_AVANCE_METAS[[#This Row],[PROGR. 4° TRIM]])</f>
        <v>1</v>
      </c>
      <c r="AV42" s="52"/>
    </row>
    <row r="43" spans="1:48" s="64" customFormat="1" ht="75" hidden="1" customHeight="1" x14ac:dyDescent="0.3">
      <c r="A43" s="31" t="str">
        <f>CONCATENATE(TABLA_AVANCE_METAS[[#This Row],[ESTRUCTURA]],TABLA_AVANCE_METAS[[#This Row],['#]])</f>
        <v>A0121201050205023</v>
      </c>
      <c r="B43" s="32" t="s">
        <v>76</v>
      </c>
      <c r="C43" s="33" t="s">
        <v>75</v>
      </c>
      <c r="D43" s="32" t="s">
        <v>76</v>
      </c>
      <c r="E43" s="32" t="s">
        <v>53</v>
      </c>
      <c r="F43" s="32" t="s">
        <v>54</v>
      </c>
      <c r="G43" s="34" t="s">
        <v>187</v>
      </c>
      <c r="H43" s="32" t="s">
        <v>188</v>
      </c>
      <c r="I43" s="32" t="s">
        <v>189</v>
      </c>
      <c r="J43" s="32" t="s">
        <v>190</v>
      </c>
      <c r="K43" s="32" t="s">
        <v>191</v>
      </c>
      <c r="L43" s="33">
        <v>3</v>
      </c>
      <c r="M43" s="35" t="s">
        <v>195</v>
      </c>
      <c r="N43" s="34" t="s">
        <v>85</v>
      </c>
      <c r="O43" s="36">
        <v>1</v>
      </c>
      <c r="P43" s="36">
        <v>0</v>
      </c>
      <c r="Q43" s="37">
        <v>0</v>
      </c>
      <c r="R43" s="38" t="str">
        <f>IFERROR((TABLA_AVANCE_METAS[[#This Row],[AVANCE 1°. TRIM]]/TABLA_AVANCE_METAS[[#This Row],[PROGR. 1° TRIM]])*100,"0")</f>
        <v>0</v>
      </c>
      <c r="S43"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NO PROG.</v>
      </c>
      <c r="T43" s="36">
        <v>0</v>
      </c>
      <c r="U43" s="37">
        <v>0</v>
      </c>
      <c r="V43" s="40" t="str">
        <f t="shared" si="0"/>
        <v>0</v>
      </c>
      <c r="W43" s="39" t="str">
        <f t="shared" si="1"/>
        <v>NO PROG.</v>
      </c>
      <c r="X43" s="36">
        <v>0</v>
      </c>
      <c r="Y43" s="37">
        <v>0</v>
      </c>
      <c r="Z43" s="40" t="s">
        <v>72</v>
      </c>
      <c r="AA43" s="39" t="s">
        <v>73</v>
      </c>
      <c r="AB43" s="36">
        <v>1</v>
      </c>
      <c r="AC43" s="41">
        <v>0</v>
      </c>
      <c r="AD43" s="40">
        <f>IFERROR((TABLA_AVANCE_METAS[[#This Row],[AVANCE 4°. TRIM]]/TABLA_AVANCE_METAS[[#This Row],[PROGR. 4° TRIM]])*100,"0")</f>
        <v>0</v>
      </c>
      <c r="AE43"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43" s="43" cm="1">
        <f t="array" ref="AF43">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0</v>
      </c>
      <c r="AG43" s="44" cm="1">
        <f t="array" ref="AG43">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0</v>
      </c>
      <c r="AH43" s="40" t="str">
        <f>IFERROR((TABLA_AVANCE_METAS[[#This Row],[AVANCE ACUM. TRIM.]]/TABLA_AVANCE_METAS[[#This Row],[PROG. ACUM]])*100,"N/A")</f>
        <v>N/A</v>
      </c>
      <c r="AI43"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NO PROG.</v>
      </c>
      <c r="AJ43" s="45">
        <f>TABLA_AVANCE_METAS[[#This Row],[AVANCE ACUM. TRIM.]]-TABLA_AVANCE_METAS[[#This Row],[PROG. ACUM]]</f>
        <v>0</v>
      </c>
      <c r="AK43" s="46" t="str">
        <f>IFERROR((TABLA_AVANCE_METAS[[#This Row],[DIFERENCIA ABSOLUTA SEMESTRAL]]/TABLA_AVANCE_METAS[[#This Row],[PROG. ACUM]])*100,"N/A")</f>
        <v>N/A</v>
      </c>
      <c r="AL43" s="44">
        <f>TABLA_AVANCE_METAS[[#This Row],[AVANCE 1°. TRIM]]+TABLA_AVANCE_METAS[[#This Row],[AVANCE 2°. TRIM]]+TABLA_AVANCE_METAS[[#This Row],[AVANCE 3°. TRIM]]+TABLA_AVANCE_METAS[[#This Row],[AVANCE 4°. TRIM]]</f>
        <v>0</v>
      </c>
      <c r="AM43" s="40">
        <f>IFERROR((TABLA_AVANCE_METAS[[#This Row],[AVANCE ACUM. ANUAL]]/TABLA_AVANCE_METAS[[#This Row],[PROGRAMADO ANUAL]])*100,"N/A")</f>
        <v>0</v>
      </c>
      <c r="AN43"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43" s="45">
        <f>TABLA_AVANCE_METAS[[#This Row],[AVANCE ACUM. ANUAL]]-TABLA_AVANCE_METAS[[#This Row],[PROGRAMADO ANUAL]]</f>
        <v>-1</v>
      </c>
      <c r="AP43" s="47">
        <f>IFERROR((TABLA_AVANCE_METAS[[#This Row],[DIFERENCIA ABSOLUTA ANUAL]]/TABLA_AVANCE_METAS[[#This Row],[PROGRAMADO ANUAL]])*100,"N/A")</f>
        <v>-100</v>
      </c>
      <c r="AQ43" s="48" t="s">
        <v>63</v>
      </c>
      <c r="AR43" s="49"/>
      <c r="AS43" s="50"/>
      <c r="AT43" s="50"/>
      <c r="AU43" s="51" t="b">
        <f>TABLA_AVANCE_METAS[[#This Row],[PROGRAMADO ANUAL]]=SUM(TABLA_AVANCE_METAS[[#This Row],[PROGR. 1° TRIM]],TABLA_AVANCE_METAS[[#This Row],[PROGR. 2° TRIM]],TABLA_AVANCE_METAS[[#This Row],[PROGR. 3° TRIM]],TABLA_AVANCE_METAS[[#This Row],[PROGR. 4° TRIM]])</f>
        <v>1</v>
      </c>
      <c r="AV43" s="63"/>
    </row>
    <row r="44" spans="1:48" ht="75" hidden="1" customHeight="1" x14ac:dyDescent="0.3">
      <c r="A44" s="31" t="str">
        <f>CONCATENATE(TABLA_AVANCE_METAS[[#This Row],[ESTRUCTURA]],TABLA_AVANCE_METAS[[#This Row],['#]])</f>
        <v>A0123001050205081</v>
      </c>
      <c r="B44" s="32" t="s">
        <v>196</v>
      </c>
      <c r="C44" s="33" t="s">
        <v>75</v>
      </c>
      <c r="D44" s="32" t="s">
        <v>76</v>
      </c>
      <c r="E44" s="32" t="s">
        <v>197</v>
      </c>
      <c r="F44" s="32" t="s">
        <v>198</v>
      </c>
      <c r="G44" s="34" t="s">
        <v>199</v>
      </c>
      <c r="H44" s="32" t="s">
        <v>188</v>
      </c>
      <c r="I44" s="32" t="s">
        <v>189</v>
      </c>
      <c r="J44" s="32" t="s">
        <v>200</v>
      </c>
      <c r="K44" s="32" t="s">
        <v>201</v>
      </c>
      <c r="L44" s="33">
        <v>1</v>
      </c>
      <c r="M44" s="35" t="s">
        <v>202</v>
      </c>
      <c r="N44" s="34" t="s">
        <v>101</v>
      </c>
      <c r="O44" s="36">
        <v>1</v>
      </c>
      <c r="P44" s="36">
        <v>0</v>
      </c>
      <c r="Q44" s="37">
        <v>0</v>
      </c>
      <c r="R44" s="38" t="str">
        <f>IFERROR((TABLA_AVANCE_METAS[[#This Row],[AVANCE 1°. TRIM]]/TABLA_AVANCE_METAS[[#This Row],[PROGR. 1° TRIM]])*100,"0")</f>
        <v>0</v>
      </c>
      <c r="S44"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NO PROG.</v>
      </c>
      <c r="T44" s="36">
        <v>0</v>
      </c>
      <c r="U44" s="37">
        <v>0</v>
      </c>
      <c r="V44" s="40" t="str">
        <f t="shared" si="0"/>
        <v>0</v>
      </c>
      <c r="W44" s="39" t="str">
        <f t="shared" si="1"/>
        <v>NO PROG.</v>
      </c>
      <c r="X44" s="36">
        <v>1</v>
      </c>
      <c r="Y44" s="37">
        <v>0</v>
      </c>
      <c r="Z44" s="40">
        <v>0</v>
      </c>
      <c r="AA44" s="39" t="s">
        <v>62</v>
      </c>
      <c r="AB44" s="36">
        <v>0</v>
      </c>
      <c r="AC44" s="41">
        <v>0</v>
      </c>
      <c r="AD44" s="40" t="str">
        <f>IFERROR((TABLA_AVANCE_METAS[[#This Row],[AVANCE 4°. TRIM]]/TABLA_AVANCE_METAS[[#This Row],[PROGR. 4° TRIM]])*100,"0")</f>
        <v>0</v>
      </c>
      <c r="AE44"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NO PROG.</v>
      </c>
      <c r="AF44" s="43" cm="1">
        <f t="array" ref="AF44">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0</v>
      </c>
      <c r="AG44" s="44" cm="1">
        <f t="array" ref="AG44">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0</v>
      </c>
      <c r="AH44" s="40" t="str">
        <f>IFERROR((TABLA_AVANCE_METAS[[#This Row],[AVANCE ACUM. TRIM.]]/TABLA_AVANCE_METAS[[#This Row],[PROG. ACUM]])*100,"N/A")</f>
        <v>N/A</v>
      </c>
      <c r="AI44"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NO PROG.</v>
      </c>
      <c r="AJ44" s="45">
        <f>TABLA_AVANCE_METAS[[#This Row],[AVANCE ACUM. TRIM.]]-TABLA_AVANCE_METAS[[#This Row],[PROG. ACUM]]</f>
        <v>0</v>
      </c>
      <c r="AK44" s="46" t="str">
        <f>IFERROR((TABLA_AVANCE_METAS[[#This Row],[DIFERENCIA ABSOLUTA SEMESTRAL]]/TABLA_AVANCE_METAS[[#This Row],[PROG. ACUM]])*100,"N/A")</f>
        <v>N/A</v>
      </c>
      <c r="AL44" s="44">
        <f>TABLA_AVANCE_METAS[[#This Row],[AVANCE 1°. TRIM]]+TABLA_AVANCE_METAS[[#This Row],[AVANCE 2°. TRIM]]+TABLA_AVANCE_METAS[[#This Row],[AVANCE 3°. TRIM]]+TABLA_AVANCE_METAS[[#This Row],[AVANCE 4°. TRIM]]</f>
        <v>0</v>
      </c>
      <c r="AM44" s="40">
        <f>IFERROR((TABLA_AVANCE_METAS[[#This Row],[AVANCE ACUM. ANUAL]]/TABLA_AVANCE_METAS[[#This Row],[PROGRAMADO ANUAL]])*100,"N/A")</f>
        <v>0</v>
      </c>
      <c r="AN44"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44" s="45">
        <f>TABLA_AVANCE_METAS[[#This Row],[AVANCE ACUM. ANUAL]]-TABLA_AVANCE_METAS[[#This Row],[PROGRAMADO ANUAL]]</f>
        <v>-1</v>
      </c>
      <c r="AP44" s="47">
        <f>IFERROR((TABLA_AVANCE_METAS[[#This Row],[DIFERENCIA ABSOLUTA ANUAL]]/TABLA_AVANCE_METAS[[#This Row],[PROGRAMADO ANUAL]])*100,"N/A")</f>
        <v>-100</v>
      </c>
      <c r="AQ44" s="48" t="s">
        <v>63</v>
      </c>
      <c r="AR44" s="49"/>
      <c r="AS44" s="50"/>
      <c r="AT44" s="50"/>
      <c r="AU44" s="51" t="b">
        <f>TABLA_AVANCE_METAS[[#This Row],[PROGRAMADO ANUAL]]=SUM(TABLA_AVANCE_METAS[[#This Row],[PROGR. 1° TRIM]],TABLA_AVANCE_METAS[[#This Row],[PROGR. 2° TRIM]],TABLA_AVANCE_METAS[[#This Row],[PROGR. 3° TRIM]],TABLA_AVANCE_METAS[[#This Row],[PROGR. 4° TRIM]])</f>
        <v>1</v>
      </c>
      <c r="AV44" s="52"/>
    </row>
    <row r="45" spans="1:48" ht="75" hidden="1" customHeight="1" x14ac:dyDescent="0.3">
      <c r="A45" s="31" t="str">
        <f>CONCATENATE(TABLA_AVANCE_METAS[[#This Row],[ESTRUCTURA]],TABLA_AVANCE_METAS[[#This Row],['#]])</f>
        <v>A0123001050205082</v>
      </c>
      <c r="B45" s="32" t="s">
        <v>196</v>
      </c>
      <c r="C45" s="33" t="s">
        <v>75</v>
      </c>
      <c r="D45" s="33" t="s">
        <v>76</v>
      </c>
      <c r="E45" s="32" t="s">
        <v>197</v>
      </c>
      <c r="F45" s="32" t="s">
        <v>198</v>
      </c>
      <c r="G45" s="34" t="s">
        <v>199</v>
      </c>
      <c r="H45" s="32" t="s">
        <v>188</v>
      </c>
      <c r="I45" s="32" t="s">
        <v>189</v>
      </c>
      <c r="J45" s="32" t="s">
        <v>200</v>
      </c>
      <c r="K45" s="32" t="s">
        <v>201</v>
      </c>
      <c r="L45" s="33">
        <v>2</v>
      </c>
      <c r="M45" s="35" t="s">
        <v>203</v>
      </c>
      <c r="N45" s="34" t="s">
        <v>204</v>
      </c>
      <c r="O45" s="36">
        <v>1</v>
      </c>
      <c r="P45" s="36">
        <v>0</v>
      </c>
      <c r="Q45" s="37">
        <v>0</v>
      </c>
      <c r="R45" s="38" t="str">
        <f>IFERROR((TABLA_AVANCE_METAS[[#This Row],[AVANCE 1°. TRIM]]/TABLA_AVANCE_METAS[[#This Row],[PROGR. 1° TRIM]])*100,"0")</f>
        <v>0</v>
      </c>
      <c r="S45"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NO PROG.</v>
      </c>
      <c r="T45" s="36">
        <v>0</v>
      </c>
      <c r="U45" s="37">
        <v>0</v>
      </c>
      <c r="V45" s="40" t="str">
        <f t="shared" si="0"/>
        <v>0</v>
      </c>
      <c r="W45" s="39" t="str">
        <f t="shared" si="1"/>
        <v>NO PROG.</v>
      </c>
      <c r="X45" s="36">
        <v>0</v>
      </c>
      <c r="Y45" s="37">
        <v>0</v>
      </c>
      <c r="Z45" s="40" t="s">
        <v>72</v>
      </c>
      <c r="AA45" s="39" t="s">
        <v>73</v>
      </c>
      <c r="AB45" s="36">
        <v>1</v>
      </c>
      <c r="AC45" s="41">
        <v>0</v>
      </c>
      <c r="AD45" s="40">
        <f>IFERROR((TABLA_AVANCE_METAS[[#This Row],[AVANCE 4°. TRIM]]/TABLA_AVANCE_METAS[[#This Row],[PROGR. 4° TRIM]])*100,"0")</f>
        <v>0</v>
      </c>
      <c r="AE45"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45" s="43" cm="1">
        <f t="array" ref="AF45">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0</v>
      </c>
      <c r="AG45" s="44" cm="1">
        <f t="array" ref="AG45">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0</v>
      </c>
      <c r="AH45" s="40" t="str">
        <f>IFERROR((TABLA_AVANCE_METAS[[#This Row],[AVANCE ACUM. TRIM.]]/TABLA_AVANCE_METAS[[#This Row],[PROG. ACUM]])*100,"N/A")</f>
        <v>N/A</v>
      </c>
      <c r="AI45"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NO PROG.</v>
      </c>
      <c r="AJ45" s="45">
        <f>TABLA_AVANCE_METAS[[#This Row],[AVANCE ACUM. TRIM.]]-TABLA_AVANCE_METAS[[#This Row],[PROG. ACUM]]</f>
        <v>0</v>
      </c>
      <c r="AK45" s="46" t="str">
        <f>IFERROR((TABLA_AVANCE_METAS[[#This Row],[DIFERENCIA ABSOLUTA SEMESTRAL]]/TABLA_AVANCE_METAS[[#This Row],[PROG. ACUM]])*100,"N/A")</f>
        <v>N/A</v>
      </c>
      <c r="AL45" s="44">
        <f>TABLA_AVANCE_METAS[[#This Row],[AVANCE 1°. TRIM]]+TABLA_AVANCE_METAS[[#This Row],[AVANCE 2°. TRIM]]+TABLA_AVANCE_METAS[[#This Row],[AVANCE 3°. TRIM]]+TABLA_AVANCE_METAS[[#This Row],[AVANCE 4°. TRIM]]</f>
        <v>0</v>
      </c>
      <c r="AM45" s="40">
        <f>IFERROR((TABLA_AVANCE_METAS[[#This Row],[AVANCE ACUM. ANUAL]]/TABLA_AVANCE_METAS[[#This Row],[PROGRAMADO ANUAL]])*100,"N/A")</f>
        <v>0</v>
      </c>
      <c r="AN45"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45" s="45">
        <f>TABLA_AVANCE_METAS[[#This Row],[AVANCE ACUM. ANUAL]]-TABLA_AVANCE_METAS[[#This Row],[PROGRAMADO ANUAL]]</f>
        <v>-1</v>
      </c>
      <c r="AP45" s="47">
        <f>IFERROR((TABLA_AVANCE_METAS[[#This Row],[DIFERENCIA ABSOLUTA ANUAL]]/TABLA_AVANCE_METAS[[#This Row],[PROGRAMADO ANUAL]])*100,"N/A")</f>
        <v>-100</v>
      </c>
      <c r="AQ45" s="48" t="s">
        <v>63</v>
      </c>
      <c r="AR45" s="49"/>
      <c r="AS45" s="50"/>
      <c r="AT45" s="50"/>
      <c r="AU45" s="51" t="b">
        <f>TABLA_AVANCE_METAS[[#This Row],[PROGRAMADO ANUAL]]=SUM(TABLA_AVANCE_METAS[[#This Row],[PROGR. 1° TRIM]],TABLA_AVANCE_METAS[[#This Row],[PROGR. 2° TRIM]],TABLA_AVANCE_METAS[[#This Row],[PROGR. 3° TRIM]],TABLA_AVANCE_METAS[[#This Row],[PROGR. 4° TRIM]])</f>
        <v>1</v>
      </c>
      <c r="AV45" s="52"/>
    </row>
    <row r="46" spans="1:48" ht="75" hidden="1" customHeight="1" x14ac:dyDescent="0.3">
      <c r="A46" s="31" t="str">
        <f>CONCATENATE(TABLA_AVANCE_METAS[[#This Row],[ESTRUCTURA]],TABLA_AVANCE_METAS[[#This Row],['#]])</f>
        <v>A0123001050205083</v>
      </c>
      <c r="B46" s="32" t="s">
        <v>196</v>
      </c>
      <c r="C46" s="33" t="s">
        <v>75</v>
      </c>
      <c r="D46" s="33" t="s">
        <v>76</v>
      </c>
      <c r="E46" s="32" t="s">
        <v>197</v>
      </c>
      <c r="F46" s="32" t="s">
        <v>198</v>
      </c>
      <c r="G46" s="34" t="s">
        <v>199</v>
      </c>
      <c r="H46" s="32" t="s">
        <v>188</v>
      </c>
      <c r="I46" s="32" t="s">
        <v>189</v>
      </c>
      <c r="J46" s="32" t="s">
        <v>200</v>
      </c>
      <c r="K46" s="32" t="s">
        <v>201</v>
      </c>
      <c r="L46" s="33">
        <v>3</v>
      </c>
      <c r="M46" s="35" t="s">
        <v>205</v>
      </c>
      <c r="N46" s="34" t="s">
        <v>206</v>
      </c>
      <c r="O46" s="36">
        <v>1</v>
      </c>
      <c r="P46" s="36">
        <v>0</v>
      </c>
      <c r="Q46" s="37">
        <v>0</v>
      </c>
      <c r="R46" s="38" t="str">
        <f>IFERROR((TABLA_AVANCE_METAS[[#This Row],[AVANCE 1°. TRIM]]/TABLA_AVANCE_METAS[[#This Row],[PROGR. 1° TRIM]])*100,"0")</f>
        <v>0</v>
      </c>
      <c r="S46"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NO PROG.</v>
      </c>
      <c r="T46" s="36">
        <v>0</v>
      </c>
      <c r="U46" s="37">
        <v>0</v>
      </c>
      <c r="V46" s="40" t="str">
        <f t="shared" si="0"/>
        <v>0</v>
      </c>
      <c r="W46" s="39" t="str">
        <f t="shared" si="1"/>
        <v>NO PROG.</v>
      </c>
      <c r="X46" s="36">
        <v>0</v>
      </c>
      <c r="Y46" s="37">
        <v>0</v>
      </c>
      <c r="Z46" s="40" t="s">
        <v>72</v>
      </c>
      <c r="AA46" s="39" t="s">
        <v>73</v>
      </c>
      <c r="AB46" s="36">
        <v>1</v>
      </c>
      <c r="AC46" s="41">
        <v>0</v>
      </c>
      <c r="AD46" s="40">
        <f>IFERROR((TABLA_AVANCE_METAS[[#This Row],[AVANCE 4°. TRIM]]/TABLA_AVANCE_METAS[[#This Row],[PROGR. 4° TRIM]])*100,"0")</f>
        <v>0</v>
      </c>
      <c r="AE46"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46" s="43" cm="1">
        <f t="array" ref="AF46">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0</v>
      </c>
      <c r="AG46" s="44" cm="1">
        <f t="array" ref="AG46">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0</v>
      </c>
      <c r="AH46" s="40" t="str">
        <f>IFERROR((TABLA_AVANCE_METAS[[#This Row],[AVANCE ACUM. TRIM.]]/TABLA_AVANCE_METAS[[#This Row],[PROG. ACUM]])*100,"N/A")</f>
        <v>N/A</v>
      </c>
      <c r="AI46"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NO PROG.</v>
      </c>
      <c r="AJ46" s="45">
        <f>TABLA_AVANCE_METAS[[#This Row],[AVANCE ACUM. TRIM.]]-TABLA_AVANCE_METAS[[#This Row],[PROG. ACUM]]</f>
        <v>0</v>
      </c>
      <c r="AK46" s="46" t="str">
        <f>IFERROR((TABLA_AVANCE_METAS[[#This Row],[DIFERENCIA ABSOLUTA SEMESTRAL]]/TABLA_AVANCE_METAS[[#This Row],[PROG. ACUM]])*100,"N/A")</f>
        <v>N/A</v>
      </c>
      <c r="AL46" s="44">
        <f>TABLA_AVANCE_METAS[[#This Row],[AVANCE 1°. TRIM]]+TABLA_AVANCE_METAS[[#This Row],[AVANCE 2°. TRIM]]+TABLA_AVANCE_METAS[[#This Row],[AVANCE 3°. TRIM]]+TABLA_AVANCE_METAS[[#This Row],[AVANCE 4°. TRIM]]</f>
        <v>0</v>
      </c>
      <c r="AM46" s="40">
        <f>IFERROR((TABLA_AVANCE_METAS[[#This Row],[AVANCE ACUM. ANUAL]]/TABLA_AVANCE_METAS[[#This Row],[PROGRAMADO ANUAL]])*100,"N/A")</f>
        <v>0</v>
      </c>
      <c r="AN46"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46" s="45">
        <f>TABLA_AVANCE_METAS[[#This Row],[AVANCE ACUM. ANUAL]]-TABLA_AVANCE_METAS[[#This Row],[PROGRAMADO ANUAL]]</f>
        <v>-1</v>
      </c>
      <c r="AP46" s="47">
        <f>IFERROR((TABLA_AVANCE_METAS[[#This Row],[DIFERENCIA ABSOLUTA ANUAL]]/TABLA_AVANCE_METAS[[#This Row],[PROGRAMADO ANUAL]])*100,"N/A")</f>
        <v>-100</v>
      </c>
      <c r="AQ46" s="48" t="s">
        <v>63</v>
      </c>
      <c r="AR46" s="49"/>
      <c r="AS46" s="50"/>
      <c r="AT46" s="50"/>
      <c r="AU46" s="51" t="b">
        <f>TABLA_AVANCE_METAS[[#This Row],[PROGRAMADO ANUAL]]=SUM(TABLA_AVANCE_METAS[[#This Row],[PROGR. 1° TRIM]],TABLA_AVANCE_METAS[[#This Row],[PROGR. 2° TRIM]],TABLA_AVANCE_METAS[[#This Row],[PROGR. 3° TRIM]],TABLA_AVANCE_METAS[[#This Row],[PROGR. 4° TRIM]])</f>
        <v>1</v>
      </c>
      <c r="AV46" s="52"/>
    </row>
    <row r="47" spans="1:48" ht="75" hidden="1" customHeight="1" x14ac:dyDescent="0.3">
      <c r="A47" s="31" t="str">
        <f>CONCATENATE(TABLA_AVANCE_METAS[[#This Row],[ESTRUCTURA]],TABLA_AVANCE_METAS[[#This Row],['#]])</f>
        <v>A0123001050205084</v>
      </c>
      <c r="B47" s="32" t="s">
        <v>196</v>
      </c>
      <c r="C47" s="33" t="s">
        <v>75</v>
      </c>
      <c r="D47" s="33" t="s">
        <v>76</v>
      </c>
      <c r="E47" s="32" t="s">
        <v>197</v>
      </c>
      <c r="F47" s="32" t="s">
        <v>198</v>
      </c>
      <c r="G47" s="34" t="s">
        <v>199</v>
      </c>
      <c r="H47" s="32" t="s">
        <v>188</v>
      </c>
      <c r="I47" s="32" t="s">
        <v>189</v>
      </c>
      <c r="J47" s="34" t="s">
        <v>200</v>
      </c>
      <c r="K47" s="34" t="s">
        <v>201</v>
      </c>
      <c r="L47" s="33">
        <v>4</v>
      </c>
      <c r="M47" s="35" t="s">
        <v>207</v>
      </c>
      <c r="N47" s="34" t="s">
        <v>204</v>
      </c>
      <c r="O47" s="36">
        <v>1</v>
      </c>
      <c r="P47" s="36">
        <v>1</v>
      </c>
      <c r="Q47" s="37">
        <v>1</v>
      </c>
      <c r="R47" s="38">
        <f>IFERROR((TABLA_AVANCE_METAS[[#This Row],[AVANCE 1°. TRIM]]/TABLA_AVANCE_METAS[[#This Row],[PROGR. 1° TRIM]])*100,"0")</f>
        <v>100</v>
      </c>
      <c r="S47"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47" s="36">
        <v>0</v>
      </c>
      <c r="U47" s="37">
        <v>0</v>
      </c>
      <c r="V47" s="40" t="str">
        <f t="shared" si="0"/>
        <v>0</v>
      </c>
      <c r="W47" s="39" t="str">
        <f t="shared" si="1"/>
        <v>NO PROG.</v>
      </c>
      <c r="X47" s="36">
        <v>0</v>
      </c>
      <c r="Y47" s="37">
        <v>0</v>
      </c>
      <c r="Z47" s="40" t="s">
        <v>72</v>
      </c>
      <c r="AA47" s="39" t="s">
        <v>73</v>
      </c>
      <c r="AB47" s="36">
        <v>0</v>
      </c>
      <c r="AC47" s="41">
        <v>0</v>
      </c>
      <c r="AD47" s="40" t="str">
        <f>IFERROR((TABLA_AVANCE_METAS[[#This Row],[AVANCE 4°. TRIM]]/TABLA_AVANCE_METAS[[#This Row],[PROGR. 4° TRIM]])*100,"0")</f>
        <v>0</v>
      </c>
      <c r="AE47"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NO PROG.</v>
      </c>
      <c r="AF47" s="43" cm="1">
        <f t="array" ref="AF47">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v>
      </c>
      <c r="AG47" s="44" cm="1">
        <f t="array" ref="AG47">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1</v>
      </c>
      <c r="AH47" s="40">
        <f>IFERROR((TABLA_AVANCE_METAS[[#This Row],[AVANCE ACUM. TRIM.]]/TABLA_AVANCE_METAS[[#This Row],[PROG. ACUM]])*100,"N/A")</f>
        <v>100</v>
      </c>
      <c r="AI47"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47" s="45">
        <f>TABLA_AVANCE_METAS[[#This Row],[AVANCE ACUM. TRIM.]]-TABLA_AVANCE_METAS[[#This Row],[PROG. ACUM]]</f>
        <v>0</v>
      </c>
      <c r="AK47" s="46">
        <f>IFERROR((TABLA_AVANCE_METAS[[#This Row],[DIFERENCIA ABSOLUTA SEMESTRAL]]/TABLA_AVANCE_METAS[[#This Row],[PROG. ACUM]])*100,"N/A")</f>
        <v>0</v>
      </c>
      <c r="AL47" s="44">
        <f>TABLA_AVANCE_METAS[[#This Row],[AVANCE 1°. TRIM]]+TABLA_AVANCE_METAS[[#This Row],[AVANCE 2°. TRIM]]+TABLA_AVANCE_METAS[[#This Row],[AVANCE 3°. TRIM]]+TABLA_AVANCE_METAS[[#This Row],[AVANCE 4°. TRIM]]</f>
        <v>1</v>
      </c>
      <c r="AM47" s="40">
        <f>IFERROR((TABLA_AVANCE_METAS[[#This Row],[AVANCE ACUM. ANUAL]]/TABLA_AVANCE_METAS[[#This Row],[PROGRAMADO ANUAL]])*100,"N/A")</f>
        <v>100</v>
      </c>
      <c r="AN47"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ADECUADO</v>
      </c>
      <c r="AO47" s="45">
        <f>TABLA_AVANCE_METAS[[#This Row],[AVANCE ACUM. ANUAL]]-TABLA_AVANCE_METAS[[#This Row],[PROGRAMADO ANUAL]]</f>
        <v>0</v>
      </c>
      <c r="AP47" s="47">
        <f>IFERROR((TABLA_AVANCE_METAS[[#This Row],[DIFERENCIA ABSOLUTA ANUAL]]/TABLA_AVANCE_METAS[[#This Row],[PROGRAMADO ANUAL]])*100,"N/A")</f>
        <v>0</v>
      </c>
      <c r="AQ47" s="48" t="s">
        <v>63</v>
      </c>
      <c r="AR47" s="49"/>
      <c r="AS47" s="50"/>
      <c r="AT47" s="50"/>
      <c r="AU47" s="51" t="b">
        <f>TABLA_AVANCE_METAS[[#This Row],[PROGRAMADO ANUAL]]=SUM(TABLA_AVANCE_METAS[[#This Row],[PROGR. 1° TRIM]],TABLA_AVANCE_METAS[[#This Row],[PROGR. 2° TRIM]],TABLA_AVANCE_METAS[[#This Row],[PROGR. 3° TRIM]],TABLA_AVANCE_METAS[[#This Row],[PROGR. 4° TRIM]])</f>
        <v>1</v>
      </c>
      <c r="AV47" s="52"/>
    </row>
    <row r="48" spans="1:48" ht="75" hidden="1" customHeight="1" x14ac:dyDescent="0.3">
      <c r="A48" s="31" t="str">
        <f>CONCATENATE(TABLA_AVANCE_METAS[[#This Row],[ESTRUCTURA]],TABLA_AVANCE_METAS[[#This Row],['#]])</f>
        <v>A0123001050205085</v>
      </c>
      <c r="B48" s="32" t="s">
        <v>196</v>
      </c>
      <c r="C48" s="33" t="s">
        <v>75</v>
      </c>
      <c r="D48" s="33" t="s">
        <v>76</v>
      </c>
      <c r="E48" s="32" t="s">
        <v>197</v>
      </c>
      <c r="F48" s="32" t="s">
        <v>198</v>
      </c>
      <c r="G48" s="34" t="s">
        <v>199</v>
      </c>
      <c r="H48" s="32" t="s">
        <v>188</v>
      </c>
      <c r="I48" s="32" t="s">
        <v>189</v>
      </c>
      <c r="J48" s="34" t="s">
        <v>200</v>
      </c>
      <c r="K48" s="34" t="s">
        <v>201</v>
      </c>
      <c r="L48" s="33">
        <v>5</v>
      </c>
      <c r="M48" s="35" t="s">
        <v>208</v>
      </c>
      <c r="N48" s="34" t="s">
        <v>206</v>
      </c>
      <c r="O48" s="36">
        <v>4</v>
      </c>
      <c r="P48" s="36">
        <v>1</v>
      </c>
      <c r="Q48" s="37">
        <v>1</v>
      </c>
      <c r="R48" s="38">
        <f>IFERROR((TABLA_AVANCE_METAS[[#This Row],[AVANCE 1°. TRIM]]/TABLA_AVANCE_METAS[[#This Row],[PROGR. 1° TRIM]])*100,"0")</f>
        <v>100</v>
      </c>
      <c r="S48"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48" s="36">
        <v>1</v>
      </c>
      <c r="U48" s="37">
        <v>1</v>
      </c>
      <c r="V48" s="40">
        <f t="shared" si="0"/>
        <v>100</v>
      </c>
      <c r="W48" s="39" t="str">
        <f t="shared" si="1"/>
        <v>ADECUADO</v>
      </c>
      <c r="X48" s="36">
        <v>1</v>
      </c>
      <c r="Y48" s="37">
        <v>0</v>
      </c>
      <c r="Z48" s="40">
        <v>0</v>
      </c>
      <c r="AA48" s="39" t="s">
        <v>62</v>
      </c>
      <c r="AB48" s="36">
        <v>1</v>
      </c>
      <c r="AC48" s="41">
        <v>0</v>
      </c>
      <c r="AD48" s="40">
        <f>IFERROR((TABLA_AVANCE_METAS[[#This Row],[AVANCE 4°. TRIM]]/TABLA_AVANCE_METAS[[#This Row],[PROGR. 4° TRIM]])*100,"0")</f>
        <v>0</v>
      </c>
      <c r="AE48"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48" s="43" cm="1">
        <f t="array" ref="AF48">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2</v>
      </c>
      <c r="AG48" s="44" cm="1">
        <f t="array" ref="AG48">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2</v>
      </c>
      <c r="AH48" s="40">
        <f>IFERROR((TABLA_AVANCE_METAS[[#This Row],[AVANCE ACUM. TRIM.]]/TABLA_AVANCE_METAS[[#This Row],[PROG. ACUM]])*100,"N/A")</f>
        <v>100</v>
      </c>
      <c r="AI48"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48" s="45">
        <f>TABLA_AVANCE_METAS[[#This Row],[AVANCE ACUM. TRIM.]]-TABLA_AVANCE_METAS[[#This Row],[PROG. ACUM]]</f>
        <v>0</v>
      </c>
      <c r="AK48" s="46">
        <f>IFERROR((TABLA_AVANCE_METAS[[#This Row],[DIFERENCIA ABSOLUTA SEMESTRAL]]/TABLA_AVANCE_METAS[[#This Row],[PROG. ACUM]])*100,"N/A")</f>
        <v>0</v>
      </c>
      <c r="AL48" s="44">
        <f>TABLA_AVANCE_METAS[[#This Row],[AVANCE 1°. TRIM]]+TABLA_AVANCE_METAS[[#This Row],[AVANCE 2°. TRIM]]+TABLA_AVANCE_METAS[[#This Row],[AVANCE 3°. TRIM]]+TABLA_AVANCE_METAS[[#This Row],[AVANCE 4°. TRIM]]</f>
        <v>2</v>
      </c>
      <c r="AM48" s="40">
        <f>IFERROR((TABLA_AVANCE_METAS[[#This Row],[AVANCE ACUM. ANUAL]]/TABLA_AVANCE_METAS[[#This Row],[PROGRAMADO ANUAL]])*100,"N/A")</f>
        <v>50</v>
      </c>
      <c r="AN48"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48" s="45">
        <f>TABLA_AVANCE_METAS[[#This Row],[AVANCE ACUM. ANUAL]]-TABLA_AVANCE_METAS[[#This Row],[PROGRAMADO ANUAL]]</f>
        <v>-2</v>
      </c>
      <c r="AP48" s="47">
        <f>IFERROR((TABLA_AVANCE_METAS[[#This Row],[DIFERENCIA ABSOLUTA ANUAL]]/TABLA_AVANCE_METAS[[#This Row],[PROGRAMADO ANUAL]])*100,"N/A")</f>
        <v>-50</v>
      </c>
      <c r="AQ48" s="48" t="s">
        <v>63</v>
      </c>
      <c r="AR48" s="49"/>
      <c r="AS48" s="50"/>
      <c r="AT48" s="50"/>
      <c r="AU48" s="51" t="b">
        <f>TABLA_AVANCE_METAS[[#This Row],[PROGRAMADO ANUAL]]=SUM(TABLA_AVANCE_METAS[[#This Row],[PROGR. 1° TRIM]],TABLA_AVANCE_METAS[[#This Row],[PROGR. 2° TRIM]],TABLA_AVANCE_METAS[[#This Row],[PROGR. 3° TRIM]],TABLA_AVANCE_METAS[[#This Row],[PROGR. 4° TRIM]])</f>
        <v>1</v>
      </c>
      <c r="AV48" s="52"/>
    </row>
    <row r="49" spans="1:48" ht="75" hidden="1" customHeight="1" x14ac:dyDescent="0.3">
      <c r="A49" s="31" t="str">
        <f>CONCATENATE(TABLA_AVANCE_METAS[[#This Row],[ESTRUCTURA]],TABLA_AVANCE_METAS[[#This Row],['#]])</f>
        <v>A0123001050205086</v>
      </c>
      <c r="B49" s="32" t="s">
        <v>196</v>
      </c>
      <c r="C49" s="33" t="s">
        <v>75</v>
      </c>
      <c r="D49" s="33" t="s">
        <v>76</v>
      </c>
      <c r="E49" s="32" t="s">
        <v>197</v>
      </c>
      <c r="F49" s="32" t="s">
        <v>198</v>
      </c>
      <c r="G49" s="34" t="s">
        <v>199</v>
      </c>
      <c r="H49" s="32" t="s">
        <v>188</v>
      </c>
      <c r="I49" s="32" t="s">
        <v>189</v>
      </c>
      <c r="J49" s="34" t="s">
        <v>200</v>
      </c>
      <c r="K49" s="34" t="s">
        <v>201</v>
      </c>
      <c r="L49" s="33">
        <v>6</v>
      </c>
      <c r="M49" s="35" t="s">
        <v>209</v>
      </c>
      <c r="N49" s="34" t="s">
        <v>210</v>
      </c>
      <c r="O49" s="36">
        <v>1</v>
      </c>
      <c r="P49" s="36">
        <v>0</v>
      </c>
      <c r="Q49" s="37">
        <v>0</v>
      </c>
      <c r="R49" s="38" t="str">
        <f>IFERROR((TABLA_AVANCE_METAS[[#This Row],[AVANCE 1°. TRIM]]/TABLA_AVANCE_METAS[[#This Row],[PROGR. 1° TRIM]])*100,"0")</f>
        <v>0</v>
      </c>
      <c r="S49"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NO PROG.</v>
      </c>
      <c r="T49" s="36">
        <v>1</v>
      </c>
      <c r="U49" s="37">
        <v>1</v>
      </c>
      <c r="V49" s="40">
        <f t="shared" si="0"/>
        <v>100</v>
      </c>
      <c r="W49" s="39" t="str">
        <f t="shared" si="1"/>
        <v>ADECUADO</v>
      </c>
      <c r="X49" s="36">
        <v>0</v>
      </c>
      <c r="Y49" s="37">
        <v>0</v>
      </c>
      <c r="Z49" s="40" t="s">
        <v>72</v>
      </c>
      <c r="AA49" s="39" t="s">
        <v>73</v>
      </c>
      <c r="AB49" s="36">
        <v>0</v>
      </c>
      <c r="AC49" s="41">
        <v>0</v>
      </c>
      <c r="AD49" s="40" t="str">
        <f>IFERROR((TABLA_AVANCE_METAS[[#This Row],[AVANCE 4°. TRIM]]/TABLA_AVANCE_METAS[[#This Row],[PROGR. 4° TRIM]])*100,"0")</f>
        <v>0</v>
      </c>
      <c r="AE49"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NO PROG.</v>
      </c>
      <c r="AF49" s="43" cm="1">
        <f t="array" ref="AF49">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v>
      </c>
      <c r="AG49" s="44" cm="1">
        <f t="array" ref="AG49">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1</v>
      </c>
      <c r="AH49" s="40">
        <f>IFERROR((TABLA_AVANCE_METAS[[#This Row],[AVANCE ACUM. TRIM.]]/TABLA_AVANCE_METAS[[#This Row],[PROG. ACUM]])*100,"N/A")</f>
        <v>100</v>
      </c>
      <c r="AI49"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49" s="45">
        <f>TABLA_AVANCE_METAS[[#This Row],[AVANCE ACUM. TRIM.]]-TABLA_AVANCE_METAS[[#This Row],[PROG. ACUM]]</f>
        <v>0</v>
      </c>
      <c r="AK49" s="46">
        <f>IFERROR((TABLA_AVANCE_METAS[[#This Row],[DIFERENCIA ABSOLUTA SEMESTRAL]]/TABLA_AVANCE_METAS[[#This Row],[PROG. ACUM]])*100,"N/A")</f>
        <v>0</v>
      </c>
      <c r="AL49" s="44">
        <f>TABLA_AVANCE_METAS[[#This Row],[AVANCE 1°. TRIM]]+TABLA_AVANCE_METAS[[#This Row],[AVANCE 2°. TRIM]]+TABLA_AVANCE_METAS[[#This Row],[AVANCE 3°. TRIM]]+TABLA_AVANCE_METAS[[#This Row],[AVANCE 4°. TRIM]]</f>
        <v>1</v>
      </c>
      <c r="AM49" s="40">
        <f>IFERROR((TABLA_AVANCE_METAS[[#This Row],[AVANCE ACUM. ANUAL]]/TABLA_AVANCE_METAS[[#This Row],[PROGRAMADO ANUAL]])*100,"N/A")</f>
        <v>100</v>
      </c>
      <c r="AN49"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ADECUADO</v>
      </c>
      <c r="AO49" s="45">
        <f>TABLA_AVANCE_METAS[[#This Row],[AVANCE ACUM. ANUAL]]-TABLA_AVANCE_METAS[[#This Row],[PROGRAMADO ANUAL]]</f>
        <v>0</v>
      </c>
      <c r="AP49" s="47">
        <f>IFERROR((TABLA_AVANCE_METAS[[#This Row],[DIFERENCIA ABSOLUTA ANUAL]]/TABLA_AVANCE_METAS[[#This Row],[PROGRAMADO ANUAL]])*100,"N/A")</f>
        <v>0</v>
      </c>
      <c r="AQ49" s="48" t="s">
        <v>63</v>
      </c>
      <c r="AR49" s="49"/>
      <c r="AS49" s="50"/>
      <c r="AT49" s="50"/>
      <c r="AU49" s="51" t="b">
        <f>TABLA_AVANCE_METAS[[#This Row],[PROGRAMADO ANUAL]]=SUM(TABLA_AVANCE_METAS[[#This Row],[PROGR. 1° TRIM]],TABLA_AVANCE_METAS[[#This Row],[PROGR. 2° TRIM]],TABLA_AVANCE_METAS[[#This Row],[PROGR. 3° TRIM]],TABLA_AVANCE_METAS[[#This Row],[PROGR. 4° TRIM]])</f>
        <v>1</v>
      </c>
      <c r="AV49" s="52"/>
    </row>
    <row r="50" spans="1:48" ht="75" hidden="1" customHeight="1" x14ac:dyDescent="0.3">
      <c r="A50" s="31" t="str">
        <f>CONCATENATE(TABLA_AVANCE_METAS[[#This Row],[ESTRUCTURA]],TABLA_AVANCE_METAS[[#This Row],['#]])</f>
        <v>A0123001050205087</v>
      </c>
      <c r="B50" s="32" t="s">
        <v>196</v>
      </c>
      <c r="C50" s="33" t="s">
        <v>75</v>
      </c>
      <c r="D50" s="33" t="s">
        <v>76</v>
      </c>
      <c r="E50" s="32" t="s">
        <v>197</v>
      </c>
      <c r="F50" s="32" t="s">
        <v>198</v>
      </c>
      <c r="G50" s="34" t="s">
        <v>199</v>
      </c>
      <c r="H50" s="32" t="s">
        <v>188</v>
      </c>
      <c r="I50" s="32" t="s">
        <v>189</v>
      </c>
      <c r="J50" s="34" t="s">
        <v>200</v>
      </c>
      <c r="K50" s="34" t="s">
        <v>201</v>
      </c>
      <c r="L50" s="33">
        <v>7</v>
      </c>
      <c r="M50" s="35" t="s">
        <v>211</v>
      </c>
      <c r="N50" s="34" t="s">
        <v>206</v>
      </c>
      <c r="O50" s="36">
        <v>4</v>
      </c>
      <c r="P50" s="36">
        <v>1</v>
      </c>
      <c r="Q50" s="37">
        <v>1</v>
      </c>
      <c r="R50" s="38">
        <f>IFERROR((TABLA_AVANCE_METAS[[#This Row],[AVANCE 1°. TRIM]]/TABLA_AVANCE_METAS[[#This Row],[PROGR. 1° TRIM]])*100,"0")</f>
        <v>100</v>
      </c>
      <c r="S50"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50" s="36">
        <v>1</v>
      </c>
      <c r="U50" s="37">
        <v>1</v>
      </c>
      <c r="V50" s="40">
        <f t="shared" si="0"/>
        <v>100</v>
      </c>
      <c r="W50" s="39" t="str">
        <f t="shared" si="1"/>
        <v>ADECUADO</v>
      </c>
      <c r="X50" s="36">
        <v>1</v>
      </c>
      <c r="Y50" s="37">
        <v>0</v>
      </c>
      <c r="Z50" s="40">
        <v>0</v>
      </c>
      <c r="AA50" s="39" t="s">
        <v>62</v>
      </c>
      <c r="AB50" s="36">
        <v>1</v>
      </c>
      <c r="AC50" s="41">
        <v>0</v>
      </c>
      <c r="AD50" s="40">
        <f>IFERROR((TABLA_AVANCE_METAS[[#This Row],[AVANCE 4°. TRIM]]/TABLA_AVANCE_METAS[[#This Row],[PROGR. 4° TRIM]])*100,"0")</f>
        <v>0</v>
      </c>
      <c r="AE50"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50" s="43" cm="1">
        <f t="array" ref="AF50">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2</v>
      </c>
      <c r="AG50" s="44" cm="1">
        <f t="array" ref="AG50">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2</v>
      </c>
      <c r="AH50" s="40">
        <f>IFERROR((TABLA_AVANCE_METAS[[#This Row],[AVANCE ACUM. TRIM.]]/TABLA_AVANCE_METAS[[#This Row],[PROG. ACUM]])*100,"N/A")</f>
        <v>100</v>
      </c>
      <c r="AI50"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50" s="45">
        <f>TABLA_AVANCE_METAS[[#This Row],[AVANCE ACUM. TRIM.]]-TABLA_AVANCE_METAS[[#This Row],[PROG. ACUM]]</f>
        <v>0</v>
      </c>
      <c r="AK50" s="46">
        <f>IFERROR((TABLA_AVANCE_METAS[[#This Row],[DIFERENCIA ABSOLUTA SEMESTRAL]]/TABLA_AVANCE_METAS[[#This Row],[PROG. ACUM]])*100,"N/A")</f>
        <v>0</v>
      </c>
      <c r="AL50" s="44">
        <f>TABLA_AVANCE_METAS[[#This Row],[AVANCE 1°. TRIM]]+TABLA_AVANCE_METAS[[#This Row],[AVANCE 2°. TRIM]]+TABLA_AVANCE_METAS[[#This Row],[AVANCE 3°. TRIM]]+TABLA_AVANCE_METAS[[#This Row],[AVANCE 4°. TRIM]]</f>
        <v>2</v>
      </c>
      <c r="AM50" s="40">
        <f>IFERROR((TABLA_AVANCE_METAS[[#This Row],[AVANCE ACUM. ANUAL]]/TABLA_AVANCE_METAS[[#This Row],[PROGRAMADO ANUAL]])*100,"N/A")</f>
        <v>50</v>
      </c>
      <c r="AN50"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50" s="45">
        <f>TABLA_AVANCE_METAS[[#This Row],[AVANCE ACUM. ANUAL]]-TABLA_AVANCE_METAS[[#This Row],[PROGRAMADO ANUAL]]</f>
        <v>-2</v>
      </c>
      <c r="AP50" s="47">
        <f>IFERROR((TABLA_AVANCE_METAS[[#This Row],[DIFERENCIA ABSOLUTA ANUAL]]/TABLA_AVANCE_METAS[[#This Row],[PROGRAMADO ANUAL]])*100,"N/A")</f>
        <v>-50</v>
      </c>
      <c r="AQ50" s="48" t="s">
        <v>63</v>
      </c>
      <c r="AR50" s="49"/>
      <c r="AS50" s="50"/>
      <c r="AT50" s="50"/>
      <c r="AU50" s="51" t="b">
        <f>TABLA_AVANCE_METAS[[#This Row],[PROGRAMADO ANUAL]]=SUM(TABLA_AVANCE_METAS[[#This Row],[PROGR. 1° TRIM]],TABLA_AVANCE_METAS[[#This Row],[PROGR. 2° TRIM]],TABLA_AVANCE_METAS[[#This Row],[PROGR. 3° TRIM]],TABLA_AVANCE_METAS[[#This Row],[PROGR. 4° TRIM]])</f>
        <v>1</v>
      </c>
      <c r="AV50" s="52"/>
    </row>
    <row r="51" spans="1:48" ht="75" hidden="1" customHeight="1" x14ac:dyDescent="0.3">
      <c r="A51" s="31" t="str">
        <f>CONCATENATE(TABLA_AVANCE_METAS[[#This Row],[ESTRUCTURA]],TABLA_AVANCE_METAS[[#This Row],['#]])</f>
        <v>A0123001050205088</v>
      </c>
      <c r="B51" s="32" t="s">
        <v>196</v>
      </c>
      <c r="C51" s="33" t="s">
        <v>75</v>
      </c>
      <c r="D51" s="33" t="s">
        <v>76</v>
      </c>
      <c r="E51" s="32" t="s">
        <v>197</v>
      </c>
      <c r="F51" s="32" t="s">
        <v>198</v>
      </c>
      <c r="G51" s="34" t="s">
        <v>199</v>
      </c>
      <c r="H51" s="32" t="s">
        <v>188</v>
      </c>
      <c r="I51" s="32" t="s">
        <v>189</v>
      </c>
      <c r="J51" s="34" t="s">
        <v>200</v>
      </c>
      <c r="K51" s="34" t="s">
        <v>201</v>
      </c>
      <c r="L51" s="33">
        <v>8</v>
      </c>
      <c r="M51" s="35" t="s">
        <v>212</v>
      </c>
      <c r="N51" s="34" t="s">
        <v>206</v>
      </c>
      <c r="O51" s="36">
        <v>1</v>
      </c>
      <c r="P51" s="36">
        <v>0</v>
      </c>
      <c r="Q51" s="37">
        <v>0</v>
      </c>
      <c r="R51" s="38" t="str">
        <f>IFERROR((TABLA_AVANCE_METAS[[#This Row],[AVANCE 1°. TRIM]]/TABLA_AVANCE_METAS[[#This Row],[PROGR. 1° TRIM]])*100,"0")</f>
        <v>0</v>
      </c>
      <c r="S51"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NO PROG.</v>
      </c>
      <c r="T51" s="36">
        <v>0</v>
      </c>
      <c r="U51" s="37">
        <v>0</v>
      </c>
      <c r="V51" s="40" t="str">
        <f t="shared" si="0"/>
        <v>0</v>
      </c>
      <c r="W51" s="39" t="str">
        <f t="shared" si="1"/>
        <v>NO PROG.</v>
      </c>
      <c r="X51" s="36">
        <v>0</v>
      </c>
      <c r="Y51" s="37">
        <v>0</v>
      </c>
      <c r="Z51" s="40" t="s">
        <v>72</v>
      </c>
      <c r="AA51" s="39" t="s">
        <v>73</v>
      </c>
      <c r="AB51" s="36">
        <v>1</v>
      </c>
      <c r="AC51" s="41">
        <v>0</v>
      </c>
      <c r="AD51" s="40">
        <f>IFERROR((TABLA_AVANCE_METAS[[#This Row],[AVANCE 4°. TRIM]]/TABLA_AVANCE_METAS[[#This Row],[PROGR. 4° TRIM]])*100,"0")</f>
        <v>0</v>
      </c>
      <c r="AE51"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51" s="43" cm="1">
        <f t="array" ref="AF51">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0</v>
      </c>
      <c r="AG51" s="44" cm="1">
        <f t="array" ref="AG51">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0</v>
      </c>
      <c r="AH51" s="40" t="str">
        <f>IFERROR((TABLA_AVANCE_METAS[[#This Row],[AVANCE ACUM. TRIM.]]/TABLA_AVANCE_METAS[[#This Row],[PROG. ACUM]])*100,"N/A")</f>
        <v>N/A</v>
      </c>
      <c r="AI51"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NO PROG.</v>
      </c>
      <c r="AJ51" s="45">
        <f>TABLA_AVANCE_METAS[[#This Row],[AVANCE ACUM. TRIM.]]-TABLA_AVANCE_METAS[[#This Row],[PROG. ACUM]]</f>
        <v>0</v>
      </c>
      <c r="AK51" s="46" t="str">
        <f>IFERROR((TABLA_AVANCE_METAS[[#This Row],[DIFERENCIA ABSOLUTA SEMESTRAL]]/TABLA_AVANCE_METAS[[#This Row],[PROG. ACUM]])*100,"N/A")</f>
        <v>N/A</v>
      </c>
      <c r="AL51" s="44">
        <f>TABLA_AVANCE_METAS[[#This Row],[AVANCE 1°. TRIM]]+TABLA_AVANCE_METAS[[#This Row],[AVANCE 2°. TRIM]]+TABLA_AVANCE_METAS[[#This Row],[AVANCE 3°. TRIM]]+TABLA_AVANCE_METAS[[#This Row],[AVANCE 4°. TRIM]]</f>
        <v>0</v>
      </c>
      <c r="AM51" s="40">
        <f>IFERROR((TABLA_AVANCE_METAS[[#This Row],[AVANCE ACUM. ANUAL]]/TABLA_AVANCE_METAS[[#This Row],[PROGRAMADO ANUAL]])*100,"N/A")</f>
        <v>0</v>
      </c>
      <c r="AN51"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51" s="45">
        <f>TABLA_AVANCE_METAS[[#This Row],[AVANCE ACUM. ANUAL]]-TABLA_AVANCE_METAS[[#This Row],[PROGRAMADO ANUAL]]</f>
        <v>-1</v>
      </c>
      <c r="AP51" s="47">
        <f>IFERROR((TABLA_AVANCE_METAS[[#This Row],[DIFERENCIA ABSOLUTA ANUAL]]/TABLA_AVANCE_METAS[[#This Row],[PROGRAMADO ANUAL]])*100,"N/A")</f>
        <v>-100</v>
      </c>
      <c r="AQ51" s="48" t="s">
        <v>63</v>
      </c>
      <c r="AR51" s="49"/>
      <c r="AS51" s="50"/>
      <c r="AT51" s="50"/>
      <c r="AU51" s="51" t="b">
        <f>TABLA_AVANCE_METAS[[#This Row],[PROGRAMADO ANUAL]]=SUM(TABLA_AVANCE_METAS[[#This Row],[PROGR. 1° TRIM]],TABLA_AVANCE_METAS[[#This Row],[PROGR. 2° TRIM]],TABLA_AVANCE_METAS[[#This Row],[PROGR. 3° TRIM]],TABLA_AVANCE_METAS[[#This Row],[PROGR. 4° TRIM]])</f>
        <v>1</v>
      </c>
      <c r="AV51" s="52"/>
    </row>
    <row r="52" spans="1:48" ht="75" hidden="1" customHeight="1" x14ac:dyDescent="0.3">
      <c r="A52" s="31" t="str">
        <f>CONCATENATE(TABLA_AVANCE_METAS[[#This Row],[ESTRUCTURA]],TABLA_AVANCE_METAS[[#This Row],['#]])</f>
        <v>B0021201050206011</v>
      </c>
      <c r="B52" s="32" t="s">
        <v>213</v>
      </c>
      <c r="C52" s="33" t="s">
        <v>214</v>
      </c>
      <c r="D52" s="33" t="s">
        <v>215</v>
      </c>
      <c r="E52" s="32" t="s">
        <v>53</v>
      </c>
      <c r="F52" s="32" t="s">
        <v>54</v>
      </c>
      <c r="G52" s="34" t="s">
        <v>216</v>
      </c>
      <c r="H52" s="32" t="s">
        <v>140</v>
      </c>
      <c r="I52" s="32" t="s">
        <v>141</v>
      </c>
      <c r="J52" s="34" t="s">
        <v>217</v>
      </c>
      <c r="K52" s="34" t="s">
        <v>218</v>
      </c>
      <c r="L52" s="33">
        <v>1</v>
      </c>
      <c r="M52" s="35" t="s">
        <v>219</v>
      </c>
      <c r="N52" s="34" t="s">
        <v>220</v>
      </c>
      <c r="O52" s="36">
        <v>200</v>
      </c>
      <c r="P52" s="36">
        <v>50</v>
      </c>
      <c r="Q52" s="37">
        <v>45</v>
      </c>
      <c r="R52" s="38">
        <f>IFERROR((TABLA_AVANCE_METAS[[#This Row],[AVANCE 1°. TRIM]]/TABLA_AVANCE_METAS[[#This Row],[PROGR. 1° TRIM]])*100,"0")</f>
        <v>90</v>
      </c>
      <c r="S52"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52" s="36">
        <v>50</v>
      </c>
      <c r="U52" s="37">
        <v>51</v>
      </c>
      <c r="V52" s="40">
        <f t="shared" si="0"/>
        <v>102</v>
      </c>
      <c r="W52" s="39" t="str">
        <f t="shared" si="1"/>
        <v>ADECUADO</v>
      </c>
      <c r="X52" s="36">
        <v>50</v>
      </c>
      <c r="Y52" s="37">
        <v>0</v>
      </c>
      <c r="Z52" s="40">
        <v>0</v>
      </c>
      <c r="AA52" s="39" t="s">
        <v>62</v>
      </c>
      <c r="AB52" s="36">
        <v>50</v>
      </c>
      <c r="AC52" s="41">
        <v>0</v>
      </c>
      <c r="AD52" s="40">
        <f>IFERROR((TABLA_AVANCE_METAS[[#This Row],[AVANCE 4°. TRIM]]/TABLA_AVANCE_METAS[[#This Row],[PROGR. 4° TRIM]])*100,"0")</f>
        <v>0</v>
      </c>
      <c r="AE52"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52" s="43" cm="1">
        <f t="array" ref="AF52">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100</v>
      </c>
      <c r="AG52" s="44" cm="1">
        <f t="array" ref="AG52">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96</v>
      </c>
      <c r="AH52" s="40">
        <f>IFERROR((TABLA_AVANCE_METAS[[#This Row],[AVANCE ACUM. TRIM.]]/TABLA_AVANCE_METAS[[#This Row],[PROG. ACUM]])*100,"N/A")</f>
        <v>96</v>
      </c>
      <c r="AI52"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52" s="45">
        <f>TABLA_AVANCE_METAS[[#This Row],[AVANCE ACUM. TRIM.]]-TABLA_AVANCE_METAS[[#This Row],[PROG. ACUM]]</f>
        <v>-4</v>
      </c>
      <c r="AK52" s="46">
        <f>IFERROR((TABLA_AVANCE_METAS[[#This Row],[DIFERENCIA ABSOLUTA SEMESTRAL]]/TABLA_AVANCE_METAS[[#This Row],[PROG. ACUM]])*100,"N/A")</f>
        <v>-4</v>
      </c>
      <c r="AL52" s="44">
        <f>TABLA_AVANCE_METAS[[#This Row],[AVANCE 1°. TRIM]]+TABLA_AVANCE_METAS[[#This Row],[AVANCE 2°. TRIM]]+TABLA_AVANCE_METAS[[#This Row],[AVANCE 3°. TRIM]]+TABLA_AVANCE_METAS[[#This Row],[AVANCE 4°. TRIM]]</f>
        <v>96</v>
      </c>
      <c r="AM52" s="40">
        <f>IFERROR((TABLA_AVANCE_METAS[[#This Row],[AVANCE ACUM. ANUAL]]/TABLA_AVANCE_METAS[[#This Row],[PROGRAMADO ANUAL]])*100,"N/A")</f>
        <v>48</v>
      </c>
      <c r="AN52"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52" s="45">
        <f>TABLA_AVANCE_METAS[[#This Row],[AVANCE ACUM. ANUAL]]-TABLA_AVANCE_METAS[[#This Row],[PROGRAMADO ANUAL]]</f>
        <v>-104</v>
      </c>
      <c r="AP52" s="47">
        <f>IFERROR((TABLA_AVANCE_METAS[[#This Row],[DIFERENCIA ABSOLUTA ANUAL]]/TABLA_AVANCE_METAS[[#This Row],[PROGRAMADO ANUAL]])*100,"N/A")</f>
        <v>-52</v>
      </c>
      <c r="AQ52" s="48" t="s">
        <v>63</v>
      </c>
      <c r="AR52" s="49"/>
      <c r="AS52" s="50"/>
      <c r="AT52" s="50"/>
      <c r="AU52" s="51" t="b">
        <f>TABLA_AVANCE_METAS[[#This Row],[PROGRAMADO ANUAL]]=SUM(TABLA_AVANCE_METAS[[#This Row],[PROGR. 1° TRIM]],TABLA_AVANCE_METAS[[#This Row],[PROGR. 2° TRIM]],TABLA_AVANCE_METAS[[#This Row],[PROGR. 3° TRIM]],TABLA_AVANCE_METAS[[#This Row],[PROGR. 4° TRIM]])</f>
        <v>1</v>
      </c>
      <c r="AV52" s="52"/>
    </row>
    <row r="53" spans="1:48" ht="75" hidden="1" customHeight="1" x14ac:dyDescent="0.3">
      <c r="A53" s="31" t="str">
        <f>CONCATENATE(TABLA_AVANCE_METAS[[#This Row],[ESTRUCTURA]],TABLA_AVANCE_METAS[[#This Row],['#]])</f>
        <v>B0021201050206012</v>
      </c>
      <c r="B53" s="32" t="s">
        <v>213</v>
      </c>
      <c r="C53" s="33" t="s">
        <v>214</v>
      </c>
      <c r="D53" s="33" t="s">
        <v>215</v>
      </c>
      <c r="E53" s="32" t="s">
        <v>53</v>
      </c>
      <c r="F53" s="32" t="s">
        <v>54</v>
      </c>
      <c r="G53" s="34" t="s">
        <v>216</v>
      </c>
      <c r="H53" s="32" t="s">
        <v>140</v>
      </c>
      <c r="I53" s="32" t="s">
        <v>141</v>
      </c>
      <c r="J53" s="32" t="s">
        <v>217</v>
      </c>
      <c r="K53" s="32" t="s">
        <v>218</v>
      </c>
      <c r="L53" s="33">
        <v>2</v>
      </c>
      <c r="M53" s="35" t="s">
        <v>221</v>
      </c>
      <c r="N53" s="34" t="s">
        <v>222</v>
      </c>
      <c r="O53" s="36">
        <v>6</v>
      </c>
      <c r="P53" s="36">
        <v>2</v>
      </c>
      <c r="Q53" s="37">
        <v>2</v>
      </c>
      <c r="R53" s="38">
        <f>IFERROR((TABLA_AVANCE_METAS[[#This Row],[AVANCE 1°. TRIM]]/TABLA_AVANCE_METAS[[#This Row],[PROGR. 1° TRIM]])*100,"0")</f>
        <v>100</v>
      </c>
      <c r="S53"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53" s="36">
        <v>1</v>
      </c>
      <c r="U53" s="37">
        <v>1</v>
      </c>
      <c r="V53" s="40">
        <f t="shared" si="0"/>
        <v>100</v>
      </c>
      <c r="W53" s="39" t="str">
        <f t="shared" si="1"/>
        <v>ADECUADO</v>
      </c>
      <c r="X53" s="36">
        <v>2</v>
      </c>
      <c r="Y53" s="37">
        <v>0</v>
      </c>
      <c r="Z53" s="40">
        <v>0</v>
      </c>
      <c r="AA53" s="39" t="s">
        <v>62</v>
      </c>
      <c r="AB53" s="36">
        <v>1</v>
      </c>
      <c r="AC53" s="41">
        <v>0</v>
      </c>
      <c r="AD53" s="40">
        <f>IFERROR((TABLA_AVANCE_METAS[[#This Row],[AVANCE 4°. TRIM]]/TABLA_AVANCE_METAS[[#This Row],[PROGR. 4° TRIM]])*100,"0")</f>
        <v>0</v>
      </c>
      <c r="AE53"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53" s="43" cm="1">
        <f t="array" ref="AF53">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3</v>
      </c>
      <c r="AG53" s="44" cm="1">
        <f t="array" ref="AG53">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3</v>
      </c>
      <c r="AH53" s="40">
        <f>IFERROR((TABLA_AVANCE_METAS[[#This Row],[AVANCE ACUM. TRIM.]]/TABLA_AVANCE_METAS[[#This Row],[PROG. ACUM]])*100,"N/A")</f>
        <v>100</v>
      </c>
      <c r="AI53"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53" s="45">
        <f>TABLA_AVANCE_METAS[[#This Row],[AVANCE ACUM. TRIM.]]-TABLA_AVANCE_METAS[[#This Row],[PROG. ACUM]]</f>
        <v>0</v>
      </c>
      <c r="AK53" s="46">
        <f>IFERROR((TABLA_AVANCE_METAS[[#This Row],[DIFERENCIA ABSOLUTA SEMESTRAL]]/TABLA_AVANCE_METAS[[#This Row],[PROG. ACUM]])*100,"N/A")</f>
        <v>0</v>
      </c>
      <c r="AL53" s="44">
        <f>TABLA_AVANCE_METAS[[#This Row],[AVANCE 1°. TRIM]]+TABLA_AVANCE_METAS[[#This Row],[AVANCE 2°. TRIM]]+TABLA_AVANCE_METAS[[#This Row],[AVANCE 3°. TRIM]]+TABLA_AVANCE_METAS[[#This Row],[AVANCE 4°. TRIM]]</f>
        <v>3</v>
      </c>
      <c r="AM53" s="40">
        <f>IFERROR((TABLA_AVANCE_METAS[[#This Row],[AVANCE ACUM. ANUAL]]/TABLA_AVANCE_METAS[[#This Row],[PROGRAMADO ANUAL]])*100,"N/A")</f>
        <v>50</v>
      </c>
      <c r="AN53"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53" s="45">
        <f>TABLA_AVANCE_METAS[[#This Row],[AVANCE ACUM. ANUAL]]-TABLA_AVANCE_METAS[[#This Row],[PROGRAMADO ANUAL]]</f>
        <v>-3</v>
      </c>
      <c r="AP53" s="47">
        <f>IFERROR((TABLA_AVANCE_METAS[[#This Row],[DIFERENCIA ABSOLUTA ANUAL]]/TABLA_AVANCE_METAS[[#This Row],[PROGRAMADO ANUAL]])*100,"N/A")</f>
        <v>-50</v>
      </c>
      <c r="AQ53" s="48" t="s">
        <v>63</v>
      </c>
      <c r="AR53" s="49"/>
      <c r="AS53" s="50"/>
      <c r="AT53" s="50"/>
      <c r="AU53" s="51" t="b">
        <f>TABLA_AVANCE_METAS[[#This Row],[PROGRAMADO ANUAL]]=SUM(TABLA_AVANCE_METAS[[#This Row],[PROGR. 1° TRIM]],TABLA_AVANCE_METAS[[#This Row],[PROGR. 2° TRIM]],TABLA_AVANCE_METAS[[#This Row],[PROGR. 3° TRIM]],TABLA_AVANCE_METAS[[#This Row],[PROGR. 4° TRIM]])</f>
        <v>1</v>
      </c>
      <c r="AV53" s="52"/>
    </row>
    <row r="54" spans="1:48" ht="75" hidden="1" customHeight="1" x14ac:dyDescent="0.3">
      <c r="A54" s="31" t="str">
        <f>CONCATENATE(TABLA_AVANCE_METAS[[#This Row],[ESTRUCTURA]],TABLA_AVANCE_METAS[[#This Row],['#]])</f>
        <v>B0021201050206013</v>
      </c>
      <c r="B54" s="32" t="s">
        <v>213</v>
      </c>
      <c r="C54" s="33" t="s">
        <v>214</v>
      </c>
      <c r="D54" s="33" t="s">
        <v>215</v>
      </c>
      <c r="E54" s="32" t="s">
        <v>53</v>
      </c>
      <c r="F54" s="32" t="s">
        <v>54</v>
      </c>
      <c r="G54" s="34" t="s">
        <v>216</v>
      </c>
      <c r="H54" s="32" t="s">
        <v>140</v>
      </c>
      <c r="I54" s="32" t="s">
        <v>141</v>
      </c>
      <c r="J54" s="32" t="s">
        <v>217</v>
      </c>
      <c r="K54" s="32" t="s">
        <v>218</v>
      </c>
      <c r="L54" s="33">
        <v>3</v>
      </c>
      <c r="M54" s="35" t="s">
        <v>223</v>
      </c>
      <c r="N54" s="34" t="s">
        <v>124</v>
      </c>
      <c r="O54" s="36">
        <v>8</v>
      </c>
      <c r="P54" s="36">
        <v>2</v>
      </c>
      <c r="Q54" s="37">
        <v>2</v>
      </c>
      <c r="R54" s="38">
        <f>IFERROR((TABLA_AVANCE_METAS[[#This Row],[AVANCE 1°. TRIM]]/TABLA_AVANCE_METAS[[#This Row],[PROGR. 1° TRIM]])*100,"0")</f>
        <v>100</v>
      </c>
      <c r="S54"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54" s="36">
        <v>2</v>
      </c>
      <c r="U54" s="37">
        <v>2</v>
      </c>
      <c r="V54" s="40">
        <f t="shared" si="0"/>
        <v>100</v>
      </c>
      <c r="W54" s="39" t="str">
        <f t="shared" si="1"/>
        <v>ADECUADO</v>
      </c>
      <c r="X54" s="36">
        <v>2</v>
      </c>
      <c r="Y54" s="37">
        <v>0</v>
      </c>
      <c r="Z54" s="40">
        <v>0</v>
      </c>
      <c r="AA54" s="39" t="s">
        <v>62</v>
      </c>
      <c r="AB54" s="36">
        <v>2</v>
      </c>
      <c r="AC54" s="41">
        <v>0</v>
      </c>
      <c r="AD54" s="40">
        <f>IFERROR((TABLA_AVANCE_METAS[[#This Row],[AVANCE 4°. TRIM]]/TABLA_AVANCE_METAS[[#This Row],[PROGR. 4° TRIM]])*100,"0")</f>
        <v>0</v>
      </c>
      <c r="AE54"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54" s="43" cm="1">
        <f t="array" ref="AF54">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4</v>
      </c>
      <c r="AG54" s="44" cm="1">
        <f t="array" ref="AG54">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4</v>
      </c>
      <c r="AH54" s="40">
        <f>IFERROR((TABLA_AVANCE_METAS[[#This Row],[AVANCE ACUM. TRIM.]]/TABLA_AVANCE_METAS[[#This Row],[PROG. ACUM]])*100,"N/A")</f>
        <v>100</v>
      </c>
      <c r="AI54"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54" s="45">
        <f>TABLA_AVANCE_METAS[[#This Row],[AVANCE ACUM. TRIM.]]-TABLA_AVANCE_METAS[[#This Row],[PROG. ACUM]]</f>
        <v>0</v>
      </c>
      <c r="AK54" s="46">
        <f>IFERROR((TABLA_AVANCE_METAS[[#This Row],[DIFERENCIA ABSOLUTA SEMESTRAL]]/TABLA_AVANCE_METAS[[#This Row],[PROG. ACUM]])*100,"N/A")</f>
        <v>0</v>
      </c>
      <c r="AL54" s="44">
        <f>TABLA_AVANCE_METAS[[#This Row],[AVANCE 1°. TRIM]]+TABLA_AVANCE_METAS[[#This Row],[AVANCE 2°. TRIM]]+TABLA_AVANCE_METAS[[#This Row],[AVANCE 3°. TRIM]]+TABLA_AVANCE_METAS[[#This Row],[AVANCE 4°. TRIM]]</f>
        <v>4</v>
      </c>
      <c r="AM54" s="40">
        <f>IFERROR((TABLA_AVANCE_METAS[[#This Row],[AVANCE ACUM. ANUAL]]/TABLA_AVANCE_METAS[[#This Row],[PROGRAMADO ANUAL]])*100,"N/A")</f>
        <v>50</v>
      </c>
      <c r="AN54"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54" s="45">
        <f>TABLA_AVANCE_METAS[[#This Row],[AVANCE ACUM. ANUAL]]-TABLA_AVANCE_METAS[[#This Row],[PROGRAMADO ANUAL]]</f>
        <v>-4</v>
      </c>
      <c r="AP54" s="47">
        <f>IFERROR((TABLA_AVANCE_METAS[[#This Row],[DIFERENCIA ABSOLUTA ANUAL]]/TABLA_AVANCE_METAS[[#This Row],[PROGRAMADO ANUAL]])*100,"N/A")</f>
        <v>-50</v>
      </c>
      <c r="AQ54" s="48" t="s">
        <v>63</v>
      </c>
      <c r="AR54" s="49"/>
      <c r="AS54" s="50"/>
      <c r="AT54" s="50"/>
      <c r="AU54" s="51" t="b">
        <f>TABLA_AVANCE_METAS[[#This Row],[PROGRAMADO ANUAL]]=SUM(TABLA_AVANCE_METAS[[#This Row],[PROGR. 1° TRIM]],TABLA_AVANCE_METAS[[#This Row],[PROGR. 2° TRIM]],TABLA_AVANCE_METAS[[#This Row],[PROGR. 3° TRIM]],TABLA_AVANCE_METAS[[#This Row],[PROGR. 4° TRIM]])</f>
        <v>1</v>
      </c>
      <c r="AV54" s="52"/>
    </row>
    <row r="55" spans="1:48" ht="75" hidden="1" customHeight="1" x14ac:dyDescent="0.3">
      <c r="A55" s="31" t="str">
        <f>CONCATENATE(TABLA_AVANCE_METAS[[#This Row],[ESTRUCTURA]],TABLA_AVANCE_METAS[[#This Row],['#]])</f>
        <v>B0021001050206031</v>
      </c>
      <c r="B55" s="32" t="s">
        <v>224</v>
      </c>
      <c r="C55" s="33" t="s">
        <v>214</v>
      </c>
      <c r="D55" s="33" t="s">
        <v>215</v>
      </c>
      <c r="E55" s="32" t="s">
        <v>225</v>
      </c>
      <c r="F55" s="32" t="s">
        <v>226</v>
      </c>
      <c r="G55" s="34" t="s">
        <v>227</v>
      </c>
      <c r="H55" s="32" t="s">
        <v>140</v>
      </c>
      <c r="I55" s="32" t="s">
        <v>141</v>
      </c>
      <c r="J55" s="32" t="s">
        <v>228</v>
      </c>
      <c r="K55" s="32" t="s">
        <v>229</v>
      </c>
      <c r="L55" s="33">
        <v>1</v>
      </c>
      <c r="M55" s="35" t="s">
        <v>230</v>
      </c>
      <c r="N55" s="34" t="s">
        <v>231</v>
      </c>
      <c r="O55" s="36">
        <v>12</v>
      </c>
      <c r="P55" s="36">
        <v>3</v>
      </c>
      <c r="Q55" s="37">
        <v>3</v>
      </c>
      <c r="R55" s="38">
        <f>IFERROR((TABLA_AVANCE_METAS[[#This Row],[AVANCE 1°. TRIM]]/TABLA_AVANCE_METAS[[#This Row],[PROGR. 1° TRIM]])*100,"0")</f>
        <v>100</v>
      </c>
      <c r="S55"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55" s="36">
        <v>3</v>
      </c>
      <c r="U55" s="37">
        <v>0</v>
      </c>
      <c r="V55" s="40">
        <f t="shared" si="0"/>
        <v>0</v>
      </c>
      <c r="W55" s="39" t="str">
        <f t="shared" si="1"/>
        <v>CRÍTICO</v>
      </c>
      <c r="X55" s="36">
        <v>3</v>
      </c>
      <c r="Y55" s="37">
        <v>0</v>
      </c>
      <c r="Z55" s="40">
        <v>0</v>
      </c>
      <c r="AA55" s="39" t="s">
        <v>62</v>
      </c>
      <c r="AB55" s="36">
        <v>3</v>
      </c>
      <c r="AC55" s="41">
        <v>0</v>
      </c>
      <c r="AD55" s="40">
        <f>IFERROR((TABLA_AVANCE_METAS[[#This Row],[AVANCE 4°. TRIM]]/TABLA_AVANCE_METAS[[#This Row],[PROGR. 4° TRIM]])*100,"0")</f>
        <v>0</v>
      </c>
      <c r="AE55"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55" s="43" cm="1">
        <f t="array" ref="AF55">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6</v>
      </c>
      <c r="AG55" s="44" cm="1">
        <f t="array" ref="AG55">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3</v>
      </c>
      <c r="AH55" s="40">
        <f>IFERROR((TABLA_AVANCE_METAS[[#This Row],[AVANCE ACUM. TRIM.]]/TABLA_AVANCE_METAS[[#This Row],[PROG. ACUM]])*100,"N/A")</f>
        <v>50</v>
      </c>
      <c r="AI55"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DEFICIENTE</v>
      </c>
      <c r="AJ55" s="45">
        <f>TABLA_AVANCE_METAS[[#This Row],[AVANCE ACUM. TRIM.]]-TABLA_AVANCE_METAS[[#This Row],[PROG. ACUM]]</f>
        <v>-3</v>
      </c>
      <c r="AK55" s="46">
        <f>IFERROR((TABLA_AVANCE_METAS[[#This Row],[DIFERENCIA ABSOLUTA SEMESTRAL]]/TABLA_AVANCE_METAS[[#This Row],[PROG. ACUM]])*100,"N/A")</f>
        <v>-50</v>
      </c>
      <c r="AL55" s="44">
        <f>TABLA_AVANCE_METAS[[#This Row],[AVANCE 1°. TRIM]]+TABLA_AVANCE_METAS[[#This Row],[AVANCE 2°. TRIM]]+TABLA_AVANCE_METAS[[#This Row],[AVANCE 3°. TRIM]]+TABLA_AVANCE_METAS[[#This Row],[AVANCE 4°. TRIM]]</f>
        <v>3</v>
      </c>
      <c r="AM55" s="40">
        <f>IFERROR((TABLA_AVANCE_METAS[[#This Row],[AVANCE ACUM. ANUAL]]/TABLA_AVANCE_METAS[[#This Row],[PROGRAMADO ANUAL]])*100,"N/A")</f>
        <v>25</v>
      </c>
      <c r="AN55"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55" s="45">
        <f>TABLA_AVANCE_METAS[[#This Row],[AVANCE ACUM. ANUAL]]-TABLA_AVANCE_METAS[[#This Row],[PROGRAMADO ANUAL]]</f>
        <v>-9</v>
      </c>
      <c r="AP55" s="47">
        <f>IFERROR((TABLA_AVANCE_METAS[[#This Row],[DIFERENCIA ABSOLUTA ANUAL]]/TABLA_AVANCE_METAS[[#This Row],[PROGRAMADO ANUAL]])*100,"N/A")</f>
        <v>-75</v>
      </c>
      <c r="AQ55" s="48" t="s">
        <v>232</v>
      </c>
      <c r="AR55" s="49"/>
      <c r="AS55" s="50"/>
      <c r="AT55" s="50"/>
      <c r="AU55" s="51" t="b">
        <f>TABLA_AVANCE_METAS[[#This Row],[PROGRAMADO ANUAL]]=SUM(TABLA_AVANCE_METAS[[#This Row],[PROGR. 1° TRIM]],TABLA_AVANCE_METAS[[#This Row],[PROGR. 2° TRIM]],TABLA_AVANCE_METAS[[#This Row],[PROGR. 3° TRIM]],TABLA_AVANCE_METAS[[#This Row],[PROGR. 4° TRIM]])</f>
        <v>1</v>
      </c>
      <c r="AV55" s="52"/>
    </row>
    <row r="56" spans="1:48" ht="75" hidden="1" customHeight="1" x14ac:dyDescent="0.3">
      <c r="A56" s="31" t="str">
        <f>CONCATENATE(TABLA_AVANCE_METAS[[#This Row],[ESTRUCTURA]],TABLA_AVANCE_METAS[[#This Row],['#]])</f>
        <v>B0021001050206032</v>
      </c>
      <c r="B56" s="32" t="s">
        <v>224</v>
      </c>
      <c r="C56" s="33" t="s">
        <v>214</v>
      </c>
      <c r="D56" s="33" t="s">
        <v>215</v>
      </c>
      <c r="E56" s="32" t="s">
        <v>225</v>
      </c>
      <c r="F56" s="32" t="s">
        <v>226</v>
      </c>
      <c r="G56" s="34" t="s">
        <v>227</v>
      </c>
      <c r="H56" s="32" t="s">
        <v>140</v>
      </c>
      <c r="I56" s="32" t="s">
        <v>141</v>
      </c>
      <c r="J56" s="32" t="s">
        <v>228</v>
      </c>
      <c r="K56" s="32" t="s">
        <v>229</v>
      </c>
      <c r="L56" s="33">
        <v>2</v>
      </c>
      <c r="M56" s="35" t="s">
        <v>233</v>
      </c>
      <c r="N56" s="34" t="s">
        <v>234</v>
      </c>
      <c r="O56" s="36">
        <v>2</v>
      </c>
      <c r="P56" s="36">
        <v>1</v>
      </c>
      <c r="Q56" s="37">
        <v>0</v>
      </c>
      <c r="R56" s="38">
        <f>IFERROR((TABLA_AVANCE_METAS[[#This Row],[AVANCE 1°. TRIM]]/TABLA_AVANCE_METAS[[#This Row],[PROGR. 1° TRIM]])*100,"0")</f>
        <v>0</v>
      </c>
      <c r="S56"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CRÍTICO</v>
      </c>
      <c r="T56" s="36">
        <v>0</v>
      </c>
      <c r="U56" s="37">
        <v>0</v>
      </c>
      <c r="V56" s="40" t="str">
        <f t="shared" si="0"/>
        <v>0</v>
      </c>
      <c r="W56" s="39" t="str">
        <f t="shared" si="1"/>
        <v>NO PROG.</v>
      </c>
      <c r="X56" s="36">
        <v>0</v>
      </c>
      <c r="Y56" s="37">
        <v>0</v>
      </c>
      <c r="Z56" s="40" t="s">
        <v>72</v>
      </c>
      <c r="AA56" s="39" t="s">
        <v>73</v>
      </c>
      <c r="AB56" s="36">
        <v>1</v>
      </c>
      <c r="AC56" s="41">
        <v>0</v>
      </c>
      <c r="AD56" s="40">
        <f>IFERROR((TABLA_AVANCE_METAS[[#This Row],[AVANCE 4°. TRIM]]/TABLA_AVANCE_METAS[[#This Row],[PROGR. 4° TRIM]])*100,"0")</f>
        <v>0</v>
      </c>
      <c r="AE56"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56" s="43" cm="1">
        <f t="array" ref="AF56">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v>
      </c>
      <c r="AG56" s="44" cm="1">
        <f t="array" ref="AG56">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0</v>
      </c>
      <c r="AH56" s="40">
        <f>IFERROR((TABLA_AVANCE_METAS[[#This Row],[AVANCE ACUM. TRIM.]]/TABLA_AVANCE_METAS[[#This Row],[PROG. ACUM]])*100,"N/A")</f>
        <v>0</v>
      </c>
      <c r="AI56"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CRÍTICO</v>
      </c>
      <c r="AJ56" s="45">
        <f>TABLA_AVANCE_METAS[[#This Row],[AVANCE ACUM. TRIM.]]-TABLA_AVANCE_METAS[[#This Row],[PROG. ACUM]]</f>
        <v>-1</v>
      </c>
      <c r="AK56" s="46">
        <f>IFERROR((TABLA_AVANCE_METAS[[#This Row],[DIFERENCIA ABSOLUTA SEMESTRAL]]/TABLA_AVANCE_METAS[[#This Row],[PROG. ACUM]])*100,"N/A")</f>
        <v>-100</v>
      </c>
      <c r="AL56" s="44">
        <f>TABLA_AVANCE_METAS[[#This Row],[AVANCE 1°. TRIM]]+TABLA_AVANCE_METAS[[#This Row],[AVANCE 2°. TRIM]]+TABLA_AVANCE_METAS[[#This Row],[AVANCE 3°. TRIM]]+TABLA_AVANCE_METAS[[#This Row],[AVANCE 4°. TRIM]]</f>
        <v>0</v>
      </c>
      <c r="AM56" s="40">
        <f>IFERROR((TABLA_AVANCE_METAS[[#This Row],[AVANCE ACUM. ANUAL]]/TABLA_AVANCE_METAS[[#This Row],[PROGRAMADO ANUAL]])*100,"N/A")</f>
        <v>0</v>
      </c>
      <c r="AN56"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56" s="45">
        <f>TABLA_AVANCE_METAS[[#This Row],[AVANCE ACUM. ANUAL]]-TABLA_AVANCE_METAS[[#This Row],[PROGRAMADO ANUAL]]</f>
        <v>-2</v>
      </c>
      <c r="AP56" s="47">
        <f>IFERROR((TABLA_AVANCE_METAS[[#This Row],[DIFERENCIA ABSOLUTA ANUAL]]/TABLA_AVANCE_METAS[[#This Row],[PROGRAMADO ANUAL]])*100,"N/A")</f>
        <v>-100</v>
      </c>
      <c r="AQ56" s="48" t="s">
        <v>235</v>
      </c>
      <c r="AR56" s="49"/>
      <c r="AS56" s="50"/>
      <c r="AT56" s="50"/>
      <c r="AU56" s="51" t="b">
        <f>TABLA_AVANCE_METAS[[#This Row],[PROGRAMADO ANUAL]]=SUM(TABLA_AVANCE_METAS[[#This Row],[PROGR. 1° TRIM]],TABLA_AVANCE_METAS[[#This Row],[PROGR. 2° TRIM]],TABLA_AVANCE_METAS[[#This Row],[PROGR. 3° TRIM]],TABLA_AVANCE_METAS[[#This Row],[PROGR. 4° TRIM]])</f>
        <v>1</v>
      </c>
      <c r="AV56" s="52"/>
    </row>
    <row r="57" spans="1:48" ht="75" hidden="1" customHeight="1" x14ac:dyDescent="0.3">
      <c r="A57" s="31" t="str">
        <f>CONCATENATE(TABLA_AVANCE_METAS[[#This Row],[ESTRUCTURA]],TABLA_AVANCE_METAS[[#This Row],['#]])</f>
        <v>B0021001050206033</v>
      </c>
      <c r="B57" s="32" t="s">
        <v>224</v>
      </c>
      <c r="C57" s="33" t="s">
        <v>214</v>
      </c>
      <c r="D57" s="33" t="s">
        <v>215</v>
      </c>
      <c r="E57" s="32" t="s">
        <v>225</v>
      </c>
      <c r="F57" s="32" t="s">
        <v>226</v>
      </c>
      <c r="G57" s="34" t="s">
        <v>227</v>
      </c>
      <c r="H57" s="32" t="s">
        <v>140</v>
      </c>
      <c r="I57" s="32" t="s">
        <v>141</v>
      </c>
      <c r="J57" s="32" t="s">
        <v>228</v>
      </c>
      <c r="K57" s="32" t="s">
        <v>229</v>
      </c>
      <c r="L57" s="33">
        <v>3</v>
      </c>
      <c r="M57" s="35" t="s">
        <v>236</v>
      </c>
      <c r="N57" s="34" t="s">
        <v>237</v>
      </c>
      <c r="O57" s="36">
        <v>12</v>
      </c>
      <c r="P57" s="36">
        <v>3</v>
      </c>
      <c r="Q57" s="37">
        <v>3</v>
      </c>
      <c r="R57" s="38">
        <f>IFERROR((TABLA_AVANCE_METAS[[#This Row],[AVANCE 1°. TRIM]]/TABLA_AVANCE_METAS[[#This Row],[PROGR. 1° TRIM]])*100,"0")</f>
        <v>100</v>
      </c>
      <c r="S57"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57" s="36">
        <v>3</v>
      </c>
      <c r="U57" s="37">
        <v>0</v>
      </c>
      <c r="V57" s="40">
        <f t="shared" si="0"/>
        <v>0</v>
      </c>
      <c r="W57" s="39" t="str">
        <f t="shared" si="1"/>
        <v>CRÍTICO</v>
      </c>
      <c r="X57" s="36">
        <v>3</v>
      </c>
      <c r="Y57" s="37">
        <v>0</v>
      </c>
      <c r="Z57" s="40">
        <v>0</v>
      </c>
      <c r="AA57" s="39" t="s">
        <v>62</v>
      </c>
      <c r="AB57" s="36">
        <v>3</v>
      </c>
      <c r="AC57" s="41">
        <v>0</v>
      </c>
      <c r="AD57" s="40">
        <f>IFERROR((TABLA_AVANCE_METAS[[#This Row],[AVANCE 4°. TRIM]]/TABLA_AVANCE_METAS[[#This Row],[PROGR. 4° TRIM]])*100,"0")</f>
        <v>0</v>
      </c>
      <c r="AE57"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57" s="43" cm="1">
        <f t="array" ref="AF57">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6</v>
      </c>
      <c r="AG57" s="44" cm="1">
        <f t="array" ref="AG57">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3</v>
      </c>
      <c r="AH57" s="40">
        <f>IFERROR((TABLA_AVANCE_METAS[[#This Row],[AVANCE ACUM. TRIM.]]/TABLA_AVANCE_METAS[[#This Row],[PROG. ACUM]])*100,"N/A")</f>
        <v>50</v>
      </c>
      <c r="AI57"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DEFICIENTE</v>
      </c>
      <c r="AJ57" s="45">
        <f>TABLA_AVANCE_METAS[[#This Row],[AVANCE ACUM. TRIM.]]-TABLA_AVANCE_METAS[[#This Row],[PROG. ACUM]]</f>
        <v>-3</v>
      </c>
      <c r="AK57" s="46">
        <f>IFERROR((TABLA_AVANCE_METAS[[#This Row],[DIFERENCIA ABSOLUTA SEMESTRAL]]/TABLA_AVANCE_METAS[[#This Row],[PROG. ACUM]])*100,"N/A")</f>
        <v>-50</v>
      </c>
      <c r="AL57" s="44">
        <f>TABLA_AVANCE_METAS[[#This Row],[AVANCE 1°. TRIM]]+TABLA_AVANCE_METAS[[#This Row],[AVANCE 2°. TRIM]]+TABLA_AVANCE_METAS[[#This Row],[AVANCE 3°. TRIM]]+TABLA_AVANCE_METAS[[#This Row],[AVANCE 4°. TRIM]]</f>
        <v>3</v>
      </c>
      <c r="AM57" s="40">
        <f>IFERROR((TABLA_AVANCE_METAS[[#This Row],[AVANCE ACUM. ANUAL]]/TABLA_AVANCE_METAS[[#This Row],[PROGRAMADO ANUAL]])*100,"N/A")</f>
        <v>25</v>
      </c>
      <c r="AN57"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57" s="45">
        <f>TABLA_AVANCE_METAS[[#This Row],[AVANCE ACUM. ANUAL]]-TABLA_AVANCE_METAS[[#This Row],[PROGRAMADO ANUAL]]</f>
        <v>-9</v>
      </c>
      <c r="AP57" s="47">
        <f>IFERROR((TABLA_AVANCE_METAS[[#This Row],[DIFERENCIA ABSOLUTA ANUAL]]/TABLA_AVANCE_METAS[[#This Row],[PROGRAMADO ANUAL]])*100,"N/A")</f>
        <v>-75</v>
      </c>
      <c r="AQ57" s="48" t="s">
        <v>238</v>
      </c>
      <c r="AR57" s="49"/>
      <c r="AS57" s="50"/>
      <c r="AT57" s="50"/>
      <c r="AU57" s="51" t="b">
        <f>TABLA_AVANCE_METAS[[#This Row],[PROGRAMADO ANUAL]]=SUM(TABLA_AVANCE_METAS[[#This Row],[PROGR. 1° TRIM]],TABLA_AVANCE_METAS[[#This Row],[PROGR. 2° TRIM]],TABLA_AVANCE_METAS[[#This Row],[PROGR. 3° TRIM]],TABLA_AVANCE_METAS[[#This Row],[PROGR. 4° TRIM]])</f>
        <v>1</v>
      </c>
      <c r="AV57" s="52"/>
    </row>
    <row r="58" spans="1:48" ht="75" hidden="1" customHeight="1" x14ac:dyDescent="0.3">
      <c r="A58" s="31" t="str">
        <f>CONCATENATE(TABLA_AVANCE_METAS[[#This Row],[ESTRUCTURA]],TABLA_AVANCE_METAS[[#This Row],['#]])</f>
        <v>B0021001050206034</v>
      </c>
      <c r="B58" s="32" t="s">
        <v>224</v>
      </c>
      <c r="C58" s="33" t="s">
        <v>214</v>
      </c>
      <c r="D58" s="33" t="s">
        <v>215</v>
      </c>
      <c r="E58" s="32" t="s">
        <v>225</v>
      </c>
      <c r="F58" s="32" t="s">
        <v>226</v>
      </c>
      <c r="G58" s="34" t="s">
        <v>227</v>
      </c>
      <c r="H58" s="32" t="s">
        <v>140</v>
      </c>
      <c r="I58" s="32" t="s">
        <v>141</v>
      </c>
      <c r="J58" s="32" t="s">
        <v>228</v>
      </c>
      <c r="K58" s="32" t="s">
        <v>229</v>
      </c>
      <c r="L58" s="33">
        <v>4</v>
      </c>
      <c r="M58" s="35" t="s">
        <v>239</v>
      </c>
      <c r="N58" s="34" t="s">
        <v>240</v>
      </c>
      <c r="O58" s="36">
        <v>1</v>
      </c>
      <c r="P58" s="36">
        <v>0</v>
      </c>
      <c r="Q58" s="37">
        <v>0</v>
      </c>
      <c r="R58" s="38" t="str">
        <f>IFERROR((TABLA_AVANCE_METAS[[#This Row],[AVANCE 1°. TRIM]]/TABLA_AVANCE_METAS[[#This Row],[PROGR. 1° TRIM]])*100,"0")</f>
        <v>0</v>
      </c>
      <c r="S58"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NO PROG.</v>
      </c>
      <c r="T58" s="36">
        <v>0</v>
      </c>
      <c r="U58" s="37">
        <v>0</v>
      </c>
      <c r="V58" s="40" t="str">
        <f t="shared" si="0"/>
        <v>0</v>
      </c>
      <c r="W58" s="39" t="str">
        <f t="shared" si="1"/>
        <v>NO PROG.</v>
      </c>
      <c r="X58" s="36">
        <v>0</v>
      </c>
      <c r="Y58" s="37">
        <v>0</v>
      </c>
      <c r="Z58" s="40" t="s">
        <v>72</v>
      </c>
      <c r="AA58" s="39" t="s">
        <v>73</v>
      </c>
      <c r="AB58" s="36">
        <v>1</v>
      </c>
      <c r="AC58" s="41">
        <v>0</v>
      </c>
      <c r="AD58" s="40">
        <f>IFERROR((TABLA_AVANCE_METAS[[#This Row],[AVANCE 4°. TRIM]]/TABLA_AVANCE_METAS[[#This Row],[PROGR. 4° TRIM]])*100,"0")</f>
        <v>0</v>
      </c>
      <c r="AE58"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58" s="43" cm="1">
        <f t="array" ref="AF58">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0</v>
      </c>
      <c r="AG58" s="44" cm="1">
        <f t="array" ref="AG58">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0</v>
      </c>
      <c r="AH58" s="40" t="str">
        <f>IFERROR((TABLA_AVANCE_METAS[[#This Row],[AVANCE ACUM. TRIM.]]/TABLA_AVANCE_METAS[[#This Row],[PROG. ACUM]])*100,"N/A")</f>
        <v>N/A</v>
      </c>
      <c r="AI58"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NO PROG.</v>
      </c>
      <c r="AJ58" s="45">
        <f>TABLA_AVANCE_METAS[[#This Row],[AVANCE ACUM. TRIM.]]-TABLA_AVANCE_METAS[[#This Row],[PROG. ACUM]]</f>
        <v>0</v>
      </c>
      <c r="AK58" s="46" t="str">
        <f>IFERROR((TABLA_AVANCE_METAS[[#This Row],[DIFERENCIA ABSOLUTA SEMESTRAL]]/TABLA_AVANCE_METAS[[#This Row],[PROG. ACUM]])*100,"N/A")</f>
        <v>N/A</v>
      </c>
      <c r="AL58" s="44">
        <f>TABLA_AVANCE_METAS[[#This Row],[AVANCE 1°. TRIM]]+TABLA_AVANCE_METAS[[#This Row],[AVANCE 2°. TRIM]]+TABLA_AVANCE_METAS[[#This Row],[AVANCE 3°. TRIM]]+TABLA_AVANCE_METAS[[#This Row],[AVANCE 4°. TRIM]]</f>
        <v>0</v>
      </c>
      <c r="AM58" s="40">
        <f>IFERROR((TABLA_AVANCE_METAS[[#This Row],[AVANCE ACUM. ANUAL]]/TABLA_AVANCE_METAS[[#This Row],[PROGRAMADO ANUAL]])*100,"N/A")</f>
        <v>0</v>
      </c>
      <c r="AN58"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58" s="45">
        <f>TABLA_AVANCE_METAS[[#This Row],[AVANCE ACUM. ANUAL]]-TABLA_AVANCE_METAS[[#This Row],[PROGRAMADO ANUAL]]</f>
        <v>-1</v>
      </c>
      <c r="AP58" s="47">
        <f>IFERROR((TABLA_AVANCE_METAS[[#This Row],[DIFERENCIA ABSOLUTA ANUAL]]/TABLA_AVANCE_METAS[[#This Row],[PROGRAMADO ANUAL]])*100,"N/A")</f>
        <v>-100</v>
      </c>
      <c r="AQ58" s="48" t="s">
        <v>241</v>
      </c>
      <c r="AR58" s="49"/>
      <c r="AS58" s="50"/>
      <c r="AT58" s="50"/>
      <c r="AU58" s="51" t="b">
        <f>TABLA_AVANCE_METAS[[#This Row],[PROGRAMADO ANUAL]]=SUM(TABLA_AVANCE_METAS[[#This Row],[PROGR. 1° TRIM]],TABLA_AVANCE_METAS[[#This Row],[PROGR. 2° TRIM]],TABLA_AVANCE_METAS[[#This Row],[PROGR. 3° TRIM]],TABLA_AVANCE_METAS[[#This Row],[PROGR. 4° TRIM]])</f>
        <v>1</v>
      </c>
      <c r="AV58" s="52"/>
    </row>
    <row r="59" spans="1:48" ht="75" hidden="1" customHeight="1" x14ac:dyDescent="0.3">
      <c r="A59" s="31" t="str">
        <f>CONCATENATE(TABLA_AVANCE_METAS[[#This Row],[ESTRUCTURA]],TABLA_AVANCE_METAS[[#This Row],['#]])</f>
        <v>B0021301050206031</v>
      </c>
      <c r="B59" s="32" t="s">
        <v>242</v>
      </c>
      <c r="C59" s="33" t="s">
        <v>214</v>
      </c>
      <c r="D59" s="32" t="s">
        <v>215</v>
      </c>
      <c r="E59" s="32" t="s">
        <v>243</v>
      </c>
      <c r="F59" s="32" t="s">
        <v>244</v>
      </c>
      <c r="G59" s="34" t="s">
        <v>245</v>
      </c>
      <c r="H59" s="32" t="s">
        <v>140</v>
      </c>
      <c r="I59" s="32" t="s">
        <v>141</v>
      </c>
      <c r="J59" s="32" t="s">
        <v>228</v>
      </c>
      <c r="K59" s="32" t="s">
        <v>229</v>
      </c>
      <c r="L59" s="33">
        <v>1</v>
      </c>
      <c r="M59" s="35" t="s">
        <v>246</v>
      </c>
      <c r="N59" s="34" t="s">
        <v>247</v>
      </c>
      <c r="O59" s="36">
        <v>1</v>
      </c>
      <c r="P59" s="36">
        <v>1</v>
      </c>
      <c r="Q59" s="37">
        <v>1</v>
      </c>
      <c r="R59" s="38">
        <f>IFERROR((TABLA_AVANCE_METAS[[#This Row],[AVANCE 1°. TRIM]]/TABLA_AVANCE_METAS[[#This Row],[PROGR. 1° TRIM]])*100,"0")</f>
        <v>100</v>
      </c>
      <c r="S59"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59" s="36">
        <v>0</v>
      </c>
      <c r="U59" s="37">
        <v>1</v>
      </c>
      <c r="V59" s="40" t="str">
        <f t="shared" si="0"/>
        <v>0</v>
      </c>
      <c r="W59" s="39" t="str">
        <f t="shared" si="1"/>
        <v>NO PROG.</v>
      </c>
      <c r="X59" s="36">
        <v>0</v>
      </c>
      <c r="Y59" s="37">
        <v>0</v>
      </c>
      <c r="Z59" s="40" t="s">
        <v>72</v>
      </c>
      <c r="AA59" s="39" t="s">
        <v>73</v>
      </c>
      <c r="AB59" s="36">
        <v>0</v>
      </c>
      <c r="AC59" s="41">
        <v>0</v>
      </c>
      <c r="AD59" s="40" t="str">
        <f>IFERROR((TABLA_AVANCE_METAS[[#This Row],[AVANCE 4°. TRIM]]/TABLA_AVANCE_METAS[[#This Row],[PROGR. 4° TRIM]])*100,"0")</f>
        <v>0</v>
      </c>
      <c r="AE59"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NO PROG.</v>
      </c>
      <c r="AF59" s="43" cm="1">
        <f t="array" ref="AF59">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v>
      </c>
      <c r="AG59" s="44" cm="1">
        <f t="array" ref="AG59">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2</v>
      </c>
      <c r="AH59" s="40">
        <f>IFERROR((TABLA_AVANCE_METAS[[#This Row],[AVANCE ACUM. TRIM.]]/TABLA_AVANCE_METAS[[#This Row],[PROG. ACUM]])*100,"N/A")</f>
        <v>200</v>
      </c>
      <c r="AI59"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SOBREPASADO</v>
      </c>
      <c r="AJ59" s="45">
        <f>TABLA_AVANCE_METAS[[#This Row],[AVANCE ACUM. TRIM.]]-TABLA_AVANCE_METAS[[#This Row],[PROG. ACUM]]</f>
        <v>1</v>
      </c>
      <c r="AK59" s="46">
        <f>IFERROR((TABLA_AVANCE_METAS[[#This Row],[DIFERENCIA ABSOLUTA SEMESTRAL]]/TABLA_AVANCE_METAS[[#This Row],[PROG. ACUM]])*100,"N/A")</f>
        <v>100</v>
      </c>
      <c r="AL59" s="44">
        <f>TABLA_AVANCE_METAS[[#This Row],[AVANCE 1°. TRIM]]+TABLA_AVANCE_METAS[[#This Row],[AVANCE 2°. TRIM]]+TABLA_AVANCE_METAS[[#This Row],[AVANCE 3°. TRIM]]+TABLA_AVANCE_METAS[[#This Row],[AVANCE 4°. TRIM]]</f>
        <v>2</v>
      </c>
      <c r="AM59" s="40">
        <f>IFERROR((TABLA_AVANCE_METAS[[#This Row],[AVANCE ACUM. ANUAL]]/TABLA_AVANCE_METAS[[#This Row],[PROGRAMADO ANUAL]])*100,"N/A")</f>
        <v>200</v>
      </c>
      <c r="AN59"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SOBREPASADO</v>
      </c>
      <c r="AO59" s="45">
        <f>TABLA_AVANCE_METAS[[#This Row],[AVANCE ACUM. ANUAL]]-TABLA_AVANCE_METAS[[#This Row],[PROGRAMADO ANUAL]]</f>
        <v>1</v>
      </c>
      <c r="AP59" s="47">
        <f>IFERROR((TABLA_AVANCE_METAS[[#This Row],[DIFERENCIA ABSOLUTA ANUAL]]/TABLA_AVANCE_METAS[[#This Row],[PROGRAMADO ANUAL]])*100,"N/A")</f>
        <v>100</v>
      </c>
      <c r="AQ59" s="48" t="e">
        <v>#N/A</v>
      </c>
      <c r="AR59" s="49"/>
      <c r="AS59" s="50"/>
      <c r="AT59" s="50"/>
      <c r="AU59" s="51" t="b">
        <f>TABLA_AVANCE_METAS[[#This Row],[PROGRAMADO ANUAL]]=SUM(TABLA_AVANCE_METAS[[#This Row],[PROGR. 1° TRIM]],TABLA_AVANCE_METAS[[#This Row],[PROGR. 2° TRIM]],TABLA_AVANCE_METAS[[#This Row],[PROGR. 3° TRIM]],TABLA_AVANCE_METAS[[#This Row],[PROGR. 4° TRIM]])</f>
        <v>1</v>
      </c>
      <c r="AV59" s="52"/>
    </row>
    <row r="60" spans="1:48" ht="75" hidden="1" customHeight="1" x14ac:dyDescent="0.3">
      <c r="A60" s="31" t="str">
        <f>CONCATENATE(TABLA_AVANCE_METAS[[#This Row],[ESTRUCTURA]],TABLA_AVANCE_METAS[[#This Row],['#]])</f>
        <v>B0021301050206032</v>
      </c>
      <c r="B60" s="32" t="s">
        <v>242</v>
      </c>
      <c r="C60" s="33" t="s">
        <v>214</v>
      </c>
      <c r="D60" s="32" t="s">
        <v>215</v>
      </c>
      <c r="E60" s="32" t="s">
        <v>243</v>
      </c>
      <c r="F60" s="32" t="s">
        <v>244</v>
      </c>
      <c r="G60" s="34" t="s">
        <v>245</v>
      </c>
      <c r="H60" s="32" t="s">
        <v>140</v>
      </c>
      <c r="I60" s="32" t="s">
        <v>141</v>
      </c>
      <c r="J60" s="32" t="s">
        <v>228</v>
      </c>
      <c r="K60" s="32" t="s">
        <v>229</v>
      </c>
      <c r="L60" s="33">
        <v>2</v>
      </c>
      <c r="M60" s="35" t="s">
        <v>248</v>
      </c>
      <c r="N60" s="34" t="s">
        <v>249</v>
      </c>
      <c r="O60" s="36">
        <v>100</v>
      </c>
      <c r="P60" s="36">
        <v>35</v>
      </c>
      <c r="Q60" s="37">
        <v>16</v>
      </c>
      <c r="R60" s="38">
        <f>IFERROR((TABLA_AVANCE_METAS[[#This Row],[AVANCE 1°. TRIM]]/TABLA_AVANCE_METAS[[#This Row],[PROGR. 1° TRIM]])*100,"0")</f>
        <v>45.714285714285715</v>
      </c>
      <c r="S60"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CRÍTICO</v>
      </c>
      <c r="T60" s="36">
        <v>20</v>
      </c>
      <c r="U60" s="37">
        <v>41</v>
      </c>
      <c r="V60" s="40">
        <f t="shared" si="0"/>
        <v>204.99999999999997</v>
      </c>
      <c r="W60" s="39" t="str">
        <f t="shared" si="1"/>
        <v>SOBREPASADO</v>
      </c>
      <c r="X60" s="36">
        <v>25</v>
      </c>
      <c r="Y60" s="37">
        <v>0</v>
      </c>
      <c r="Z60" s="40">
        <v>0</v>
      </c>
      <c r="AA60" s="39" t="s">
        <v>62</v>
      </c>
      <c r="AB60" s="36">
        <v>20</v>
      </c>
      <c r="AC60" s="41">
        <v>0</v>
      </c>
      <c r="AD60" s="40">
        <f>IFERROR((TABLA_AVANCE_METAS[[#This Row],[AVANCE 4°. TRIM]]/TABLA_AVANCE_METAS[[#This Row],[PROGR. 4° TRIM]])*100,"0")</f>
        <v>0</v>
      </c>
      <c r="AE60"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60" s="43" cm="1">
        <f t="array" ref="AF60">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55</v>
      </c>
      <c r="AG60" s="44" cm="1">
        <f t="array" ref="AG60">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57</v>
      </c>
      <c r="AH60" s="40">
        <f>IFERROR((TABLA_AVANCE_METAS[[#This Row],[AVANCE ACUM. TRIM.]]/TABLA_AVANCE_METAS[[#This Row],[PROG. ACUM]])*100,"N/A")</f>
        <v>103.63636363636364</v>
      </c>
      <c r="AI60"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60" s="45">
        <f>TABLA_AVANCE_METAS[[#This Row],[AVANCE ACUM. TRIM.]]-TABLA_AVANCE_METAS[[#This Row],[PROG. ACUM]]</f>
        <v>2</v>
      </c>
      <c r="AK60" s="46">
        <f>IFERROR((TABLA_AVANCE_METAS[[#This Row],[DIFERENCIA ABSOLUTA SEMESTRAL]]/TABLA_AVANCE_METAS[[#This Row],[PROG. ACUM]])*100,"N/A")</f>
        <v>3.6363636363636362</v>
      </c>
      <c r="AL60" s="44">
        <f>TABLA_AVANCE_METAS[[#This Row],[AVANCE 1°. TRIM]]+TABLA_AVANCE_METAS[[#This Row],[AVANCE 2°. TRIM]]+TABLA_AVANCE_METAS[[#This Row],[AVANCE 3°. TRIM]]+TABLA_AVANCE_METAS[[#This Row],[AVANCE 4°. TRIM]]</f>
        <v>57</v>
      </c>
      <c r="AM60" s="40">
        <f>IFERROR((TABLA_AVANCE_METAS[[#This Row],[AVANCE ACUM. ANUAL]]/TABLA_AVANCE_METAS[[#This Row],[PROGRAMADO ANUAL]])*100,"N/A")</f>
        <v>56.999999999999993</v>
      </c>
      <c r="AN60"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60" s="45">
        <f>TABLA_AVANCE_METAS[[#This Row],[AVANCE ACUM. ANUAL]]-TABLA_AVANCE_METAS[[#This Row],[PROGRAMADO ANUAL]]</f>
        <v>-43</v>
      </c>
      <c r="AP60" s="47">
        <f>IFERROR((TABLA_AVANCE_METAS[[#This Row],[DIFERENCIA ABSOLUTA ANUAL]]/TABLA_AVANCE_METAS[[#This Row],[PROGRAMADO ANUAL]])*100,"N/A")</f>
        <v>-43</v>
      </c>
      <c r="AQ60" s="48" t="e">
        <v>#N/A</v>
      </c>
      <c r="AR60" s="49"/>
      <c r="AS60" s="50"/>
      <c r="AT60" s="50"/>
      <c r="AU60" s="51" t="b">
        <f>TABLA_AVANCE_METAS[[#This Row],[PROGRAMADO ANUAL]]=SUM(TABLA_AVANCE_METAS[[#This Row],[PROGR. 1° TRIM]],TABLA_AVANCE_METAS[[#This Row],[PROGR. 2° TRIM]],TABLA_AVANCE_METAS[[#This Row],[PROGR. 3° TRIM]],TABLA_AVANCE_METAS[[#This Row],[PROGR. 4° TRIM]])</f>
        <v>1</v>
      </c>
      <c r="AV60" s="52"/>
    </row>
    <row r="61" spans="1:48" ht="75" hidden="1" customHeight="1" x14ac:dyDescent="0.3">
      <c r="A61" s="31" t="str">
        <f>CONCATENATE(TABLA_AVANCE_METAS[[#This Row],[ESTRUCTURA]],TABLA_AVANCE_METAS[[#This Row],['#]])</f>
        <v>B0021301050206033</v>
      </c>
      <c r="B61" s="32" t="s">
        <v>242</v>
      </c>
      <c r="C61" s="62" t="s">
        <v>214</v>
      </c>
      <c r="D61" s="61" t="s">
        <v>215</v>
      </c>
      <c r="E61" s="32" t="s">
        <v>243</v>
      </c>
      <c r="F61" s="61" t="s">
        <v>244</v>
      </c>
      <c r="G61" s="34" t="s">
        <v>245</v>
      </c>
      <c r="H61" s="61" t="s">
        <v>140</v>
      </c>
      <c r="I61" s="61" t="s">
        <v>141</v>
      </c>
      <c r="J61" s="61" t="s">
        <v>228</v>
      </c>
      <c r="K61" s="61" t="s">
        <v>229</v>
      </c>
      <c r="L61" s="33">
        <v>3</v>
      </c>
      <c r="M61" s="57" t="s">
        <v>250</v>
      </c>
      <c r="N61" s="34" t="s">
        <v>61</v>
      </c>
      <c r="O61" s="36">
        <v>16</v>
      </c>
      <c r="P61" s="36">
        <v>4</v>
      </c>
      <c r="Q61" s="37">
        <v>4</v>
      </c>
      <c r="R61" s="38">
        <f>IFERROR((TABLA_AVANCE_METAS[[#This Row],[AVANCE 1°. TRIM]]/TABLA_AVANCE_METAS[[#This Row],[PROGR. 1° TRIM]])*100,"0")</f>
        <v>100</v>
      </c>
      <c r="S61"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61" s="36">
        <v>4</v>
      </c>
      <c r="U61" s="37">
        <v>8</v>
      </c>
      <c r="V61" s="40">
        <f t="shared" si="0"/>
        <v>200</v>
      </c>
      <c r="W61" s="39" t="str">
        <f t="shared" si="1"/>
        <v>SOBREPASADO</v>
      </c>
      <c r="X61" s="36">
        <v>4</v>
      </c>
      <c r="Y61" s="37">
        <v>0</v>
      </c>
      <c r="Z61" s="40">
        <v>0</v>
      </c>
      <c r="AA61" s="39" t="s">
        <v>62</v>
      </c>
      <c r="AB61" s="36">
        <v>4</v>
      </c>
      <c r="AC61" s="41">
        <v>0</v>
      </c>
      <c r="AD61" s="40">
        <f>IFERROR((TABLA_AVANCE_METAS[[#This Row],[AVANCE 4°. TRIM]]/TABLA_AVANCE_METAS[[#This Row],[PROGR. 4° TRIM]])*100,"0")</f>
        <v>0</v>
      </c>
      <c r="AE61"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61" s="43" cm="1">
        <f t="array" ref="AF61">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8</v>
      </c>
      <c r="AG61" s="44" cm="1">
        <f t="array" ref="AG61">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12</v>
      </c>
      <c r="AH61" s="40">
        <f>IFERROR((TABLA_AVANCE_METAS[[#This Row],[AVANCE ACUM. TRIM.]]/TABLA_AVANCE_METAS[[#This Row],[PROG. ACUM]])*100,"N/A")</f>
        <v>150</v>
      </c>
      <c r="AI61"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SOBREPASADO</v>
      </c>
      <c r="AJ61" s="45">
        <f>TABLA_AVANCE_METAS[[#This Row],[AVANCE ACUM. TRIM.]]-TABLA_AVANCE_METAS[[#This Row],[PROG. ACUM]]</f>
        <v>4</v>
      </c>
      <c r="AK61" s="46">
        <f>IFERROR((TABLA_AVANCE_METAS[[#This Row],[DIFERENCIA ABSOLUTA SEMESTRAL]]/TABLA_AVANCE_METAS[[#This Row],[PROG. ACUM]])*100,"N/A")</f>
        <v>50</v>
      </c>
      <c r="AL61" s="44">
        <f>TABLA_AVANCE_METAS[[#This Row],[AVANCE 1°. TRIM]]+TABLA_AVANCE_METAS[[#This Row],[AVANCE 2°. TRIM]]+TABLA_AVANCE_METAS[[#This Row],[AVANCE 3°. TRIM]]+TABLA_AVANCE_METAS[[#This Row],[AVANCE 4°. TRIM]]</f>
        <v>12</v>
      </c>
      <c r="AM61" s="40">
        <f>IFERROR((TABLA_AVANCE_METAS[[#This Row],[AVANCE ACUM. ANUAL]]/TABLA_AVANCE_METAS[[#This Row],[PROGRAMADO ANUAL]])*100,"N/A")</f>
        <v>75</v>
      </c>
      <c r="AN61"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REGULAR</v>
      </c>
      <c r="AO61" s="45">
        <f>TABLA_AVANCE_METAS[[#This Row],[AVANCE ACUM. ANUAL]]-TABLA_AVANCE_METAS[[#This Row],[PROGRAMADO ANUAL]]</f>
        <v>-4</v>
      </c>
      <c r="AP61" s="47">
        <f>IFERROR((TABLA_AVANCE_METAS[[#This Row],[DIFERENCIA ABSOLUTA ANUAL]]/TABLA_AVANCE_METAS[[#This Row],[PROGRAMADO ANUAL]])*100,"N/A")</f>
        <v>-25</v>
      </c>
      <c r="AQ61" s="48" t="e">
        <v>#N/A</v>
      </c>
      <c r="AR61" s="49"/>
      <c r="AS61" s="50"/>
      <c r="AT61" s="50"/>
      <c r="AU61" s="51" t="b">
        <f>TABLA_AVANCE_METAS[[#This Row],[PROGRAMADO ANUAL]]=SUM(TABLA_AVANCE_METAS[[#This Row],[PROGR. 1° TRIM]],TABLA_AVANCE_METAS[[#This Row],[PROGR. 2° TRIM]],TABLA_AVANCE_METAS[[#This Row],[PROGR. 3° TRIM]],TABLA_AVANCE_METAS[[#This Row],[PROGR. 4° TRIM]])</f>
        <v>1</v>
      </c>
      <c r="AV61" s="52"/>
    </row>
    <row r="62" spans="1:48" ht="75" hidden="1" customHeight="1" x14ac:dyDescent="0.3">
      <c r="A62" s="31" t="str">
        <f>CONCATENATE(TABLA_AVANCE_METAS[[#This Row],[ESTRUCTURA]],TABLA_AVANCE_METAS[[#This Row],['#]])</f>
        <v>B0021301050206034</v>
      </c>
      <c r="B62" s="32" t="s">
        <v>242</v>
      </c>
      <c r="C62" s="33" t="s">
        <v>214</v>
      </c>
      <c r="D62" s="32" t="s">
        <v>215</v>
      </c>
      <c r="E62" s="32" t="s">
        <v>243</v>
      </c>
      <c r="F62" s="32" t="s">
        <v>244</v>
      </c>
      <c r="G62" s="34" t="s">
        <v>245</v>
      </c>
      <c r="H62" s="32" t="s">
        <v>140</v>
      </c>
      <c r="I62" s="32" t="s">
        <v>141</v>
      </c>
      <c r="J62" s="32" t="s">
        <v>228</v>
      </c>
      <c r="K62" s="32" t="s">
        <v>229</v>
      </c>
      <c r="L62" s="33">
        <v>4</v>
      </c>
      <c r="M62" s="35" t="s">
        <v>251</v>
      </c>
      <c r="N62" s="34" t="s">
        <v>124</v>
      </c>
      <c r="O62" s="36">
        <v>12</v>
      </c>
      <c r="P62" s="36">
        <v>3</v>
      </c>
      <c r="Q62" s="37">
        <v>3</v>
      </c>
      <c r="R62" s="38">
        <f>IFERROR((TABLA_AVANCE_METAS[[#This Row],[AVANCE 1°. TRIM]]/TABLA_AVANCE_METAS[[#This Row],[PROGR. 1° TRIM]])*100,"0")</f>
        <v>100</v>
      </c>
      <c r="S62"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62" s="36">
        <v>3</v>
      </c>
      <c r="U62" s="37">
        <v>6</v>
      </c>
      <c r="V62" s="40">
        <f t="shared" si="0"/>
        <v>200</v>
      </c>
      <c r="W62" s="39" t="str">
        <f t="shared" si="1"/>
        <v>SOBREPASADO</v>
      </c>
      <c r="X62" s="36">
        <v>3</v>
      </c>
      <c r="Y62" s="37">
        <v>0</v>
      </c>
      <c r="Z62" s="40">
        <v>0</v>
      </c>
      <c r="AA62" s="39" t="s">
        <v>62</v>
      </c>
      <c r="AB62" s="36">
        <v>3</v>
      </c>
      <c r="AC62" s="41">
        <v>0</v>
      </c>
      <c r="AD62" s="40">
        <f>IFERROR((TABLA_AVANCE_METAS[[#This Row],[AVANCE 4°. TRIM]]/TABLA_AVANCE_METAS[[#This Row],[PROGR. 4° TRIM]])*100,"0")</f>
        <v>0</v>
      </c>
      <c r="AE62"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62" s="43" cm="1">
        <f t="array" ref="AF62">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6</v>
      </c>
      <c r="AG62" s="44" cm="1">
        <f t="array" ref="AG62">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9</v>
      </c>
      <c r="AH62" s="40">
        <f>IFERROR((TABLA_AVANCE_METAS[[#This Row],[AVANCE ACUM. TRIM.]]/TABLA_AVANCE_METAS[[#This Row],[PROG. ACUM]])*100,"N/A")</f>
        <v>150</v>
      </c>
      <c r="AI62"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SOBREPASADO</v>
      </c>
      <c r="AJ62" s="45">
        <f>TABLA_AVANCE_METAS[[#This Row],[AVANCE ACUM. TRIM.]]-TABLA_AVANCE_METAS[[#This Row],[PROG. ACUM]]</f>
        <v>3</v>
      </c>
      <c r="AK62" s="46">
        <f>IFERROR((TABLA_AVANCE_METAS[[#This Row],[DIFERENCIA ABSOLUTA SEMESTRAL]]/TABLA_AVANCE_METAS[[#This Row],[PROG. ACUM]])*100,"N/A")</f>
        <v>50</v>
      </c>
      <c r="AL62" s="44">
        <f>TABLA_AVANCE_METAS[[#This Row],[AVANCE 1°. TRIM]]+TABLA_AVANCE_METAS[[#This Row],[AVANCE 2°. TRIM]]+TABLA_AVANCE_METAS[[#This Row],[AVANCE 3°. TRIM]]+TABLA_AVANCE_METAS[[#This Row],[AVANCE 4°. TRIM]]</f>
        <v>9</v>
      </c>
      <c r="AM62" s="40">
        <f>IFERROR((TABLA_AVANCE_METAS[[#This Row],[AVANCE ACUM. ANUAL]]/TABLA_AVANCE_METAS[[#This Row],[PROGRAMADO ANUAL]])*100,"N/A")</f>
        <v>75</v>
      </c>
      <c r="AN62"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REGULAR</v>
      </c>
      <c r="AO62" s="45">
        <f>TABLA_AVANCE_METAS[[#This Row],[AVANCE ACUM. ANUAL]]-TABLA_AVANCE_METAS[[#This Row],[PROGRAMADO ANUAL]]</f>
        <v>-3</v>
      </c>
      <c r="AP62" s="47">
        <f>IFERROR((TABLA_AVANCE_METAS[[#This Row],[DIFERENCIA ABSOLUTA ANUAL]]/TABLA_AVANCE_METAS[[#This Row],[PROGRAMADO ANUAL]])*100,"N/A")</f>
        <v>-25</v>
      </c>
      <c r="AQ62" s="48" t="e">
        <v>#N/A</v>
      </c>
      <c r="AR62" s="49"/>
      <c r="AS62" s="50"/>
      <c r="AT62" s="50"/>
      <c r="AU62" s="51" t="b">
        <f>TABLA_AVANCE_METAS[[#This Row],[PROGRAMADO ANUAL]]=SUM(TABLA_AVANCE_METAS[[#This Row],[PROGR. 1° TRIM]],TABLA_AVANCE_METAS[[#This Row],[PROGR. 2° TRIM]],TABLA_AVANCE_METAS[[#This Row],[PROGR. 3° TRIM]],TABLA_AVANCE_METAS[[#This Row],[PROGR. 4° TRIM]])</f>
        <v>1</v>
      </c>
      <c r="AV62" s="52"/>
    </row>
    <row r="63" spans="1:48" ht="75" hidden="1" customHeight="1" x14ac:dyDescent="0.3">
      <c r="A63" s="31" t="str">
        <f>CONCATENATE(TABLA_AVANCE_METAS[[#This Row],[ESTRUCTURA]],TABLA_AVANCE_METAS[[#This Row],['#]])</f>
        <v>B0021001050206035</v>
      </c>
      <c r="B63" s="32" t="s">
        <v>224</v>
      </c>
      <c r="C63" s="33" t="s">
        <v>214</v>
      </c>
      <c r="D63" s="32" t="s">
        <v>215</v>
      </c>
      <c r="E63" s="32" t="s">
        <v>225</v>
      </c>
      <c r="F63" s="32" t="s">
        <v>226</v>
      </c>
      <c r="G63" s="34" t="s">
        <v>227</v>
      </c>
      <c r="H63" s="32" t="s">
        <v>140</v>
      </c>
      <c r="I63" s="32" t="s">
        <v>141</v>
      </c>
      <c r="J63" s="32" t="s">
        <v>228</v>
      </c>
      <c r="K63" s="32" t="s">
        <v>229</v>
      </c>
      <c r="L63" s="33">
        <v>5</v>
      </c>
      <c r="M63" s="35" t="s">
        <v>252</v>
      </c>
      <c r="N63" s="34" t="s">
        <v>124</v>
      </c>
      <c r="O63" s="36">
        <v>12</v>
      </c>
      <c r="P63" s="36">
        <v>3</v>
      </c>
      <c r="Q63" s="37">
        <v>3</v>
      </c>
      <c r="R63" s="38">
        <f>IFERROR((TABLA_AVANCE_METAS[[#This Row],[AVANCE 1°. TRIM]]/TABLA_AVANCE_METAS[[#This Row],[PROGR. 1° TRIM]])*100,"0")</f>
        <v>100</v>
      </c>
      <c r="S63"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63" s="36">
        <v>3</v>
      </c>
      <c r="U63" s="37">
        <v>0</v>
      </c>
      <c r="V63" s="40">
        <f t="shared" si="0"/>
        <v>0</v>
      </c>
      <c r="W63" s="39" t="str">
        <f t="shared" si="1"/>
        <v>CRÍTICO</v>
      </c>
      <c r="X63" s="36">
        <v>3</v>
      </c>
      <c r="Y63" s="37">
        <v>0</v>
      </c>
      <c r="Z63" s="40">
        <v>0</v>
      </c>
      <c r="AA63" s="39" t="s">
        <v>62</v>
      </c>
      <c r="AB63" s="36">
        <v>3</v>
      </c>
      <c r="AC63" s="41">
        <v>0</v>
      </c>
      <c r="AD63" s="40">
        <f>IFERROR((TABLA_AVANCE_METAS[[#This Row],[AVANCE 4°. TRIM]]/TABLA_AVANCE_METAS[[#This Row],[PROGR. 4° TRIM]])*100,"0")</f>
        <v>0</v>
      </c>
      <c r="AE63"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63" s="43" cm="1">
        <f t="array" ref="AF63">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6</v>
      </c>
      <c r="AG63" s="44" cm="1">
        <f t="array" ref="AG63">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3</v>
      </c>
      <c r="AH63" s="40">
        <f>IFERROR((TABLA_AVANCE_METAS[[#This Row],[AVANCE ACUM. TRIM.]]/TABLA_AVANCE_METAS[[#This Row],[PROG. ACUM]])*100,"N/A")</f>
        <v>50</v>
      </c>
      <c r="AI63"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DEFICIENTE</v>
      </c>
      <c r="AJ63" s="45">
        <f>TABLA_AVANCE_METAS[[#This Row],[AVANCE ACUM. TRIM.]]-TABLA_AVANCE_METAS[[#This Row],[PROG. ACUM]]</f>
        <v>-3</v>
      </c>
      <c r="AK63" s="46">
        <f>IFERROR((TABLA_AVANCE_METAS[[#This Row],[DIFERENCIA ABSOLUTA SEMESTRAL]]/TABLA_AVANCE_METAS[[#This Row],[PROG. ACUM]])*100,"N/A")</f>
        <v>-50</v>
      </c>
      <c r="AL63" s="44">
        <f>TABLA_AVANCE_METAS[[#This Row],[AVANCE 1°. TRIM]]+TABLA_AVANCE_METAS[[#This Row],[AVANCE 2°. TRIM]]+TABLA_AVANCE_METAS[[#This Row],[AVANCE 3°. TRIM]]+TABLA_AVANCE_METAS[[#This Row],[AVANCE 4°. TRIM]]</f>
        <v>3</v>
      </c>
      <c r="AM63" s="40">
        <f>IFERROR((TABLA_AVANCE_METAS[[#This Row],[AVANCE ACUM. ANUAL]]/TABLA_AVANCE_METAS[[#This Row],[PROGRAMADO ANUAL]])*100,"N/A")</f>
        <v>25</v>
      </c>
      <c r="AN63"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63" s="45">
        <f>TABLA_AVANCE_METAS[[#This Row],[AVANCE ACUM. ANUAL]]-TABLA_AVANCE_METAS[[#This Row],[PROGRAMADO ANUAL]]</f>
        <v>-9</v>
      </c>
      <c r="AP63" s="47">
        <f>IFERROR((TABLA_AVANCE_METAS[[#This Row],[DIFERENCIA ABSOLUTA ANUAL]]/TABLA_AVANCE_METAS[[#This Row],[PROGRAMADO ANUAL]])*100,"N/A")</f>
        <v>-75</v>
      </c>
      <c r="AQ63" s="48" t="s">
        <v>253</v>
      </c>
      <c r="AR63" s="49"/>
      <c r="AS63" s="50"/>
      <c r="AT63" s="50"/>
      <c r="AU63" s="51" t="b">
        <f>TABLA_AVANCE_METAS[[#This Row],[PROGRAMADO ANUAL]]=SUM(TABLA_AVANCE_METAS[[#This Row],[PROGR. 1° TRIM]],TABLA_AVANCE_METAS[[#This Row],[PROGR. 2° TRIM]],TABLA_AVANCE_METAS[[#This Row],[PROGR. 3° TRIM]],TABLA_AVANCE_METAS[[#This Row],[PROGR. 4° TRIM]])</f>
        <v>1</v>
      </c>
      <c r="AV63" s="52"/>
    </row>
    <row r="64" spans="1:48" ht="75" hidden="1" customHeight="1" x14ac:dyDescent="0.3">
      <c r="A64" s="31" t="str">
        <f>CONCATENATE(TABLA_AVANCE_METAS[[#This Row],[ESTRUCTURA]],TABLA_AVANCE_METAS[[#This Row],['#]])</f>
        <v>B0020901050206021</v>
      </c>
      <c r="B64" s="32" t="s">
        <v>213</v>
      </c>
      <c r="C64" s="33" t="s">
        <v>214</v>
      </c>
      <c r="D64" s="32" t="s">
        <v>215</v>
      </c>
      <c r="E64" s="32" t="s">
        <v>254</v>
      </c>
      <c r="F64" s="32" t="s">
        <v>255</v>
      </c>
      <c r="G64" s="34" t="s">
        <v>256</v>
      </c>
      <c r="H64" s="32" t="s">
        <v>140</v>
      </c>
      <c r="I64" s="32" t="s">
        <v>141</v>
      </c>
      <c r="J64" s="32" t="s">
        <v>257</v>
      </c>
      <c r="K64" s="32" t="s">
        <v>258</v>
      </c>
      <c r="L64" s="33">
        <v>1</v>
      </c>
      <c r="M64" s="35" t="s">
        <v>259</v>
      </c>
      <c r="N64" s="34" t="s">
        <v>240</v>
      </c>
      <c r="O64" s="36">
        <v>180</v>
      </c>
      <c r="P64" s="36">
        <v>60</v>
      </c>
      <c r="Q64" s="37">
        <v>54</v>
      </c>
      <c r="R64" s="38">
        <f>IFERROR((TABLA_AVANCE_METAS[[#This Row],[AVANCE 1°. TRIM]]/TABLA_AVANCE_METAS[[#This Row],[PROGR. 1° TRIM]])*100,"0")</f>
        <v>90</v>
      </c>
      <c r="S64"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64" s="36">
        <v>50</v>
      </c>
      <c r="U64" s="37">
        <v>40</v>
      </c>
      <c r="V64" s="40">
        <f t="shared" si="0"/>
        <v>80</v>
      </c>
      <c r="W64" s="39" t="str">
        <f t="shared" si="1"/>
        <v>REGULAR</v>
      </c>
      <c r="X64" s="36">
        <v>35</v>
      </c>
      <c r="Y64" s="37">
        <v>0</v>
      </c>
      <c r="Z64" s="40">
        <v>0</v>
      </c>
      <c r="AA64" s="39" t="s">
        <v>62</v>
      </c>
      <c r="AB64" s="36">
        <v>35</v>
      </c>
      <c r="AC64" s="41">
        <v>0</v>
      </c>
      <c r="AD64" s="40">
        <f>IFERROR((TABLA_AVANCE_METAS[[#This Row],[AVANCE 4°. TRIM]]/TABLA_AVANCE_METAS[[#This Row],[PROGR. 4° TRIM]])*100,"0")</f>
        <v>0</v>
      </c>
      <c r="AE64"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64" s="43" cm="1">
        <f t="array" ref="AF64">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110</v>
      </c>
      <c r="AG64" s="44" cm="1">
        <f t="array" ref="AG64">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94</v>
      </c>
      <c r="AH64" s="40">
        <f>IFERROR((TABLA_AVANCE_METAS[[#This Row],[AVANCE ACUM. TRIM.]]/TABLA_AVANCE_METAS[[#This Row],[PROG. ACUM]])*100,"N/A")</f>
        <v>85.454545454545453</v>
      </c>
      <c r="AI64"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REGULAR</v>
      </c>
      <c r="AJ64" s="45">
        <f>TABLA_AVANCE_METAS[[#This Row],[AVANCE ACUM. TRIM.]]-TABLA_AVANCE_METAS[[#This Row],[PROG. ACUM]]</f>
        <v>-16</v>
      </c>
      <c r="AK64" s="46">
        <f>IFERROR((TABLA_AVANCE_METAS[[#This Row],[DIFERENCIA ABSOLUTA SEMESTRAL]]/TABLA_AVANCE_METAS[[#This Row],[PROG. ACUM]])*100,"N/A")</f>
        <v>-14.545454545454545</v>
      </c>
      <c r="AL64" s="44">
        <f>TABLA_AVANCE_METAS[[#This Row],[AVANCE 1°. TRIM]]+TABLA_AVANCE_METAS[[#This Row],[AVANCE 2°. TRIM]]+TABLA_AVANCE_METAS[[#This Row],[AVANCE 3°. TRIM]]+TABLA_AVANCE_METAS[[#This Row],[AVANCE 4°. TRIM]]</f>
        <v>94</v>
      </c>
      <c r="AM64" s="40">
        <f>IFERROR((TABLA_AVANCE_METAS[[#This Row],[AVANCE ACUM. ANUAL]]/TABLA_AVANCE_METAS[[#This Row],[PROGRAMADO ANUAL]])*100,"N/A")</f>
        <v>52.222222222222229</v>
      </c>
      <c r="AN64"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64" s="45">
        <f>TABLA_AVANCE_METAS[[#This Row],[AVANCE ACUM. ANUAL]]-TABLA_AVANCE_METAS[[#This Row],[PROGRAMADO ANUAL]]</f>
        <v>-86</v>
      </c>
      <c r="AP64" s="47">
        <f>IFERROR((TABLA_AVANCE_METAS[[#This Row],[DIFERENCIA ABSOLUTA ANUAL]]/TABLA_AVANCE_METAS[[#This Row],[PROGRAMADO ANUAL]])*100,"N/A")</f>
        <v>-47.777777777777779</v>
      </c>
      <c r="AQ64" s="48" t="s">
        <v>63</v>
      </c>
      <c r="AR64" s="49"/>
      <c r="AS64" s="50"/>
      <c r="AT64" s="50"/>
      <c r="AU64" s="51" t="b">
        <f>TABLA_AVANCE_METAS[[#This Row],[PROGRAMADO ANUAL]]=SUM(TABLA_AVANCE_METAS[[#This Row],[PROGR. 1° TRIM]],TABLA_AVANCE_METAS[[#This Row],[PROGR. 2° TRIM]],TABLA_AVANCE_METAS[[#This Row],[PROGR. 3° TRIM]],TABLA_AVANCE_METAS[[#This Row],[PROGR. 4° TRIM]])</f>
        <v>1</v>
      </c>
      <c r="AV64" s="52"/>
    </row>
    <row r="65" spans="1:48" ht="75" hidden="1" customHeight="1" x14ac:dyDescent="0.3">
      <c r="A65" s="31" t="str">
        <f>CONCATENATE(TABLA_AVANCE_METAS[[#This Row],[ESTRUCTURA]],TABLA_AVANCE_METAS[[#This Row],['#]])</f>
        <v>B0020901050206022</v>
      </c>
      <c r="B65" s="32" t="s">
        <v>213</v>
      </c>
      <c r="C65" s="33" t="s">
        <v>214</v>
      </c>
      <c r="D65" s="32" t="s">
        <v>215</v>
      </c>
      <c r="E65" s="32" t="s">
        <v>254</v>
      </c>
      <c r="F65" s="32" t="s">
        <v>255</v>
      </c>
      <c r="G65" s="34" t="s">
        <v>256</v>
      </c>
      <c r="H65" s="32" t="s">
        <v>140</v>
      </c>
      <c r="I65" s="32" t="s">
        <v>141</v>
      </c>
      <c r="J65" s="32" t="s">
        <v>257</v>
      </c>
      <c r="K65" s="32" t="s">
        <v>258</v>
      </c>
      <c r="L65" s="33">
        <v>2</v>
      </c>
      <c r="M65" s="35" t="s">
        <v>260</v>
      </c>
      <c r="N65" s="34" t="s">
        <v>240</v>
      </c>
      <c r="O65" s="36">
        <v>320</v>
      </c>
      <c r="P65" s="36">
        <v>80</v>
      </c>
      <c r="Q65" s="37">
        <v>88</v>
      </c>
      <c r="R65" s="38">
        <f>IFERROR((TABLA_AVANCE_METAS[[#This Row],[AVANCE 1°. TRIM]]/TABLA_AVANCE_METAS[[#This Row],[PROGR. 1° TRIM]])*100,"0")</f>
        <v>110.00000000000001</v>
      </c>
      <c r="S65"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65" s="36">
        <v>80</v>
      </c>
      <c r="U65" s="37">
        <v>78</v>
      </c>
      <c r="V65" s="40">
        <f t="shared" si="0"/>
        <v>97.5</v>
      </c>
      <c r="W65" s="39" t="str">
        <f t="shared" si="1"/>
        <v>ADECUADO</v>
      </c>
      <c r="X65" s="36">
        <v>80</v>
      </c>
      <c r="Y65" s="37">
        <v>0</v>
      </c>
      <c r="Z65" s="40">
        <v>0</v>
      </c>
      <c r="AA65" s="39" t="s">
        <v>62</v>
      </c>
      <c r="AB65" s="36">
        <v>80</v>
      </c>
      <c r="AC65" s="41">
        <v>0</v>
      </c>
      <c r="AD65" s="40">
        <f>IFERROR((TABLA_AVANCE_METAS[[#This Row],[AVANCE 4°. TRIM]]/TABLA_AVANCE_METAS[[#This Row],[PROGR. 4° TRIM]])*100,"0")</f>
        <v>0</v>
      </c>
      <c r="AE65"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65" s="43" cm="1">
        <f t="array" ref="AF65">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160</v>
      </c>
      <c r="AG65" s="44" cm="1">
        <f t="array" ref="AG65">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166</v>
      </c>
      <c r="AH65" s="40">
        <f>IFERROR((TABLA_AVANCE_METAS[[#This Row],[AVANCE ACUM. TRIM.]]/TABLA_AVANCE_METAS[[#This Row],[PROG. ACUM]])*100,"N/A")</f>
        <v>103.75000000000001</v>
      </c>
      <c r="AI65"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65" s="45">
        <f>TABLA_AVANCE_METAS[[#This Row],[AVANCE ACUM. TRIM.]]-TABLA_AVANCE_METAS[[#This Row],[PROG. ACUM]]</f>
        <v>6</v>
      </c>
      <c r="AK65" s="46">
        <f>IFERROR((TABLA_AVANCE_METAS[[#This Row],[DIFERENCIA ABSOLUTA SEMESTRAL]]/TABLA_AVANCE_METAS[[#This Row],[PROG. ACUM]])*100,"N/A")</f>
        <v>3.75</v>
      </c>
      <c r="AL65" s="44">
        <f>TABLA_AVANCE_METAS[[#This Row],[AVANCE 1°. TRIM]]+TABLA_AVANCE_METAS[[#This Row],[AVANCE 2°. TRIM]]+TABLA_AVANCE_METAS[[#This Row],[AVANCE 3°. TRIM]]+TABLA_AVANCE_METAS[[#This Row],[AVANCE 4°. TRIM]]</f>
        <v>166</v>
      </c>
      <c r="AM65" s="40">
        <f>IFERROR((TABLA_AVANCE_METAS[[#This Row],[AVANCE ACUM. ANUAL]]/TABLA_AVANCE_METAS[[#This Row],[PROGRAMADO ANUAL]])*100,"N/A")</f>
        <v>51.875000000000007</v>
      </c>
      <c r="AN65"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65" s="45">
        <f>TABLA_AVANCE_METAS[[#This Row],[AVANCE ACUM. ANUAL]]-TABLA_AVANCE_METAS[[#This Row],[PROGRAMADO ANUAL]]</f>
        <v>-154</v>
      </c>
      <c r="AP65" s="47">
        <f>IFERROR((TABLA_AVANCE_METAS[[#This Row],[DIFERENCIA ABSOLUTA ANUAL]]/TABLA_AVANCE_METAS[[#This Row],[PROGRAMADO ANUAL]])*100,"N/A")</f>
        <v>-48.125</v>
      </c>
      <c r="AQ65" s="48" t="s">
        <v>63</v>
      </c>
      <c r="AR65" s="49"/>
      <c r="AS65" s="50"/>
      <c r="AT65" s="50"/>
      <c r="AU65" s="51" t="b">
        <f>TABLA_AVANCE_METAS[[#This Row],[PROGRAMADO ANUAL]]=SUM(TABLA_AVANCE_METAS[[#This Row],[PROGR. 1° TRIM]],TABLA_AVANCE_METAS[[#This Row],[PROGR. 2° TRIM]],TABLA_AVANCE_METAS[[#This Row],[PROGR. 3° TRIM]],TABLA_AVANCE_METAS[[#This Row],[PROGR. 4° TRIM]])</f>
        <v>1</v>
      </c>
      <c r="AV65" s="52"/>
    </row>
    <row r="66" spans="1:48" ht="75" hidden="1" customHeight="1" x14ac:dyDescent="0.3">
      <c r="A66" s="31" t="str">
        <f>CONCATENATE(TABLA_AVANCE_METAS[[#This Row],[ESTRUCTURA]],TABLA_AVANCE_METAS[[#This Row],['#]])</f>
        <v>B0020901050206023</v>
      </c>
      <c r="B66" s="32" t="s">
        <v>213</v>
      </c>
      <c r="C66" s="33" t="s">
        <v>214</v>
      </c>
      <c r="D66" s="32" t="s">
        <v>215</v>
      </c>
      <c r="E66" s="32" t="s">
        <v>254</v>
      </c>
      <c r="F66" s="32" t="s">
        <v>255</v>
      </c>
      <c r="G66" s="34" t="s">
        <v>256</v>
      </c>
      <c r="H66" s="32" t="s">
        <v>140</v>
      </c>
      <c r="I66" s="32" t="s">
        <v>141</v>
      </c>
      <c r="J66" s="32" t="s">
        <v>257</v>
      </c>
      <c r="K66" s="32" t="s">
        <v>258</v>
      </c>
      <c r="L66" s="33">
        <v>3</v>
      </c>
      <c r="M66" s="35" t="s">
        <v>261</v>
      </c>
      <c r="N66" s="34" t="s">
        <v>262</v>
      </c>
      <c r="O66" s="36">
        <v>65</v>
      </c>
      <c r="P66" s="36">
        <v>5</v>
      </c>
      <c r="Q66" s="37">
        <v>5</v>
      </c>
      <c r="R66" s="38">
        <f>IFERROR((TABLA_AVANCE_METAS[[#This Row],[AVANCE 1°. TRIM]]/TABLA_AVANCE_METAS[[#This Row],[PROGR. 1° TRIM]])*100,"0")</f>
        <v>100</v>
      </c>
      <c r="S66"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66" s="36">
        <v>10</v>
      </c>
      <c r="U66" s="37">
        <v>10</v>
      </c>
      <c r="V66" s="40">
        <f t="shared" si="0"/>
        <v>100</v>
      </c>
      <c r="W66" s="39" t="str">
        <f t="shared" si="1"/>
        <v>ADECUADO</v>
      </c>
      <c r="X66" s="36">
        <v>40</v>
      </c>
      <c r="Y66" s="37">
        <v>0</v>
      </c>
      <c r="Z66" s="40">
        <v>0</v>
      </c>
      <c r="AA66" s="39" t="s">
        <v>62</v>
      </c>
      <c r="AB66" s="36">
        <v>10</v>
      </c>
      <c r="AC66" s="41">
        <v>0</v>
      </c>
      <c r="AD66" s="40">
        <f>IFERROR((TABLA_AVANCE_METAS[[#This Row],[AVANCE 4°. TRIM]]/TABLA_AVANCE_METAS[[#This Row],[PROGR. 4° TRIM]])*100,"0")</f>
        <v>0</v>
      </c>
      <c r="AE66"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66" s="43" cm="1">
        <f t="array" ref="AF66">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15</v>
      </c>
      <c r="AG66" s="44" cm="1">
        <f t="array" ref="AG66">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15</v>
      </c>
      <c r="AH66" s="40">
        <f>IFERROR((TABLA_AVANCE_METAS[[#This Row],[AVANCE ACUM. TRIM.]]/TABLA_AVANCE_METAS[[#This Row],[PROG. ACUM]])*100,"N/A")</f>
        <v>100</v>
      </c>
      <c r="AI66"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66" s="45">
        <f>TABLA_AVANCE_METAS[[#This Row],[AVANCE ACUM. TRIM.]]-TABLA_AVANCE_METAS[[#This Row],[PROG. ACUM]]</f>
        <v>0</v>
      </c>
      <c r="AK66" s="46">
        <f>IFERROR((TABLA_AVANCE_METAS[[#This Row],[DIFERENCIA ABSOLUTA SEMESTRAL]]/TABLA_AVANCE_METAS[[#This Row],[PROG. ACUM]])*100,"N/A")</f>
        <v>0</v>
      </c>
      <c r="AL66" s="44">
        <f>TABLA_AVANCE_METAS[[#This Row],[AVANCE 1°. TRIM]]+TABLA_AVANCE_METAS[[#This Row],[AVANCE 2°. TRIM]]+TABLA_AVANCE_METAS[[#This Row],[AVANCE 3°. TRIM]]+TABLA_AVANCE_METAS[[#This Row],[AVANCE 4°. TRIM]]</f>
        <v>15</v>
      </c>
      <c r="AM66" s="40">
        <f>IFERROR((TABLA_AVANCE_METAS[[#This Row],[AVANCE ACUM. ANUAL]]/TABLA_AVANCE_METAS[[#This Row],[PROGRAMADO ANUAL]])*100,"N/A")</f>
        <v>23.076923076923077</v>
      </c>
      <c r="AN66"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66" s="45">
        <f>TABLA_AVANCE_METAS[[#This Row],[AVANCE ACUM. ANUAL]]-TABLA_AVANCE_METAS[[#This Row],[PROGRAMADO ANUAL]]</f>
        <v>-50</v>
      </c>
      <c r="AP66" s="47">
        <f>IFERROR((TABLA_AVANCE_METAS[[#This Row],[DIFERENCIA ABSOLUTA ANUAL]]/TABLA_AVANCE_METAS[[#This Row],[PROGRAMADO ANUAL]])*100,"N/A")</f>
        <v>-76.923076923076934</v>
      </c>
      <c r="AQ66" s="48" t="s">
        <v>63</v>
      </c>
      <c r="AR66" s="49"/>
      <c r="AS66" s="50"/>
      <c r="AT66" s="50"/>
      <c r="AU66" s="51" t="b">
        <f>TABLA_AVANCE_METAS[[#This Row],[PROGRAMADO ANUAL]]=SUM(TABLA_AVANCE_METAS[[#This Row],[PROGR. 1° TRIM]],TABLA_AVANCE_METAS[[#This Row],[PROGR. 2° TRIM]],TABLA_AVANCE_METAS[[#This Row],[PROGR. 3° TRIM]],TABLA_AVANCE_METAS[[#This Row],[PROGR. 4° TRIM]])</f>
        <v>1</v>
      </c>
      <c r="AV66" s="52"/>
    </row>
    <row r="67" spans="1:48" ht="75" hidden="1" customHeight="1" x14ac:dyDescent="0.3">
      <c r="A67" s="31" t="str">
        <f>CONCATENATE(TABLA_AVANCE_METAS[[#This Row],[ESTRUCTURA]],TABLA_AVANCE_METAS[[#This Row],['#]])</f>
        <v>B0020901050206024</v>
      </c>
      <c r="B67" s="32" t="s">
        <v>213</v>
      </c>
      <c r="C67" s="33" t="s">
        <v>214</v>
      </c>
      <c r="D67" s="32" t="s">
        <v>215</v>
      </c>
      <c r="E67" s="32" t="s">
        <v>254</v>
      </c>
      <c r="F67" s="32" t="s">
        <v>255</v>
      </c>
      <c r="G67" s="34" t="s">
        <v>256</v>
      </c>
      <c r="H67" s="32" t="s">
        <v>140</v>
      </c>
      <c r="I67" s="32" t="s">
        <v>141</v>
      </c>
      <c r="J67" s="32" t="s">
        <v>257</v>
      </c>
      <c r="K67" s="32" t="s">
        <v>258</v>
      </c>
      <c r="L67" s="33">
        <v>4</v>
      </c>
      <c r="M67" s="35" t="s">
        <v>263</v>
      </c>
      <c r="N67" s="34" t="s">
        <v>264</v>
      </c>
      <c r="O67" s="36">
        <v>1</v>
      </c>
      <c r="P67" s="36">
        <v>1</v>
      </c>
      <c r="Q67" s="37">
        <v>1</v>
      </c>
      <c r="R67" s="38">
        <f>IFERROR((TABLA_AVANCE_METAS[[#This Row],[AVANCE 1°. TRIM]]/TABLA_AVANCE_METAS[[#This Row],[PROGR. 1° TRIM]])*100,"0")</f>
        <v>100</v>
      </c>
      <c r="S67"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67" s="36">
        <v>0</v>
      </c>
      <c r="U67" s="37">
        <v>0</v>
      </c>
      <c r="V67" s="40" t="str">
        <f t="shared" si="0"/>
        <v>0</v>
      </c>
      <c r="W67" s="39" t="str">
        <f t="shared" si="1"/>
        <v>NO PROG.</v>
      </c>
      <c r="X67" s="36">
        <v>0</v>
      </c>
      <c r="Y67" s="37">
        <v>0</v>
      </c>
      <c r="Z67" s="40" t="s">
        <v>72</v>
      </c>
      <c r="AA67" s="39" t="s">
        <v>73</v>
      </c>
      <c r="AB67" s="36">
        <v>0</v>
      </c>
      <c r="AC67" s="41">
        <v>0</v>
      </c>
      <c r="AD67" s="40" t="str">
        <f>IFERROR((TABLA_AVANCE_METAS[[#This Row],[AVANCE 4°. TRIM]]/TABLA_AVANCE_METAS[[#This Row],[PROGR. 4° TRIM]])*100,"0")</f>
        <v>0</v>
      </c>
      <c r="AE67"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NO PROG.</v>
      </c>
      <c r="AF67" s="43" cm="1">
        <f t="array" ref="AF67">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v>
      </c>
      <c r="AG67" s="44" cm="1">
        <f t="array" ref="AG67">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1</v>
      </c>
      <c r="AH67" s="40">
        <f>IFERROR((TABLA_AVANCE_METAS[[#This Row],[AVANCE ACUM. TRIM.]]/TABLA_AVANCE_METAS[[#This Row],[PROG. ACUM]])*100,"N/A")</f>
        <v>100</v>
      </c>
      <c r="AI67"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67" s="45">
        <f>TABLA_AVANCE_METAS[[#This Row],[AVANCE ACUM. TRIM.]]-TABLA_AVANCE_METAS[[#This Row],[PROG. ACUM]]</f>
        <v>0</v>
      </c>
      <c r="AK67" s="46">
        <f>IFERROR((TABLA_AVANCE_METAS[[#This Row],[DIFERENCIA ABSOLUTA SEMESTRAL]]/TABLA_AVANCE_METAS[[#This Row],[PROG. ACUM]])*100,"N/A")</f>
        <v>0</v>
      </c>
      <c r="AL67" s="44">
        <f>TABLA_AVANCE_METAS[[#This Row],[AVANCE 1°. TRIM]]+TABLA_AVANCE_METAS[[#This Row],[AVANCE 2°. TRIM]]+TABLA_AVANCE_METAS[[#This Row],[AVANCE 3°. TRIM]]+TABLA_AVANCE_METAS[[#This Row],[AVANCE 4°. TRIM]]</f>
        <v>1</v>
      </c>
      <c r="AM67" s="40">
        <f>IFERROR((TABLA_AVANCE_METAS[[#This Row],[AVANCE ACUM. ANUAL]]/TABLA_AVANCE_METAS[[#This Row],[PROGRAMADO ANUAL]])*100,"N/A")</f>
        <v>100</v>
      </c>
      <c r="AN67"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ADECUADO</v>
      </c>
      <c r="AO67" s="45">
        <f>TABLA_AVANCE_METAS[[#This Row],[AVANCE ACUM. ANUAL]]-TABLA_AVANCE_METAS[[#This Row],[PROGRAMADO ANUAL]]</f>
        <v>0</v>
      </c>
      <c r="AP67" s="47">
        <f>IFERROR((TABLA_AVANCE_METAS[[#This Row],[DIFERENCIA ABSOLUTA ANUAL]]/TABLA_AVANCE_METAS[[#This Row],[PROGRAMADO ANUAL]])*100,"N/A")</f>
        <v>0</v>
      </c>
      <c r="AQ67" s="48" t="s">
        <v>63</v>
      </c>
      <c r="AR67" s="49"/>
      <c r="AS67" s="50"/>
      <c r="AT67" s="50"/>
      <c r="AU67" s="51" t="b">
        <f>TABLA_AVANCE_METAS[[#This Row],[PROGRAMADO ANUAL]]=SUM(TABLA_AVANCE_METAS[[#This Row],[PROGR. 1° TRIM]],TABLA_AVANCE_METAS[[#This Row],[PROGR. 2° TRIM]],TABLA_AVANCE_METAS[[#This Row],[PROGR. 3° TRIM]],TABLA_AVANCE_METAS[[#This Row],[PROGR. 4° TRIM]])</f>
        <v>1</v>
      </c>
      <c r="AV67" s="52"/>
    </row>
    <row r="68" spans="1:48" ht="75" hidden="1" customHeight="1" x14ac:dyDescent="0.3">
      <c r="A68" s="31" t="str">
        <f>CONCATENATE(TABLA_AVANCE_METAS[[#This Row],[ESTRUCTURA]],TABLA_AVANCE_METAS[[#This Row],['#]])</f>
        <v>B0020901050206025</v>
      </c>
      <c r="B68" s="32" t="s">
        <v>213</v>
      </c>
      <c r="C68" s="33" t="s">
        <v>214</v>
      </c>
      <c r="D68" s="32" t="s">
        <v>215</v>
      </c>
      <c r="E68" s="32" t="s">
        <v>254</v>
      </c>
      <c r="F68" s="32" t="s">
        <v>255</v>
      </c>
      <c r="G68" s="34" t="s">
        <v>256</v>
      </c>
      <c r="H68" s="32" t="s">
        <v>140</v>
      </c>
      <c r="I68" s="32" t="s">
        <v>141</v>
      </c>
      <c r="J68" s="32" t="s">
        <v>257</v>
      </c>
      <c r="K68" s="32" t="s">
        <v>258</v>
      </c>
      <c r="L68" s="33">
        <v>5</v>
      </c>
      <c r="M68" s="35" t="s">
        <v>265</v>
      </c>
      <c r="N68" s="34" t="s">
        <v>266</v>
      </c>
      <c r="O68" s="36">
        <v>1</v>
      </c>
      <c r="P68" s="36">
        <v>0</v>
      </c>
      <c r="Q68" s="37">
        <v>0</v>
      </c>
      <c r="R68" s="38" t="str">
        <f>IFERROR((TABLA_AVANCE_METAS[[#This Row],[AVANCE 1°. TRIM]]/TABLA_AVANCE_METAS[[#This Row],[PROGR. 1° TRIM]])*100,"0")</f>
        <v>0</v>
      </c>
      <c r="S68"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NO PROG.</v>
      </c>
      <c r="T68" s="36">
        <v>0</v>
      </c>
      <c r="U68" s="37">
        <v>0</v>
      </c>
      <c r="V68" s="40" t="str">
        <f t="shared" si="0"/>
        <v>0</v>
      </c>
      <c r="W68" s="39" t="str">
        <f t="shared" si="1"/>
        <v>NO PROG.</v>
      </c>
      <c r="X68" s="36">
        <v>0</v>
      </c>
      <c r="Y68" s="37">
        <v>0</v>
      </c>
      <c r="Z68" s="40" t="s">
        <v>72</v>
      </c>
      <c r="AA68" s="39" t="s">
        <v>73</v>
      </c>
      <c r="AB68" s="36">
        <v>1</v>
      </c>
      <c r="AC68" s="41">
        <v>0</v>
      </c>
      <c r="AD68" s="40">
        <f>IFERROR((TABLA_AVANCE_METAS[[#This Row],[AVANCE 4°. TRIM]]/TABLA_AVANCE_METAS[[#This Row],[PROGR. 4° TRIM]])*100,"0")</f>
        <v>0</v>
      </c>
      <c r="AE68"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68" s="43" cm="1">
        <f t="array" ref="AF68">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0</v>
      </c>
      <c r="AG68" s="44" cm="1">
        <f t="array" ref="AG68">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0</v>
      </c>
      <c r="AH68" s="40" t="str">
        <f>IFERROR((TABLA_AVANCE_METAS[[#This Row],[AVANCE ACUM. TRIM.]]/TABLA_AVANCE_METAS[[#This Row],[PROG. ACUM]])*100,"N/A")</f>
        <v>N/A</v>
      </c>
      <c r="AI68"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NO PROG.</v>
      </c>
      <c r="AJ68" s="45">
        <f>TABLA_AVANCE_METAS[[#This Row],[AVANCE ACUM. TRIM.]]-TABLA_AVANCE_METAS[[#This Row],[PROG. ACUM]]</f>
        <v>0</v>
      </c>
      <c r="AK68" s="46" t="str">
        <f>IFERROR((TABLA_AVANCE_METAS[[#This Row],[DIFERENCIA ABSOLUTA SEMESTRAL]]/TABLA_AVANCE_METAS[[#This Row],[PROG. ACUM]])*100,"N/A")</f>
        <v>N/A</v>
      </c>
      <c r="AL68" s="44">
        <f>TABLA_AVANCE_METAS[[#This Row],[AVANCE 1°. TRIM]]+TABLA_AVANCE_METAS[[#This Row],[AVANCE 2°. TRIM]]+TABLA_AVANCE_METAS[[#This Row],[AVANCE 3°. TRIM]]+TABLA_AVANCE_METAS[[#This Row],[AVANCE 4°. TRIM]]</f>
        <v>0</v>
      </c>
      <c r="AM68" s="40">
        <f>IFERROR((TABLA_AVANCE_METAS[[#This Row],[AVANCE ACUM. ANUAL]]/TABLA_AVANCE_METAS[[#This Row],[PROGRAMADO ANUAL]])*100,"N/A")</f>
        <v>0</v>
      </c>
      <c r="AN68"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68" s="45">
        <f>TABLA_AVANCE_METAS[[#This Row],[AVANCE ACUM. ANUAL]]-TABLA_AVANCE_METAS[[#This Row],[PROGRAMADO ANUAL]]</f>
        <v>-1</v>
      </c>
      <c r="AP68" s="47">
        <f>IFERROR((TABLA_AVANCE_METAS[[#This Row],[DIFERENCIA ABSOLUTA ANUAL]]/TABLA_AVANCE_METAS[[#This Row],[PROGRAMADO ANUAL]])*100,"N/A")</f>
        <v>-100</v>
      </c>
      <c r="AQ68" s="48" t="s">
        <v>63</v>
      </c>
      <c r="AR68" s="49"/>
      <c r="AS68" s="50"/>
      <c r="AT68" s="50"/>
      <c r="AU68" s="51" t="b">
        <f>TABLA_AVANCE_METAS[[#This Row],[PROGRAMADO ANUAL]]=SUM(TABLA_AVANCE_METAS[[#This Row],[PROGR. 1° TRIM]],TABLA_AVANCE_METAS[[#This Row],[PROGR. 2° TRIM]],TABLA_AVANCE_METAS[[#This Row],[PROGR. 3° TRIM]],TABLA_AVANCE_METAS[[#This Row],[PROGR. 4° TRIM]])</f>
        <v>1</v>
      </c>
      <c r="AV68" s="52"/>
    </row>
    <row r="69" spans="1:48" ht="75" hidden="1" customHeight="1" x14ac:dyDescent="0.3">
      <c r="A69" s="31" t="str">
        <f>CONCATENATE(TABLA_AVANCE_METAS[[#This Row],[ESTRUCTURA]],TABLA_AVANCE_METAS[[#This Row],['#]])</f>
        <v>B0020901050206026</v>
      </c>
      <c r="B69" s="32" t="s">
        <v>213</v>
      </c>
      <c r="C69" s="33" t="s">
        <v>214</v>
      </c>
      <c r="D69" s="32" t="s">
        <v>215</v>
      </c>
      <c r="E69" s="32" t="s">
        <v>254</v>
      </c>
      <c r="F69" s="32" t="s">
        <v>255</v>
      </c>
      <c r="G69" s="34" t="s">
        <v>256</v>
      </c>
      <c r="H69" s="32" t="s">
        <v>140</v>
      </c>
      <c r="I69" s="32" t="s">
        <v>141</v>
      </c>
      <c r="J69" s="32" t="s">
        <v>257</v>
      </c>
      <c r="K69" s="32" t="s">
        <v>258</v>
      </c>
      <c r="L69" s="33">
        <v>6</v>
      </c>
      <c r="M69" s="35" t="s">
        <v>267</v>
      </c>
      <c r="N69" s="34" t="s">
        <v>268</v>
      </c>
      <c r="O69" s="36">
        <v>180</v>
      </c>
      <c r="P69" s="36">
        <v>50</v>
      </c>
      <c r="Q69" s="37">
        <v>32</v>
      </c>
      <c r="R69" s="38">
        <f>IFERROR((TABLA_AVANCE_METAS[[#This Row],[AVANCE 1°. TRIM]]/TABLA_AVANCE_METAS[[#This Row],[PROGR. 1° TRIM]])*100,"0")</f>
        <v>64</v>
      </c>
      <c r="S69"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DEFICIENTE</v>
      </c>
      <c r="T69" s="36">
        <v>40</v>
      </c>
      <c r="U69" s="37">
        <v>43</v>
      </c>
      <c r="V69" s="40">
        <f t="shared" ref="V69:V132" si="2">IFERROR((U69/T69)*100,"0")</f>
        <v>107.5</v>
      </c>
      <c r="W69" s="39" t="str">
        <f t="shared" ref="W69:W127" si="3">IF(AND(V69&gt;=0,V69&lt;=49.9999999999999),"CRÍTICO",IF(AND(V69&gt;=50,V69&lt;=69.9999999999999),"DEFICIENTE",IF(AND(V69&gt;=70,V69&lt;=89.9999999999999),"REGULAR",IF(AND(V69&gt;=90,V69&lt;=110.999999999999),"ADECUADO",IF(AND(V69&gt;=111,V69&lt;=999999),"SOBREPASADO","NO PROG.")))))</f>
        <v>ADECUADO</v>
      </c>
      <c r="X69" s="36">
        <v>40</v>
      </c>
      <c r="Y69" s="37">
        <v>0</v>
      </c>
      <c r="Z69" s="40">
        <v>0</v>
      </c>
      <c r="AA69" s="39" t="s">
        <v>62</v>
      </c>
      <c r="AB69" s="36">
        <v>50</v>
      </c>
      <c r="AC69" s="41">
        <v>0</v>
      </c>
      <c r="AD69" s="40">
        <f>IFERROR((TABLA_AVANCE_METAS[[#This Row],[AVANCE 4°. TRIM]]/TABLA_AVANCE_METAS[[#This Row],[PROGR. 4° TRIM]])*100,"0")</f>
        <v>0</v>
      </c>
      <c r="AE69"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69" s="43" cm="1">
        <f t="array" ref="AF69">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90</v>
      </c>
      <c r="AG69" s="44" cm="1">
        <f t="array" ref="AG69">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75</v>
      </c>
      <c r="AH69" s="40">
        <f>IFERROR((TABLA_AVANCE_METAS[[#This Row],[AVANCE ACUM. TRIM.]]/TABLA_AVANCE_METAS[[#This Row],[PROG. ACUM]])*100,"N/A")</f>
        <v>83.333333333333343</v>
      </c>
      <c r="AI69"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REGULAR</v>
      </c>
      <c r="AJ69" s="45">
        <f>TABLA_AVANCE_METAS[[#This Row],[AVANCE ACUM. TRIM.]]-TABLA_AVANCE_METAS[[#This Row],[PROG. ACUM]]</f>
        <v>-15</v>
      </c>
      <c r="AK69" s="46">
        <f>IFERROR((TABLA_AVANCE_METAS[[#This Row],[DIFERENCIA ABSOLUTA SEMESTRAL]]/TABLA_AVANCE_METAS[[#This Row],[PROG. ACUM]])*100,"N/A")</f>
        <v>-16.666666666666664</v>
      </c>
      <c r="AL69" s="44">
        <f>TABLA_AVANCE_METAS[[#This Row],[AVANCE 1°. TRIM]]+TABLA_AVANCE_METAS[[#This Row],[AVANCE 2°. TRIM]]+TABLA_AVANCE_METAS[[#This Row],[AVANCE 3°. TRIM]]+TABLA_AVANCE_METAS[[#This Row],[AVANCE 4°. TRIM]]</f>
        <v>75</v>
      </c>
      <c r="AM69" s="40">
        <f>IFERROR((TABLA_AVANCE_METAS[[#This Row],[AVANCE ACUM. ANUAL]]/TABLA_AVANCE_METAS[[#This Row],[PROGRAMADO ANUAL]])*100,"N/A")</f>
        <v>41.666666666666671</v>
      </c>
      <c r="AN69"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69" s="45">
        <f>TABLA_AVANCE_METAS[[#This Row],[AVANCE ACUM. ANUAL]]-TABLA_AVANCE_METAS[[#This Row],[PROGRAMADO ANUAL]]</f>
        <v>-105</v>
      </c>
      <c r="AP69" s="47">
        <f>IFERROR((TABLA_AVANCE_METAS[[#This Row],[DIFERENCIA ABSOLUTA ANUAL]]/TABLA_AVANCE_METAS[[#This Row],[PROGRAMADO ANUAL]])*100,"N/A")</f>
        <v>-58.333333333333336</v>
      </c>
      <c r="AQ69" s="48" t="s">
        <v>269</v>
      </c>
      <c r="AR69" s="49"/>
      <c r="AS69" s="50"/>
      <c r="AT69" s="50"/>
      <c r="AU69" s="51" t="b">
        <f>TABLA_AVANCE_METAS[[#This Row],[PROGRAMADO ANUAL]]=SUM(TABLA_AVANCE_METAS[[#This Row],[PROGR. 1° TRIM]],TABLA_AVANCE_METAS[[#This Row],[PROGR. 2° TRIM]],TABLA_AVANCE_METAS[[#This Row],[PROGR. 3° TRIM]],TABLA_AVANCE_METAS[[#This Row],[PROGR. 4° TRIM]])</f>
        <v>1</v>
      </c>
      <c r="AV69" s="52"/>
    </row>
    <row r="70" spans="1:48" ht="75" hidden="1" customHeight="1" x14ac:dyDescent="0.3">
      <c r="A70" s="31" t="str">
        <f>CONCATENATE(TABLA_AVANCE_METAS[[#This Row],[ESTRUCTURA]],TABLA_AVANCE_METAS[[#This Row],['#]])</f>
        <v>B0020901050206027</v>
      </c>
      <c r="B70" s="32" t="s">
        <v>213</v>
      </c>
      <c r="C70" s="33" t="s">
        <v>214</v>
      </c>
      <c r="D70" s="32" t="s">
        <v>215</v>
      </c>
      <c r="E70" s="32" t="s">
        <v>254</v>
      </c>
      <c r="F70" s="32" t="s">
        <v>255</v>
      </c>
      <c r="G70" s="34" t="s">
        <v>256</v>
      </c>
      <c r="H70" s="32" t="s">
        <v>140</v>
      </c>
      <c r="I70" s="32" t="s">
        <v>141</v>
      </c>
      <c r="J70" s="32" t="s">
        <v>257</v>
      </c>
      <c r="K70" s="32" t="s">
        <v>258</v>
      </c>
      <c r="L70" s="33">
        <v>7</v>
      </c>
      <c r="M70" s="35" t="s">
        <v>270</v>
      </c>
      <c r="N70" s="34" t="s">
        <v>271</v>
      </c>
      <c r="O70" s="36">
        <v>180</v>
      </c>
      <c r="P70" s="36">
        <v>50</v>
      </c>
      <c r="Q70" s="37">
        <v>26</v>
      </c>
      <c r="R70" s="38">
        <f>IFERROR((TABLA_AVANCE_METAS[[#This Row],[AVANCE 1°. TRIM]]/TABLA_AVANCE_METAS[[#This Row],[PROGR. 1° TRIM]])*100,"0")</f>
        <v>52</v>
      </c>
      <c r="S70"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DEFICIENTE</v>
      </c>
      <c r="T70" s="36">
        <v>40</v>
      </c>
      <c r="U70" s="37">
        <v>38</v>
      </c>
      <c r="V70" s="40">
        <f t="shared" si="2"/>
        <v>95</v>
      </c>
      <c r="W70" s="39" t="str">
        <f t="shared" si="3"/>
        <v>ADECUADO</v>
      </c>
      <c r="X70" s="36">
        <v>40</v>
      </c>
      <c r="Y70" s="37">
        <v>0</v>
      </c>
      <c r="Z70" s="40">
        <v>0</v>
      </c>
      <c r="AA70" s="39" t="s">
        <v>62</v>
      </c>
      <c r="AB70" s="36">
        <v>50</v>
      </c>
      <c r="AC70" s="41">
        <v>0</v>
      </c>
      <c r="AD70" s="40">
        <f>IFERROR((TABLA_AVANCE_METAS[[#This Row],[AVANCE 4°. TRIM]]/TABLA_AVANCE_METAS[[#This Row],[PROGR. 4° TRIM]])*100,"0")</f>
        <v>0</v>
      </c>
      <c r="AE70"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70" s="43" cm="1">
        <f t="array" ref="AF70">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90</v>
      </c>
      <c r="AG70" s="44" cm="1">
        <f t="array" ref="AG70">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64</v>
      </c>
      <c r="AH70" s="40">
        <f>IFERROR((TABLA_AVANCE_METAS[[#This Row],[AVANCE ACUM. TRIM.]]/TABLA_AVANCE_METAS[[#This Row],[PROG. ACUM]])*100,"N/A")</f>
        <v>71.111111111111114</v>
      </c>
      <c r="AI70"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REGULAR</v>
      </c>
      <c r="AJ70" s="45">
        <f>TABLA_AVANCE_METAS[[#This Row],[AVANCE ACUM. TRIM.]]-TABLA_AVANCE_METAS[[#This Row],[PROG. ACUM]]</f>
        <v>-26</v>
      </c>
      <c r="AK70" s="46">
        <f>IFERROR((TABLA_AVANCE_METAS[[#This Row],[DIFERENCIA ABSOLUTA SEMESTRAL]]/TABLA_AVANCE_METAS[[#This Row],[PROG. ACUM]])*100,"N/A")</f>
        <v>-28.888888888888886</v>
      </c>
      <c r="AL70" s="44">
        <f>TABLA_AVANCE_METAS[[#This Row],[AVANCE 1°. TRIM]]+TABLA_AVANCE_METAS[[#This Row],[AVANCE 2°. TRIM]]+TABLA_AVANCE_METAS[[#This Row],[AVANCE 3°. TRIM]]+TABLA_AVANCE_METAS[[#This Row],[AVANCE 4°. TRIM]]</f>
        <v>64</v>
      </c>
      <c r="AM70" s="40">
        <f>IFERROR((TABLA_AVANCE_METAS[[#This Row],[AVANCE ACUM. ANUAL]]/TABLA_AVANCE_METAS[[#This Row],[PROGRAMADO ANUAL]])*100,"N/A")</f>
        <v>35.555555555555557</v>
      </c>
      <c r="AN70"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70" s="45">
        <f>TABLA_AVANCE_METAS[[#This Row],[AVANCE ACUM. ANUAL]]-TABLA_AVANCE_METAS[[#This Row],[PROGRAMADO ANUAL]]</f>
        <v>-116</v>
      </c>
      <c r="AP70" s="47">
        <f>IFERROR((TABLA_AVANCE_METAS[[#This Row],[DIFERENCIA ABSOLUTA ANUAL]]/TABLA_AVANCE_METAS[[#This Row],[PROGRAMADO ANUAL]])*100,"N/A")</f>
        <v>-64.444444444444443</v>
      </c>
      <c r="AQ70" s="48" t="s">
        <v>272</v>
      </c>
      <c r="AR70" s="49"/>
      <c r="AS70" s="50"/>
      <c r="AT70" s="50"/>
      <c r="AU70" s="51" t="b">
        <f>TABLA_AVANCE_METAS[[#This Row],[PROGRAMADO ANUAL]]=SUM(TABLA_AVANCE_METAS[[#This Row],[PROGR. 1° TRIM]],TABLA_AVANCE_METAS[[#This Row],[PROGR. 2° TRIM]],TABLA_AVANCE_METAS[[#This Row],[PROGR. 3° TRIM]],TABLA_AVANCE_METAS[[#This Row],[PROGR. 4° TRIM]])</f>
        <v>1</v>
      </c>
      <c r="AV70" s="52"/>
    </row>
    <row r="71" spans="1:48" ht="75" hidden="1" customHeight="1" x14ac:dyDescent="0.3">
      <c r="A71" s="31" t="str">
        <f>CONCATENATE(TABLA_AVANCE_METAS[[#This Row],[ESTRUCTURA]],TABLA_AVANCE_METAS[[#This Row],['#]])</f>
        <v>B0020901050206028</v>
      </c>
      <c r="B71" s="32" t="s">
        <v>213</v>
      </c>
      <c r="C71" s="33" t="s">
        <v>214</v>
      </c>
      <c r="D71" s="32" t="s">
        <v>215</v>
      </c>
      <c r="E71" s="32" t="s">
        <v>254</v>
      </c>
      <c r="F71" s="32" t="s">
        <v>255</v>
      </c>
      <c r="G71" s="34" t="s">
        <v>256</v>
      </c>
      <c r="H71" s="32" t="s">
        <v>140</v>
      </c>
      <c r="I71" s="32" t="s">
        <v>141</v>
      </c>
      <c r="J71" s="32" t="s">
        <v>257</v>
      </c>
      <c r="K71" s="32" t="s">
        <v>258</v>
      </c>
      <c r="L71" s="33">
        <v>8</v>
      </c>
      <c r="M71" s="35" t="s">
        <v>273</v>
      </c>
      <c r="N71" s="34" t="s">
        <v>124</v>
      </c>
      <c r="O71" s="36">
        <v>27</v>
      </c>
      <c r="P71" s="36">
        <v>7</v>
      </c>
      <c r="Q71" s="37">
        <v>7</v>
      </c>
      <c r="R71" s="38">
        <f>IFERROR((TABLA_AVANCE_METAS[[#This Row],[AVANCE 1°. TRIM]]/TABLA_AVANCE_METAS[[#This Row],[PROGR. 1° TRIM]])*100,"0")</f>
        <v>100</v>
      </c>
      <c r="S71"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71" s="36">
        <v>6</v>
      </c>
      <c r="U71" s="37">
        <v>6</v>
      </c>
      <c r="V71" s="40">
        <f t="shared" si="2"/>
        <v>100</v>
      </c>
      <c r="W71" s="39" t="str">
        <f t="shared" si="3"/>
        <v>ADECUADO</v>
      </c>
      <c r="X71" s="36">
        <v>6</v>
      </c>
      <c r="Y71" s="37">
        <v>0</v>
      </c>
      <c r="Z71" s="40">
        <v>0</v>
      </c>
      <c r="AA71" s="39" t="s">
        <v>62</v>
      </c>
      <c r="AB71" s="36">
        <v>8</v>
      </c>
      <c r="AC71" s="41">
        <v>0</v>
      </c>
      <c r="AD71" s="40">
        <f>IFERROR((TABLA_AVANCE_METAS[[#This Row],[AVANCE 4°. TRIM]]/TABLA_AVANCE_METAS[[#This Row],[PROGR. 4° TRIM]])*100,"0")</f>
        <v>0</v>
      </c>
      <c r="AE71"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71" s="43" cm="1">
        <f t="array" ref="AF71">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13</v>
      </c>
      <c r="AG71" s="44" cm="1">
        <f t="array" ref="AG71">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13</v>
      </c>
      <c r="AH71" s="40">
        <f>IFERROR((TABLA_AVANCE_METAS[[#This Row],[AVANCE ACUM. TRIM.]]/TABLA_AVANCE_METAS[[#This Row],[PROG. ACUM]])*100,"N/A")</f>
        <v>100</v>
      </c>
      <c r="AI71"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71" s="45">
        <f>TABLA_AVANCE_METAS[[#This Row],[AVANCE ACUM. TRIM.]]-TABLA_AVANCE_METAS[[#This Row],[PROG. ACUM]]</f>
        <v>0</v>
      </c>
      <c r="AK71" s="46">
        <f>IFERROR((TABLA_AVANCE_METAS[[#This Row],[DIFERENCIA ABSOLUTA SEMESTRAL]]/TABLA_AVANCE_METAS[[#This Row],[PROG. ACUM]])*100,"N/A")</f>
        <v>0</v>
      </c>
      <c r="AL71" s="44">
        <f>TABLA_AVANCE_METAS[[#This Row],[AVANCE 1°. TRIM]]+TABLA_AVANCE_METAS[[#This Row],[AVANCE 2°. TRIM]]+TABLA_AVANCE_METAS[[#This Row],[AVANCE 3°. TRIM]]+TABLA_AVANCE_METAS[[#This Row],[AVANCE 4°. TRIM]]</f>
        <v>13</v>
      </c>
      <c r="AM71" s="40">
        <f>IFERROR((TABLA_AVANCE_METAS[[#This Row],[AVANCE ACUM. ANUAL]]/TABLA_AVANCE_METAS[[#This Row],[PROGRAMADO ANUAL]])*100,"N/A")</f>
        <v>48.148148148148145</v>
      </c>
      <c r="AN71"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71" s="45">
        <f>TABLA_AVANCE_METAS[[#This Row],[AVANCE ACUM. ANUAL]]-TABLA_AVANCE_METAS[[#This Row],[PROGRAMADO ANUAL]]</f>
        <v>-14</v>
      </c>
      <c r="AP71" s="47">
        <f>IFERROR((TABLA_AVANCE_METAS[[#This Row],[DIFERENCIA ABSOLUTA ANUAL]]/TABLA_AVANCE_METAS[[#This Row],[PROGRAMADO ANUAL]])*100,"N/A")</f>
        <v>-51.851851851851848</v>
      </c>
      <c r="AQ71" s="48" t="s">
        <v>63</v>
      </c>
      <c r="AR71" s="49"/>
      <c r="AS71" s="50"/>
      <c r="AT71" s="50"/>
      <c r="AU71" s="51" t="b">
        <f>TABLA_AVANCE_METAS[[#This Row],[PROGRAMADO ANUAL]]=SUM(TABLA_AVANCE_METAS[[#This Row],[PROGR. 1° TRIM]],TABLA_AVANCE_METAS[[#This Row],[PROGR. 2° TRIM]],TABLA_AVANCE_METAS[[#This Row],[PROGR. 3° TRIM]],TABLA_AVANCE_METAS[[#This Row],[PROGR. 4° TRIM]])</f>
        <v>1</v>
      </c>
      <c r="AV71" s="52"/>
    </row>
    <row r="72" spans="1:48" ht="75" hidden="1" customHeight="1" x14ac:dyDescent="0.3">
      <c r="A72" s="31" t="str">
        <f>CONCATENATE(TABLA_AVANCE_METAS[[#This Row],[ESTRUCTURA]],TABLA_AVANCE_METAS[[#This Row],['#]])</f>
        <v>B0020901050206029</v>
      </c>
      <c r="B72" s="32" t="s">
        <v>213</v>
      </c>
      <c r="C72" s="62" t="s">
        <v>214</v>
      </c>
      <c r="D72" s="61" t="s">
        <v>215</v>
      </c>
      <c r="E72" s="32" t="s">
        <v>254</v>
      </c>
      <c r="F72" s="61" t="s">
        <v>255</v>
      </c>
      <c r="G72" s="34" t="s">
        <v>256</v>
      </c>
      <c r="H72" s="61" t="s">
        <v>140</v>
      </c>
      <c r="I72" s="61" t="s">
        <v>141</v>
      </c>
      <c r="J72" s="61" t="s">
        <v>257</v>
      </c>
      <c r="K72" s="61" t="s">
        <v>258</v>
      </c>
      <c r="L72" s="33">
        <v>9</v>
      </c>
      <c r="M72" s="57" t="s">
        <v>274</v>
      </c>
      <c r="N72" s="34" t="s">
        <v>147</v>
      </c>
      <c r="O72" s="36">
        <v>1</v>
      </c>
      <c r="P72" s="36">
        <v>1</v>
      </c>
      <c r="Q72" s="37">
        <v>1</v>
      </c>
      <c r="R72" s="38">
        <f>IFERROR((TABLA_AVANCE_METAS[[#This Row],[AVANCE 1°. TRIM]]/TABLA_AVANCE_METAS[[#This Row],[PROGR. 1° TRIM]])*100,"0")</f>
        <v>100</v>
      </c>
      <c r="S72"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72" s="36">
        <v>0</v>
      </c>
      <c r="U72" s="37">
        <v>0</v>
      </c>
      <c r="V72" s="40" t="str">
        <f t="shared" si="2"/>
        <v>0</v>
      </c>
      <c r="W72" s="39" t="str">
        <f t="shared" si="3"/>
        <v>NO PROG.</v>
      </c>
      <c r="X72" s="36">
        <v>0</v>
      </c>
      <c r="Y72" s="37">
        <v>0</v>
      </c>
      <c r="Z72" s="40" t="s">
        <v>72</v>
      </c>
      <c r="AA72" s="39" t="s">
        <v>73</v>
      </c>
      <c r="AB72" s="36">
        <v>0</v>
      </c>
      <c r="AC72" s="41">
        <v>0</v>
      </c>
      <c r="AD72" s="40" t="str">
        <f>IFERROR((TABLA_AVANCE_METAS[[#This Row],[AVANCE 4°. TRIM]]/TABLA_AVANCE_METAS[[#This Row],[PROGR. 4° TRIM]])*100,"0")</f>
        <v>0</v>
      </c>
      <c r="AE72"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NO PROG.</v>
      </c>
      <c r="AF72" s="43" cm="1">
        <f t="array" ref="AF72">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v>
      </c>
      <c r="AG72" s="44" cm="1">
        <f t="array" ref="AG72">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1</v>
      </c>
      <c r="AH72" s="40">
        <f>IFERROR((TABLA_AVANCE_METAS[[#This Row],[AVANCE ACUM. TRIM.]]/TABLA_AVANCE_METAS[[#This Row],[PROG. ACUM]])*100,"N/A")</f>
        <v>100</v>
      </c>
      <c r="AI72"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72" s="45">
        <f>TABLA_AVANCE_METAS[[#This Row],[AVANCE ACUM. TRIM.]]-TABLA_AVANCE_METAS[[#This Row],[PROG. ACUM]]</f>
        <v>0</v>
      </c>
      <c r="AK72" s="46">
        <f>IFERROR((TABLA_AVANCE_METAS[[#This Row],[DIFERENCIA ABSOLUTA SEMESTRAL]]/TABLA_AVANCE_METAS[[#This Row],[PROG. ACUM]])*100,"N/A")</f>
        <v>0</v>
      </c>
      <c r="AL72" s="44">
        <f>TABLA_AVANCE_METAS[[#This Row],[AVANCE 1°. TRIM]]+TABLA_AVANCE_METAS[[#This Row],[AVANCE 2°. TRIM]]+TABLA_AVANCE_METAS[[#This Row],[AVANCE 3°. TRIM]]+TABLA_AVANCE_METAS[[#This Row],[AVANCE 4°. TRIM]]</f>
        <v>1</v>
      </c>
      <c r="AM72" s="40">
        <f>IFERROR((TABLA_AVANCE_METAS[[#This Row],[AVANCE ACUM. ANUAL]]/TABLA_AVANCE_METAS[[#This Row],[PROGRAMADO ANUAL]])*100,"N/A")</f>
        <v>100</v>
      </c>
      <c r="AN72"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ADECUADO</v>
      </c>
      <c r="AO72" s="45">
        <f>TABLA_AVANCE_METAS[[#This Row],[AVANCE ACUM. ANUAL]]-TABLA_AVANCE_METAS[[#This Row],[PROGRAMADO ANUAL]]</f>
        <v>0</v>
      </c>
      <c r="AP72" s="47">
        <f>IFERROR((TABLA_AVANCE_METAS[[#This Row],[DIFERENCIA ABSOLUTA ANUAL]]/TABLA_AVANCE_METAS[[#This Row],[PROGRAMADO ANUAL]])*100,"N/A")</f>
        <v>0</v>
      </c>
      <c r="AQ72" s="48" t="s">
        <v>63</v>
      </c>
      <c r="AR72" s="49"/>
      <c r="AS72" s="50"/>
      <c r="AT72" s="50"/>
      <c r="AU72" s="51" t="b">
        <f>TABLA_AVANCE_METAS[[#This Row],[PROGRAMADO ANUAL]]=SUM(TABLA_AVANCE_METAS[[#This Row],[PROGR. 1° TRIM]],TABLA_AVANCE_METAS[[#This Row],[PROGR. 2° TRIM]],TABLA_AVANCE_METAS[[#This Row],[PROGR. 3° TRIM]],TABLA_AVANCE_METAS[[#This Row],[PROGR. 4° TRIM]])</f>
        <v>1</v>
      </c>
      <c r="AV72" s="52"/>
    </row>
    <row r="73" spans="1:48" ht="75" hidden="1" customHeight="1" x14ac:dyDescent="0.3">
      <c r="A73" s="31" t="str">
        <f>CONCATENATE(TABLA_AVANCE_METAS[[#This Row],[ESTRUCTURA]],TABLA_AVANCE_METAS[[#This Row],['#]])</f>
        <v>B00209010502060210</v>
      </c>
      <c r="B73" s="32" t="s">
        <v>213</v>
      </c>
      <c r="C73" s="62" t="s">
        <v>214</v>
      </c>
      <c r="D73" s="61" t="s">
        <v>215</v>
      </c>
      <c r="E73" s="32" t="s">
        <v>254</v>
      </c>
      <c r="F73" s="61" t="s">
        <v>255</v>
      </c>
      <c r="G73" s="34" t="s">
        <v>256</v>
      </c>
      <c r="H73" s="61" t="s">
        <v>140</v>
      </c>
      <c r="I73" s="61" t="s">
        <v>141</v>
      </c>
      <c r="J73" s="61" t="s">
        <v>257</v>
      </c>
      <c r="K73" s="61" t="s">
        <v>258</v>
      </c>
      <c r="L73" s="33">
        <v>10</v>
      </c>
      <c r="M73" s="57" t="s">
        <v>275</v>
      </c>
      <c r="N73" s="34" t="s">
        <v>124</v>
      </c>
      <c r="O73" s="36">
        <v>27</v>
      </c>
      <c r="P73" s="36">
        <v>7</v>
      </c>
      <c r="Q73" s="37">
        <v>7</v>
      </c>
      <c r="R73" s="38">
        <f>IFERROR((TABLA_AVANCE_METAS[[#This Row],[AVANCE 1°. TRIM]]/TABLA_AVANCE_METAS[[#This Row],[PROGR. 1° TRIM]])*100,"0")</f>
        <v>100</v>
      </c>
      <c r="S73"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73" s="36">
        <v>6</v>
      </c>
      <c r="U73" s="37">
        <v>6</v>
      </c>
      <c r="V73" s="40">
        <f t="shared" si="2"/>
        <v>100</v>
      </c>
      <c r="W73" s="39" t="str">
        <f t="shared" si="3"/>
        <v>ADECUADO</v>
      </c>
      <c r="X73" s="36">
        <v>6</v>
      </c>
      <c r="Y73" s="37">
        <v>0</v>
      </c>
      <c r="Z73" s="40">
        <v>0</v>
      </c>
      <c r="AA73" s="39" t="s">
        <v>62</v>
      </c>
      <c r="AB73" s="36">
        <v>8</v>
      </c>
      <c r="AC73" s="41">
        <v>0</v>
      </c>
      <c r="AD73" s="40">
        <f>IFERROR((TABLA_AVANCE_METAS[[#This Row],[AVANCE 4°. TRIM]]/TABLA_AVANCE_METAS[[#This Row],[PROGR. 4° TRIM]])*100,"0")</f>
        <v>0</v>
      </c>
      <c r="AE73"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73" s="43" cm="1">
        <f t="array" ref="AF73">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13</v>
      </c>
      <c r="AG73" s="44" cm="1">
        <f t="array" ref="AG73">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13</v>
      </c>
      <c r="AH73" s="40">
        <f>IFERROR((TABLA_AVANCE_METAS[[#This Row],[AVANCE ACUM. TRIM.]]/TABLA_AVANCE_METAS[[#This Row],[PROG. ACUM]])*100,"N/A")</f>
        <v>100</v>
      </c>
      <c r="AI73"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73" s="45">
        <f>TABLA_AVANCE_METAS[[#This Row],[AVANCE ACUM. TRIM.]]-TABLA_AVANCE_METAS[[#This Row],[PROG. ACUM]]</f>
        <v>0</v>
      </c>
      <c r="AK73" s="46">
        <f>IFERROR((TABLA_AVANCE_METAS[[#This Row],[DIFERENCIA ABSOLUTA SEMESTRAL]]/TABLA_AVANCE_METAS[[#This Row],[PROG. ACUM]])*100,"N/A")</f>
        <v>0</v>
      </c>
      <c r="AL73" s="44">
        <f>TABLA_AVANCE_METAS[[#This Row],[AVANCE 1°. TRIM]]+TABLA_AVANCE_METAS[[#This Row],[AVANCE 2°. TRIM]]+TABLA_AVANCE_METAS[[#This Row],[AVANCE 3°. TRIM]]+TABLA_AVANCE_METAS[[#This Row],[AVANCE 4°. TRIM]]</f>
        <v>13</v>
      </c>
      <c r="AM73" s="40">
        <f>IFERROR((TABLA_AVANCE_METAS[[#This Row],[AVANCE ACUM. ANUAL]]/TABLA_AVANCE_METAS[[#This Row],[PROGRAMADO ANUAL]])*100,"N/A")</f>
        <v>48.148148148148145</v>
      </c>
      <c r="AN73"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73" s="45">
        <f>TABLA_AVANCE_METAS[[#This Row],[AVANCE ACUM. ANUAL]]-TABLA_AVANCE_METAS[[#This Row],[PROGRAMADO ANUAL]]</f>
        <v>-14</v>
      </c>
      <c r="AP73" s="47">
        <f>IFERROR((TABLA_AVANCE_METAS[[#This Row],[DIFERENCIA ABSOLUTA ANUAL]]/TABLA_AVANCE_METAS[[#This Row],[PROGRAMADO ANUAL]])*100,"N/A")</f>
        <v>-51.851851851851848</v>
      </c>
      <c r="AQ73" s="48" t="s">
        <v>63</v>
      </c>
      <c r="AR73" s="49"/>
      <c r="AS73" s="50"/>
      <c r="AT73" s="50"/>
      <c r="AU73" s="51" t="b">
        <f>TABLA_AVANCE_METAS[[#This Row],[PROGRAMADO ANUAL]]=SUM(TABLA_AVANCE_METAS[[#This Row],[PROGR. 1° TRIM]],TABLA_AVANCE_METAS[[#This Row],[PROGR. 2° TRIM]],TABLA_AVANCE_METAS[[#This Row],[PROGR. 3° TRIM]],TABLA_AVANCE_METAS[[#This Row],[PROGR. 4° TRIM]])</f>
        <v>1</v>
      </c>
      <c r="AV73" s="52"/>
    </row>
    <row r="74" spans="1:48" ht="75" hidden="1" customHeight="1" x14ac:dyDescent="0.3">
      <c r="A74" s="31" t="str">
        <f>CONCATENATE(TABLA_AVANCE_METAS[[#This Row],[ESTRUCTURA]],TABLA_AVANCE_METAS[[#This Row],['#]])</f>
        <v>B0020501050202011</v>
      </c>
      <c r="B74" s="32" t="s">
        <v>276</v>
      </c>
      <c r="C74" s="33" t="s">
        <v>214</v>
      </c>
      <c r="D74" s="32" t="s">
        <v>215</v>
      </c>
      <c r="E74" s="32" t="s">
        <v>277</v>
      </c>
      <c r="F74" s="32" t="s">
        <v>278</v>
      </c>
      <c r="G74" s="34" t="s">
        <v>279</v>
      </c>
      <c r="H74" s="32" t="s">
        <v>280</v>
      </c>
      <c r="I74" s="32" t="s">
        <v>281</v>
      </c>
      <c r="J74" s="32" t="s">
        <v>282</v>
      </c>
      <c r="K74" s="32" t="s">
        <v>283</v>
      </c>
      <c r="L74" s="33">
        <v>1</v>
      </c>
      <c r="M74" s="35" t="s">
        <v>284</v>
      </c>
      <c r="N74" s="34" t="s">
        <v>285</v>
      </c>
      <c r="O74" s="36">
        <v>24</v>
      </c>
      <c r="P74" s="36">
        <v>6</v>
      </c>
      <c r="Q74" s="37">
        <v>6</v>
      </c>
      <c r="R74" s="38">
        <f>IFERROR((TABLA_AVANCE_METAS[[#This Row],[AVANCE 1°. TRIM]]/TABLA_AVANCE_METAS[[#This Row],[PROGR. 1° TRIM]])*100,"0")</f>
        <v>100</v>
      </c>
      <c r="S74"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74" s="36">
        <v>6</v>
      </c>
      <c r="U74" s="37">
        <v>6</v>
      </c>
      <c r="V74" s="40">
        <f t="shared" si="2"/>
        <v>100</v>
      </c>
      <c r="W74" s="39" t="str">
        <f t="shared" si="3"/>
        <v>ADECUADO</v>
      </c>
      <c r="X74" s="36">
        <v>6</v>
      </c>
      <c r="Y74" s="37">
        <v>0</v>
      </c>
      <c r="Z74" s="40">
        <v>0</v>
      </c>
      <c r="AA74" s="39" t="s">
        <v>62</v>
      </c>
      <c r="AB74" s="36">
        <v>6</v>
      </c>
      <c r="AC74" s="41">
        <v>0</v>
      </c>
      <c r="AD74" s="40">
        <f>IFERROR((TABLA_AVANCE_METAS[[#This Row],[AVANCE 4°. TRIM]]/TABLA_AVANCE_METAS[[#This Row],[PROGR. 4° TRIM]])*100,"0")</f>
        <v>0</v>
      </c>
      <c r="AE74"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74" s="43" cm="1">
        <f t="array" ref="AF74">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12</v>
      </c>
      <c r="AG74" s="44" cm="1">
        <f t="array" ref="AG74">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12</v>
      </c>
      <c r="AH74" s="40">
        <f>IFERROR((TABLA_AVANCE_METAS[[#This Row],[AVANCE ACUM. TRIM.]]/TABLA_AVANCE_METAS[[#This Row],[PROG. ACUM]])*100,"N/A")</f>
        <v>100</v>
      </c>
      <c r="AI74"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74" s="45">
        <f>TABLA_AVANCE_METAS[[#This Row],[AVANCE ACUM. TRIM.]]-TABLA_AVANCE_METAS[[#This Row],[PROG. ACUM]]</f>
        <v>0</v>
      </c>
      <c r="AK74" s="46">
        <f>IFERROR((TABLA_AVANCE_METAS[[#This Row],[DIFERENCIA ABSOLUTA SEMESTRAL]]/TABLA_AVANCE_METAS[[#This Row],[PROG. ACUM]])*100,"N/A")</f>
        <v>0</v>
      </c>
      <c r="AL74" s="44">
        <f>TABLA_AVANCE_METAS[[#This Row],[AVANCE 1°. TRIM]]+TABLA_AVANCE_METAS[[#This Row],[AVANCE 2°. TRIM]]+TABLA_AVANCE_METAS[[#This Row],[AVANCE 3°. TRIM]]+TABLA_AVANCE_METAS[[#This Row],[AVANCE 4°. TRIM]]</f>
        <v>12</v>
      </c>
      <c r="AM74" s="40">
        <f>IFERROR((TABLA_AVANCE_METAS[[#This Row],[AVANCE ACUM. ANUAL]]/TABLA_AVANCE_METAS[[#This Row],[PROGRAMADO ANUAL]])*100,"N/A")</f>
        <v>50</v>
      </c>
      <c r="AN74"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74" s="45">
        <f>TABLA_AVANCE_METAS[[#This Row],[AVANCE ACUM. ANUAL]]-TABLA_AVANCE_METAS[[#This Row],[PROGRAMADO ANUAL]]</f>
        <v>-12</v>
      </c>
      <c r="AP74" s="47">
        <f>IFERROR((TABLA_AVANCE_METAS[[#This Row],[DIFERENCIA ABSOLUTA ANUAL]]/TABLA_AVANCE_METAS[[#This Row],[PROGRAMADO ANUAL]])*100,"N/A")</f>
        <v>-50</v>
      </c>
      <c r="AQ74" s="48" t="s">
        <v>63</v>
      </c>
      <c r="AR74" s="49"/>
      <c r="AS74" s="50"/>
      <c r="AT74" s="50"/>
      <c r="AU74" s="51" t="b">
        <f>TABLA_AVANCE_METAS[[#This Row],[PROGRAMADO ANUAL]]=SUM(TABLA_AVANCE_METAS[[#This Row],[PROGR. 1° TRIM]],TABLA_AVANCE_METAS[[#This Row],[PROGR. 2° TRIM]],TABLA_AVANCE_METAS[[#This Row],[PROGR. 3° TRIM]],TABLA_AVANCE_METAS[[#This Row],[PROGR. 4° TRIM]])</f>
        <v>1</v>
      </c>
      <c r="AV74" s="52"/>
    </row>
    <row r="75" spans="1:48" ht="75" hidden="1" customHeight="1" x14ac:dyDescent="0.3">
      <c r="A75" s="31" t="str">
        <f>CONCATENATE(TABLA_AVANCE_METAS[[#This Row],[ESTRUCTURA]],TABLA_AVANCE_METAS[[#This Row],['#]])</f>
        <v>B0020501050202012</v>
      </c>
      <c r="B75" s="32" t="s">
        <v>276</v>
      </c>
      <c r="C75" s="33" t="s">
        <v>214</v>
      </c>
      <c r="D75" s="32" t="s">
        <v>215</v>
      </c>
      <c r="E75" s="32" t="s">
        <v>277</v>
      </c>
      <c r="F75" s="32" t="s">
        <v>278</v>
      </c>
      <c r="G75" s="34" t="s">
        <v>279</v>
      </c>
      <c r="H75" s="32" t="s">
        <v>280</v>
      </c>
      <c r="I75" s="32" t="s">
        <v>281</v>
      </c>
      <c r="J75" s="32" t="s">
        <v>282</v>
      </c>
      <c r="K75" s="32" t="s">
        <v>283</v>
      </c>
      <c r="L75" s="33">
        <v>2</v>
      </c>
      <c r="M75" s="35" t="s">
        <v>286</v>
      </c>
      <c r="N75" s="34" t="s">
        <v>124</v>
      </c>
      <c r="O75" s="36">
        <v>12</v>
      </c>
      <c r="P75" s="36">
        <v>3</v>
      </c>
      <c r="Q75" s="37">
        <v>3</v>
      </c>
      <c r="R75" s="38">
        <f>IFERROR((TABLA_AVANCE_METAS[[#This Row],[AVANCE 1°. TRIM]]/TABLA_AVANCE_METAS[[#This Row],[PROGR. 1° TRIM]])*100,"0")</f>
        <v>100</v>
      </c>
      <c r="S75"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75" s="36">
        <v>3</v>
      </c>
      <c r="U75" s="37">
        <v>3</v>
      </c>
      <c r="V75" s="40">
        <f t="shared" si="2"/>
        <v>100</v>
      </c>
      <c r="W75" s="39" t="str">
        <f t="shared" si="3"/>
        <v>ADECUADO</v>
      </c>
      <c r="X75" s="36">
        <v>3</v>
      </c>
      <c r="Y75" s="37">
        <v>0</v>
      </c>
      <c r="Z75" s="40">
        <v>0</v>
      </c>
      <c r="AA75" s="39" t="s">
        <v>62</v>
      </c>
      <c r="AB75" s="36">
        <v>3</v>
      </c>
      <c r="AC75" s="41">
        <v>0</v>
      </c>
      <c r="AD75" s="40">
        <f>IFERROR((TABLA_AVANCE_METAS[[#This Row],[AVANCE 4°. TRIM]]/TABLA_AVANCE_METAS[[#This Row],[PROGR. 4° TRIM]])*100,"0")</f>
        <v>0</v>
      </c>
      <c r="AE75"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75" s="43" cm="1">
        <f t="array" ref="AF75">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6</v>
      </c>
      <c r="AG75" s="44" cm="1">
        <f t="array" ref="AG75">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6</v>
      </c>
      <c r="AH75" s="40">
        <f>IFERROR((TABLA_AVANCE_METAS[[#This Row],[AVANCE ACUM. TRIM.]]/TABLA_AVANCE_METAS[[#This Row],[PROG. ACUM]])*100,"N/A")</f>
        <v>100</v>
      </c>
      <c r="AI75"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75" s="45">
        <f>TABLA_AVANCE_METAS[[#This Row],[AVANCE ACUM. TRIM.]]-TABLA_AVANCE_METAS[[#This Row],[PROG. ACUM]]</f>
        <v>0</v>
      </c>
      <c r="AK75" s="46">
        <f>IFERROR((TABLA_AVANCE_METAS[[#This Row],[DIFERENCIA ABSOLUTA SEMESTRAL]]/TABLA_AVANCE_METAS[[#This Row],[PROG. ACUM]])*100,"N/A")</f>
        <v>0</v>
      </c>
      <c r="AL75" s="44">
        <f>TABLA_AVANCE_METAS[[#This Row],[AVANCE 1°. TRIM]]+TABLA_AVANCE_METAS[[#This Row],[AVANCE 2°. TRIM]]+TABLA_AVANCE_METAS[[#This Row],[AVANCE 3°. TRIM]]+TABLA_AVANCE_METAS[[#This Row],[AVANCE 4°. TRIM]]</f>
        <v>6</v>
      </c>
      <c r="AM75" s="40">
        <f>IFERROR((TABLA_AVANCE_METAS[[#This Row],[AVANCE ACUM. ANUAL]]/TABLA_AVANCE_METAS[[#This Row],[PROGRAMADO ANUAL]])*100,"N/A")</f>
        <v>50</v>
      </c>
      <c r="AN75"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75" s="45">
        <f>TABLA_AVANCE_METAS[[#This Row],[AVANCE ACUM. ANUAL]]-TABLA_AVANCE_METAS[[#This Row],[PROGRAMADO ANUAL]]</f>
        <v>-6</v>
      </c>
      <c r="AP75" s="47">
        <f>IFERROR((TABLA_AVANCE_METAS[[#This Row],[DIFERENCIA ABSOLUTA ANUAL]]/TABLA_AVANCE_METAS[[#This Row],[PROGRAMADO ANUAL]])*100,"N/A")</f>
        <v>-50</v>
      </c>
      <c r="AQ75" s="48" t="s">
        <v>63</v>
      </c>
      <c r="AR75" s="49"/>
      <c r="AS75" s="50"/>
      <c r="AT75" s="50"/>
      <c r="AU75" s="51" t="b">
        <f>TABLA_AVANCE_METAS[[#This Row],[PROGRAMADO ANUAL]]=SUM(TABLA_AVANCE_METAS[[#This Row],[PROGR. 1° TRIM]],TABLA_AVANCE_METAS[[#This Row],[PROGR. 2° TRIM]],TABLA_AVANCE_METAS[[#This Row],[PROGR. 3° TRIM]],TABLA_AVANCE_METAS[[#This Row],[PROGR. 4° TRIM]])</f>
        <v>1</v>
      </c>
      <c r="AV75" s="52"/>
    </row>
    <row r="76" spans="1:48" ht="75" hidden="1" customHeight="1" x14ac:dyDescent="0.3">
      <c r="A76" s="31" t="str">
        <f>CONCATENATE(TABLA_AVANCE_METAS[[#This Row],[ESTRUCTURA]],TABLA_AVANCE_METAS[[#This Row],['#]])</f>
        <v>B0020501050202013</v>
      </c>
      <c r="B76" s="32" t="s">
        <v>276</v>
      </c>
      <c r="C76" s="33" t="s">
        <v>214</v>
      </c>
      <c r="D76" s="32" t="s">
        <v>215</v>
      </c>
      <c r="E76" s="32" t="s">
        <v>277</v>
      </c>
      <c r="F76" s="32" t="s">
        <v>278</v>
      </c>
      <c r="G76" s="34" t="s">
        <v>279</v>
      </c>
      <c r="H76" s="32" t="s">
        <v>280</v>
      </c>
      <c r="I76" s="32" t="s">
        <v>281</v>
      </c>
      <c r="J76" s="32" t="s">
        <v>282</v>
      </c>
      <c r="K76" s="32" t="s">
        <v>283</v>
      </c>
      <c r="L76" s="33">
        <v>3</v>
      </c>
      <c r="M76" s="35" t="s">
        <v>287</v>
      </c>
      <c r="N76" s="34" t="s">
        <v>124</v>
      </c>
      <c r="O76" s="36">
        <v>12</v>
      </c>
      <c r="P76" s="36">
        <v>3</v>
      </c>
      <c r="Q76" s="37">
        <v>3</v>
      </c>
      <c r="R76" s="38">
        <f>IFERROR((TABLA_AVANCE_METAS[[#This Row],[AVANCE 1°. TRIM]]/TABLA_AVANCE_METAS[[#This Row],[PROGR. 1° TRIM]])*100,"0")</f>
        <v>100</v>
      </c>
      <c r="S76"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76" s="36">
        <v>3</v>
      </c>
      <c r="U76" s="37">
        <v>3</v>
      </c>
      <c r="V76" s="40">
        <f t="shared" si="2"/>
        <v>100</v>
      </c>
      <c r="W76" s="39" t="str">
        <f t="shared" si="3"/>
        <v>ADECUADO</v>
      </c>
      <c r="X76" s="36">
        <v>3</v>
      </c>
      <c r="Y76" s="37">
        <v>0</v>
      </c>
      <c r="Z76" s="40">
        <v>0</v>
      </c>
      <c r="AA76" s="39" t="s">
        <v>62</v>
      </c>
      <c r="AB76" s="36">
        <v>3</v>
      </c>
      <c r="AC76" s="41">
        <v>0</v>
      </c>
      <c r="AD76" s="40">
        <f>IFERROR((TABLA_AVANCE_METAS[[#This Row],[AVANCE 4°. TRIM]]/TABLA_AVANCE_METAS[[#This Row],[PROGR. 4° TRIM]])*100,"0")</f>
        <v>0</v>
      </c>
      <c r="AE76"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76" s="43" cm="1">
        <f t="array" ref="AF76">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6</v>
      </c>
      <c r="AG76" s="44" cm="1">
        <f t="array" ref="AG76">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6</v>
      </c>
      <c r="AH76" s="40">
        <f>IFERROR((TABLA_AVANCE_METAS[[#This Row],[AVANCE ACUM. TRIM.]]/TABLA_AVANCE_METAS[[#This Row],[PROG. ACUM]])*100,"N/A")</f>
        <v>100</v>
      </c>
      <c r="AI76"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76" s="45">
        <f>TABLA_AVANCE_METAS[[#This Row],[AVANCE ACUM. TRIM.]]-TABLA_AVANCE_METAS[[#This Row],[PROG. ACUM]]</f>
        <v>0</v>
      </c>
      <c r="AK76" s="46">
        <f>IFERROR((TABLA_AVANCE_METAS[[#This Row],[DIFERENCIA ABSOLUTA SEMESTRAL]]/TABLA_AVANCE_METAS[[#This Row],[PROG. ACUM]])*100,"N/A")</f>
        <v>0</v>
      </c>
      <c r="AL76" s="44">
        <f>TABLA_AVANCE_METAS[[#This Row],[AVANCE 1°. TRIM]]+TABLA_AVANCE_METAS[[#This Row],[AVANCE 2°. TRIM]]+TABLA_AVANCE_METAS[[#This Row],[AVANCE 3°. TRIM]]+TABLA_AVANCE_METAS[[#This Row],[AVANCE 4°. TRIM]]</f>
        <v>6</v>
      </c>
      <c r="AM76" s="40">
        <f>IFERROR((TABLA_AVANCE_METAS[[#This Row],[AVANCE ACUM. ANUAL]]/TABLA_AVANCE_METAS[[#This Row],[PROGRAMADO ANUAL]])*100,"N/A")</f>
        <v>50</v>
      </c>
      <c r="AN76"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76" s="45">
        <f>TABLA_AVANCE_METAS[[#This Row],[AVANCE ACUM. ANUAL]]-TABLA_AVANCE_METAS[[#This Row],[PROGRAMADO ANUAL]]</f>
        <v>-6</v>
      </c>
      <c r="AP76" s="47">
        <f>IFERROR((TABLA_AVANCE_METAS[[#This Row],[DIFERENCIA ABSOLUTA ANUAL]]/TABLA_AVANCE_METAS[[#This Row],[PROGRAMADO ANUAL]])*100,"N/A")</f>
        <v>-50</v>
      </c>
      <c r="AQ76" s="48" t="s">
        <v>63</v>
      </c>
      <c r="AR76" s="49"/>
      <c r="AS76" s="50"/>
      <c r="AT76" s="50"/>
      <c r="AU76" s="51" t="b">
        <f>TABLA_AVANCE_METAS[[#This Row],[PROGRAMADO ANUAL]]=SUM(TABLA_AVANCE_METAS[[#This Row],[PROGR. 1° TRIM]],TABLA_AVANCE_METAS[[#This Row],[PROGR. 2° TRIM]],TABLA_AVANCE_METAS[[#This Row],[PROGR. 3° TRIM]],TABLA_AVANCE_METAS[[#This Row],[PROGR. 4° TRIM]])</f>
        <v>1</v>
      </c>
      <c r="AV76" s="52"/>
    </row>
    <row r="77" spans="1:48" ht="75" hidden="1" customHeight="1" x14ac:dyDescent="0.3">
      <c r="A77" s="31" t="str">
        <f>CONCATENATE(TABLA_AVANCE_METAS[[#This Row],[ESTRUCTURA]],TABLA_AVANCE_METAS[[#This Row],['#]])</f>
        <v>B0020501050202014</v>
      </c>
      <c r="B77" s="32" t="s">
        <v>276</v>
      </c>
      <c r="C77" s="33" t="s">
        <v>214</v>
      </c>
      <c r="D77" s="32" t="s">
        <v>215</v>
      </c>
      <c r="E77" s="32" t="s">
        <v>277</v>
      </c>
      <c r="F77" s="32" t="s">
        <v>278</v>
      </c>
      <c r="G77" s="34" t="s">
        <v>279</v>
      </c>
      <c r="H77" s="32" t="s">
        <v>280</v>
      </c>
      <c r="I77" s="32" t="s">
        <v>281</v>
      </c>
      <c r="J77" s="32" t="s">
        <v>282</v>
      </c>
      <c r="K77" s="32" t="s">
        <v>283</v>
      </c>
      <c r="L77" s="33">
        <v>4</v>
      </c>
      <c r="M77" s="35" t="s">
        <v>288</v>
      </c>
      <c r="N77" s="34" t="s">
        <v>289</v>
      </c>
      <c r="O77" s="36">
        <v>1</v>
      </c>
      <c r="P77" s="36">
        <v>1</v>
      </c>
      <c r="Q77" s="37">
        <v>1</v>
      </c>
      <c r="R77" s="38">
        <f>IFERROR((TABLA_AVANCE_METAS[[#This Row],[AVANCE 1°. TRIM]]/TABLA_AVANCE_METAS[[#This Row],[PROGR. 1° TRIM]])*100,"0")</f>
        <v>100</v>
      </c>
      <c r="S77"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77" s="36">
        <v>0</v>
      </c>
      <c r="U77" s="37">
        <v>0</v>
      </c>
      <c r="V77" s="40" t="str">
        <f t="shared" si="2"/>
        <v>0</v>
      </c>
      <c r="W77" s="39" t="str">
        <f t="shared" si="3"/>
        <v>NO PROG.</v>
      </c>
      <c r="X77" s="36">
        <v>0</v>
      </c>
      <c r="Y77" s="37">
        <v>0</v>
      </c>
      <c r="Z77" s="40" t="s">
        <v>72</v>
      </c>
      <c r="AA77" s="39" t="s">
        <v>73</v>
      </c>
      <c r="AB77" s="36">
        <v>0</v>
      </c>
      <c r="AC77" s="41">
        <v>0</v>
      </c>
      <c r="AD77" s="40" t="str">
        <f>IFERROR((TABLA_AVANCE_METAS[[#This Row],[AVANCE 4°. TRIM]]/TABLA_AVANCE_METAS[[#This Row],[PROGR. 4° TRIM]])*100,"0")</f>
        <v>0</v>
      </c>
      <c r="AE77"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NO PROG.</v>
      </c>
      <c r="AF77" s="43" cm="1">
        <f t="array" ref="AF77">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v>
      </c>
      <c r="AG77" s="44" cm="1">
        <f t="array" ref="AG77">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1</v>
      </c>
      <c r="AH77" s="40">
        <f>IFERROR((TABLA_AVANCE_METAS[[#This Row],[AVANCE ACUM. TRIM.]]/TABLA_AVANCE_METAS[[#This Row],[PROG. ACUM]])*100,"N/A")</f>
        <v>100</v>
      </c>
      <c r="AI77"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77" s="45">
        <f>TABLA_AVANCE_METAS[[#This Row],[AVANCE ACUM. TRIM.]]-TABLA_AVANCE_METAS[[#This Row],[PROG. ACUM]]</f>
        <v>0</v>
      </c>
      <c r="AK77" s="46">
        <f>IFERROR((TABLA_AVANCE_METAS[[#This Row],[DIFERENCIA ABSOLUTA SEMESTRAL]]/TABLA_AVANCE_METAS[[#This Row],[PROG. ACUM]])*100,"N/A")</f>
        <v>0</v>
      </c>
      <c r="AL77" s="44">
        <f>TABLA_AVANCE_METAS[[#This Row],[AVANCE 1°. TRIM]]+TABLA_AVANCE_METAS[[#This Row],[AVANCE 2°. TRIM]]+TABLA_AVANCE_METAS[[#This Row],[AVANCE 3°. TRIM]]+TABLA_AVANCE_METAS[[#This Row],[AVANCE 4°. TRIM]]</f>
        <v>1</v>
      </c>
      <c r="AM77" s="40">
        <f>IFERROR((TABLA_AVANCE_METAS[[#This Row],[AVANCE ACUM. ANUAL]]/TABLA_AVANCE_METAS[[#This Row],[PROGRAMADO ANUAL]])*100,"N/A")</f>
        <v>100</v>
      </c>
      <c r="AN77"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ADECUADO</v>
      </c>
      <c r="AO77" s="45">
        <f>TABLA_AVANCE_METAS[[#This Row],[AVANCE ACUM. ANUAL]]-TABLA_AVANCE_METAS[[#This Row],[PROGRAMADO ANUAL]]</f>
        <v>0</v>
      </c>
      <c r="AP77" s="47">
        <f>IFERROR((TABLA_AVANCE_METAS[[#This Row],[DIFERENCIA ABSOLUTA ANUAL]]/TABLA_AVANCE_METAS[[#This Row],[PROGRAMADO ANUAL]])*100,"N/A")</f>
        <v>0</v>
      </c>
      <c r="AQ77" s="48" t="s">
        <v>63</v>
      </c>
      <c r="AR77" s="49"/>
      <c r="AS77" s="50"/>
      <c r="AT77" s="50"/>
      <c r="AU77" s="51" t="b">
        <f>TABLA_AVANCE_METAS[[#This Row],[PROGRAMADO ANUAL]]=SUM(TABLA_AVANCE_METAS[[#This Row],[PROGR. 1° TRIM]],TABLA_AVANCE_METAS[[#This Row],[PROGR. 2° TRIM]],TABLA_AVANCE_METAS[[#This Row],[PROGR. 3° TRIM]],TABLA_AVANCE_METAS[[#This Row],[PROGR. 4° TRIM]])</f>
        <v>1</v>
      </c>
      <c r="AV77" s="52"/>
    </row>
    <row r="78" spans="1:48" ht="75" hidden="1" customHeight="1" x14ac:dyDescent="0.3">
      <c r="A78" s="31" t="str">
        <f>CONCATENATE(TABLA_AVANCE_METAS[[#This Row],[ESTRUCTURA]],TABLA_AVANCE_METAS[[#This Row],['#]])</f>
        <v>B0020501050202015</v>
      </c>
      <c r="B78" s="32" t="s">
        <v>276</v>
      </c>
      <c r="C78" s="62" t="s">
        <v>214</v>
      </c>
      <c r="D78" s="61" t="s">
        <v>215</v>
      </c>
      <c r="E78" s="32" t="s">
        <v>277</v>
      </c>
      <c r="F78" s="61" t="s">
        <v>278</v>
      </c>
      <c r="G78" s="34" t="s">
        <v>279</v>
      </c>
      <c r="H78" s="61" t="s">
        <v>280</v>
      </c>
      <c r="I78" s="61" t="s">
        <v>281</v>
      </c>
      <c r="J78" s="61" t="s">
        <v>282</v>
      </c>
      <c r="K78" s="61" t="s">
        <v>283</v>
      </c>
      <c r="L78" s="33">
        <v>5</v>
      </c>
      <c r="M78" s="57" t="s">
        <v>290</v>
      </c>
      <c r="N78" s="34" t="s">
        <v>206</v>
      </c>
      <c r="O78" s="36">
        <v>1</v>
      </c>
      <c r="P78" s="36">
        <v>0</v>
      </c>
      <c r="Q78" s="37">
        <v>0</v>
      </c>
      <c r="R78" s="38" t="str">
        <f>IFERROR((TABLA_AVANCE_METAS[[#This Row],[AVANCE 1°. TRIM]]/TABLA_AVANCE_METAS[[#This Row],[PROGR. 1° TRIM]])*100,"0")</f>
        <v>0</v>
      </c>
      <c r="S78"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NO PROG.</v>
      </c>
      <c r="T78" s="36">
        <v>0</v>
      </c>
      <c r="U78" s="37">
        <v>0</v>
      </c>
      <c r="V78" s="40" t="str">
        <f t="shared" si="2"/>
        <v>0</v>
      </c>
      <c r="W78" s="39" t="str">
        <f t="shared" si="3"/>
        <v>NO PROG.</v>
      </c>
      <c r="X78" s="36">
        <v>0</v>
      </c>
      <c r="Y78" s="37">
        <v>0</v>
      </c>
      <c r="Z78" s="40" t="s">
        <v>72</v>
      </c>
      <c r="AA78" s="39" t="s">
        <v>73</v>
      </c>
      <c r="AB78" s="36">
        <v>1</v>
      </c>
      <c r="AC78" s="41">
        <v>0</v>
      </c>
      <c r="AD78" s="40">
        <f>IFERROR((TABLA_AVANCE_METAS[[#This Row],[AVANCE 4°. TRIM]]/TABLA_AVANCE_METAS[[#This Row],[PROGR. 4° TRIM]])*100,"0")</f>
        <v>0</v>
      </c>
      <c r="AE78"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78" s="43" cm="1">
        <f t="array" ref="AF78">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0</v>
      </c>
      <c r="AG78" s="44" cm="1">
        <f t="array" ref="AG78">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0</v>
      </c>
      <c r="AH78" s="40" t="str">
        <f>IFERROR((TABLA_AVANCE_METAS[[#This Row],[AVANCE ACUM. TRIM.]]/TABLA_AVANCE_METAS[[#This Row],[PROG. ACUM]])*100,"N/A")</f>
        <v>N/A</v>
      </c>
      <c r="AI78"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NO PROG.</v>
      </c>
      <c r="AJ78" s="45">
        <f>TABLA_AVANCE_METAS[[#This Row],[AVANCE ACUM. TRIM.]]-TABLA_AVANCE_METAS[[#This Row],[PROG. ACUM]]</f>
        <v>0</v>
      </c>
      <c r="AK78" s="46" t="str">
        <f>IFERROR((TABLA_AVANCE_METAS[[#This Row],[DIFERENCIA ABSOLUTA SEMESTRAL]]/TABLA_AVANCE_METAS[[#This Row],[PROG. ACUM]])*100,"N/A")</f>
        <v>N/A</v>
      </c>
      <c r="AL78" s="44">
        <f>TABLA_AVANCE_METAS[[#This Row],[AVANCE 1°. TRIM]]+TABLA_AVANCE_METAS[[#This Row],[AVANCE 2°. TRIM]]+TABLA_AVANCE_METAS[[#This Row],[AVANCE 3°. TRIM]]+TABLA_AVANCE_METAS[[#This Row],[AVANCE 4°. TRIM]]</f>
        <v>0</v>
      </c>
      <c r="AM78" s="40">
        <f>IFERROR((TABLA_AVANCE_METAS[[#This Row],[AVANCE ACUM. ANUAL]]/TABLA_AVANCE_METAS[[#This Row],[PROGRAMADO ANUAL]])*100,"N/A")</f>
        <v>0</v>
      </c>
      <c r="AN78"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78" s="45">
        <f>TABLA_AVANCE_METAS[[#This Row],[AVANCE ACUM. ANUAL]]-TABLA_AVANCE_METAS[[#This Row],[PROGRAMADO ANUAL]]</f>
        <v>-1</v>
      </c>
      <c r="AP78" s="47">
        <f>IFERROR((TABLA_AVANCE_METAS[[#This Row],[DIFERENCIA ABSOLUTA ANUAL]]/TABLA_AVANCE_METAS[[#This Row],[PROGRAMADO ANUAL]])*100,"N/A")</f>
        <v>-100</v>
      </c>
      <c r="AQ78" s="48" t="s">
        <v>63</v>
      </c>
      <c r="AR78" s="49"/>
      <c r="AS78" s="50"/>
      <c r="AT78" s="50"/>
      <c r="AU78" s="51" t="b">
        <f>TABLA_AVANCE_METAS[[#This Row],[PROGRAMADO ANUAL]]=SUM(TABLA_AVANCE_METAS[[#This Row],[PROGR. 1° TRIM]],TABLA_AVANCE_METAS[[#This Row],[PROGR. 2° TRIM]],TABLA_AVANCE_METAS[[#This Row],[PROGR. 3° TRIM]],TABLA_AVANCE_METAS[[#This Row],[PROGR. 4° TRIM]])</f>
        <v>1</v>
      </c>
      <c r="AV78" s="52"/>
    </row>
    <row r="79" spans="1:48" ht="75" hidden="1" customHeight="1" x14ac:dyDescent="0.3">
      <c r="A79" s="31" t="str">
        <f>CONCATENATE(TABLA_AVANCE_METAS[[#This Row],[ESTRUCTURA]],TABLA_AVANCE_METAS[[#This Row],['#]])</f>
        <v>B0020501050202016</v>
      </c>
      <c r="B79" s="32" t="s">
        <v>276</v>
      </c>
      <c r="C79" s="33" t="s">
        <v>214</v>
      </c>
      <c r="D79" s="32" t="s">
        <v>215</v>
      </c>
      <c r="E79" s="32" t="s">
        <v>277</v>
      </c>
      <c r="F79" s="32" t="s">
        <v>278</v>
      </c>
      <c r="G79" s="34" t="s">
        <v>279</v>
      </c>
      <c r="H79" s="32" t="s">
        <v>280</v>
      </c>
      <c r="I79" s="32" t="s">
        <v>281</v>
      </c>
      <c r="J79" s="32" t="s">
        <v>282</v>
      </c>
      <c r="K79" s="32" t="s">
        <v>283</v>
      </c>
      <c r="L79" s="33">
        <v>6</v>
      </c>
      <c r="M79" s="35" t="s">
        <v>291</v>
      </c>
      <c r="N79" s="34" t="s">
        <v>292</v>
      </c>
      <c r="O79" s="36">
        <v>1</v>
      </c>
      <c r="P79" s="36">
        <v>0</v>
      </c>
      <c r="Q79" s="37">
        <v>0</v>
      </c>
      <c r="R79" s="38" t="str">
        <f>IFERROR((TABLA_AVANCE_METAS[[#This Row],[AVANCE 1°. TRIM]]/TABLA_AVANCE_METAS[[#This Row],[PROGR. 1° TRIM]])*100,"0")</f>
        <v>0</v>
      </c>
      <c r="S79"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NO PROG.</v>
      </c>
      <c r="T79" s="36">
        <v>0</v>
      </c>
      <c r="U79" s="37">
        <v>0</v>
      </c>
      <c r="V79" s="40" t="str">
        <f t="shared" si="2"/>
        <v>0</v>
      </c>
      <c r="W79" s="39" t="str">
        <f t="shared" si="3"/>
        <v>NO PROG.</v>
      </c>
      <c r="X79" s="36">
        <v>0</v>
      </c>
      <c r="Y79" s="37">
        <v>0</v>
      </c>
      <c r="Z79" s="40" t="s">
        <v>72</v>
      </c>
      <c r="AA79" s="39" t="s">
        <v>73</v>
      </c>
      <c r="AB79" s="36">
        <v>1</v>
      </c>
      <c r="AC79" s="41">
        <v>0</v>
      </c>
      <c r="AD79" s="40">
        <f>IFERROR((TABLA_AVANCE_METAS[[#This Row],[AVANCE 4°. TRIM]]/TABLA_AVANCE_METAS[[#This Row],[PROGR. 4° TRIM]])*100,"0")</f>
        <v>0</v>
      </c>
      <c r="AE79"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79" s="43" cm="1">
        <f t="array" ref="AF79">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0</v>
      </c>
      <c r="AG79" s="44" cm="1">
        <f t="array" ref="AG79">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0</v>
      </c>
      <c r="AH79" s="40" t="str">
        <f>IFERROR((TABLA_AVANCE_METAS[[#This Row],[AVANCE ACUM. TRIM.]]/TABLA_AVANCE_METAS[[#This Row],[PROG. ACUM]])*100,"N/A")</f>
        <v>N/A</v>
      </c>
      <c r="AI79"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NO PROG.</v>
      </c>
      <c r="AJ79" s="45">
        <f>TABLA_AVANCE_METAS[[#This Row],[AVANCE ACUM. TRIM.]]-TABLA_AVANCE_METAS[[#This Row],[PROG. ACUM]]</f>
        <v>0</v>
      </c>
      <c r="AK79" s="46" t="str">
        <f>IFERROR((TABLA_AVANCE_METAS[[#This Row],[DIFERENCIA ABSOLUTA SEMESTRAL]]/TABLA_AVANCE_METAS[[#This Row],[PROG. ACUM]])*100,"N/A")</f>
        <v>N/A</v>
      </c>
      <c r="AL79" s="44">
        <f>TABLA_AVANCE_METAS[[#This Row],[AVANCE 1°. TRIM]]+TABLA_AVANCE_METAS[[#This Row],[AVANCE 2°. TRIM]]+TABLA_AVANCE_METAS[[#This Row],[AVANCE 3°. TRIM]]+TABLA_AVANCE_METAS[[#This Row],[AVANCE 4°. TRIM]]</f>
        <v>0</v>
      </c>
      <c r="AM79" s="40">
        <f>IFERROR((TABLA_AVANCE_METAS[[#This Row],[AVANCE ACUM. ANUAL]]/TABLA_AVANCE_METAS[[#This Row],[PROGRAMADO ANUAL]])*100,"N/A")</f>
        <v>0</v>
      </c>
      <c r="AN79"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79" s="45">
        <f>TABLA_AVANCE_METAS[[#This Row],[AVANCE ACUM. ANUAL]]-TABLA_AVANCE_METAS[[#This Row],[PROGRAMADO ANUAL]]</f>
        <v>-1</v>
      </c>
      <c r="AP79" s="47">
        <f>IFERROR((TABLA_AVANCE_METAS[[#This Row],[DIFERENCIA ABSOLUTA ANUAL]]/TABLA_AVANCE_METAS[[#This Row],[PROGRAMADO ANUAL]])*100,"N/A")</f>
        <v>-100</v>
      </c>
      <c r="AQ79" s="48" t="s">
        <v>63</v>
      </c>
      <c r="AR79" s="49"/>
      <c r="AS79" s="50"/>
      <c r="AT79" s="50"/>
      <c r="AU79" s="51" t="b">
        <f>TABLA_AVANCE_METAS[[#This Row],[PROGRAMADO ANUAL]]=SUM(TABLA_AVANCE_METAS[[#This Row],[PROGR. 1° TRIM]],TABLA_AVANCE_METAS[[#This Row],[PROGR. 2° TRIM]],TABLA_AVANCE_METAS[[#This Row],[PROGR. 3° TRIM]],TABLA_AVANCE_METAS[[#This Row],[PROGR. 4° TRIM]])</f>
        <v>1</v>
      </c>
      <c r="AV79" s="52"/>
    </row>
    <row r="80" spans="1:48" ht="75" hidden="1" customHeight="1" x14ac:dyDescent="0.3">
      <c r="A80" s="31" t="str">
        <f>CONCATENATE(TABLA_AVANCE_METAS[[#This Row],[ESTRUCTURA]],TABLA_AVANCE_METAS[[#This Row],['#]])</f>
        <v>B0020501050202017</v>
      </c>
      <c r="B80" s="32" t="s">
        <v>276</v>
      </c>
      <c r="C80" s="62" t="s">
        <v>214</v>
      </c>
      <c r="D80" s="61" t="s">
        <v>215</v>
      </c>
      <c r="E80" s="32" t="s">
        <v>277</v>
      </c>
      <c r="F80" s="61" t="s">
        <v>278</v>
      </c>
      <c r="G80" s="34" t="s">
        <v>279</v>
      </c>
      <c r="H80" s="61" t="s">
        <v>280</v>
      </c>
      <c r="I80" s="61" t="s">
        <v>281</v>
      </c>
      <c r="J80" s="61" t="s">
        <v>282</v>
      </c>
      <c r="K80" s="61" t="s">
        <v>283</v>
      </c>
      <c r="L80" s="33">
        <v>7</v>
      </c>
      <c r="M80" s="57" t="s">
        <v>293</v>
      </c>
      <c r="N80" s="34" t="s">
        <v>206</v>
      </c>
      <c r="O80" s="36">
        <v>4</v>
      </c>
      <c r="P80" s="36">
        <v>1</v>
      </c>
      <c r="Q80" s="37">
        <v>1</v>
      </c>
      <c r="R80" s="38">
        <f>IFERROR((TABLA_AVANCE_METAS[[#This Row],[AVANCE 1°. TRIM]]/TABLA_AVANCE_METAS[[#This Row],[PROGR. 1° TRIM]])*100,"0")</f>
        <v>100</v>
      </c>
      <c r="S80"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80" s="36">
        <v>1</v>
      </c>
      <c r="U80" s="37">
        <v>1</v>
      </c>
      <c r="V80" s="40">
        <f t="shared" si="2"/>
        <v>100</v>
      </c>
      <c r="W80" s="39" t="str">
        <f t="shared" si="3"/>
        <v>ADECUADO</v>
      </c>
      <c r="X80" s="36">
        <v>1</v>
      </c>
      <c r="Y80" s="37">
        <v>0</v>
      </c>
      <c r="Z80" s="40">
        <v>0</v>
      </c>
      <c r="AA80" s="39" t="s">
        <v>62</v>
      </c>
      <c r="AB80" s="36">
        <v>1</v>
      </c>
      <c r="AC80" s="41">
        <v>0</v>
      </c>
      <c r="AD80" s="40">
        <f>IFERROR((TABLA_AVANCE_METAS[[#This Row],[AVANCE 4°. TRIM]]/TABLA_AVANCE_METAS[[#This Row],[PROGR. 4° TRIM]])*100,"0")</f>
        <v>0</v>
      </c>
      <c r="AE80"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80" s="43" cm="1">
        <f t="array" ref="AF80">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2</v>
      </c>
      <c r="AG80" s="44" cm="1">
        <f t="array" ref="AG80">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2</v>
      </c>
      <c r="AH80" s="40">
        <f>IFERROR((TABLA_AVANCE_METAS[[#This Row],[AVANCE ACUM. TRIM.]]/TABLA_AVANCE_METAS[[#This Row],[PROG. ACUM]])*100,"N/A")</f>
        <v>100</v>
      </c>
      <c r="AI80"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80" s="45">
        <f>TABLA_AVANCE_METAS[[#This Row],[AVANCE ACUM. TRIM.]]-TABLA_AVANCE_METAS[[#This Row],[PROG. ACUM]]</f>
        <v>0</v>
      </c>
      <c r="AK80" s="46">
        <f>IFERROR((TABLA_AVANCE_METAS[[#This Row],[DIFERENCIA ABSOLUTA SEMESTRAL]]/TABLA_AVANCE_METAS[[#This Row],[PROG. ACUM]])*100,"N/A")</f>
        <v>0</v>
      </c>
      <c r="AL80" s="44">
        <f>TABLA_AVANCE_METAS[[#This Row],[AVANCE 1°. TRIM]]+TABLA_AVANCE_METAS[[#This Row],[AVANCE 2°. TRIM]]+TABLA_AVANCE_METAS[[#This Row],[AVANCE 3°. TRIM]]+TABLA_AVANCE_METAS[[#This Row],[AVANCE 4°. TRIM]]</f>
        <v>2</v>
      </c>
      <c r="AM80" s="40">
        <f>IFERROR((TABLA_AVANCE_METAS[[#This Row],[AVANCE ACUM. ANUAL]]/TABLA_AVANCE_METAS[[#This Row],[PROGRAMADO ANUAL]])*100,"N/A")</f>
        <v>50</v>
      </c>
      <c r="AN80"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80" s="45">
        <f>TABLA_AVANCE_METAS[[#This Row],[AVANCE ACUM. ANUAL]]-TABLA_AVANCE_METAS[[#This Row],[PROGRAMADO ANUAL]]</f>
        <v>-2</v>
      </c>
      <c r="AP80" s="47">
        <f>IFERROR((TABLA_AVANCE_METAS[[#This Row],[DIFERENCIA ABSOLUTA ANUAL]]/TABLA_AVANCE_METAS[[#This Row],[PROGRAMADO ANUAL]])*100,"N/A")</f>
        <v>-50</v>
      </c>
      <c r="AQ80" s="48" t="s">
        <v>63</v>
      </c>
      <c r="AR80" s="49"/>
      <c r="AS80" s="50"/>
      <c r="AT80" s="50"/>
      <c r="AU80" s="51" t="b">
        <f>TABLA_AVANCE_METAS[[#This Row],[PROGRAMADO ANUAL]]=SUM(TABLA_AVANCE_METAS[[#This Row],[PROGR. 1° TRIM]],TABLA_AVANCE_METAS[[#This Row],[PROGR. 2° TRIM]],TABLA_AVANCE_METAS[[#This Row],[PROGR. 3° TRIM]],TABLA_AVANCE_METAS[[#This Row],[PROGR. 4° TRIM]])</f>
        <v>1</v>
      </c>
      <c r="AV80" s="52"/>
    </row>
    <row r="81" spans="1:48" ht="75" hidden="1" customHeight="1" x14ac:dyDescent="0.3">
      <c r="A81" s="31" t="str">
        <f>CONCATENATE(TABLA_AVANCE_METAS[[#This Row],[ESTRUCTURA]],TABLA_AVANCE_METAS[[#This Row],['#]])</f>
        <v>B0020401050202091</v>
      </c>
      <c r="B81" s="32" t="s">
        <v>215</v>
      </c>
      <c r="C81" s="62" t="s">
        <v>214</v>
      </c>
      <c r="D81" s="61" t="s">
        <v>215</v>
      </c>
      <c r="E81" s="32" t="s">
        <v>294</v>
      </c>
      <c r="F81" s="61" t="s">
        <v>295</v>
      </c>
      <c r="G81" s="34" t="s">
        <v>296</v>
      </c>
      <c r="H81" s="61" t="s">
        <v>280</v>
      </c>
      <c r="I81" s="61" t="s">
        <v>281</v>
      </c>
      <c r="J81" s="61" t="s">
        <v>297</v>
      </c>
      <c r="K81" s="61" t="s">
        <v>298</v>
      </c>
      <c r="L81" s="33">
        <v>1</v>
      </c>
      <c r="M81" s="57" t="s">
        <v>299</v>
      </c>
      <c r="N81" s="34" t="s">
        <v>300</v>
      </c>
      <c r="O81" s="36">
        <v>1</v>
      </c>
      <c r="P81" s="36">
        <v>0</v>
      </c>
      <c r="Q81" s="37">
        <v>0</v>
      </c>
      <c r="R81" s="38" t="str">
        <f>IFERROR((TABLA_AVANCE_METAS[[#This Row],[AVANCE 1°. TRIM]]/TABLA_AVANCE_METAS[[#This Row],[PROGR. 1° TRIM]])*100,"0")</f>
        <v>0</v>
      </c>
      <c r="S81"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NO PROG.</v>
      </c>
      <c r="T81" s="36">
        <v>0</v>
      </c>
      <c r="U81" s="37">
        <v>0</v>
      </c>
      <c r="V81" s="40" t="str">
        <f t="shared" si="2"/>
        <v>0</v>
      </c>
      <c r="W81" s="39" t="str">
        <f t="shared" si="3"/>
        <v>NO PROG.</v>
      </c>
      <c r="X81" s="36">
        <v>1</v>
      </c>
      <c r="Y81" s="37">
        <v>0</v>
      </c>
      <c r="Z81" s="40">
        <v>0</v>
      </c>
      <c r="AA81" s="39" t="s">
        <v>62</v>
      </c>
      <c r="AB81" s="36">
        <v>0</v>
      </c>
      <c r="AC81" s="41">
        <v>0</v>
      </c>
      <c r="AD81" s="40" t="str">
        <f>IFERROR((TABLA_AVANCE_METAS[[#This Row],[AVANCE 4°. TRIM]]/TABLA_AVANCE_METAS[[#This Row],[PROGR. 4° TRIM]])*100,"0")</f>
        <v>0</v>
      </c>
      <c r="AE81"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NO PROG.</v>
      </c>
      <c r="AF81" s="43" cm="1">
        <f t="array" ref="AF81">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0</v>
      </c>
      <c r="AG81" s="44" cm="1">
        <f t="array" ref="AG81">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0</v>
      </c>
      <c r="AH81" s="40" t="str">
        <f>IFERROR((TABLA_AVANCE_METAS[[#This Row],[AVANCE ACUM. TRIM.]]/TABLA_AVANCE_METAS[[#This Row],[PROG. ACUM]])*100,"N/A")</f>
        <v>N/A</v>
      </c>
      <c r="AI81"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NO PROG.</v>
      </c>
      <c r="AJ81" s="45">
        <f>TABLA_AVANCE_METAS[[#This Row],[AVANCE ACUM. TRIM.]]-TABLA_AVANCE_METAS[[#This Row],[PROG. ACUM]]</f>
        <v>0</v>
      </c>
      <c r="AK81" s="46" t="str">
        <f>IFERROR((TABLA_AVANCE_METAS[[#This Row],[DIFERENCIA ABSOLUTA SEMESTRAL]]/TABLA_AVANCE_METAS[[#This Row],[PROG. ACUM]])*100,"N/A")</f>
        <v>N/A</v>
      </c>
      <c r="AL81" s="44">
        <f>TABLA_AVANCE_METAS[[#This Row],[AVANCE 1°. TRIM]]+TABLA_AVANCE_METAS[[#This Row],[AVANCE 2°. TRIM]]+TABLA_AVANCE_METAS[[#This Row],[AVANCE 3°. TRIM]]+TABLA_AVANCE_METAS[[#This Row],[AVANCE 4°. TRIM]]</f>
        <v>0</v>
      </c>
      <c r="AM81" s="40">
        <f>IFERROR((TABLA_AVANCE_METAS[[#This Row],[AVANCE ACUM. ANUAL]]/TABLA_AVANCE_METAS[[#This Row],[PROGRAMADO ANUAL]])*100,"N/A")</f>
        <v>0</v>
      </c>
      <c r="AN81"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81" s="45">
        <f>TABLA_AVANCE_METAS[[#This Row],[AVANCE ACUM. ANUAL]]-TABLA_AVANCE_METAS[[#This Row],[PROGRAMADO ANUAL]]</f>
        <v>-1</v>
      </c>
      <c r="AP81" s="47">
        <f>IFERROR((TABLA_AVANCE_METAS[[#This Row],[DIFERENCIA ABSOLUTA ANUAL]]/TABLA_AVANCE_METAS[[#This Row],[PROGRAMADO ANUAL]])*100,"N/A")</f>
        <v>-100</v>
      </c>
      <c r="AQ81" s="48" t="e">
        <v>#N/A</v>
      </c>
      <c r="AR81" s="49"/>
      <c r="AS81" s="50"/>
      <c r="AT81" s="50"/>
      <c r="AU81" s="51" t="b">
        <f>TABLA_AVANCE_METAS[[#This Row],[PROGRAMADO ANUAL]]=SUM(TABLA_AVANCE_METAS[[#This Row],[PROGR. 1° TRIM]],TABLA_AVANCE_METAS[[#This Row],[PROGR. 2° TRIM]],TABLA_AVANCE_METAS[[#This Row],[PROGR. 3° TRIM]],TABLA_AVANCE_METAS[[#This Row],[PROGR. 4° TRIM]])</f>
        <v>1</v>
      </c>
      <c r="AV81" s="52"/>
    </row>
    <row r="82" spans="1:48" ht="75" hidden="1" customHeight="1" x14ac:dyDescent="0.3">
      <c r="A82" s="31" t="str">
        <f>CONCATENATE(TABLA_AVANCE_METAS[[#This Row],[ESTRUCTURA]],TABLA_AVANCE_METAS[[#This Row],['#]])</f>
        <v>B0020401050202092</v>
      </c>
      <c r="B82" s="32" t="s">
        <v>215</v>
      </c>
      <c r="C82" s="62" t="s">
        <v>214</v>
      </c>
      <c r="D82" s="61" t="s">
        <v>215</v>
      </c>
      <c r="E82" s="32" t="s">
        <v>294</v>
      </c>
      <c r="F82" s="61" t="s">
        <v>295</v>
      </c>
      <c r="G82" s="34" t="s">
        <v>296</v>
      </c>
      <c r="H82" s="61" t="s">
        <v>280</v>
      </c>
      <c r="I82" s="61" t="s">
        <v>281</v>
      </c>
      <c r="J82" s="61" t="s">
        <v>297</v>
      </c>
      <c r="K82" s="61" t="s">
        <v>298</v>
      </c>
      <c r="L82" s="33">
        <v>2</v>
      </c>
      <c r="M82" s="57" t="s">
        <v>301</v>
      </c>
      <c r="N82" s="34" t="s">
        <v>302</v>
      </c>
      <c r="O82" s="36">
        <v>1</v>
      </c>
      <c r="P82" s="36">
        <v>0</v>
      </c>
      <c r="Q82" s="37">
        <v>0</v>
      </c>
      <c r="R82" s="38" t="str">
        <f>IFERROR((TABLA_AVANCE_METAS[[#This Row],[AVANCE 1°. TRIM]]/TABLA_AVANCE_METAS[[#This Row],[PROGR. 1° TRIM]])*100,"0")</f>
        <v>0</v>
      </c>
      <c r="S82"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NO PROG.</v>
      </c>
      <c r="T82" s="36">
        <v>0</v>
      </c>
      <c r="U82" s="37">
        <v>0</v>
      </c>
      <c r="V82" s="40" t="str">
        <f t="shared" si="2"/>
        <v>0</v>
      </c>
      <c r="W82" s="39" t="str">
        <f t="shared" si="3"/>
        <v>NO PROG.</v>
      </c>
      <c r="X82" s="36">
        <v>1</v>
      </c>
      <c r="Y82" s="37">
        <v>0</v>
      </c>
      <c r="Z82" s="40">
        <v>0</v>
      </c>
      <c r="AA82" s="39" t="s">
        <v>62</v>
      </c>
      <c r="AB82" s="36">
        <v>0</v>
      </c>
      <c r="AC82" s="41">
        <v>0</v>
      </c>
      <c r="AD82" s="40" t="str">
        <f>IFERROR((TABLA_AVANCE_METAS[[#This Row],[AVANCE 4°. TRIM]]/TABLA_AVANCE_METAS[[#This Row],[PROGR. 4° TRIM]])*100,"0")</f>
        <v>0</v>
      </c>
      <c r="AE82"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NO PROG.</v>
      </c>
      <c r="AF82" s="43" cm="1">
        <f t="array" ref="AF82">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0</v>
      </c>
      <c r="AG82" s="44" cm="1">
        <f t="array" ref="AG82">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0</v>
      </c>
      <c r="AH82" s="40" t="str">
        <f>IFERROR((TABLA_AVANCE_METAS[[#This Row],[AVANCE ACUM. TRIM.]]/TABLA_AVANCE_METAS[[#This Row],[PROG. ACUM]])*100,"N/A")</f>
        <v>N/A</v>
      </c>
      <c r="AI82"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NO PROG.</v>
      </c>
      <c r="AJ82" s="45">
        <f>TABLA_AVANCE_METAS[[#This Row],[AVANCE ACUM. TRIM.]]-TABLA_AVANCE_METAS[[#This Row],[PROG. ACUM]]</f>
        <v>0</v>
      </c>
      <c r="AK82" s="46" t="str">
        <f>IFERROR((TABLA_AVANCE_METAS[[#This Row],[DIFERENCIA ABSOLUTA SEMESTRAL]]/TABLA_AVANCE_METAS[[#This Row],[PROG. ACUM]])*100,"N/A")</f>
        <v>N/A</v>
      </c>
      <c r="AL82" s="44">
        <f>TABLA_AVANCE_METAS[[#This Row],[AVANCE 1°. TRIM]]+TABLA_AVANCE_METAS[[#This Row],[AVANCE 2°. TRIM]]+TABLA_AVANCE_METAS[[#This Row],[AVANCE 3°. TRIM]]+TABLA_AVANCE_METAS[[#This Row],[AVANCE 4°. TRIM]]</f>
        <v>0</v>
      </c>
      <c r="AM82" s="40">
        <f>IFERROR((TABLA_AVANCE_METAS[[#This Row],[AVANCE ACUM. ANUAL]]/TABLA_AVANCE_METAS[[#This Row],[PROGRAMADO ANUAL]])*100,"N/A")</f>
        <v>0</v>
      </c>
      <c r="AN82"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82" s="45">
        <f>TABLA_AVANCE_METAS[[#This Row],[AVANCE ACUM. ANUAL]]-TABLA_AVANCE_METAS[[#This Row],[PROGRAMADO ANUAL]]</f>
        <v>-1</v>
      </c>
      <c r="AP82" s="47">
        <f>IFERROR((TABLA_AVANCE_METAS[[#This Row],[DIFERENCIA ABSOLUTA ANUAL]]/TABLA_AVANCE_METAS[[#This Row],[PROGRAMADO ANUAL]])*100,"N/A")</f>
        <v>-100</v>
      </c>
      <c r="AQ82" s="48" t="e">
        <v>#N/A</v>
      </c>
      <c r="AR82" s="49"/>
      <c r="AS82" s="50"/>
      <c r="AT82" s="50"/>
      <c r="AU82" s="51" t="b">
        <f>TABLA_AVANCE_METAS[[#This Row],[PROGRAMADO ANUAL]]=SUM(TABLA_AVANCE_METAS[[#This Row],[PROGR. 1° TRIM]],TABLA_AVANCE_METAS[[#This Row],[PROGR. 2° TRIM]],TABLA_AVANCE_METAS[[#This Row],[PROGR. 3° TRIM]],TABLA_AVANCE_METAS[[#This Row],[PROGR. 4° TRIM]])</f>
        <v>1</v>
      </c>
      <c r="AV82" s="52"/>
    </row>
    <row r="83" spans="1:48" ht="75" hidden="1" customHeight="1" x14ac:dyDescent="0.3">
      <c r="A83" s="31" t="str">
        <f>CONCATENATE(TABLA_AVANCE_METAS[[#This Row],[ESTRUCTURA]],TABLA_AVANCE_METAS[[#This Row],['#]])</f>
        <v>B0020401050202093</v>
      </c>
      <c r="B83" s="32" t="s">
        <v>215</v>
      </c>
      <c r="C83" s="62" t="s">
        <v>214</v>
      </c>
      <c r="D83" s="61" t="s">
        <v>215</v>
      </c>
      <c r="E83" s="32" t="s">
        <v>294</v>
      </c>
      <c r="F83" s="61" t="s">
        <v>295</v>
      </c>
      <c r="G83" s="34" t="s">
        <v>296</v>
      </c>
      <c r="H83" s="61" t="s">
        <v>280</v>
      </c>
      <c r="I83" s="61" t="s">
        <v>281</v>
      </c>
      <c r="J83" s="61" t="s">
        <v>297</v>
      </c>
      <c r="K83" s="61" t="s">
        <v>298</v>
      </c>
      <c r="L83" s="33">
        <v>3</v>
      </c>
      <c r="M83" s="57" t="s">
        <v>303</v>
      </c>
      <c r="N83" s="34" t="s">
        <v>304</v>
      </c>
      <c r="O83" s="36">
        <v>1</v>
      </c>
      <c r="P83" s="36">
        <v>0</v>
      </c>
      <c r="Q83" s="37">
        <v>0</v>
      </c>
      <c r="R83" s="38" t="str">
        <f>IFERROR((TABLA_AVANCE_METAS[[#This Row],[AVANCE 1°. TRIM]]/TABLA_AVANCE_METAS[[#This Row],[PROGR. 1° TRIM]])*100,"0")</f>
        <v>0</v>
      </c>
      <c r="S83"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NO PROG.</v>
      </c>
      <c r="T83" s="36">
        <v>1</v>
      </c>
      <c r="U83" s="37">
        <v>1</v>
      </c>
      <c r="V83" s="40">
        <f t="shared" si="2"/>
        <v>100</v>
      </c>
      <c r="W83" s="39" t="str">
        <f t="shared" si="3"/>
        <v>ADECUADO</v>
      </c>
      <c r="X83" s="36">
        <v>0</v>
      </c>
      <c r="Y83" s="37">
        <v>0</v>
      </c>
      <c r="Z83" s="40" t="s">
        <v>72</v>
      </c>
      <c r="AA83" s="39" t="s">
        <v>73</v>
      </c>
      <c r="AB83" s="36">
        <v>0</v>
      </c>
      <c r="AC83" s="41">
        <v>0</v>
      </c>
      <c r="AD83" s="40" t="str">
        <f>IFERROR((TABLA_AVANCE_METAS[[#This Row],[AVANCE 4°. TRIM]]/TABLA_AVANCE_METAS[[#This Row],[PROGR. 4° TRIM]])*100,"0")</f>
        <v>0</v>
      </c>
      <c r="AE83"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NO PROG.</v>
      </c>
      <c r="AF83" s="43" cm="1">
        <f t="array" ref="AF83">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v>
      </c>
      <c r="AG83" s="44" cm="1">
        <f t="array" ref="AG83">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1</v>
      </c>
      <c r="AH83" s="40">
        <f>IFERROR((TABLA_AVANCE_METAS[[#This Row],[AVANCE ACUM. TRIM.]]/TABLA_AVANCE_METAS[[#This Row],[PROG. ACUM]])*100,"N/A")</f>
        <v>100</v>
      </c>
      <c r="AI83"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83" s="45">
        <f>TABLA_AVANCE_METAS[[#This Row],[AVANCE ACUM. TRIM.]]-TABLA_AVANCE_METAS[[#This Row],[PROG. ACUM]]</f>
        <v>0</v>
      </c>
      <c r="AK83" s="46">
        <f>IFERROR((TABLA_AVANCE_METAS[[#This Row],[DIFERENCIA ABSOLUTA SEMESTRAL]]/TABLA_AVANCE_METAS[[#This Row],[PROG. ACUM]])*100,"N/A")</f>
        <v>0</v>
      </c>
      <c r="AL83" s="44">
        <f>TABLA_AVANCE_METAS[[#This Row],[AVANCE 1°. TRIM]]+TABLA_AVANCE_METAS[[#This Row],[AVANCE 2°. TRIM]]+TABLA_AVANCE_METAS[[#This Row],[AVANCE 3°. TRIM]]+TABLA_AVANCE_METAS[[#This Row],[AVANCE 4°. TRIM]]</f>
        <v>1</v>
      </c>
      <c r="AM83" s="40">
        <f>IFERROR((TABLA_AVANCE_METAS[[#This Row],[AVANCE ACUM. ANUAL]]/TABLA_AVANCE_METAS[[#This Row],[PROGRAMADO ANUAL]])*100,"N/A")</f>
        <v>100</v>
      </c>
      <c r="AN83"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ADECUADO</v>
      </c>
      <c r="AO83" s="45">
        <f>TABLA_AVANCE_METAS[[#This Row],[AVANCE ACUM. ANUAL]]-TABLA_AVANCE_METAS[[#This Row],[PROGRAMADO ANUAL]]</f>
        <v>0</v>
      </c>
      <c r="AP83" s="47">
        <f>IFERROR((TABLA_AVANCE_METAS[[#This Row],[DIFERENCIA ABSOLUTA ANUAL]]/TABLA_AVANCE_METAS[[#This Row],[PROGRAMADO ANUAL]])*100,"N/A")</f>
        <v>0</v>
      </c>
      <c r="AQ83" s="48" t="e">
        <v>#N/A</v>
      </c>
      <c r="AR83" s="49"/>
      <c r="AS83" s="50"/>
      <c r="AT83" s="50"/>
      <c r="AU83" s="51" t="b">
        <f>TABLA_AVANCE_METAS[[#This Row],[PROGRAMADO ANUAL]]=SUM(TABLA_AVANCE_METAS[[#This Row],[PROGR. 1° TRIM]],TABLA_AVANCE_METAS[[#This Row],[PROGR. 2° TRIM]],TABLA_AVANCE_METAS[[#This Row],[PROGR. 3° TRIM]],TABLA_AVANCE_METAS[[#This Row],[PROGR. 4° TRIM]])</f>
        <v>1</v>
      </c>
      <c r="AV83" s="52"/>
    </row>
    <row r="84" spans="1:48" ht="75" hidden="1" customHeight="1" x14ac:dyDescent="0.3">
      <c r="A84" s="31" t="str">
        <f>CONCATENATE(TABLA_AVANCE_METAS[[#This Row],[ESTRUCTURA]],TABLA_AVANCE_METAS[[#This Row],['#]])</f>
        <v>B0020401050202094</v>
      </c>
      <c r="B84" s="32" t="s">
        <v>215</v>
      </c>
      <c r="C84" s="62" t="s">
        <v>214</v>
      </c>
      <c r="D84" s="61" t="s">
        <v>215</v>
      </c>
      <c r="E84" s="32" t="s">
        <v>294</v>
      </c>
      <c r="F84" s="61" t="s">
        <v>295</v>
      </c>
      <c r="G84" s="34" t="s">
        <v>296</v>
      </c>
      <c r="H84" s="61" t="s">
        <v>280</v>
      </c>
      <c r="I84" s="61" t="s">
        <v>281</v>
      </c>
      <c r="J84" s="61" t="s">
        <v>297</v>
      </c>
      <c r="K84" s="61" t="s">
        <v>298</v>
      </c>
      <c r="L84" s="33">
        <v>4</v>
      </c>
      <c r="M84" s="57" t="s">
        <v>305</v>
      </c>
      <c r="N84" s="34" t="s">
        <v>306</v>
      </c>
      <c r="O84" s="36">
        <v>4</v>
      </c>
      <c r="P84" s="36">
        <v>1</v>
      </c>
      <c r="Q84" s="37">
        <v>1</v>
      </c>
      <c r="R84" s="38">
        <f>IFERROR((TABLA_AVANCE_METAS[[#This Row],[AVANCE 1°. TRIM]]/TABLA_AVANCE_METAS[[#This Row],[PROGR. 1° TRIM]])*100,"0")</f>
        <v>100</v>
      </c>
      <c r="S84"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84" s="36">
        <v>1</v>
      </c>
      <c r="U84" s="37">
        <v>1</v>
      </c>
      <c r="V84" s="40">
        <f t="shared" si="2"/>
        <v>100</v>
      </c>
      <c r="W84" s="39" t="str">
        <f t="shared" si="3"/>
        <v>ADECUADO</v>
      </c>
      <c r="X84" s="36">
        <v>1</v>
      </c>
      <c r="Y84" s="37">
        <v>0</v>
      </c>
      <c r="Z84" s="40">
        <v>0</v>
      </c>
      <c r="AA84" s="39" t="s">
        <v>62</v>
      </c>
      <c r="AB84" s="36">
        <v>1</v>
      </c>
      <c r="AC84" s="41">
        <v>0</v>
      </c>
      <c r="AD84" s="40">
        <f>IFERROR((TABLA_AVANCE_METAS[[#This Row],[AVANCE 4°. TRIM]]/TABLA_AVANCE_METAS[[#This Row],[PROGR. 4° TRIM]])*100,"0")</f>
        <v>0</v>
      </c>
      <c r="AE84"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84" s="43" cm="1">
        <f t="array" ref="AF84">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2</v>
      </c>
      <c r="AG84" s="44" cm="1">
        <f t="array" ref="AG84">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2</v>
      </c>
      <c r="AH84" s="40">
        <f>IFERROR((TABLA_AVANCE_METAS[[#This Row],[AVANCE ACUM. TRIM.]]/TABLA_AVANCE_METAS[[#This Row],[PROG. ACUM]])*100,"N/A")</f>
        <v>100</v>
      </c>
      <c r="AI84"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84" s="45">
        <f>TABLA_AVANCE_METAS[[#This Row],[AVANCE ACUM. TRIM.]]-TABLA_AVANCE_METAS[[#This Row],[PROG. ACUM]]</f>
        <v>0</v>
      </c>
      <c r="AK84" s="46">
        <f>IFERROR((TABLA_AVANCE_METAS[[#This Row],[DIFERENCIA ABSOLUTA SEMESTRAL]]/TABLA_AVANCE_METAS[[#This Row],[PROG. ACUM]])*100,"N/A")</f>
        <v>0</v>
      </c>
      <c r="AL84" s="44">
        <f>TABLA_AVANCE_METAS[[#This Row],[AVANCE 1°. TRIM]]+TABLA_AVANCE_METAS[[#This Row],[AVANCE 2°. TRIM]]+TABLA_AVANCE_METAS[[#This Row],[AVANCE 3°. TRIM]]+TABLA_AVANCE_METAS[[#This Row],[AVANCE 4°. TRIM]]</f>
        <v>2</v>
      </c>
      <c r="AM84" s="40">
        <f>IFERROR((TABLA_AVANCE_METAS[[#This Row],[AVANCE ACUM. ANUAL]]/TABLA_AVANCE_METAS[[#This Row],[PROGRAMADO ANUAL]])*100,"N/A")</f>
        <v>50</v>
      </c>
      <c r="AN84"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84" s="45">
        <f>TABLA_AVANCE_METAS[[#This Row],[AVANCE ACUM. ANUAL]]-TABLA_AVANCE_METAS[[#This Row],[PROGRAMADO ANUAL]]</f>
        <v>-2</v>
      </c>
      <c r="AP84" s="47">
        <f>IFERROR((TABLA_AVANCE_METAS[[#This Row],[DIFERENCIA ABSOLUTA ANUAL]]/TABLA_AVANCE_METAS[[#This Row],[PROGRAMADO ANUAL]])*100,"N/A")</f>
        <v>-50</v>
      </c>
      <c r="AQ84" s="48" t="e">
        <v>#N/A</v>
      </c>
      <c r="AR84" s="49"/>
      <c r="AS84" s="50"/>
      <c r="AT84" s="50"/>
      <c r="AU84" s="51" t="b">
        <f>TABLA_AVANCE_METAS[[#This Row],[PROGRAMADO ANUAL]]=SUM(TABLA_AVANCE_METAS[[#This Row],[PROGR. 1° TRIM]],TABLA_AVANCE_METAS[[#This Row],[PROGR. 2° TRIM]],TABLA_AVANCE_METAS[[#This Row],[PROGR. 3° TRIM]],TABLA_AVANCE_METAS[[#This Row],[PROGR. 4° TRIM]])</f>
        <v>1</v>
      </c>
      <c r="AV84" s="52"/>
    </row>
    <row r="85" spans="1:48" ht="75" hidden="1" customHeight="1" x14ac:dyDescent="0.3">
      <c r="A85" s="65" t="str">
        <f>CONCATENATE(TABLA_AVANCE_METAS[[#This Row],[ESTRUCTURA]],TABLA_AVANCE_METAS[[#This Row],['#]])</f>
        <v>B0020401050202095</v>
      </c>
      <c r="B85" s="66" t="s">
        <v>215</v>
      </c>
      <c r="C85" s="67" t="s">
        <v>214</v>
      </c>
      <c r="D85" s="66" t="s">
        <v>215</v>
      </c>
      <c r="E85" s="66" t="s">
        <v>294</v>
      </c>
      <c r="F85" s="66" t="s">
        <v>295</v>
      </c>
      <c r="G85" s="68" t="s">
        <v>296</v>
      </c>
      <c r="H85" s="66" t="s">
        <v>280</v>
      </c>
      <c r="I85" s="66" t="s">
        <v>281</v>
      </c>
      <c r="J85" s="66" t="s">
        <v>297</v>
      </c>
      <c r="K85" s="66" t="s">
        <v>298</v>
      </c>
      <c r="L85" s="67">
        <v>5</v>
      </c>
      <c r="M85" s="69" t="s">
        <v>307</v>
      </c>
      <c r="N85" s="68" t="s">
        <v>149</v>
      </c>
      <c r="O85" s="70"/>
      <c r="P85" s="70">
        <v>4</v>
      </c>
      <c r="Q85" s="37">
        <v>0</v>
      </c>
      <c r="R85" s="71">
        <f>IFERROR((TABLA_AVANCE_METAS[[#This Row],[AVANCE 1°. TRIM]]/TABLA_AVANCE_METAS[[#This Row],[PROGR. 1° TRIM]])*100,"0")</f>
        <v>0</v>
      </c>
      <c r="S85" s="72"/>
      <c r="T85" s="70">
        <v>4</v>
      </c>
      <c r="U85" s="37">
        <v>0</v>
      </c>
      <c r="V85" s="40">
        <f t="shared" si="2"/>
        <v>0</v>
      </c>
      <c r="W85" s="72"/>
      <c r="X85" s="70">
        <v>4</v>
      </c>
      <c r="Y85" s="37">
        <v>0</v>
      </c>
      <c r="Z85" s="73">
        <v>0</v>
      </c>
      <c r="AA85" s="72"/>
      <c r="AB85" s="70">
        <v>3</v>
      </c>
      <c r="AC85" s="41">
        <v>0</v>
      </c>
      <c r="AD85" s="73">
        <f>IFERROR((TABLA_AVANCE_METAS[[#This Row],[AVANCE 4°. TRIM]]/TABLA_AVANCE_METAS[[#This Row],[PROGR. 4° TRIM]])*100,"0")</f>
        <v>0</v>
      </c>
      <c r="AE85" s="74"/>
      <c r="AF85" s="43" cm="1">
        <f t="array" ref="AF85">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0</v>
      </c>
      <c r="AG85" s="44" cm="1">
        <f t="array" ref="AG85">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0</v>
      </c>
      <c r="AH85" s="40" t="str">
        <f>IFERROR((TABLA_AVANCE_METAS[[#This Row],[AVANCE ACUM. TRIM.]]/TABLA_AVANCE_METAS[[#This Row],[PROG. ACUM]])*100,"N/A")</f>
        <v>N/A</v>
      </c>
      <c r="AI85"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NO PROG.</v>
      </c>
      <c r="AJ85" s="75">
        <f>TABLA_AVANCE_METAS[[#This Row],[AVANCE ACUM. TRIM.]]-TABLA_AVANCE_METAS[[#This Row],[PROG. ACUM]]</f>
        <v>0</v>
      </c>
      <c r="AK85" s="76" t="str">
        <f>IFERROR((TABLA_AVANCE_METAS[[#This Row],[DIFERENCIA ABSOLUTA SEMESTRAL]]/TABLA_AVANCE_METAS[[#This Row],[PROG. ACUM]])*100,"N/A")</f>
        <v>N/A</v>
      </c>
      <c r="AL85" s="77">
        <f>TABLA_AVANCE_METAS[[#This Row],[AVANCE 1°. TRIM]]+TABLA_AVANCE_METAS[[#This Row],[AVANCE 2°. TRIM]]+TABLA_AVANCE_METAS[[#This Row],[AVANCE 3°. TRIM]]+TABLA_AVANCE_METAS[[#This Row],[AVANCE 4°. TRIM]]</f>
        <v>0</v>
      </c>
      <c r="AM85" s="73" t="str">
        <f>IFERROR((TABLA_AVANCE_METAS[[#This Row],[AVANCE ACUM. ANUAL]]/TABLA_AVANCE_METAS[[#This Row],[PROGRAMADO ANUAL]])*100,"N/A")</f>
        <v>N/A</v>
      </c>
      <c r="AN85" s="72"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NO PROG.</v>
      </c>
      <c r="AO85" s="75">
        <f>TABLA_AVANCE_METAS[[#This Row],[AVANCE ACUM. ANUAL]]-TABLA_AVANCE_METAS[[#This Row],[PROGRAMADO ANUAL]]</f>
        <v>0</v>
      </c>
      <c r="AP85" s="78" t="str">
        <f>IFERROR((TABLA_AVANCE_METAS[[#This Row],[DIFERENCIA ABSOLUTA ANUAL]]/TABLA_AVANCE_METAS[[#This Row],[PROGRAMADO ANUAL]])*100,"N/A")</f>
        <v>N/A</v>
      </c>
      <c r="AQ85" s="79" t="e">
        <v>#N/A</v>
      </c>
      <c r="AR85" s="80"/>
      <c r="AS85" s="50"/>
      <c r="AT85" s="50"/>
      <c r="AU85" s="81" t="b">
        <f>TABLA_AVANCE_METAS[[#This Row],[PROGRAMADO ANUAL]]=SUM(TABLA_AVANCE_METAS[[#This Row],[PROGR. 1° TRIM]],TABLA_AVANCE_METAS[[#This Row],[PROGR. 2° TRIM]],TABLA_AVANCE_METAS[[#This Row],[PROGR. 3° TRIM]],TABLA_AVANCE_METAS[[#This Row],[PROGR. 4° TRIM]])</f>
        <v>0</v>
      </c>
      <c r="AV85" s="52"/>
    </row>
    <row r="86" spans="1:48" ht="75" hidden="1" customHeight="1" x14ac:dyDescent="0.3">
      <c r="A86" s="31" t="str">
        <f>CONCATENATE(TABLA_AVANCE_METAS[[#This Row],[ESTRUCTURA]],TABLA_AVANCE_METAS[[#This Row],['#]])</f>
        <v>B0021101050202091</v>
      </c>
      <c r="B86" s="32" t="s">
        <v>308</v>
      </c>
      <c r="C86" s="33" t="s">
        <v>214</v>
      </c>
      <c r="D86" s="32" t="s">
        <v>215</v>
      </c>
      <c r="E86" s="32" t="s">
        <v>309</v>
      </c>
      <c r="F86" s="32" t="s">
        <v>310</v>
      </c>
      <c r="G86" s="34" t="s">
        <v>311</v>
      </c>
      <c r="H86" s="32" t="s">
        <v>280</v>
      </c>
      <c r="I86" s="32" t="s">
        <v>281</v>
      </c>
      <c r="J86" s="32" t="s">
        <v>297</v>
      </c>
      <c r="K86" s="32" t="s">
        <v>298</v>
      </c>
      <c r="L86" s="33">
        <v>1</v>
      </c>
      <c r="M86" s="35" t="s">
        <v>312</v>
      </c>
      <c r="N86" s="34" t="s">
        <v>289</v>
      </c>
      <c r="O86" s="36">
        <v>1</v>
      </c>
      <c r="P86" s="36">
        <v>1</v>
      </c>
      <c r="Q86" s="37">
        <v>1</v>
      </c>
      <c r="R86" s="38">
        <f>IFERROR((TABLA_AVANCE_METAS[[#This Row],[AVANCE 1°. TRIM]]/TABLA_AVANCE_METAS[[#This Row],[PROGR. 1° TRIM]])*100,"0")</f>
        <v>100</v>
      </c>
      <c r="S86"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86" s="36">
        <v>0</v>
      </c>
      <c r="U86" s="37">
        <v>0</v>
      </c>
      <c r="V86" s="40" t="str">
        <f t="shared" si="2"/>
        <v>0</v>
      </c>
      <c r="W86" s="39" t="str">
        <f t="shared" ref="W86:W144" si="4">IF(AND(V86&gt;=0,V86&lt;=49.9999999999999),"CRÍTICO",IF(AND(V86&gt;=50,V86&lt;=69.9999999999999),"DEFICIENTE",IF(AND(V86&gt;=70,V86&lt;=89.9999999999999),"REGULAR",IF(AND(V86&gt;=90,V86&lt;=110.999999999999),"ADECUADO",IF(AND(V86&gt;=111,V86&lt;=999999),"SOBREPASADO","NO PROG.")))))</f>
        <v>NO PROG.</v>
      </c>
      <c r="X86" s="36">
        <v>0</v>
      </c>
      <c r="Y86" s="37">
        <v>0</v>
      </c>
      <c r="Z86" s="40" t="s">
        <v>72</v>
      </c>
      <c r="AA86" s="39" t="s">
        <v>73</v>
      </c>
      <c r="AB86" s="36">
        <v>0</v>
      </c>
      <c r="AC86" s="41">
        <v>0</v>
      </c>
      <c r="AD86" s="40" t="str">
        <f>IFERROR((TABLA_AVANCE_METAS[[#This Row],[AVANCE 4°. TRIM]]/TABLA_AVANCE_METAS[[#This Row],[PROGR. 4° TRIM]])*100,"0")</f>
        <v>0</v>
      </c>
      <c r="AE86"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NO PROG.</v>
      </c>
      <c r="AF86" s="43" cm="1">
        <f t="array" ref="AF86">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v>
      </c>
      <c r="AG86" s="44" cm="1">
        <f t="array" ref="AG86">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1</v>
      </c>
      <c r="AH86" s="40">
        <f>IFERROR((TABLA_AVANCE_METAS[[#This Row],[AVANCE ACUM. TRIM.]]/TABLA_AVANCE_METAS[[#This Row],[PROG. ACUM]])*100,"N/A")</f>
        <v>100</v>
      </c>
      <c r="AI86"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86" s="45">
        <f>TABLA_AVANCE_METAS[[#This Row],[AVANCE ACUM. TRIM.]]-TABLA_AVANCE_METAS[[#This Row],[PROG. ACUM]]</f>
        <v>0</v>
      </c>
      <c r="AK86" s="46">
        <f>IFERROR((TABLA_AVANCE_METAS[[#This Row],[DIFERENCIA ABSOLUTA SEMESTRAL]]/TABLA_AVANCE_METAS[[#This Row],[PROG. ACUM]])*100,"N/A")</f>
        <v>0</v>
      </c>
      <c r="AL86" s="44">
        <f>TABLA_AVANCE_METAS[[#This Row],[AVANCE 1°. TRIM]]+TABLA_AVANCE_METAS[[#This Row],[AVANCE 2°. TRIM]]+TABLA_AVANCE_METAS[[#This Row],[AVANCE 3°. TRIM]]+TABLA_AVANCE_METAS[[#This Row],[AVANCE 4°. TRIM]]</f>
        <v>1</v>
      </c>
      <c r="AM86" s="40">
        <f>IFERROR((TABLA_AVANCE_METAS[[#This Row],[AVANCE ACUM. ANUAL]]/TABLA_AVANCE_METAS[[#This Row],[PROGRAMADO ANUAL]])*100,"N/A")</f>
        <v>100</v>
      </c>
      <c r="AN86"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ADECUADO</v>
      </c>
      <c r="AO86" s="45">
        <f>TABLA_AVANCE_METAS[[#This Row],[AVANCE ACUM. ANUAL]]-TABLA_AVANCE_METAS[[#This Row],[PROGRAMADO ANUAL]]</f>
        <v>0</v>
      </c>
      <c r="AP86" s="47">
        <f>IFERROR((TABLA_AVANCE_METAS[[#This Row],[DIFERENCIA ABSOLUTA ANUAL]]/TABLA_AVANCE_METAS[[#This Row],[PROGRAMADO ANUAL]])*100,"N/A")</f>
        <v>0</v>
      </c>
      <c r="AQ86" s="48" t="s">
        <v>63</v>
      </c>
      <c r="AR86" s="49"/>
      <c r="AS86" s="50"/>
      <c r="AT86" s="50"/>
      <c r="AU86" s="51" t="b">
        <f>TABLA_AVANCE_METAS[[#This Row],[PROGRAMADO ANUAL]]=SUM(TABLA_AVANCE_METAS[[#This Row],[PROGR. 1° TRIM]],TABLA_AVANCE_METAS[[#This Row],[PROGR. 2° TRIM]],TABLA_AVANCE_METAS[[#This Row],[PROGR. 3° TRIM]],TABLA_AVANCE_METAS[[#This Row],[PROGR. 4° TRIM]])</f>
        <v>1</v>
      </c>
      <c r="AV86" s="52"/>
    </row>
    <row r="87" spans="1:48" ht="75" hidden="1" customHeight="1" x14ac:dyDescent="0.3">
      <c r="A87" s="31" t="str">
        <f>CONCATENATE(TABLA_AVANCE_METAS[[#This Row],[ESTRUCTURA]],TABLA_AVANCE_METAS[[#This Row],['#]])</f>
        <v>B0021101050202092</v>
      </c>
      <c r="B87" s="32" t="s">
        <v>308</v>
      </c>
      <c r="C87" s="33" t="s">
        <v>214</v>
      </c>
      <c r="D87" s="32" t="s">
        <v>215</v>
      </c>
      <c r="E87" s="32" t="s">
        <v>309</v>
      </c>
      <c r="F87" s="32" t="s">
        <v>310</v>
      </c>
      <c r="G87" s="34" t="s">
        <v>311</v>
      </c>
      <c r="H87" s="32" t="s">
        <v>280</v>
      </c>
      <c r="I87" s="32" t="s">
        <v>281</v>
      </c>
      <c r="J87" s="32" t="s">
        <v>297</v>
      </c>
      <c r="K87" s="32" t="s">
        <v>298</v>
      </c>
      <c r="L87" s="33">
        <v>2</v>
      </c>
      <c r="M87" s="35" t="s">
        <v>313</v>
      </c>
      <c r="N87" s="34" t="s">
        <v>289</v>
      </c>
      <c r="O87" s="36">
        <v>1</v>
      </c>
      <c r="P87" s="36">
        <v>1</v>
      </c>
      <c r="Q87" s="37">
        <v>1</v>
      </c>
      <c r="R87" s="38">
        <f>IFERROR((TABLA_AVANCE_METAS[[#This Row],[AVANCE 1°. TRIM]]/TABLA_AVANCE_METAS[[#This Row],[PROGR. 1° TRIM]])*100,"0")</f>
        <v>100</v>
      </c>
      <c r="S87"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87" s="36">
        <v>0</v>
      </c>
      <c r="U87" s="37">
        <v>0</v>
      </c>
      <c r="V87" s="40" t="str">
        <f t="shared" si="2"/>
        <v>0</v>
      </c>
      <c r="W87" s="39" t="str">
        <f t="shared" si="4"/>
        <v>NO PROG.</v>
      </c>
      <c r="X87" s="36">
        <v>0</v>
      </c>
      <c r="Y87" s="37">
        <v>0</v>
      </c>
      <c r="Z87" s="40" t="s">
        <v>72</v>
      </c>
      <c r="AA87" s="39" t="s">
        <v>73</v>
      </c>
      <c r="AB87" s="36">
        <v>0</v>
      </c>
      <c r="AC87" s="41">
        <v>0</v>
      </c>
      <c r="AD87" s="40" t="str">
        <f>IFERROR((TABLA_AVANCE_METAS[[#This Row],[AVANCE 4°. TRIM]]/TABLA_AVANCE_METAS[[#This Row],[PROGR. 4° TRIM]])*100,"0")</f>
        <v>0</v>
      </c>
      <c r="AE87"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NO PROG.</v>
      </c>
      <c r="AF87" s="43" cm="1">
        <f t="array" ref="AF87">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v>
      </c>
      <c r="AG87" s="44" cm="1">
        <f t="array" ref="AG87">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1</v>
      </c>
      <c r="AH87" s="40">
        <f>IFERROR((TABLA_AVANCE_METAS[[#This Row],[AVANCE ACUM. TRIM.]]/TABLA_AVANCE_METAS[[#This Row],[PROG. ACUM]])*100,"N/A")</f>
        <v>100</v>
      </c>
      <c r="AI87"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87" s="45">
        <f>TABLA_AVANCE_METAS[[#This Row],[AVANCE ACUM. TRIM.]]-TABLA_AVANCE_METAS[[#This Row],[PROG. ACUM]]</f>
        <v>0</v>
      </c>
      <c r="AK87" s="46">
        <f>IFERROR((TABLA_AVANCE_METAS[[#This Row],[DIFERENCIA ABSOLUTA SEMESTRAL]]/TABLA_AVANCE_METAS[[#This Row],[PROG. ACUM]])*100,"N/A")</f>
        <v>0</v>
      </c>
      <c r="AL87" s="44">
        <f>TABLA_AVANCE_METAS[[#This Row],[AVANCE 1°. TRIM]]+TABLA_AVANCE_METAS[[#This Row],[AVANCE 2°. TRIM]]+TABLA_AVANCE_METAS[[#This Row],[AVANCE 3°. TRIM]]+TABLA_AVANCE_METAS[[#This Row],[AVANCE 4°. TRIM]]</f>
        <v>1</v>
      </c>
      <c r="AM87" s="40">
        <f>IFERROR((TABLA_AVANCE_METAS[[#This Row],[AVANCE ACUM. ANUAL]]/TABLA_AVANCE_METAS[[#This Row],[PROGRAMADO ANUAL]])*100,"N/A")</f>
        <v>100</v>
      </c>
      <c r="AN87"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ADECUADO</v>
      </c>
      <c r="AO87" s="45">
        <f>TABLA_AVANCE_METAS[[#This Row],[AVANCE ACUM. ANUAL]]-TABLA_AVANCE_METAS[[#This Row],[PROGRAMADO ANUAL]]</f>
        <v>0</v>
      </c>
      <c r="AP87" s="47">
        <f>IFERROR((TABLA_AVANCE_METAS[[#This Row],[DIFERENCIA ABSOLUTA ANUAL]]/TABLA_AVANCE_METAS[[#This Row],[PROGRAMADO ANUAL]])*100,"N/A")</f>
        <v>0</v>
      </c>
      <c r="AQ87" s="48" t="s">
        <v>63</v>
      </c>
      <c r="AR87" s="49"/>
      <c r="AS87" s="50"/>
      <c r="AT87" s="50"/>
      <c r="AU87" s="51" t="b">
        <f>TABLA_AVANCE_METAS[[#This Row],[PROGRAMADO ANUAL]]=SUM(TABLA_AVANCE_METAS[[#This Row],[PROGR. 1° TRIM]],TABLA_AVANCE_METAS[[#This Row],[PROGR. 2° TRIM]],TABLA_AVANCE_METAS[[#This Row],[PROGR. 3° TRIM]],TABLA_AVANCE_METAS[[#This Row],[PROGR. 4° TRIM]])</f>
        <v>1</v>
      </c>
      <c r="AV87" s="52"/>
    </row>
    <row r="88" spans="1:48" ht="75" hidden="1" customHeight="1" x14ac:dyDescent="0.3">
      <c r="A88" s="31" t="str">
        <f>CONCATENATE(TABLA_AVANCE_METAS[[#This Row],[ESTRUCTURA]],TABLA_AVANCE_METAS[[#This Row],['#]])</f>
        <v>B0021101050202093</v>
      </c>
      <c r="B88" s="32" t="s">
        <v>308</v>
      </c>
      <c r="C88" s="33" t="s">
        <v>214</v>
      </c>
      <c r="D88" s="32" t="s">
        <v>215</v>
      </c>
      <c r="E88" s="32" t="s">
        <v>309</v>
      </c>
      <c r="F88" s="32" t="s">
        <v>310</v>
      </c>
      <c r="G88" s="34" t="s">
        <v>311</v>
      </c>
      <c r="H88" s="32" t="s">
        <v>280</v>
      </c>
      <c r="I88" s="32" t="s">
        <v>281</v>
      </c>
      <c r="J88" s="32" t="s">
        <v>297</v>
      </c>
      <c r="K88" s="32" t="s">
        <v>298</v>
      </c>
      <c r="L88" s="33">
        <v>3</v>
      </c>
      <c r="M88" s="35" t="s">
        <v>314</v>
      </c>
      <c r="N88" s="34" t="s">
        <v>85</v>
      </c>
      <c r="O88" s="36">
        <v>1</v>
      </c>
      <c r="P88" s="36">
        <v>0</v>
      </c>
      <c r="Q88" s="37">
        <v>0</v>
      </c>
      <c r="R88" s="38" t="str">
        <f>IFERROR((TABLA_AVANCE_METAS[[#This Row],[AVANCE 1°. TRIM]]/TABLA_AVANCE_METAS[[#This Row],[PROGR. 1° TRIM]])*100,"0")</f>
        <v>0</v>
      </c>
      <c r="S88"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NO PROG.</v>
      </c>
      <c r="T88" s="36">
        <v>0</v>
      </c>
      <c r="U88" s="37">
        <v>0</v>
      </c>
      <c r="V88" s="40" t="str">
        <f t="shared" si="2"/>
        <v>0</v>
      </c>
      <c r="W88" s="39" t="str">
        <f t="shared" si="4"/>
        <v>NO PROG.</v>
      </c>
      <c r="X88" s="36">
        <v>1</v>
      </c>
      <c r="Y88" s="37">
        <v>0</v>
      </c>
      <c r="Z88" s="40">
        <v>0</v>
      </c>
      <c r="AA88" s="39" t="s">
        <v>62</v>
      </c>
      <c r="AB88" s="36">
        <v>0</v>
      </c>
      <c r="AC88" s="41">
        <v>0</v>
      </c>
      <c r="AD88" s="40" t="str">
        <f>IFERROR((TABLA_AVANCE_METAS[[#This Row],[AVANCE 4°. TRIM]]/TABLA_AVANCE_METAS[[#This Row],[PROGR. 4° TRIM]])*100,"0")</f>
        <v>0</v>
      </c>
      <c r="AE88"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NO PROG.</v>
      </c>
      <c r="AF88" s="43" cm="1">
        <f t="array" ref="AF88">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0</v>
      </c>
      <c r="AG88" s="44" cm="1">
        <f t="array" ref="AG88">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0</v>
      </c>
      <c r="AH88" s="40" t="str">
        <f>IFERROR((TABLA_AVANCE_METAS[[#This Row],[AVANCE ACUM. TRIM.]]/TABLA_AVANCE_METAS[[#This Row],[PROG. ACUM]])*100,"N/A")</f>
        <v>N/A</v>
      </c>
      <c r="AI88"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NO PROG.</v>
      </c>
      <c r="AJ88" s="45">
        <f>TABLA_AVANCE_METAS[[#This Row],[AVANCE ACUM. TRIM.]]-TABLA_AVANCE_METAS[[#This Row],[PROG. ACUM]]</f>
        <v>0</v>
      </c>
      <c r="AK88" s="46" t="str">
        <f>IFERROR((TABLA_AVANCE_METAS[[#This Row],[DIFERENCIA ABSOLUTA SEMESTRAL]]/TABLA_AVANCE_METAS[[#This Row],[PROG. ACUM]])*100,"N/A")</f>
        <v>N/A</v>
      </c>
      <c r="AL88" s="44">
        <f>TABLA_AVANCE_METAS[[#This Row],[AVANCE 1°. TRIM]]+TABLA_AVANCE_METAS[[#This Row],[AVANCE 2°. TRIM]]+TABLA_AVANCE_METAS[[#This Row],[AVANCE 3°. TRIM]]+TABLA_AVANCE_METAS[[#This Row],[AVANCE 4°. TRIM]]</f>
        <v>0</v>
      </c>
      <c r="AM88" s="40">
        <f>IFERROR((TABLA_AVANCE_METAS[[#This Row],[AVANCE ACUM. ANUAL]]/TABLA_AVANCE_METAS[[#This Row],[PROGRAMADO ANUAL]])*100,"N/A")</f>
        <v>0</v>
      </c>
      <c r="AN88"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88" s="45">
        <f>TABLA_AVANCE_METAS[[#This Row],[AVANCE ACUM. ANUAL]]-TABLA_AVANCE_METAS[[#This Row],[PROGRAMADO ANUAL]]</f>
        <v>-1</v>
      </c>
      <c r="AP88" s="47">
        <f>IFERROR((TABLA_AVANCE_METAS[[#This Row],[DIFERENCIA ABSOLUTA ANUAL]]/TABLA_AVANCE_METAS[[#This Row],[PROGRAMADO ANUAL]])*100,"N/A")</f>
        <v>-100</v>
      </c>
      <c r="AQ88" s="48" t="s">
        <v>63</v>
      </c>
      <c r="AR88" s="49"/>
      <c r="AS88" s="50"/>
      <c r="AT88" s="50"/>
      <c r="AU88" s="51" t="b">
        <f>TABLA_AVANCE_METAS[[#This Row],[PROGRAMADO ANUAL]]=SUM(TABLA_AVANCE_METAS[[#This Row],[PROGR. 1° TRIM]],TABLA_AVANCE_METAS[[#This Row],[PROGR. 2° TRIM]],TABLA_AVANCE_METAS[[#This Row],[PROGR. 3° TRIM]],TABLA_AVANCE_METAS[[#This Row],[PROGR. 4° TRIM]])</f>
        <v>1</v>
      </c>
      <c r="AV88" s="52"/>
    </row>
    <row r="89" spans="1:48" ht="75" hidden="1" customHeight="1" x14ac:dyDescent="0.3">
      <c r="A89" s="31" t="str">
        <f>CONCATENATE(TABLA_AVANCE_METAS[[#This Row],[ESTRUCTURA]],TABLA_AVANCE_METAS[[#This Row],['#]])</f>
        <v>B0021101050202094</v>
      </c>
      <c r="B89" s="32" t="s">
        <v>308</v>
      </c>
      <c r="C89" s="33" t="s">
        <v>214</v>
      </c>
      <c r="D89" s="32" t="s">
        <v>215</v>
      </c>
      <c r="E89" s="32" t="s">
        <v>309</v>
      </c>
      <c r="F89" s="32" t="s">
        <v>310</v>
      </c>
      <c r="G89" s="34" t="s">
        <v>311</v>
      </c>
      <c r="H89" s="32" t="s">
        <v>280</v>
      </c>
      <c r="I89" s="32" t="s">
        <v>281</v>
      </c>
      <c r="J89" s="32" t="s">
        <v>297</v>
      </c>
      <c r="K89" s="32" t="s">
        <v>298</v>
      </c>
      <c r="L89" s="33">
        <v>4</v>
      </c>
      <c r="M89" s="35" t="s">
        <v>315</v>
      </c>
      <c r="N89" s="34" t="s">
        <v>206</v>
      </c>
      <c r="O89" s="36">
        <v>4</v>
      </c>
      <c r="P89" s="36">
        <v>1</v>
      </c>
      <c r="Q89" s="37">
        <v>1</v>
      </c>
      <c r="R89" s="38">
        <f>IFERROR((TABLA_AVANCE_METAS[[#This Row],[AVANCE 1°. TRIM]]/TABLA_AVANCE_METAS[[#This Row],[PROGR. 1° TRIM]])*100,"0")</f>
        <v>100</v>
      </c>
      <c r="S89"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89" s="36">
        <v>1</v>
      </c>
      <c r="U89" s="37">
        <v>1</v>
      </c>
      <c r="V89" s="40">
        <f t="shared" si="2"/>
        <v>100</v>
      </c>
      <c r="W89" s="39" t="str">
        <f t="shared" si="4"/>
        <v>ADECUADO</v>
      </c>
      <c r="X89" s="36">
        <v>1</v>
      </c>
      <c r="Y89" s="37">
        <v>0</v>
      </c>
      <c r="Z89" s="40">
        <v>0</v>
      </c>
      <c r="AA89" s="39" t="s">
        <v>62</v>
      </c>
      <c r="AB89" s="36">
        <v>1</v>
      </c>
      <c r="AC89" s="41">
        <v>0</v>
      </c>
      <c r="AD89" s="40">
        <f>IFERROR((TABLA_AVANCE_METAS[[#This Row],[AVANCE 4°. TRIM]]/TABLA_AVANCE_METAS[[#This Row],[PROGR. 4° TRIM]])*100,"0")</f>
        <v>0</v>
      </c>
      <c r="AE89"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89" s="43" cm="1">
        <f t="array" ref="AF89">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2</v>
      </c>
      <c r="AG89" s="44" cm="1">
        <f t="array" ref="AG89">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2</v>
      </c>
      <c r="AH89" s="40">
        <f>IFERROR((TABLA_AVANCE_METAS[[#This Row],[AVANCE ACUM. TRIM.]]/TABLA_AVANCE_METAS[[#This Row],[PROG. ACUM]])*100,"N/A")</f>
        <v>100</v>
      </c>
      <c r="AI89"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89" s="45">
        <f>TABLA_AVANCE_METAS[[#This Row],[AVANCE ACUM. TRIM.]]-TABLA_AVANCE_METAS[[#This Row],[PROG. ACUM]]</f>
        <v>0</v>
      </c>
      <c r="AK89" s="46">
        <f>IFERROR((TABLA_AVANCE_METAS[[#This Row],[DIFERENCIA ABSOLUTA SEMESTRAL]]/TABLA_AVANCE_METAS[[#This Row],[PROG. ACUM]])*100,"N/A")</f>
        <v>0</v>
      </c>
      <c r="AL89" s="44">
        <f>TABLA_AVANCE_METAS[[#This Row],[AVANCE 1°. TRIM]]+TABLA_AVANCE_METAS[[#This Row],[AVANCE 2°. TRIM]]+TABLA_AVANCE_METAS[[#This Row],[AVANCE 3°. TRIM]]+TABLA_AVANCE_METAS[[#This Row],[AVANCE 4°. TRIM]]</f>
        <v>2</v>
      </c>
      <c r="AM89" s="40">
        <f>IFERROR((TABLA_AVANCE_METAS[[#This Row],[AVANCE ACUM. ANUAL]]/TABLA_AVANCE_METAS[[#This Row],[PROGRAMADO ANUAL]])*100,"N/A")</f>
        <v>50</v>
      </c>
      <c r="AN89"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89" s="45">
        <f>TABLA_AVANCE_METAS[[#This Row],[AVANCE ACUM. ANUAL]]-TABLA_AVANCE_METAS[[#This Row],[PROGRAMADO ANUAL]]</f>
        <v>-2</v>
      </c>
      <c r="AP89" s="47">
        <f>IFERROR((TABLA_AVANCE_METAS[[#This Row],[DIFERENCIA ABSOLUTA ANUAL]]/TABLA_AVANCE_METAS[[#This Row],[PROGRAMADO ANUAL]])*100,"N/A")</f>
        <v>-50</v>
      </c>
      <c r="AQ89" s="48" t="s">
        <v>63</v>
      </c>
      <c r="AR89" s="49"/>
      <c r="AS89" s="50"/>
      <c r="AT89" s="50"/>
      <c r="AU89" s="51" t="b">
        <f>TABLA_AVANCE_METAS[[#This Row],[PROGRAMADO ANUAL]]=SUM(TABLA_AVANCE_METAS[[#This Row],[PROGR. 1° TRIM]],TABLA_AVANCE_METAS[[#This Row],[PROGR. 2° TRIM]],TABLA_AVANCE_METAS[[#This Row],[PROGR. 3° TRIM]],TABLA_AVANCE_METAS[[#This Row],[PROGR. 4° TRIM]])</f>
        <v>1</v>
      </c>
      <c r="AV89" s="52"/>
    </row>
    <row r="90" spans="1:48" ht="75" hidden="1" customHeight="1" x14ac:dyDescent="0.3">
      <c r="A90" s="31" t="str">
        <f>CONCATENATE(TABLA_AVANCE_METAS[[#This Row],[ESTRUCTURA]],TABLA_AVANCE_METAS[[#This Row],['#]])</f>
        <v>B0021101050202095</v>
      </c>
      <c r="B90" s="32" t="s">
        <v>308</v>
      </c>
      <c r="C90" s="62" t="s">
        <v>214</v>
      </c>
      <c r="D90" s="61" t="s">
        <v>215</v>
      </c>
      <c r="E90" s="32" t="s">
        <v>309</v>
      </c>
      <c r="F90" s="61" t="s">
        <v>310</v>
      </c>
      <c r="G90" s="34" t="s">
        <v>311</v>
      </c>
      <c r="H90" s="61" t="s">
        <v>280</v>
      </c>
      <c r="I90" s="61" t="s">
        <v>281</v>
      </c>
      <c r="J90" s="61" t="s">
        <v>297</v>
      </c>
      <c r="K90" s="61" t="s">
        <v>298</v>
      </c>
      <c r="L90" s="33">
        <v>5</v>
      </c>
      <c r="M90" s="57" t="s">
        <v>316</v>
      </c>
      <c r="N90" s="34" t="s">
        <v>206</v>
      </c>
      <c r="O90" s="36">
        <v>4</v>
      </c>
      <c r="P90" s="36">
        <v>1</v>
      </c>
      <c r="Q90" s="37">
        <v>1</v>
      </c>
      <c r="R90" s="38">
        <f>IFERROR((TABLA_AVANCE_METAS[[#This Row],[AVANCE 1°. TRIM]]/TABLA_AVANCE_METAS[[#This Row],[PROGR. 1° TRIM]])*100,"0")</f>
        <v>100</v>
      </c>
      <c r="S90"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90" s="36">
        <v>1</v>
      </c>
      <c r="U90" s="37">
        <v>1</v>
      </c>
      <c r="V90" s="40">
        <f t="shared" si="2"/>
        <v>100</v>
      </c>
      <c r="W90" s="39" t="str">
        <f t="shared" si="4"/>
        <v>ADECUADO</v>
      </c>
      <c r="X90" s="36">
        <v>1</v>
      </c>
      <c r="Y90" s="37">
        <v>0</v>
      </c>
      <c r="Z90" s="40">
        <v>0</v>
      </c>
      <c r="AA90" s="39" t="s">
        <v>62</v>
      </c>
      <c r="AB90" s="36">
        <v>1</v>
      </c>
      <c r="AC90" s="41">
        <v>0</v>
      </c>
      <c r="AD90" s="40">
        <f>IFERROR((TABLA_AVANCE_METAS[[#This Row],[AVANCE 4°. TRIM]]/TABLA_AVANCE_METAS[[#This Row],[PROGR. 4° TRIM]])*100,"0")</f>
        <v>0</v>
      </c>
      <c r="AE90"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90" s="43" cm="1">
        <f t="array" ref="AF90">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2</v>
      </c>
      <c r="AG90" s="44" cm="1">
        <f t="array" ref="AG90">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2</v>
      </c>
      <c r="AH90" s="40">
        <f>IFERROR((TABLA_AVANCE_METAS[[#This Row],[AVANCE ACUM. TRIM.]]/TABLA_AVANCE_METAS[[#This Row],[PROG. ACUM]])*100,"N/A")</f>
        <v>100</v>
      </c>
      <c r="AI90"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90" s="45">
        <f>TABLA_AVANCE_METAS[[#This Row],[AVANCE ACUM. TRIM.]]-TABLA_AVANCE_METAS[[#This Row],[PROG. ACUM]]</f>
        <v>0</v>
      </c>
      <c r="AK90" s="46">
        <f>IFERROR((TABLA_AVANCE_METAS[[#This Row],[DIFERENCIA ABSOLUTA SEMESTRAL]]/TABLA_AVANCE_METAS[[#This Row],[PROG. ACUM]])*100,"N/A")</f>
        <v>0</v>
      </c>
      <c r="AL90" s="44">
        <f>TABLA_AVANCE_METAS[[#This Row],[AVANCE 1°. TRIM]]+TABLA_AVANCE_METAS[[#This Row],[AVANCE 2°. TRIM]]+TABLA_AVANCE_METAS[[#This Row],[AVANCE 3°. TRIM]]+TABLA_AVANCE_METAS[[#This Row],[AVANCE 4°. TRIM]]</f>
        <v>2</v>
      </c>
      <c r="AM90" s="40">
        <f>IFERROR((TABLA_AVANCE_METAS[[#This Row],[AVANCE ACUM. ANUAL]]/TABLA_AVANCE_METAS[[#This Row],[PROGRAMADO ANUAL]])*100,"N/A")</f>
        <v>50</v>
      </c>
      <c r="AN90"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90" s="45">
        <f>TABLA_AVANCE_METAS[[#This Row],[AVANCE ACUM. ANUAL]]-TABLA_AVANCE_METAS[[#This Row],[PROGRAMADO ANUAL]]</f>
        <v>-2</v>
      </c>
      <c r="AP90" s="47">
        <f>IFERROR((TABLA_AVANCE_METAS[[#This Row],[DIFERENCIA ABSOLUTA ANUAL]]/TABLA_AVANCE_METAS[[#This Row],[PROGRAMADO ANUAL]])*100,"N/A")</f>
        <v>-50</v>
      </c>
      <c r="AQ90" s="48" t="s">
        <v>63</v>
      </c>
      <c r="AR90" s="49"/>
      <c r="AS90" s="50"/>
      <c r="AT90" s="50"/>
      <c r="AU90" s="51" t="b">
        <f>TABLA_AVANCE_METAS[[#This Row],[PROGRAMADO ANUAL]]=SUM(TABLA_AVANCE_METAS[[#This Row],[PROGR. 1° TRIM]],TABLA_AVANCE_METAS[[#This Row],[PROGR. 2° TRIM]],TABLA_AVANCE_METAS[[#This Row],[PROGR. 3° TRIM]],TABLA_AVANCE_METAS[[#This Row],[PROGR. 4° TRIM]])</f>
        <v>1</v>
      </c>
      <c r="AV90" s="52"/>
    </row>
    <row r="91" spans="1:48" ht="75" hidden="1" customHeight="1" x14ac:dyDescent="0.3">
      <c r="A91" s="31" t="str">
        <f>CONCATENATE(TABLA_AVANCE_METAS[[#This Row],[ESTRUCTURA]],TABLA_AVANCE_METAS[[#This Row],['#]])</f>
        <v>B0021101050202096</v>
      </c>
      <c r="B91" s="32" t="s">
        <v>308</v>
      </c>
      <c r="C91" s="62" t="s">
        <v>214</v>
      </c>
      <c r="D91" s="61" t="s">
        <v>215</v>
      </c>
      <c r="E91" s="32" t="s">
        <v>309</v>
      </c>
      <c r="F91" s="61" t="s">
        <v>310</v>
      </c>
      <c r="G91" s="34" t="s">
        <v>311</v>
      </c>
      <c r="H91" s="61" t="s">
        <v>280</v>
      </c>
      <c r="I91" s="61" t="s">
        <v>281</v>
      </c>
      <c r="J91" s="61" t="s">
        <v>297</v>
      </c>
      <c r="K91" s="61" t="s">
        <v>298</v>
      </c>
      <c r="L91" s="33">
        <v>6</v>
      </c>
      <c r="M91" s="57" t="s">
        <v>317</v>
      </c>
      <c r="N91" s="34" t="s">
        <v>318</v>
      </c>
      <c r="O91" s="36">
        <v>12</v>
      </c>
      <c r="P91" s="36">
        <v>3</v>
      </c>
      <c r="Q91" s="37">
        <v>3</v>
      </c>
      <c r="R91" s="38">
        <f>IFERROR((TABLA_AVANCE_METAS[[#This Row],[AVANCE 1°. TRIM]]/TABLA_AVANCE_METAS[[#This Row],[PROGR. 1° TRIM]])*100,"0")</f>
        <v>100</v>
      </c>
      <c r="S91"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91" s="36">
        <v>3</v>
      </c>
      <c r="U91" s="37">
        <v>3</v>
      </c>
      <c r="V91" s="40">
        <f t="shared" si="2"/>
        <v>100</v>
      </c>
      <c r="W91" s="39" t="str">
        <f t="shared" si="4"/>
        <v>ADECUADO</v>
      </c>
      <c r="X91" s="36">
        <v>3</v>
      </c>
      <c r="Y91" s="37">
        <v>0</v>
      </c>
      <c r="Z91" s="40">
        <v>0</v>
      </c>
      <c r="AA91" s="39" t="s">
        <v>62</v>
      </c>
      <c r="AB91" s="36">
        <v>3</v>
      </c>
      <c r="AC91" s="41">
        <v>0</v>
      </c>
      <c r="AD91" s="40">
        <f>IFERROR((TABLA_AVANCE_METAS[[#This Row],[AVANCE 4°. TRIM]]/TABLA_AVANCE_METAS[[#This Row],[PROGR. 4° TRIM]])*100,"0")</f>
        <v>0</v>
      </c>
      <c r="AE91"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91" s="43" cm="1">
        <f t="array" ref="AF91">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6</v>
      </c>
      <c r="AG91" s="44" cm="1">
        <f t="array" ref="AG91">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6</v>
      </c>
      <c r="AH91" s="40">
        <f>IFERROR((TABLA_AVANCE_METAS[[#This Row],[AVANCE ACUM. TRIM.]]/TABLA_AVANCE_METAS[[#This Row],[PROG. ACUM]])*100,"N/A")</f>
        <v>100</v>
      </c>
      <c r="AI91"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91" s="45">
        <f>TABLA_AVANCE_METAS[[#This Row],[AVANCE ACUM. TRIM.]]-TABLA_AVANCE_METAS[[#This Row],[PROG. ACUM]]</f>
        <v>0</v>
      </c>
      <c r="AK91" s="46">
        <f>IFERROR((TABLA_AVANCE_METAS[[#This Row],[DIFERENCIA ABSOLUTA SEMESTRAL]]/TABLA_AVANCE_METAS[[#This Row],[PROG. ACUM]])*100,"N/A")</f>
        <v>0</v>
      </c>
      <c r="AL91" s="44">
        <f>TABLA_AVANCE_METAS[[#This Row],[AVANCE 1°. TRIM]]+TABLA_AVANCE_METAS[[#This Row],[AVANCE 2°. TRIM]]+TABLA_AVANCE_METAS[[#This Row],[AVANCE 3°. TRIM]]+TABLA_AVANCE_METAS[[#This Row],[AVANCE 4°. TRIM]]</f>
        <v>6</v>
      </c>
      <c r="AM91" s="40">
        <f>IFERROR((TABLA_AVANCE_METAS[[#This Row],[AVANCE ACUM. ANUAL]]/TABLA_AVANCE_METAS[[#This Row],[PROGRAMADO ANUAL]])*100,"N/A")</f>
        <v>50</v>
      </c>
      <c r="AN91"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91" s="45">
        <f>TABLA_AVANCE_METAS[[#This Row],[AVANCE ACUM. ANUAL]]-TABLA_AVANCE_METAS[[#This Row],[PROGRAMADO ANUAL]]</f>
        <v>-6</v>
      </c>
      <c r="AP91" s="47">
        <f>IFERROR((TABLA_AVANCE_METAS[[#This Row],[DIFERENCIA ABSOLUTA ANUAL]]/TABLA_AVANCE_METAS[[#This Row],[PROGRAMADO ANUAL]])*100,"N/A")</f>
        <v>-50</v>
      </c>
      <c r="AQ91" s="48" t="s">
        <v>63</v>
      </c>
      <c r="AR91" s="49"/>
      <c r="AS91" s="50"/>
      <c r="AT91" s="50"/>
      <c r="AU91" s="51" t="b">
        <f>TABLA_AVANCE_METAS[[#This Row],[PROGRAMADO ANUAL]]=SUM(TABLA_AVANCE_METAS[[#This Row],[PROGR. 1° TRIM]],TABLA_AVANCE_METAS[[#This Row],[PROGR. 2° TRIM]],TABLA_AVANCE_METAS[[#This Row],[PROGR. 3° TRIM]],TABLA_AVANCE_METAS[[#This Row],[PROGR. 4° TRIM]])</f>
        <v>1</v>
      </c>
      <c r="AV91" s="52"/>
    </row>
    <row r="92" spans="1:48" ht="75" hidden="1" customHeight="1" x14ac:dyDescent="0.3">
      <c r="A92" s="31" t="str">
        <f>CONCATENATE(TABLA_AVANCE_METAS[[#This Row],[ESTRUCTURA]],TABLA_AVANCE_METAS[[#This Row],['#]])</f>
        <v>B0021101050202097</v>
      </c>
      <c r="B92" s="32" t="s">
        <v>308</v>
      </c>
      <c r="C92" s="62" t="s">
        <v>214</v>
      </c>
      <c r="D92" s="61" t="s">
        <v>215</v>
      </c>
      <c r="E92" s="32" t="s">
        <v>309</v>
      </c>
      <c r="F92" s="61" t="s">
        <v>310</v>
      </c>
      <c r="G92" s="34" t="s">
        <v>311</v>
      </c>
      <c r="H92" s="61" t="s">
        <v>280</v>
      </c>
      <c r="I92" s="61" t="s">
        <v>281</v>
      </c>
      <c r="J92" s="61" t="s">
        <v>297</v>
      </c>
      <c r="K92" s="61" t="s">
        <v>298</v>
      </c>
      <c r="L92" s="33">
        <v>7</v>
      </c>
      <c r="M92" s="57" t="s">
        <v>319</v>
      </c>
      <c r="N92" s="34" t="s">
        <v>318</v>
      </c>
      <c r="O92" s="36">
        <v>6</v>
      </c>
      <c r="P92" s="36">
        <v>2</v>
      </c>
      <c r="Q92" s="37">
        <v>2</v>
      </c>
      <c r="R92" s="38">
        <f>IFERROR((TABLA_AVANCE_METAS[[#This Row],[AVANCE 1°. TRIM]]/TABLA_AVANCE_METAS[[#This Row],[PROGR. 1° TRIM]])*100,"0")</f>
        <v>100</v>
      </c>
      <c r="S92"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92" s="36">
        <v>1</v>
      </c>
      <c r="U92" s="37">
        <v>1</v>
      </c>
      <c r="V92" s="40">
        <f t="shared" si="2"/>
        <v>100</v>
      </c>
      <c r="W92" s="39" t="str">
        <f t="shared" si="4"/>
        <v>ADECUADO</v>
      </c>
      <c r="X92" s="36">
        <v>2</v>
      </c>
      <c r="Y92" s="37">
        <v>0</v>
      </c>
      <c r="Z92" s="40">
        <v>0</v>
      </c>
      <c r="AA92" s="39" t="s">
        <v>62</v>
      </c>
      <c r="AB92" s="36">
        <v>1</v>
      </c>
      <c r="AC92" s="41">
        <v>0</v>
      </c>
      <c r="AD92" s="40">
        <f>IFERROR((TABLA_AVANCE_METAS[[#This Row],[AVANCE 4°. TRIM]]/TABLA_AVANCE_METAS[[#This Row],[PROGR. 4° TRIM]])*100,"0")</f>
        <v>0</v>
      </c>
      <c r="AE92"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92" s="43" cm="1">
        <f t="array" ref="AF92">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3</v>
      </c>
      <c r="AG92" s="44" cm="1">
        <f t="array" ref="AG92">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3</v>
      </c>
      <c r="AH92" s="40">
        <f>IFERROR((TABLA_AVANCE_METAS[[#This Row],[AVANCE ACUM. TRIM.]]/TABLA_AVANCE_METAS[[#This Row],[PROG. ACUM]])*100,"N/A")</f>
        <v>100</v>
      </c>
      <c r="AI92"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92" s="45">
        <f>TABLA_AVANCE_METAS[[#This Row],[AVANCE ACUM. TRIM.]]-TABLA_AVANCE_METAS[[#This Row],[PROG. ACUM]]</f>
        <v>0</v>
      </c>
      <c r="AK92" s="46">
        <f>IFERROR((TABLA_AVANCE_METAS[[#This Row],[DIFERENCIA ABSOLUTA SEMESTRAL]]/TABLA_AVANCE_METAS[[#This Row],[PROG. ACUM]])*100,"N/A")</f>
        <v>0</v>
      </c>
      <c r="AL92" s="44">
        <f>TABLA_AVANCE_METAS[[#This Row],[AVANCE 1°. TRIM]]+TABLA_AVANCE_METAS[[#This Row],[AVANCE 2°. TRIM]]+TABLA_AVANCE_METAS[[#This Row],[AVANCE 3°. TRIM]]+TABLA_AVANCE_METAS[[#This Row],[AVANCE 4°. TRIM]]</f>
        <v>3</v>
      </c>
      <c r="AM92" s="40">
        <f>IFERROR((TABLA_AVANCE_METAS[[#This Row],[AVANCE ACUM. ANUAL]]/TABLA_AVANCE_METAS[[#This Row],[PROGRAMADO ANUAL]])*100,"N/A")</f>
        <v>50</v>
      </c>
      <c r="AN92"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92" s="45">
        <f>TABLA_AVANCE_METAS[[#This Row],[AVANCE ACUM. ANUAL]]-TABLA_AVANCE_METAS[[#This Row],[PROGRAMADO ANUAL]]</f>
        <v>-3</v>
      </c>
      <c r="AP92" s="47">
        <f>IFERROR((TABLA_AVANCE_METAS[[#This Row],[DIFERENCIA ABSOLUTA ANUAL]]/TABLA_AVANCE_METAS[[#This Row],[PROGRAMADO ANUAL]])*100,"N/A")</f>
        <v>-50</v>
      </c>
      <c r="AQ92" s="48" t="s">
        <v>63</v>
      </c>
      <c r="AR92" s="49"/>
      <c r="AS92" s="50"/>
      <c r="AT92" s="50"/>
      <c r="AU92" s="51" t="b">
        <f>TABLA_AVANCE_METAS[[#This Row],[PROGRAMADO ANUAL]]=SUM(TABLA_AVANCE_METAS[[#This Row],[PROGR. 1° TRIM]],TABLA_AVANCE_METAS[[#This Row],[PROGR. 2° TRIM]],TABLA_AVANCE_METAS[[#This Row],[PROGR. 3° TRIM]],TABLA_AVANCE_METAS[[#This Row],[PROGR. 4° TRIM]])</f>
        <v>1</v>
      </c>
      <c r="AV92" s="52"/>
    </row>
    <row r="93" spans="1:48" ht="75" hidden="1" customHeight="1" x14ac:dyDescent="0.3">
      <c r="A93" s="31" t="str">
        <f>CONCATENATE(TABLA_AVANCE_METAS[[#This Row],[ESTRUCTURA]],TABLA_AVANCE_METAS[[#This Row],['#]])</f>
        <v>B0020101080501031</v>
      </c>
      <c r="B93" s="32" t="s">
        <v>320</v>
      </c>
      <c r="C93" s="62" t="s">
        <v>214</v>
      </c>
      <c r="D93" s="61" t="s">
        <v>215</v>
      </c>
      <c r="E93" s="32" t="s">
        <v>321</v>
      </c>
      <c r="F93" s="61" t="s">
        <v>322</v>
      </c>
      <c r="G93" s="34" t="s">
        <v>323</v>
      </c>
      <c r="H93" s="61" t="s">
        <v>170</v>
      </c>
      <c r="I93" s="61" t="s">
        <v>171</v>
      </c>
      <c r="J93" s="61" t="s">
        <v>172</v>
      </c>
      <c r="K93" s="61" t="s">
        <v>173</v>
      </c>
      <c r="L93" s="33">
        <v>1</v>
      </c>
      <c r="M93" s="57" t="s">
        <v>324</v>
      </c>
      <c r="N93" s="34" t="s">
        <v>325</v>
      </c>
      <c r="O93" s="36">
        <v>84</v>
      </c>
      <c r="P93" s="36">
        <v>21</v>
      </c>
      <c r="Q93" s="37">
        <v>21</v>
      </c>
      <c r="R93" s="38">
        <f>IFERROR((TABLA_AVANCE_METAS[[#This Row],[AVANCE 1°. TRIM]]/TABLA_AVANCE_METAS[[#This Row],[PROGR. 1° TRIM]])*100,"0")</f>
        <v>100</v>
      </c>
      <c r="S93"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93" s="36">
        <v>21</v>
      </c>
      <c r="U93" s="37">
        <v>21</v>
      </c>
      <c r="V93" s="40">
        <f t="shared" si="2"/>
        <v>100</v>
      </c>
      <c r="W93" s="39" t="str">
        <f t="shared" si="4"/>
        <v>ADECUADO</v>
      </c>
      <c r="X93" s="36">
        <v>21</v>
      </c>
      <c r="Y93" s="37">
        <v>0</v>
      </c>
      <c r="Z93" s="40">
        <v>0</v>
      </c>
      <c r="AA93" s="39" t="s">
        <v>62</v>
      </c>
      <c r="AB93" s="36">
        <v>21</v>
      </c>
      <c r="AC93" s="41">
        <v>0</v>
      </c>
      <c r="AD93" s="40">
        <f>IFERROR((TABLA_AVANCE_METAS[[#This Row],[AVANCE 4°. TRIM]]/TABLA_AVANCE_METAS[[#This Row],[PROGR. 4° TRIM]])*100,"0")</f>
        <v>0</v>
      </c>
      <c r="AE93"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93" s="43" cm="1">
        <f t="array" ref="AF93">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42</v>
      </c>
      <c r="AG93" s="44" cm="1">
        <f t="array" ref="AG93">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42</v>
      </c>
      <c r="AH93" s="40">
        <f>IFERROR((TABLA_AVANCE_METAS[[#This Row],[AVANCE ACUM. TRIM.]]/TABLA_AVANCE_METAS[[#This Row],[PROG. ACUM]])*100,"N/A")</f>
        <v>100</v>
      </c>
      <c r="AI93"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93" s="45">
        <f>TABLA_AVANCE_METAS[[#This Row],[AVANCE ACUM. TRIM.]]-TABLA_AVANCE_METAS[[#This Row],[PROG. ACUM]]</f>
        <v>0</v>
      </c>
      <c r="AK93" s="46">
        <f>IFERROR((TABLA_AVANCE_METAS[[#This Row],[DIFERENCIA ABSOLUTA SEMESTRAL]]/TABLA_AVANCE_METAS[[#This Row],[PROG. ACUM]])*100,"N/A")</f>
        <v>0</v>
      </c>
      <c r="AL93" s="44">
        <f>TABLA_AVANCE_METAS[[#This Row],[AVANCE 1°. TRIM]]+TABLA_AVANCE_METAS[[#This Row],[AVANCE 2°. TRIM]]+TABLA_AVANCE_METAS[[#This Row],[AVANCE 3°. TRIM]]+TABLA_AVANCE_METAS[[#This Row],[AVANCE 4°. TRIM]]</f>
        <v>42</v>
      </c>
      <c r="AM93" s="40">
        <f>IFERROR((TABLA_AVANCE_METAS[[#This Row],[AVANCE ACUM. ANUAL]]/TABLA_AVANCE_METAS[[#This Row],[PROGRAMADO ANUAL]])*100,"N/A")</f>
        <v>50</v>
      </c>
      <c r="AN93"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93" s="45">
        <f>TABLA_AVANCE_METAS[[#This Row],[AVANCE ACUM. ANUAL]]-TABLA_AVANCE_METAS[[#This Row],[PROGRAMADO ANUAL]]</f>
        <v>-42</v>
      </c>
      <c r="AP93" s="47">
        <f>IFERROR((TABLA_AVANCE_METAS[[#This Row],[DIFERENCIA ABSOLUTA ANUAL]]/TABLA_AVANCE_METAS[[#This Row],[PROGRAMADO ANUAL]])*100,"N/A")</f>
        <v>-50</v>
      </c>
      <c r="AQ93" s="48" t="s">
        <v>63</v>
      </c>
      <c r="AR93" s="49"/>
      <c r="AS93" s="50"/>
      <c r="AT93" s="50"/>
      <c r="AU93" s="51" t="b">
        <f>TABLA_AVANCE_METAS[[#This Row],[PROGRAMADO ANUAL]]=SUM(TABLA_AVANCE_METAS[[#This Row],[PROGR. 1° TRIM]],TABLA_AVANCE_METAS[[#This Row],[PROGR. 2° TRIM]],TABLA_AVANCE_METAS[[#This Row],[PROGR. 3° TRIM]],TABLA_AVANCE_METAS[[#This Row],[PROGR. 4° TRIM]])</f>
        <v>1</v>
      </c>
      <c r="AV93" s="52"/>
    </row>
    <row r="94" spans="1:48" ht="75" hidden="1" customHeight="1" x14ac:dyDescent="0.3">
      <c r="A94" s="31" t="str">
        <f>CONCATENATE(TABLA_AVANCE_METAS[[#This Row],[ESTRUCTURA]],TABLA_AVANCE_METAS[[#This Row],['#]])</f>
        <v>B0020101080501032</v>
      </c>
      <c r="B94" s="32" t="s">
        <v>320</v>
      </c>
      <c r="C94" s="33" t="s">
        <v>214</v>
      </c>
      <c r="D94" s="33" t="s">
        <v>215</v>
      </c>
      <c r="E94" s="32" t="s">
        <v>321</v>
      </c>
      <c r="F94" s="32" t="s">
        <v>322</v>
      </c>
      <c r="G94" s="34" t="s">
        <v>323</v>
      </c>
      <c r="H94" s="32" t="s">
        <v>170</v>
      </c>
      <c r="I94" s="32" t="s">
        <v>171</v>
      </c>
      <c r="J94" s="32" t="s">
        <v>172</v>
      </c>
      <c r="K94" s="32" t="s">
        <v>173</v>
      </c>
      <c r="L94" s="33">
        <v>2</v>
      </c>
      <c r="M94" s="35" t="s">
        <v>326</v>
      </c>
      <c r="N94" s="34" t="s">
        <v>145</v>
      </c>
      <c r="O94" s="36">
        <v>1</v>
      </c>
      <c r="P94" s="36">
        <v>0</v>
      </c>
      <c r="Q94" s="37">
        <v>0</v>
      </c>
      <c r="R94" s="38" t="str">
        <f>IFERROR((TABLA_AVANCE_METAS[[#This Row],[AVANCE 1°. TRIM]]/TABLA_AVANCE_METAS[[#This Row],[PROGR. 1° TRIM]])*100,"0")</f>
        <v>0</v>
      </c>
      <c r="S94"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NO PROG.</v>
      </c>
      <c r="T94" s="36">
        <v>0</v>
      </c>
      <c r="U94" s="37">
        <v>0</v>
      </c>
      <c r="V94" s="40" t="str">
        <f t="shared" si="2"/>
        <v>0</v>
      </c>
      <c r="W94" s="39" t="str">
        <f t="shared" si="4"/>
        <v>NO PROG.</v>
      </c>
      <c r="X94" s="36">
        <v>1</v>
      </c>
      <c r="Y94" s="37">
        <v>0</v>
      </c>
      <c r="Z94" s="40">
        <v>0</v>
      </c>
      <c r="AA94" s="39" t="s">
        <v>62</v>
      </c>
      <c r="AB94" s="36">
        <v>0</v>
      </c>
      <c r="AC94" s="41">
        <v>0</v>
      </c>
      <c r="AD94" s="40" t="str">
        <f>IFERROR((TABLA_AVANCE_METAS[[#This Row],[AVANCE 4°. TRIM]]/TABLA_AVANCE_METAS[[#This Row],[PROGR. 4° TRIM]])*100,"0")</f>
        <v>0</v>
      </c>
      <c r="AE94"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NO PROG.</v>
      </c>
      <c r="AF94" s="43" cm="1">
        <f t="array" ref="AF94">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0</v>
      </c>
      <c r="AG94" s="44" cm="1">
        <f t="array" ref="AG94">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0</v>
      </c>
      <c r="AH94" s="40" t="str">
        <f>IFERROR((TABLA_AVANCE_METAS[[#This Row],[AVANCE ACUM. TRIM.]]/TABLA_AVANCE_METAS[[#This Row],[PROG. ACUM]])*100,"N/A")</f>
        <v>N/A</v>
      </c>
      <c r="AI94"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NO PROG.</v>
      </c>
      <c r="AJ94" s="45">
        <f>TABLA_AVANCE_METAS[[#This Row],[AVANCE ACUM. TRIM.]]-TABLA_AVANCE_METAS[[#This Row],[PROG. ACUM]]</f>
        <v>0</v>
      </c>
      <c r="AK94" s="46" t="str">
        <f>IFERROR((TABLA_AVANCE_METAS[[#This Row],[DIFERENCIA ABSOLUTA SEMESTRAL]]/TABLA_AVANCE_METAS[[#This Row],[PROG. ACUM]])*100,"N/A")</f>
        <v>N/A</v>
      </c>
      <c r="AL94" s="44">
        <f>TABLA_AVANCE_METAS[[#This Row],[AVANCE 1°. TRIM]]+TABLA_AVANCE_METAS[[#This Row],[AVANCE 2°. TRIM]]+TABLA_AVANCE_METAS[[#This Row],[AVANCE 3°. TRIM]]+TABLA_AVANCE_METAS[[#This Row],[AVANCE 4°. TRIM]]</f>
        <v>0</v>
      </c>
      <c r="AM94" s="40">
        <f>IFERROR((TABLA_AVANCE_METAS[[#This Row],[AVANCE ACUM. ANUAL]]/TABLA_AVANCE_METAS[[#This Row],[PROGRAMADO ANUAL]])*100,"N/A")</f>
        <v>0</v>
      </c>
      <c r="AN94"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94" s="45">
        <f>TABLA_AVANCE_METAS[[#This Row],[AVANCE ACUM. ANUAL]]-TABLA_AVANCE_METAS[[#This Row],[PROGRAMADO ANUAL]]</f>
        <v>-1</v>
      </c>
      <c r="AP94" s="47">
        <f>IFERROR((TABLA_AVANCE_METAS[[#This Row],[DIFERENCIA ABSOLUTA ANUAL]]/TABLA_AVANCE_METAS[[#This Row],[PROGRAMADO ANUAL]])*100,"N/A")</f>
        <v>-100</v>
      </c>
      <c r="AQ94" s="48" t="s">
        <v>63</v>
      </c>
      <c r="AR94" s="49"/>
      <c r="AS94" s="50"/>
      <c r="AT94" s="50"/>
      <c r="AU94" s="51" t="b">
        <f>TABLA_AVANCE_METAS[[#This Row],[PROGRAMADO ANUAL]]=SUM(TABLA_AVANCE_METAS[[#This Row],[PROGR. 1° TRIM]],TABLA_AVANCE_METAS[[#This Row],[PROGR. 2° TRIM]],TABLA_AVANCE_METAS[[#This Row],[PROGR. 3° TRIM]],TABLA_AVANCE_METAS[[#This Row],[PROGR. 4° TRIM]])</f>
        <v>1</v>
      </c>
      <c r="AV94" s="52"/>
    </row>
    <row r="95" spans="1:48" ht="75" hidden="1" customHeight="1" x14ac:dyDescent="0.3">
      <c r="A95" s="31" t="str">
        <f>CONCATENATE(TABLA_AVANCE_METAS[[#This Row],[ESTRUCTURA]],TABLA_AVANCE_METAS[[#This Row],['#]])</f>
        <v>B0020101080501033</v>
      </c>
      <c r="B95" s="32" t="s">
        <v>320</v>
      </c>
      <c r="C95" s="33" t="s">
        <v>214</v>
      </c>
      <c r="D95" s="33" t="s">
        <v>215</v>
      </c>
      <c r="E95" s="32" t="s">
        <v>321</v>
      </c>
      <c r="F95" s="32" t="s">
        <v>322</v>
      </c>
      <c r="G95" s="34" t="s">
        <v>323</v>
      </c>
      <c r="H95" s="32" t="s">
        <v>170</v>
      </c>
      <c r="I95" s="32" t="s">
        <v>171</v>
      </c>
      <c r="J95" s="32" t="s">
        <v>172</v>
      </c>
      <c r="K95" s="32" t="s">
        <v>173</v>
      </c>
      <c r="L95" s="33">
        <v>3</v>
      </c>
      <c r="M95" s="35" t="s">
        <v>327</v>
      </c>
      <c r="N95" s="34" t="s">
        <v>328</v>
      </c>
      <c r="O95" s="36">
        <v>600</v>
      </c>
      <c r="P95" s="36">
        <v>150</v>
      </c>
      <c r="Q95" s="37">
        <v>150</v>
      </c>
      <c r="R95" s="38">
        <f>IFERROR((TABLA_AVANCE_METAS[[#This Row],[AVANCE 1°. TRIM]]/TABLA_AVANCE_METAS[[#This Row],[PROGR. 1° TRIM]])*100,"0")</f>
        <v>100</v>
      </c>
      <c r="S95"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95" s="36">
        <v>150</v>
      </c>
      <c r="U95" s="37">
        <v>150</v>
      </c>
      <c r="V95" s="40">
        <f t="shared" si="2"/>
        <v>100</v>
      </c>
      <c r="W95" s="39" t="str">
        <f t="shared" si="4"/>
        <v>ADECUADO</v>
      </c>
      <c r="X95" s="36">
        <v>150</v>
      </c>
      <c r="Y95" s="37">
        <v>0</v>
      </c>
      <c r="Z95" s="40">
        <v>0</v>
      </c>
      <c r="AA95" s="39" t="s">
        <v>62</v>
      </c>
      <c r="AB95" s="36">
        <v>150</v>
      </c>
      <c r="AC95" s="41">
        <v>0</v>
      </c>
      <c r="AD95" s="40">
        <f>IFERROR((TABLA_AVANCE_METAS[[#This Row],[AVANCE 4°. TRIM]]/TABLA_AVANCE_METAS[[#This Row],[PROGR. 4° TRIM]])*100,"0")</f>
        <v>0</v>
      </c>
      <c r="AE95"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95" s="43" cm="1">
        <f t="array" ref="AF95">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300</v>
      </c>
      <c r="AG95" s="44" cm="1">
        <f t="array" ref="AG95">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300</v>
      </c>
      <c r="AH95" s="40">
        <f>IFERROR((TABLA_AVANCE_METAS[[#This Row],[AVANCE ACUM. TRIM.]]/TABLA_AVANCE_METAS[[#This Row],[PROG. ACUM]])*100,"N/A")</f>
        <v>100</v>
      </c>
      <c r="AI95"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95" s="45">
        <f>TABLA_AVANCE_METAS[[#This Row],[AVANCE ACUM. TRIM.]]-TABLA_AVANCE_METAS[[#This Row],[PROG. ACUM]]</f>
        <v>0</v>
      </c>
      <c r="AK95" s="46">
        <f>IFERROR((TABLA_AVANCE_METAS[[#This Row],[DIFERENCIA ABSOLUTA SEMESTRAL]]/TABLA_AVANCE_METAS[[#This Row],[PROG. ACUM]])*100,"N/A")</f>
        <v>0</v>
      </c>
      <c r="AL95" s="44">
        <f>TABLA_AVANCE_METAS[[#This Row],[AVANCE 1°. TRIM]]+TABLA_AVANCE_METAS[[#This Row],[AVANCE 2°. TRIM]]+TABLA_AVANCE_METAS[[#This Row],[AVANCE 3°. TRIM]]+TABLA_AVANCE_METAS[[#This Row],[AVANCE 4°. TRIM]]</f>
        <v>300</v>
      </c>
      <c r="AM95" s="40">
        <f>IFERROR((TABLA_AVANCE_METAS[[#This Row],[AVANCE ACUM. ANUAL]]/TABLA_AVANCE_METAS[[#This Row],[PROGRAMADO ANUAL]])*100,"N/A")</f>
        <v>50</v>
      </c>
      <c r="AN95"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95" s="45">
        <f>TABLA_AVANCE_METAS[[#This Row],[AVANCE ACUM. ANUAL]]-TABLA_AVANCE_METAS[[#This Row],[PROGRAMADO ANUAL]]</f>
        <v>-300</v>
      </c>
      <c r="AP95" s="47">
        <f>IFERROR((TABLA_AVANCE_METAS[[#This Row],[DIFERENCIA ABSOLUTA ANUAL]]/TABLA_AVANCE_METAS[[#This Row],[PROGRAMADO ANUAL]])*100,"N/A")</f>
        <v>-50</v>
      </c>
      <c r="AQ95" s="48" t="s">
        <v>63</v>
      </c>
      <c r="AR95" s="49"/>
      <c r="AS95" s="50"/>
      <c r="AT95" s="50"/>
      <c r="AU95" s="51" t="b">
        <f>TABLA_AVANCE_METAS[[#This Row],[PROGRAMADO ANUAL]]=SUM(TABLA_AVANCE_METAS[[#This Row],[PROGR. 1° TRIM]],TABLA_AVANCE_METAS[[#This Row],[PROGR. 2° TRIM]],TABLA_AVANCE_METAS[[#This Row],[PROGR. 3° TRIM]],TABLA_AVANCE_METAS[[#This Row],[PROGR. 4° TRIM]])</f>
        <v>1</v>
      </c>
      <c r="AV95" s="52"/>
    </row>
    <row r="96" spans="1:48" ht="75" hidden="1" customHeight="1" x14ac:dyDescent="0.3">
      <c r="A96" s="31" t="str">
        <f>CONCATENATE(TABLA_AVANCE_METAS[[#This Row],[ESTRUCTURA]],TABLA_AVANCE_METAS[[#This Row],['#]])</f>
        <v>B0020101080501034</v>
      </c>
      <c r="B96" s="32" t="s">
        <v>320</v>
      </c>
      <c r="C96" s="33" t="s">
        <v>214</v>
      </c>
      <c r="D96" s="33" t="s">
        <v>215</v>
      </c>
      <c r="E96" s="32" t="s">
        <v>321</v>
      </c>
      <c r="F96" s="32" t="s">
        <v>322</v>
      </c>
      <c r="G96" s="34" t="s">
        <v>323</v>
      </c>
      <c r="H96" s="32" t="s">
        <v>170</v>
      </c>
      <c r="I96" s="32" t="s">
        <v>171</v>
      </c>
      <c r="J96" s="32" t="s">
        <v>172</v>
      </c>
      <c r="K96" s="32" t="s">
        <v>173</v>
      </c>
      <c r="L96" s="33">
        <v>4</v>
      </c>
      <c r="M96" s="35" t="s">
        <v>329</v>
      </c>
      <c r="N96" s="34" t="s">
        <v>330</v>
      </c>
      <c r="O96" s="36">
        <v>30</v>
      </c>
      <c r="P96" s="36">
        <v>10</v>
      </c>
      <c r="Q96" s="37">
        <v>10</v>
      </c>
      <c r="R96" s="38">
        <f>IFERROR((TABLA_AVANCE_METAS[[#This Row],[AVANCE 1°. TRIM]]/TABLA_AVANCE_METAS[[#This Row],[PROGR. 1° TRIM]])*100,"0")</f>
        <v>100</v>
      </c>
      <c r="S96"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96" s="36">
        <v>8</v>
      </c>
      <c r="U96" s="37">
        <v>8</v>
      </c>
      <c r="V96" s="40">
        <f t="shared" si="2"/>
        <v>100</v>
      </c>
      <c r="W96" s="39" t="str">
        <f t="shared" si="4"/>
        <v>ADECUADO</v>
      </c>
      <c r="X96" s="36">
        <v>8</v>
      </c>
      <c r="Y96" s="37">
        <v>0</v>
      </c>
      <c r="Z96" s="40">
        <v>0</v>
      </c>
      <c r="AA96" s="39" t="s">
        <v>62</v>
      </c>
      <c r="AB96" s="36">
        <v>4</v>
      </c>
      <c r="AC96" s="41">
        <v>0</v>
      </c>
      <c r="AD96" s="40">
        <f>IFERROR((TABLA_AVANCE_METAS[[#This Row],[AVANCE 4°. TRIM]]/TABLA_AVANCE_METAS[[#This Row],[PROGR. 4° TRIM]])*100,"0")</f>
        <v>0</v>
      </c>
      <c r="AE96"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96" s="43" cm="1">
        <f t="array" ref="AF96">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18</v>
      </c>
      <c r="AG96" s="44" cm="1">
        <f t="array" ref="AG96">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18</v>
      </c>
      <c r="AH96" s="40">
        <f>IFERROR((TABLA_AVANCE_METAS[[#This Row],[AVANCE ACUM. TRIM.]]/TABLA_AVANCE_METAS[[#This Row],[PROG. ACUM]])*100,"N/A")</f>
        <v>100</v>
      </c>
      <c r="AI96"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96" s="45">
        <f>TABLA_AVANCE_METAS[[#This Row],[AVANCE ACUM. TRIM.]]-TABLA_AVANCE_METAS[[#This Row],[PROG. ACUM]]</f>
        <v>0</v>
      </c>
      <c r="AK96" s="46">
        <f>IFERROR((TABLA_AVANCE_METAS[[#This Row],[DIFERENCIA ABSOLUTA SEMESTRAL]]/TABLA_AVANCE_METAS[[#This Row],[PROG. ACUM]])*100,"N/A")</f>
        <v>0</v>
      </c>
      <c r="AL96" s="44">
        <f>TABLA_AVANCE_METAS[[#This Row],[AVANCE 1°. TRIM]]+TABLA_AVANCE_METAS[[#This Row],[AVANCE 2°. TRIM]]+TABLA_AVANCE_METAS[[#This Row],[AVANCE 3°. TRIM]]+TABLA_AVANCE_METAS[[#This Row],[AVANCE 4°. TRIM]]</f>
        <v>18</v>
      </c>
      <c r="AM96" s="40">
        <f>IFERROR((TABLA_AVANCE_METAS[[#This Row],[AVANCE ACUM. ANUAL]]/TABLA_AVANCE_METAS[[#This Row],[PROGRAMADO ANUAL]])*100,"N/A")</f>
        <v>60</v>
      </c>
      <c r="AN96"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96" s="45">
        <f>TABLA_AVANCE_METAS[[#This Row],[AVANCE ACUM. ANUAL]]-TABLA_AVANCE_METAS[[#This Row],[PROGRAMADO ANUAL]]</f>
        <v>-12</v>
      </c>
      <c r="AP96" s="47">
        <f>IFERROR((TABLA_AVANCE_METAS[[#This Row],[DIFERENCIA ABSOLUTA ANUAL]]/TABLA_AVANCE_METAS[[#This Row],[PROGRAMADO ANUAL]])*100,"N/A")</f>
        <v>-40</v>
      </c>
      <c r="AQ96" s="48" t="s">
        <v>63</v>
      </c>
      <c r="AR96" s="49"/>
      <c r="AS96" s="50"/>
      <c r="AT96" s="50"/>
      <c r="AU96" s="51" t="b">
        <f>TABLA_AVANCE_METAS[[#This Row],[PROGRAMADO ANUAL]]=SUM(TABLA_AVANCE_METAS[[#This Row],[PROGR. 1° TRIM]],TABLA_AVANCE_METAS[[#This Row],[PROGR. 2° TRIM]],TABLA_AVANCE_METAS[[#This Row],[PROGR. 3° TRIM]],TABLA_AVANCE_METAS[[#This Row],[PROGR. 4° TRIM]])</f>
        <v>1</v>
      </c>
      <c r="AV96" s="52"/>
    </row>
    <row r="97" spans="1:48" ht="75" hidden="1" customHeight="1" x14ac:dyDescent="0.3">
      <c r="A97" s="31" t="str">
        <f>CONCATENATE(TABLA_AVANCE_METAS[[#This Row],[ESTRUCTURA]],TABLA_AVANCE_METAS[[#This Row],['#]])</f>
        <v>B0020101080501035</v>
      </c>
      <c r="B97" s="32" t="s">
        <v>320</v>
      </c>
      <c r="C97" s="33" t="s">
        <v>214</v>
      </c>
      <c r="D97" s="33" t="s">
        <v>215</v>
      </c>
      <c r="E97" s="32" t="s">
        <v>321</v>
      </c>
      <c r="F97" s="32" t="s">
        <v>322</v>
      </c>
      <c r="G97" s="34" t="s">
        <v>323</v>
      </c>
      <c r="H97" s="32" t="s">
        <v>170</v>
      </c>
      <c r="I97" s="32" t="s">
        <v>171</v>
      </c>
      <c r="J97" s="32" t="s">
        <v>172</v>
      </c>
      <c r="K97" s="32" t="s">
        <v>173</v>
      </c>
      <c r="L97" s="33">
        <v>5</v>
      </c>
      <c r="M97" s="35" t="s">
        <v>331</v>
      </c>
      <c r="N97" s="34" t="s">
        <v>332</v>
      </c>
      <c r="O97" s="36">
        <v>52</v>
      </c>
      <c r="P97" s="36">
        <v>13</v>
      </c>
      <c r="Q97" s="37">
        <v>13</v>
      </c>
      <c r="R97" s="38">
        <f>IFERROR((TABLA_AVANCE_METAS[[#This Row],[AVANCE 1°. TRIM]]/TABLA_AVANCE_METAS[[#This Row],[PROGR. 1° TRIM]])*100,"0")</f>
        <v>100</v>
      </c>
      <c r="S97"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97" s="36">
        <v>13</v>
      </c>
      <c r="U97" s="37">
        <v>13</v>
      </c>
      <c r="V97" s="40">
        <f t="shared" si="2"/>
        <v>100</v>
      </c>
      <c r="W97" s="39" t="str">
        <f t="shared" si="4"/>
        <v>ADECUADO</v>
      </c>
      <c r="X97" s="36">
        <v>13</v>
      </c>
      <c r="Y97" s="37">
        <v>0</v>
      </c>
      <c r="Z97" s="40">
        <v>0</v>
      </c>
      <c r="AA97" s="39" t="s">
        <v>62</v>
      </c>
      <c r="AB97" s="36">
        <v>13</v>
      </c>
      <c r="AC97" s="41">
        <v>0</v>
      </c>
      <c r="AD97" s="40">
        <f>IFERROR((TABLA_AVANCE_METAS[[#This Row],[AVANCE 4°. TRIM]]/TABLA_AVANCE_METAS[[#This Row],[PROGR. 4° TRIM]])*100,"0")</f>
        <v>0</v>
      </c>
      <c r="AE97"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97" s="43" cm="1">
        <f t="array" ref="AF97">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26</v>
      </c>
      <c r="AG97" s="44" cm="1">
        <f t="array" ref="AG97">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26</v>
      </c>
      <c r="AH97" s="40">
        <f>IFERROR((TABLA_AVANCE_METAS[[#This Row],[AVANCE ACUM. TRIM.]]/TABLA_AVANCE_METAS[[#This Row],[PROG. ACUM]])*100,"N/A")</f>
        <v>100</v>
      </c>
      <c r="AI97"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97" s="45">
        <f>TABLA_AVANCE_METAS[[#This Row],[AVANCE ACUM. TRIM.]]-TABLA_AVANCE_METAS[[#This Row],[PROG. ACUM]]</f>
        <v>0</v>
      </c>
      <c r="AK97" s="46">
        <f>IFERROR((TABLA_AVANCE_METAS[[#This Row],[DIFERENCIA ABSOLUTA SEMESTRAL]]/TABLA_AVANCE_METAS[[#This Row],[PROG. ACUM]])*100,"N/A")</f>
        <v>0</v>
      </c>
      <c r="AL97" s="44">
        <f>TABLA_AVANCE_METAS[[#This Row],[AVANCE 1°. TRIM]]+TABLA_AVANCE_METAS[[#This Row],[AVANCE 2°. TRIM]]+TABLA_AVANCE_METAS[[#This Row],[AVANCE 3°. TRIM]]+TABLA_AVANCE_METAS[[#This Row],[AVANCE 4°. TRIM]]</f>
        <v>26</v>
      </c>
      <c r="AM97" s="40">
        <f>IFERROR((TABLA_AVANCE_METAS[[#This Row],[AVANCE ACUM. ANUAL]]/TABLA_AVANCE_METAS[[#This Row],[PROGRAMADO ANUAL]])*100,"N/A")</f>
        <v>50</v>
      </c>
      <c r="AN97"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97" s="45">
        <f>TABLA_AVANCE_METAS[[#This Row],[AVANCE ACUM. ANUAL]]-TABLA_AVANCE_METAS[[#This Row],[PROGRAMADO ANUAL]]</f>
        <v>-26</v>
      </c>
      <c r="AP97" s="47">
        <f>IFERROR((TABLA_AVANCE_METAS[[#This Row],[DIFERENCIA ABSOLUTA ANUAL]]/TABLA_AVANCE_METAS[[#This Row],[PROGRAMADO ANUAL]])*100,"N/A")</f>
        <v>-50</v>
      </c>
      <c r="AQ97" s="48" t="s">
        <v>63</v>
      </c>
      <c r="AR97" s="49"/>
      <c r="AS97" s="50"/>
      <c r="AT97" s="50"/>
      <c r="AU97" s="51" t="b">
        <f>TABLA_AVANCE_METAS[[#This Row],[PROGRAMADO ANUAL]]=SUM(TABLA_AVANCE_METAS[[#This Row],[PROGR. 1° TRIM]],TABLA_AVANCE_METAS[[#This Row],[PROGR. 2° TRIM]],TABLA_AVANCE_METAS[[#This Row],[PROGR. 3° TRIM]],TABLA_AVANCE_METAS[[#This Row],[PROGR. 4° TRIM]])</f>
        <v>1</v>
      </c>
      <c r="AV97" s="52"/>
    </row>
    <row r="98" spans="1:48" ht="75" hidden="1" customHeight="1" x14ac:dyDescent="0.3">
      <c r="A98" s="31" t="str">
        <f>CONCATENATE(TABLA_AVANCE_METAS[[#This Row],[ESTRUCTURA]],TABLA_AVANCE_METAS[[#This Row],['#]])</f>
        <v>B0020902060805011</v>
      </c>
      <c r="B98" s="32" t="s">
        <v>213</v>
      </c>
      <c r="C98" s="33" t="s">
        <v>214</v>
      </c>
      <c r="D98" s="33" t="s">
        <v>215</v>
      </c>
      <c r="E98" s="32" t="s">
        <v>254</v>
      </c>
      <c r="F98" s="32" t="s">
        <v>255</v>
      </c>
      <c r="G98" s="34" t="s">
        <v>333</v>
      </c>
      <c r="H98" s="32" t="s">
        <v>334</v>
      </c>
      <c r="I98" s="32" t="s">
        <v>335</v>
      </c>
      <c r="J98" s="32" t="s">
        <v>336</v>
      </c>
      <c r="K98" s="32" t="s">
        <v>337</v>
      </c>
      <c r="L98" s="33">
        <v>1</v>
      </c>
      <c r="M98" s="35" t="s">
        <v>338</v>
      </c>
      <c r="N98" s="34" t="s">
        <v>101</v>
      </c>
      <c r="O98" s="36">
        <v>4</v>
      </c>
      <c r="P98" s="36">
        <v>1</v>
      </c>
      <c r="Q98" s="37">
        <v>1</v>
      </c>
      <c r="R98" s="38">
        <f>IFERROR((TABLA_AVANCE_METAS[[#This Row],[AVANCE 1°. TRIM]]/TABLA_AVANCE_METAS[[#This Row],[PROGR. 1° TRIM]])*100,"0")</f>
        <v>100</v>
      </c>
      <c r="S98"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98" s="36">
        <v>1</v>
      </c>
      <c r="U98" s="37">
        <v>1</v>
      </c>
      <c r="V98" s="40">
        <f t="shared" si="2"/>
        <v>100</v>
      </c>
      <c r="W98" s="39" t="str">
        <f t="shared" si="4"/>
        <v>ADECUADO</v>
      </c>
      <c r="X98" s="36">
        <v>1</v>
      </c>
      <c r="Y98" s="37">
        <v>0</v>
      </c>
      <c r="Z98" s="40">
        <v>0</v>
      </c>
      <c r="AA98" s="39" t="s">
        <v>62</v>
      </c>
      <c r="AB98" s="36">
        <v>1</v>
      </c>
      <c r="AC98" s="41">
        <v>0</v>
      </c>
      <c r="AD98" s="40">
        <f>IFERROR((TABLA_AVANCE_METAS[[#This Row],[AVANCE 4°. TRIM]]/TABLA_AVANCE_METAS[[#This Row],[PROGR. 4° TRIM]])*100,"0")</f>
        <v>0</v>
      </c>
      <c r="AE98"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98" s="43" cm="1">
        <f t="array" ref="AF98">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2</v>
      </c>
      <c r="AG98" s="44" cm="1">
        <f t="array" ref="AG98">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2</v>
      </c>
      <c r="AH98" s="40">
        <f>IFERROR((TABLA_AVANCE_METAS[[#This Row],[AVANCE ACUM. TRIM.]]/TABLA_AVANCE_METAS[[#This Row],[PROG. ACUM]])*100,"N/A")</f>
        <v>100</v>
      </c>
      <c r="AI98"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98" s="45">
        <f>TABLA_AVANCE_METAS[[#This Row],[AVANCE ACUM. TRIM.]]-TABLA_AVANCE_METAS[[#This Row],[PROG. ACUM]]</f>
        <v>0</v>
      </c>
      <c r="AK98" s="46">
        <f>IFERROR((TABLA_AVANCE_METAS[[#This Row],[DIFERENCIA ABSOLUTA SEMESTRAL]]/TABLA_AVANCE_METAS[[#This Row],[PROG. ACUM]])*100,"N/A")</f>
        <v>0</v>
      </c>
      <c r="AL98" s="44">
        <f>TABLA_AVANCE_METAS[[#This Row],[AVANCE 1°. TRIM]]+TABLA_AVANCE_METAS[[#This Row],[AVANCE 2°. TRIM]]+TABLA_AVANCE_METAS[[#This Row],[AVANCE 3°. TRIM]]+TABLA_AVANCE_METAS[[#This Row],[AVANCE 4°. TRIM]]</f>
        <v>2</v>
      </c>
      <c r="AM98" s="40">
        <f>IFERROR((TABLA_AVANCE_METAS[[#This Row],[AVANCE ACUM. ANUAL]]/TABLA_AVANCE_METAS[[#This Row],[PROGRAMADO ANUAL]])*100,"N/A")</f>
        <v>50</v>
      </c>
      <c r="AN98"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98" s="45">
        <f>TABLA_AVANCE_METAS[[#This Row],[AVANCE ACUM. ANUAL]]-TABLA_AVANCE_METAS[[#This Row],[PROGRAMADO ANUAL]]</f>
        <v>-2</v>
      </c>
      <c r="AP98" s="47">
        <f>IFERROR((TABLA_AVANCE_METAS[[#This Row],[DIFERENCIA ABSOLUTA ANUAL]]/TABLA_AVANCE_METAS[[#This Row],[PROGRAMADO ANUAL]])*100,"N/A")</f>
        <v>-50</v>
      </c>
      <c r="AQ98" s="48" t="s">
        <v>63</v>
      </c>
      <c r="AR98" s="49"/>
      <c r="AS98" s="50"/>
      <c r="AT98" s="50"/>
      <c r="AU98" s="51" t="b">
        <f>TABLA_AVANCE_METAS[[#This Row],[PROGRAMADO ANUAL]]=SUM(TABLA_AVANCE_METAS[[#This Row],[PROGR. 1° TRIM]],TABLA_AVANCE_METAS[[#This Row],[PROGR. 2° TRIM]],TABLA_AVANCE_METAS[[#This Row],[PROGR. 3° TRIM]],TABLA_AVANCE_METAS[[#This Row],[PROGR. 4° TRIM]])</f>
        <v>1</v>
      </c>
      <c r="AV98" s="52"/>
    </row>
    <row r="99" spans="1:48" ht="75" hidden="1" customHeight="1" x14ac:dyDescent="0.3">
      <c r="A99" s="31" t="str">
        <f>CONCATENATE(TABLA_AVANCE_METAS[[#This Row],[ESTRUCTURA]],TABLA_AVANCE_METAS[[#This Row],['#]])</f>
        <v>B0020902060805012</v>
      </c>
      <c r="B99" s="32" t="s">
        <v>213</v>
      </c>
      <c r="C99" s="33" t="s">
        <v>214</v>
      </c>
      <c r="D99" s="33" t="s">
        <v>215</v>
      </c>
      <c r="E99" s="32" t="s">
        <v>254</v>
      </c>
      <c r="F99" s="32" t="s">
        <v>255</v>
      </c>
      <c r="G99" s="34" t="s">
        <v>333</v>
      </c>
      <c r="H99" s="32" t="s">
        <v>334</v>
      </c>
      <c r="I99" s="32" t="s">
        <v>335</v>
      </c>
      <c r="J99" s="32" t="s">
        <v>336</v>
      </c>
      <c r="K99" s="32" t="s">
        <v>337</v>
      </c>
      <c r="L99" s="33">
        <v>2</v>
      </c>
      <c r="M99" s="35" t="s">
        <v>339</v>
      </c>
      <c r="N99" s="34" t="s">
        <v>116</v>
      </c>
      <c r="O99" s="36">
        <v>4</v>
      </c>
      <c r="P99" s="36">
        <v>1</v>
      </c>
      <c r="Q99" s="37">
        <v>1</v>
      </c>
      <c r="R99" s="38">
        <f>IFERROR((TABLA_AVANCE_METAS[[#This Row],[AVANCE 1°. TRIM]]/TABLA_AVANCE_METAS[[#This Row],[PROGR. 1° TRIM]])*100,"0")</f>
        <v>100</v>
      </c>
      <c r="S99"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99" s="36">
        <v>1</v>
      </c>
      <c r="U99" s="37">
        <v>1</v>
      </c>
      <c r="V99" s="40">
        <f t="shared" si="2"/>
        <v>100</v>
      </c>
      <c r="W99" s="39" t="str">
        <f t="shared" si="4"/>
        <v>ADECUADO</v>
      </c>
      <c r="X99" s="36">
        <v>1</v>
      </c>
      <c r="Y99" s="37">
        <v>0</v>
      </c>
      <c r="Z99" s="40">
        <v>0</v>
      </c>
      <c r="AA99" s="39" t="s">
        <v>62</v>
      </c>
      <c r="AB99" s="36">
        <v>1</v>
      </c>
      <c r="AC99" s="41">
        <v>0</v>
      </c>
      <c r="AD99" s="40">
        <f>IFERROR((TABLA_AVANCE_METAS[[#This Row],[AVANCE 4°. TRIM]]/TABLA_AVANCE_METAS[[#This Row],[PROGR. 4° TRIM]])*100,"0")</f>
        <v>0</v>
      </c>
      <c r="AE99"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99" s="43" cm="1">
        <f t="array" ref="AF99">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2</v>
      </c>
      <c r="AG99" s="44" cm="1">
        <f t="array" ref="AG99">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2</v>
      </c>
      <c r="AH99" s="40">
        <f>IFERROR((TABLA_AVANCE_METAS[[#This Row],[AVANCE ACUM. TRIM.]]/TABLA_AVANCE_METAS[[#This Row],[PROG. ACUM]])*100,"N/A")</f>
        <v>100</v>
      </c>
      <c r="AI99"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99" s="45">
        <f>TABLA_AVANCE_METAS[[#This Row],[AVANCE ACUM. TRIM.]]-TABLA_AVANCE_METAS[[#This Row],[PROG. ACUM]]</f>
        <v>0</v>
      </c>
      <c r="AK99" s="46">
        <f>IFERROR((TABLA_AVANCE_METAS[[#This Row],[DIFERENCIA ABSOLUTA SEMESTRAL]]/TABLA_AVANCE_METAS[[#This Row],[PROG. ACUM]])*100,"N/A")</f>
        <v>0</v>
      </c>
      <c r="AL99" s="44">
        <f>TABLA_AVANCE_METAS[[#This Row],[AVANCE 1°. TRIM]]+TABLA_AVANCE_METAS[[#This Row],[AVANCE 2°. TRIM]]+TABLA_AVANCE_METAS[[#This Row],[AVANCE 3°. TRIM]]+TABLA_AVANCE_METAS[[#This Row],[AVANCE 4°. TRIM]]</f>
        <v>2</v>
      </c>
      <c r="AM99" s="40">
        <f>IFERROR((TABLA_AVANCE_METAS[[#This Row],[AVANCE ACUM. ANUAL]]/TABLA_AVANCE_METAS[[#This Row],[PROGRAMADO ANUAL]])*100,"N/A")</f>
        <v>50</v>
      </c>
      <c r="AN99"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99" s="45">
        <f>TABLA_AVANCE_METAS[[#This Row],[AVANCE ACUM. ANUAL]]-TABLA_AVANCE_METAS[[#This Row],[PROGRAMADO ANUAL]]</f>
        <v>-2</v>
      </c>
      <c r="AP99" s="47">
        <f>IFERROR((TABLA_AVANCE_METAS[[#This Row],[DIFERENCIA ABSOLUTA ANUAL]]/TABLA_AVANCE_METAS[[#This Row],[PROGRAMADO ANUAL]])*100,"N/A")</f>
        <v>-50</v>
      </c>
      <c r="AQ99" s="48" t="s">
        <v>63</v>
      </c>
      <c r="AR99" s="49"/>
      <c r="AS99" s="50"/>
      <c r="AT99" s="50"/>
      <c r="AU99" s="51" t="b">
        <f>TABLA_AVANCE_METAS[[#This Row],[PROGRAMADO ANUAL]]=SUM(TABLA_AVANCE_METAS[[#This Row],[PROGR. 1° TRIM]],TABLA_AVANCE_METAS[[#This Row],[PROGR. 2° TRIM]],TABLA_AVANCE_METAS[[#This Row],[PROGR. 3° TRIM]],TABLA_AVANCE_METAS[[#This Row],[PROGR. 4° TRIM]])</f>
        <v>1</v>
      </c>
      <c r="AV99" s="52"/>
    </row>
    <row r="100" spans="1:48" ht="75" hidden="1" customHeight="1" x14ac:dyDescent="0.3">
      <c r="A100" s="31" t="str">
        <f>CONCATENATE(TABLA_AVANCE_METAS[[#This Row],[ESTRUCTURA]],TABLA_AVANCE_METAS[[#This Row],['#]])</f>
        <v>B0020902060805013</v>
      </c>
      <c r="B100" s="32" t="s">
        <v>213</v>
      </c>
      <c r="C100" s="33" t="s">
        <v>214</v>
      </c>
      <c r="D100" s="33" t="s">
        <v>215</v>
      </c>
      <c r="E100" s="32" t="s">
        <v>254</v>
      </c>
      <c r="F100" s="32" t="s">
        <v>255</v>
      </c>
      <c r="G100" s="34" t="s">
        <v>333</v>
      </c>
      <c r="H100" s="32" t="s">
        <v>334</v>
      </c>
      <c r="I100" s="32" t="s">
        <v>335</v>
      </c>
      <c r="J100" s="32" t="s">
        <v>336</v>
      </c>
      <c r="K100" s="32" t="s">
        <v>337</v>
      </c>
      <c r="L100" s="33">
        <v>3</v>
      </c>
      <c r="M100" s="35" t="s">
        <v>340</v>
      </c>
      <c r="N100" s="34" t="s">
        <v>341</v>
      </c>
      <c r="O100" s="36">
        <v>4</v>
      </c>
      <c r="P100" s="36">
        <v>1</v>
      </c>
      <c r="Q100" s="37">
        <v>1</v>
      </c>
      <c r="R100" s="38">
        <f>IFERROR((TABLA_AVANCE_METAS[[#This Row],[AVANCE 1°. TRIM]]/TABLA_AVANCE_METAS[[#This Row],[PROGR. 1° TRIM]])*100,"0")</f>
        <v>100</v>
      </c>
      <c r="S100"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100" s="36">
        <v>1</v>
      </c>
      <c r="U100" s="37">
        <v>1</v>
      </c>
      <c r="V100" s="40">
        <f t="shared" si="2"/>
        <v>100</v>
      </c>
      <c r="W100" s="39" t="str">
        <f t="shared" si="4"/>
        <v>ADECUADO</v>
      </c>
      <c r="X100" s="36">
        <v>1</v>
      </c>
      <c r="Y100" s="37">
        <v>0</v>
      </c>
      <c r="Z100" s="40">
        <v>0</v>
      </c>
      <c r="AA100" s="39" t="s">
        <v>62</v>
      </c>
      <c r="AB100" s="36">
        <v>1</v>
      </c>
      <c r="AC100" s="41">
        <v>0</v>
      </c>
      <c r="AD100" s="40">
        <f>IFERROR((TABLA_AVANCE_METAS[[#This Row],[AVANCE 4°. TRIM]]/TABLA_AVANCE_METAS[[#This Row],[PROGR. 4° TRIM]])*100,"0")</f>
        <v>0</v>
      </c>
      <c r="AE100"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00" s="43" cm="1">
        <f t="array" ref="AF100">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2</v>
      </c>
      <c r="AG100" s="44" cm="1">
        <f t="array" ref="AG100">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2</v>
      </c>
      <c r="AH100" s="40">
        <f>IFERROR((TABLA_AVANCE_METAS[[#This Row],[AVANCE ACUM. TRIM.]]/TABLA_AVANCE_METAS[[#This Row],[PROG. ACUM]])*100,"N/A")</f>
        <v>100</v>
      </c>
      <c r="AI100"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100" s="45">
        <f>TABLA_AVANCE_METAS[[#This Row],[AVANCE ACUM. TRIM.]]-TABLA_AVANCE_METAS[[#This Row],[PROG. ACUM]]</f>
        <v>0</v>
      </c>
      <c r="AK100" s="46">
        <f>IFERROR((TABLA_AVANCE_METAS[[#This Row],[DIFERENCIA ABSOLUTA SEMESTRAL]]/TABLA_AVANCE_METAS[[#This Row],[PROG. ACUM]])*100,"N/A")</f>
        <v>0</v>
      </c>
      <c r="AL100" s="44">
        <f>TABLA_AVANCE_METAS[[#This Row],[AVANCE 1°. TRIM]]+TABLA_AVANCE_METAS[[#This Row],[AVANCE 2°. TRIM]]+TABLA_AVANCE_METAS[[#This Row],[AVANCE 3°. TRIM]]+TABLA_AVANCE_METAS[[#This Row],[AVANCE 4°. TRIM]]</f>
        <v>2</v>
      </c>
      <c r="AM100" s="40">
        <f>IFERROR((TABLA_AVANCE_METAS[[#This Row],[AVANCE ACUM. ANUAL]]/TABLA_AVANCE_METAS[[#This Row],[PROGRAMADO ANUAL]])*100,"N/A")</f>
        <v>50</v>
      </c>
      <c r="AN100"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100" s="45">
        <f>TABLA_AVANCE_METAS[[#This Row],[AVANCE ACUM. ANUAL]]-TABLA_AVANCE_METAS[[#This Row],[PROGRAMADO ANUAL]]</f>
        <v>-2</v>
      </c>
      <c r="AP100" s="47">
        <f>IFERROR((TABLA_AVANCE_METAS[[#This Row],[DIFERENCIA ABSOLUTA ANUAL]]/TABLA_AVANCE_METAS[[#This Row],[PROGRAMADO ANUAL]])*100,"N/A")</f>
        <v>-50</v>
      </c>
      <c r="AQ100" s="48" t="s">
        <v>63</v>
      </c>
      <c r="AR100" s="49"/>
      <c r="AS100" s="50"/>
      <c r="AT100" s="50"/>
      <c r="AU100" s="51" t="b">
        <f>TABLA_AVANCE_METAS[[#This Row],[PROGRAMADO ANUAL]]=SUM(TABLA_AVANCE_METAS[[#This Row],[PROGR. 1° TRIM]],TABLA_AVANCE_METAS[[#This Row],[PROGR. 2° TRIM]],TABLA_AVANCE_METAS[[#This Row],[PROGR. 3° TRIM]],TABLA_AVANCE_METAS[[#This Row],[PROGR. 4° TRIM]])</f>
        <v>1</v>
      </c>
      <c r="AV100" s="52"/>
    </row>
    <row r="101" spans="1:48" ht="75" hidden="1" customHeight="1" x14ac:dyDescent="0.3">
      <c r="A101" s="31" t="str">
        <f>CONCATENATE(TABLA_AVANCE_METAS[[#This Row],[ESTRUCTURA]],TABLA_AVANCE_METAS[[#This Row],['#]])</f>
        <v>B0020902060805014</v>
      </c>
      <c r="B101" s="32" t="s">
        <v>213</v>
      </c>
      <c r="C101" s="33" t="s">
        <v>214</v>
      </c>
      <c r="D101" s="33" t="s">
        <v>215</v>
      </c>
      <c r="E101" s="32" t="s">
        <v>254</v>
      </c>
      <c r="F101" s="32" t="s">
        <v>255</v>
      </c>
      <c r="G101" s="34" t="s">
        <v>333</v>
      </c>
      <c r="H101" s="32" t="s">
        <v>334</v>
      </c>
      <c r="I101" s="32" t="s">
        <v>335</v>
      </c>
      <c r="J101" s="32" t="s">
        <v>336</v>
      </c>
      <c r="K101" s="32" t="s">
        <v>337</v>
      </c>
      <c r="L101" s="33">
        <v>4</v>
      </c>
      <c r="M101" s="35" t="s">
        <v>342</v>
      </c>
      <c r="N101" s="34" t="s">
        <v>343</v>
      </c>
      <c r="O101" s="36">
        <v>4</v>
      </c>
      <c r="P101" s="36">
        <v>1</v>
      </c>
      <c r="Q101" s="37">
        <v>1</v>
      </c>
      <c r="R101" s="38">
        <f>IFERROR((TABLA_AVANCE_METAS[[#This Row],[AVANCE 1°. TRIM]]/TABLA_AVANCE_METAS[[#This Row],[PROGR. 1° TRIM]])*100,"0")</f>
        <v>100</v>
      </c>
      <c r="S101"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101" s="36">
        <v>1</v>
      </c>
      <c r="U101" s="37">
        <v>1</v>
      </c>
      <c r="V101" s="40">
        <f t="shared" si="2"/>
        <v>100</v>
      </c>
      <c r="W101" s="39" t="str">
        <f t="shared" si="4"/>
        <v>ADECUADO</v>
      </c>
      <c r="X101" s="36">
        <v>1</v>
      </c>
      <c r="Y101" s="37">
        <v>0</v>
      </c>
      <c r="Z101" s="40">
        <v>0</v>
      </c>
      <c r="AA101" s="39" t="s">
        <v>62</v>
      </c>
      <c r="AB101" s="36">
        <v>1</v>
      </c>
      <c r="AC101" s="41">
        <v>0</v>
      </c>
      <c r="AD101" s="40">
        <f>IFERROR((TABLA_AVANCE_METAS[[#This Row],[AVANCE 4°. TRIM]]/TABLA_AVANCE_METAS[[#This Row],[PROGR. 4° TRIM]])*100,"0")</f>
        <v>0</v>
      </c>
      <c r="AE101"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01" s="43" cm="1">
        <f t="array" ref="AF101">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2</v>
      </c>
      <c r="AG101" s="44" cm="1">
        <f t="array" ref="AG101">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2</v>
      </c>
      <c r="AH101" s="40">
        <f>IFERROR((TABLA_AVANCE_METAS[[#This Row],[AVANCE ACUM. TRIM.]]/TABLA_AVANCE_METAS[[#This Row],[PROG. ACUM]])*100,"N/A")</f>
        <v>100</v>
      </c>
      <c r="AI101"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101" s="45">
        <f>TABLA_AVANCE_METAS[[#This Row],[AVANCE ACUM. TRIM.]]-TABLA_AVANCE_METAS[[#This Row],[PROG. ACUM]]</f>
        <v>0</v>
      </c>
      <c r="AK101" s="46">
        <f>IFERROR((TABLA_AVANCE_METAS[[#This Row],[DIFERENCIA ABSOLUTA SEMESTRAL]]/TABLA_AVANCE_METAS[[#This Row],[PROG. ACUM]])*100,"N/A")</f>
        <v>0</v>
      </c>
      <c r="AL101" s="44">
        <f>TABLA_AVANCE_METAS[[#This Row],[AVANCE 1°. TRIM]]+TABLA_AVANCE_METAS[[#This Row],[AVANCE 2°. TRIM]]+TABLA_AVANCE_METAS[[#This Row],[AVANCE 3°. TRIM]]+TABLA_AVANCE_METAS[[#This Row],[AVANCE 4°. TRIM]]</f>
        <v>2</v>
      </c>
      <c r="AM101" s="40">
        <f>IFERROR((TABLA_AVANCE_METAS[[#This Row],[AVANCE ACUM. ANUAL]]/TABLA_AVANCE_METAS[[#This Row],[PROGRAMADO ANUAL]])*100,"N/A")</f>
        <v>50</v>
      </c>
      <c r="AN101"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101" s="45">
        <f>TABLA_AVANCE_METAS[[#This Row],[AVANCE ACUM. ANUAL]]-TABLA_AVANCE_METAS[[#This Row],[PROGRAMADO ANUAL]]</f>
        <v>-2</v>
      </c>
      <c r="AP101" s="47">
        <f>IFERROR((TABLA_AVANCE_METAS[[#This Row],[DIFERENCIA ABSOLUTA ANUAL]]/TABLA_AVANCE_METAS[[#This Row],[PROGRAMADO ANUAL]])*100,"N/A")</f>
        <v>-50</v>
      </c>
      <c r="AQ101" s="48" t="s">
        <v>63</v>
      </c>
      <c r="AR101" s="49"/>
      <c r="AS101" s="50"/>
      <c r="AT101" s="50"/>
      <c r="AU101" s="51" t="b">
        <f>TABLA_AVANCE_METAS[[#This Row],[PROGRAMADO ANUAL]]=SUM(TABLA_AVANCE_METAS[[#This Row],[PROGR. 1° TRIM]],TABLA_AVANCE_METAS[[#This Row],[PROGR. 2° TRIM]],TABLA_AVANCE_METAS[[#This Row],[PROGR. 3° TRIM]],TABLA_AVANCE_METAS[[#This Row],[PROGR. 4° TRIM]])</f>
        <v>1</v>
      </c>
      <c r="AV101" s="52"/>
    </row>
    <row r="102" spans="1:48" ht="75" hidden="1" customHeight="1" x14ac:dyDescent="0.3">
      <c r="A102" s="31" t="str">
        <f>CONCATENATE(TABLA_AVANCE_METAS[[#This Row],[ESTRUCTURA]],TABLA_AVANCE_METAS[[#This Row],['#]])</f>
        <v>B0020601050205101</v>
      </c>
      <c r="B102" s="32" t="s">
        <v>344</v>
      </c>
      <c r="C102" s="33" t="s">
        <v>214</v>
      </c>
      <c r="D102" s="32" t="s">
        <v>215</v>
      </c>
      <c r="E102" s="32" t="s">
        <v>345</v>
      </c>
      <c r="F102" s="32" t="s">
        <v>346</v>
      </c>
      <c r="G102" s="34" t="s">
        <v>347</v>
      </c>
      <c r="H102" s="32" t="s">
        <v>188</v>
      </c>
      <c r="I102" s="32" t="s">
        <v>189</v>
      </c>
      <c r="J102" s="32" t="s">
        <v>348</v>
      </c>
      <c r="K102" s="32" t="s">
        <v>349</v>
      </c>
      <c r="L102" s="33">
        <v>1</v>
      </c>
      <c r="M102" s="35" t="s">
        <v>350</v>
      </c>
      <c r="N102" s="34" t="s">
        <v>289</v>
      </c>
      <c r="O102" s="36">
        <v>1</v>
      </c>
      <c r="P102" s="36">
        <v>1</v>
      </c>
      <c r="Q102" s="37">
        <v>1</v>
      </c>
      <c r="R102" s="38">
        <f>IFERROR((TABLA_AVANCE_METAS[[#This Row],[AVANCE 1°. TRIM]]/TABLA_AVANCE_METAS[[#This Row],[PROGR. 1° TRIM]])*100,"0")</f>
        <v>100</v>
      </c>
      <c r="S102"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102" s="36">
        <v>0</v>
      </c>
      <c r="U102" s="37">
        <v>0</v>
      </c>
      <c r="V102" s="40" t="str">
        <f t="shared" si="2"/>
        <v>0</v>
      </c>
      <c r="W102" s="39" t="str">
        <f t="shared" si="4"/>
        <v>NO PROG.</v>
      </c>
      <c r="X102" s="36">
        <v>0</v>
      </c>
      <c r="Y102" s="37">
        <v>0</v>
      </c>
      <c r="Z102" s="40" t="s">
        <v>72</v>
      </c>
      <c r="AA102" s="39" t="s">
        <v>73</v>
      </c>
      <c r="AB102" s="36">
        <v>0</v>
      </c>
      <c r="AC102" s="41">
        <v>0</v>
      </c>
      <c r="AD102" s="40" t="str">
        <f>IFERROR((TABLA_AVANCE_METAS[[#This Row],[AVANCE 4°. TRIM]]/TABLA_AVANCE_METAS[[#This Row],[PROGR. 4° TRIM]])*100,"0")</f>
        <v>0</v>
      </c>
      <c r="AE102"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NO PROG.</v>
      </c>
      <c r="AF102" s="43" cm="1">
        <f t="array" ref="AF102">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v>
      </c>
      <c r="AG102" s="44" cm="1">
        <f t="array" ref="AG102">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1</v>
      </c>
      <c r="AH102" s="40">
        <f>IFERROR((TABLA_AVANCE_METAS[[#This Row],[AVANCE ACUM. TRIM.]]/TABLA_AVANCE_METAS[[#This Row],[PROG. ACUM]])*100,"N/A")</f>
        <v>100</v>
      </c>
      <c r="AI102"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102" s="45">
        <f>TABLA_AVANCE_METAS[[#This Row],[AVANCE ACUM. TRIM.]]-TABLA_AVANCE_METAS[[#This Row],[PROG. ACUM]]</f>
        <v>0</v>
      </c>
      <c r="AK102" s="46">
        <f>IFERROR((TABLA_AVANCE_METAS[[#This Row],[DIFERENCIA ABSOLUTA SEMESTRAL]]/TABLA_AVANCE_METAS[[#This Row],[PROG. ACUM]])*100,"N/A")</f>
        <v>0</v>
      </c>
      <c r="AL102" s="44">
        <f>TABLA_AVANCE_METAS[[#This Row],[AVANCE 1°. TRIM]]+TABLA_AVANCE_METAS[[#This Row],[AVANCE 2°. TRIM]]+TABLA_AVANCE_METAS[[#This Row],[AVANCE 3°. TRIM]]+TABLA_AVANCE_METAS[[#This Row],[AVANCE 4°. TRIM]]</f>
        <v>1</v>
      </c>
      <c r="AM102" s="40">
        <f>IFERROR((TABLA_AVANCE_METAS[[#This Row],[AVANCE ACUM. ANUAL]]/TABLA_AVANCE_METAS[[#This Row],[PROGRAMADO ANUAL]])*100,"N/A")</f>
        <v>100</v>
      </c>
      <c r="AN102"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ADECUADO</v>
      </c>
      <c r="AO102" s="45">
        <f>TABLA_AVANCE_METAS[[#This Row],[AVANCE ACUM. ANUAL]]-TABLA_AVANCE_METAS[[#This Row],[PROGRAMADO ANUAL]]</f>
        <v>0</v>
      </c>
      <c r="AP102" s="47">
        <f>IFERROR((TABLA_AVANCE_METAS[[#This Row],[DIFERENCIA ABSOLUTA ANUAL]]/TABLA_AVANCE_METAS[[#This Row],[PROGRAMADO ANUAL]])*100,"N/A")</f>
        <v>0</v>
      </c>
      <c r="AQ102" s="48" t="s">
        <v>63</v>
      </c>
      <c r="AR102" s="49"/>
      <c r="AS102" s="50"/>
      <c r="AT102" s="50"/>
      <c r="AU102" s="51" t="b">
        <f>TABLA_AVANCE_METAS[[#This Row],[PROGRAMADO ANUAL]]=SUM(TABLA_AVANCE_METAS[[#This Row],[PROGR. 1° TRIM]],TABLA_AVANCE_METAS[[#This Row],[PROGR. 2° TRIM]],TABLA_AVANCE_METAS[[#This Row],[PROGR. 3° TRIM]],TABLA_AVANCE_METAS[[#This Row],[PROGR. 4° TRIM]])</f>
        <v>1</v>
      </c>
      <c r="AV102" s="52"/>
    </row>
    <row r="103" spans="1:48" ht="75" hidden="1" customHeight="1" x14ac:dyDescent="0.3">
      <c r="A103" s="31" t="str">
        <f>CONCATENATE(TABLA_AVANCE_METAS[[#This Row],[ESTRUCTURA]],TABLA_AVANCE_METAS[[#This Row],['#]])</f>
        <v>B0020601050205102</v>
      </c>
      <c r="B103" s="32" t="s">
        <v>344</v>
      </c>
      <c r="C103" s="33" t="s">
        <v>214</v>
      </c>
      <c r="D103" s="32" t="s">
        <v>215</v>
      </c>
      <c r="E103" s="32" t="s">
        <v>345</v>
      </c>
      <c r="F103" s="32" t="s">
        <v>346</v>
      </c>
      <c r="G103" s="34" t="s">
        <v>347</v>
      </c>
      <c r="H103" s="32" t="s">
        <v>188</v>
      </c>
      <c r="I103" s="32" t="s">
        <v>189</v>
      </c>
      <c r="J103" s="32" t="s">
        <v>348</v>
      </c>
      <c r="K103" s="32" t="s">
        <v>349</v>
      </c>
      <c r="L103" s="33">
        <v>2</v>
      </c>
      <c r="M103" s="35" t="s">
        <v>351</v>
      </c>
      <c r="N103" s="34" t="s">
        <v>206</v>
      </c>
      <c r="O103" s="36">
        <v>1</v>
      </c>
      <c r="P103" s="36">
        <v>0</v>
      </c>
      <c r="Q103" s="37">
        <v>0</v>
      </c>
      <c r="R103" s="38" t="str">
        <f>IFERROR((TABLA_AVANCE_METAS[[#This Row],[AVANCE 1°. TRIM]]/TABLA_AVANCE_METAS[[#This Row],[PROGR. 1° TRIM]])*100,"0")</f>
        <v>0</v>
      </c>
      <c r="S103"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NO PROG.</v>
      </c>
      <c r="T103" s="36">
        <v>0</v>
      </c>
      <c r="U103" s="37">
        <v>0</v>
      </c>
      <c r="V103" s="40" t="str">
        <f t="shared" si="2"/>
        <v>0</v>
      </c>
      <c r="W103" s="39" t="str">
        <f t="shared" si="4"/>
        <v>NO PROG.</v>
      </c>
      <c r="X103" s="36">
        <v>0</v>
      </c>
      <c r="Y103" s="37">
        <v>0</v>
      </c>
      <c r="Z103" s="40" t="s">
        <v>72</v>
      </c>
      <c r="AA103" s="39" t="s">
        <v>73</v>
      </c>
      <c r="AB103" s="36">
        <v>1</v>
      </c>
      <c r="AC103" s="41">
        <v>0</v>
      </c>
      <c r="AD103" s="40">
        <f>IFERROR((TABLA_AVANCE_METAS[[#This Row],[AVANCE 4°. TRIM]]/TABLA_AVANCE_METAS[[#This Row],[PROGR. 4° TRIM]])*100,"0")</f>
        <v>0</v>
      </c>
      <c r="AE103"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03" s="43" cm="1">
        <f t="array" ref="AF103">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0</v>
      </c>
      <c r="AG103" s="44" cm="1">
        <f t="array" ref="AG103">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0</v>
      </c>
      <c r="AH103" s="40" t="str">
        <f>IFERROR((TABLA_AVANCE_METAS[[#This Row],[AVANCE ACUM. TRIM.]]/TABLA_AVANCE_METAS[[#This Row],[PROG. ACUM]])*100,"N/A")</f>
        <v>N/A</v>
      </c>
      <c r="AI103"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NO PROG.</v>
      </c>
      <c r="AJ103" s="45">
        <f>TABLA_AVANCE_METAS[[#This Row],[AVANCE ACUM. TRIM.]]-TABLA_AVANCE_METAS[[#This Row],[PROG. ACUM]]</f>
        <v>0</v>
      </c>
      <c r="AK103" s="46" t="str">
        <f>IFERROR((TABLA_AVANCE_METAS[[#This Row],[DIFERENCIA ABSOLUTA SEMESTRAL]]/TABLA_AVANCE_METAS[[#This Row],[PROG. ACUM]])*100,"N/A")</f>
        <v>N/A</v>
      </c>
      <c r="AL103" s="44">
        <f>TABLA_AVANCE_METAS[[#This Row],[AVANCE 1°. TRIM]]+TABLA_AVANCE_METAS[[#This Row],[AVANCE 2°. TRIM]]+TABLA_AVANCE_METAS[[#This Row],[AVANCE 3°. TRIM]]+TABLA_AVANCE_METAS[[#This Row],[AVANCE 4°. TRIM]]</f>
        <v>0</v>
      </c>
      <c r="AM103" s="40">
        <f>IFERROR((TABLA_AVANCE_METAS[[#This Row],[AVANCE ACUM. ANUAL]]/TABLA_AVANCE_METAS[[#This Row],[PROGRAMADO ANUAL]])*100,"N/A")</f>
        <v>0</v>
      </c>
      <c r="AN103"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103" s="45">
        <f>TABLA_AVANCE_METAS[[#This Row],[AVANCE ACUM. ANUAL]]-TABLA_AVANCE_METAS[[#This Row],[PROGRAMADO ANUAL]]</f>
        <v>-1</v>
      </c>
      <c r="AP103" s="47">
        <f>IFERROR((TABLA_AVANCE_METAS[[#This Row],[DIFERENCIA ABSOLUTA ANUAL]]/TABLA_AVANCE_METAS[[#This Row],[PROGRAMADO ANUAL]])*100,"N/A")</f>
        <v>-100</v>
      </c>
      <c r="AQ103" s="48" t="s">
        <v>63</v>
      </c>
      <c r="AR103" s="49"/>
      <c r="AS103" s="50"/>
      <c r="AT103" s="50"/>
      <c r="AU103" s="51" t="b">
        <f>TABLA_AVANCE_METAS[[#This Row],[PROGRAMADO ANUAL]]=SUM(TABLA_AVANCE_METAS[[#This Row],[PROGR. 1° TRIM]],TABLA_AVANCE_METAS[[#This Row],[PROGR. 2° TRIM]],TABLA_AVANCE_METAS[[#This Row],[PROGR. 3° TRIM]],TABLA_AVANCE_METAS[[#This Row],[PROGR. 4° TRIM]])</f>
        <v>1</v>
      </c>
      <c r="AV103" s="52"/>
    </row>
    <row r="104" spans="1:48" ht="75" hidden="1" customHeight="1" x14ac:dyDescent="0.3">
      <c r="A104" s="31" t="str">
        <f>CONCATENATE(TABLA_AVANCE_METAS[[#This Row],[ESTRUCTURA]],TABLA_AVANCE_METAS[[#This Row],['#]])</f>
        <v>B0020601050205103</v>
      </c>
      <c r="B104" s="32" t="s">
        <v>344</v>
      </c>
      <c r="C104" s="33" t="s">
        <v>214</v>
      </c>
      <c r="D104" s="32" t="s">
        <v>215</v>
      </c>
      <c r="E104" s="32" t="s">
        <v>345</v>
      </c>
      <c r="F104" s="32" t="s">
        <v>346</v>
      </c>
      <c r="G104" s="34" t="s">
        <v>347</v>
      </c>
      <c r="H104" s="32" t="s">
        <v>188</v>
      </c>
      <c r="I104" s="32" t="s">
        <v>189</v>
      </c>
      <c r="J104" s="32" t="s">
        <v>348</v>
      </c>
      <c r="K104" s="32" t="s">
        <v>349</v>
      </c>
      <c r="L104" s="33">
        <v>3</v>
      </c>
      <c r="M104" s="35" t="s">
        <v>352</v>
      </c>
      <c r="N104" s="34" t="s">
        <v>292</v>
      </c>
      <c r="O104" s="36">
        <v>1</v>
      </c>
      <c r="P104" s="36">
        <v>0</v>
      </c>
      <c r="Q104" s="37">
        <v>0</v>
      </c>
      <c r="R104" s="38" t="str">
        <f>IFERROR((TABLA_AVANCE_METAS[[#This Row],[AVANCE 1°. TRIM]]/TABLA_AVANCE_METAS[[#This Row],[PROGR. 1° TRIM]])*100,"0")</f>
        <v>0</v>
      </c>
      <c r="S104"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NO PROG.</v>
      </c>
      <c r="T104" s="36">
        <v>0</v>
      </c>
      <c r="U104" s="37">
        <v>0</v>
      </c>
      <c r="V104" s="40" t="str">
        <f t="shared" si="2"/>
        <v>0</v>
      </c>
      <c r="W104" s="39" t="str">
        <f t="shared" si="4"/>
        <v>NO PROG.</v>
      </c>
      <c r="X104" s="36">
        <v>0</v>
      </c>
      <c r="Y104" s="37">
        <v>0</v>
      </c>
      <c r="Z104" s="40" t="s">
        <v>72</v>
      </c>
      <c r="AA104" s="39" t="s">
        <v>73</v>
      </c>
      <c r="AB104" s="36">
        <v>1</v>
      </c>
      <c r="AC104" s="41">
        <v>0</v>
      </c>
      <c r="AD104" s="40">
        <f>IFERROR((TABLA_AVANCE_METAS[[#This Row],[AVANCE 4°. TRIM]]/TABLA_AVANCE_METAS[[#This Row],[PROGR. 4° TRIM]])*100,"0")</f>
        <v>0</v>
      </c>
      <c r="AE104"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04" s="43" cm="1">
        <f t="array" ref="AF104">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0</v>
      </c>
      <c r="AG104" s="44" cm="1">
        <f t="array" ref="AG104">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0</v>
      </c>
      <c r="AH104" s="40" t="str">
        <f>IFERROR((TABLA_AVANCE_METAS[[#This Row],[AVANCE ACUM. TRIM.]]/TABLA_AVANCE_METAS[[#This Row],[PROG. ACUM]])*100,"N/A")</f>
        <v>N/A</v>
      </c>
      <c r="AI104"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NO PROG.</v>
      </c>
      <c r="AJ104" s="45">
        <f>TABLA_AVANCE_METAS[[#This Row],[AVANCE ACUM. TRIM.]]-TABLA_AVANCE_METAS[[#This Row],[PROG. ACUM]]</f>
        <v>0</v>
      </c>
      <c r="AK104" s="46" t="str">
        <f>IFERROR((TABLA_AVANCE_METAS[[#This Row],[DIFERENCIA ABSOLUTA SEMESTRAL]]/TABLA_AVANCE_METAS[[#This Row],[PROG. ACUM]])*100,"N/A")</f>
        <v>N/A</v>
      </c>
      <c r="AL104" s="44">
        <f>TABLA_AVANCE_METAS[[#This Row],[AVANCE 1°. TRIM]]+TABLA_AVANCE_METAS[[#This Row],[AVANCE 2°. TRIM]]+TABLA_AVANCE_METAS[[#This Row],[AVANCE 3°. TRIM]]+TABLA_AVANCE_METAS[[#This Row],[AVANCE 4°. TRIM]]</f>
        <v>0</v>
      </c>
      <c r="AM104" s="40">
        <f>IFERROR((TABLA_AVANCE_METAS[[#This Row],[AVANCE ACUM. ANUAL]]/TABLA_AVANCE_METAS[[#This Row],[PROGRAMADO ANUAL]])*100,"N/A")</f>
        <v>0</v>
      </c>
      <c r="AN104"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104" s="45">
        <f>TABLA_AVANCE_METAS[[#This Row],[AVANCE ACUM. ANUAL]]-TABLA_AVANCE_METAS[[#This Row],[PROGRAMADO ANUAL]]</f>
        <v>-1</v>
      </c>
      <c r="AP104" s="47">
        <f>IFERROR((TABLA_AVANCE_METAS[[#This Row],[DIFERENCIA ABSOLUTA ANUAL]]/TABLA_AVANCE_METAS[[#This Row],[PROGRAMADO ANUAL]])*100,"N/A")</f>
        <v>-100</v>
      </c>
      <c r="AQ104" s="48" t="s">
        <v>63</v>
      </c>
      <c r="AR104" s="49"/>
      <c r="AS104" s="50"/>
      <c r="AT104" s="50"/>
      <c r="AU104" s="51" t="b">
        <f>TABLA_AVANCE_METAS[[#This Row],[PROGRAMADO ANUAL]]=SUM(TABLA_AVANCE_METAS[[#This Row],[PROGR. 1° TRIM]],TABLA_AVANCE_METAS[[#This Row],[PROGR. 2° TRIM]],TABLA_AVANCE_METAS[[#This Row],[PROGR. 3° TRIM]],TABLA_AVANCE_METAS[[#This Row],[PROGR. 4° TRIM]])</f>
        <v>1</v>
      </c>
      <c r="AV104" s="52"/>
    </row>
    <row r="105" spans="1:48" ht="75" hidden="1" customHeight="1" x14ac:dyDescent="0.3">
      <c r="A105" s="31" t="str">
        <f>CONCATENATE(TABLA_AVANCE_METAS[[#This Row],[ESTRUCTURA]],TABLA_AVANCE_METAS[[#This Row],['#]])</f>
        <v>B0020601050205104</v>
      </c>
      <c r="B105" s="32" t="s">
        <v>344</v>
      </c>
      <c r="C105" s="33" t="s">
        <v>214</v>
      </c>
      <c r="D105" s="32" t="s">
        <v>215</v>
      </c>
      <c r="E105" s="32" t="s">
        <v>345</v>
      </c>
      <c r="F105" s="32" t="s">
        <v>346</v>
      </c>
      <c r="G105" s="34" t="s">
        <v>347</v>
      </c>
      <c r="H105" s="32" t="s">
        <v>188</v>
      </c>
      <c r="I105" s="32" t="s">
        <v>189</v>
      </c>
      <c r="J105" s="32" t="s">
        <v>348</v>
      </c>
      <c r="K105" s="32" t="s">
        <v>349</v>
      </c>
      <c r="L105" s="33">
        <v>4</v>
      </c>
      <c r="M105" s="35" t="s">
        <v>353</v>
      </c>
      <c r="N105" s="34" t="s">
        <v>85</v>
      </c>
      <c r="O105" s="36">
        <v>4</v>
      </c>
      <c r="P105" s="36">
        <v>1</v>
      </c>
      <c r="Q105" s="37">
        <v>1</v>
      </c>
      <c r="R105" s="38">
        <f>IFERROR((TABLA_AVANCE_METAS[[#This Row],[AVANCE 1°. TRIM]]/TABLA_AVANCE_METAS[[#This Row],[PROGR. 1° TRIM]])*100,"0")</f>
        <v>100</v>
      </c>
      <c r="S105"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105" s="36">
        <v>1</v>
      </c>
      <c r="U105" s="37">
        <v>1</v>
      </c>
      <c r="V105" s="40">
        <f t="shared" si="2"/>
        <v>100</v>
      </c>
      <c r="W105" s="39" t="str">
        <f t="shared" si="4"/>
        <v>ADECUADO</v>
      </c>
      <c r="X105" s="36">
        <v>1</v>
      </c>
      <c r="Y105" s="37">
        <v>0</v>
      </c>
      <c r="Z105" s="40">
        <v>0</v>
      </c>
      <c r="AA105" s="39" t="s">
        <v>62</v>
      </c>
      <c r="AB105" s="36">
        <v>1</v>
      </c>
      <c r="AC105" s="41">
        <v>0</v>
      </c>
      <c r="AD105" s="40">
        <f>IFERROR((TABLA_AVANCE_METAS[[#This Row],[AVANCE 4°. TRIM]]/TABLA_AVANCE_METAS[[#This Row],[PROGR. 4° TRIM]])*100,"0")</f>
        <v>0</v>
      </c>
      <c r="AE105"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05" s="43" cm="1">
        <f t="array" ref="AF105">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2</v>
      </c>
      <c r="AG105" s="44" cm="1">
        <f t="array" ref="AG105">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2</v>
      </c>
      <c r="AH105" s="40">
        <f>IFERROR((TABLA_AVANCE_METAS[[#This Row],[AVANCE ACUM. TRIM.]]/TABLA_AVANCE_METAS[[#This Row],[PROG. ACUM]])*100,"N/A")</f>
        <v>100</v>
      </c>
      <c r="AI105"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105" s="45">
        <f>TABLA_AVANCE_METAS[[#This Row],[AVANCE ACUM. TRIM.]]-TABLA_AVANCE_METAS[[#This Row],[PROG. ACUM]]</f>
        <v>0</v>
      </c>
      <c r="AK105" s="46">
        <f>IFERROR((TABLA_AVANCE_METAS[[#This Row],[DIFERENCIA ABSOLUTA SEMESTRAL]]/TABLA_AVANCE_METAS[[#This Row],[PROG. ACUM]])*100,"N/A")</f>
        <v>0</v>
      </c>
      <c r="AL105" s="44">
        <f>TABLA_AVANCE_METAS[[#This Row],[AVANCE 1°. TRIM]]+TABLA_AVANCE_METAS[[#This Row],[AVANCE 2°. TRIM]]+TABLA_AVANCE_METAS[[#This Row],[AVANCE 3°. TRIM]]+TABLA_AVANCE_METAS[[#This Row],[AVANCE 4°. TRIM]]</f>
        <v>2</v>
      </c>
      <c r="AM105" s="40">
        <f>IFERROR((TABLA_AVANCE_METAS[[#This Row],[AVANCE ACUM. ANUAL]]/TABLA_AVANCE_METAS[[#This Row],[PROGRAMADO ANUAL]])*100,"N/A")</f>
        <v>50</v>
      </c>
      <c r="AN105"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105" s="45">
        <f>TABLA_AVANCE_METAS[[#This Row],[AVANCE ACUM. ANUAL]]-TABLA_AVANCE_METAS[[#This Row],[PROGRAMADO ANUAL]]</f>
        <v>-2</v>
      </c>
      <c r="AP105" s="47">
        <f>IFERROR((TABLA_AVANCE_METAS[[#This Row],[DIFERENCIA ABSOLUTA ANUAL]]/TABLA_AVANCE_METAS[[#This Row],[PROGRAMADO ANUAL]])*100,"N/A")</f>
        <v>-50</v>
      </c>
      <c r="AQ105" s="48" t="s">
        <v>63</v>
      </c>
      <c r="AR105" s="49"/>
      <c r="AS105" s="50"/>
      <c r="AT105" s="50"/>
      <c r="AU105" s="51" t="b">
        <f>TABLA_AVANCE_METAS[[#This Row],[PROGRAMADO ANUAL]]=SUM(TABLA_AVANCE_METAS[[#This Row],[PROGR. 1° TRIM]],TABLA_AVANCE_METAS[[#This Row],[PROGR. 2° TRIM]],TABLA_AVANCE_METAS[[#This Row],[PROGR. 3° TRIM]],TABLA_AVANCE_METAS[[#This Row],[PROGR. 4° TRIM]])</f>
        <v>1</v>
      </c>
      <c r="AV105" s="52"/>
    </row>
    <row r="106" spans="1:48" ht="75" hidden="1" customHeight="1" x14ac:dyDescent="0.3">
      <c r="A106" s="31" t="str">
        <f>CONCATENATE(TABLA_AVANCE_METAS[[#This Row],[ESTRUCTURA]],TABLA_AVANCE_METAS[[#This Row],['#]])</f>
        <v>B0020301050205111</v>
      </c>
      <c r="B106" s="32" t="s">
        <v>354</v>
      </c>
      <c r="C106" s="33" t="s">
        <v>214</v>
      </c>
      <c r="D106" s="32" t="s">
        <v>215</v>
      </c>
      <c r="E106" s="32" t="s">
        <v>355</v>
      </c>
      <c r="F106" s="32" t="s">
        <v>356</v>
      </c>
      <c r="G106" s="34" t="s">
        <v>357</v>
      </c>
      <c r="H106" s="32" t="s">
        <v>188</v>
      </c>
      <c r="I106" s="32" t="s">
        <v>189</v>
      </c>
      <c r="J106" s="32" t="s">
        <v>358</v>
      </c>
      <c r="K106" s="32" t="s">
        <v>359</v>
      </c>
      <c r="L106" s="33">
        <v>1</v>
      </c>
      <c r="M106" s="35" t="s">
        <v>360</v>
      </c>
      <c r="N106" s="34" t="s">
        <v>206</v>
      </c>
      <c r="O106" s="36">
        <v>4</v>
      </c>
      <c r="P106" s="36">
        <v>1</v>
      </c>
      <c r="Q106" s="37">
        <v>1</v>
      </c>
      <c r="R106" s="38">
        <f>IFERROR((TABLA_AVANCE_METAS[[#This Row],[AVANCE 1°. TRIM]]/TABLA_AVANCE_METAS[[#This Row],[PROGR. 1° TRIM]])*100,"0")</f>
        <v>100</v>
      </c>
      <c r="S106"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106" s="36">
        <v>1</v>
      </c>
      <c r="U106" s="37">
        <v>1</v>
      </c>
      <c r="V106" s="40">
        <f t="shared" si="2"/>
        <v>100</v>
      </c>
      <c r="W106" s="39" t="str">
        <f t="shared" si="4"/>
        <v>ADECUADO</v>
      </c>
      <c r="X106" s="36">
        <v>1</v>
      </c>
      <c r="Y106" s="37">
        <v>0</v>
      </c>
      <c r="Z106" s="40">
        <v>0</v>
      </c>
      <c r="AA106" s="39" t="s">
        <v>62</v>
      </c>
      <c r="AB106" s="36">
        <v>1</v>
      </c>
      <c r="AC106" s="41">
        <v>0</v>
      </c>
      <c r="AD106" s="40">
        <f>IFERROR((TABLA_AVANCE_METAS[[#This Row],[AVANCE 4°. TRIM]]/TABLA_AVANCE_METAS[[#This Row],[PROGR. 4° TRIM]])*100,"0")</f>
        <v>0</v>
      </c>
      <c r="AE106"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06" s="43" cm="1">
        <f t="array" ref="AF106">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2</v>
      </c>
      <c r="AG106" s="44" cm="1">
        <f t="array" ref="AG106">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2</v>
      </c>
      <c r="AH106" s="40">
        <f>IFERROR((TABLA_AVANCE_METAS[[#This Row],[AVANCE ACUM. TRIM.]]/TABLA_AVANCE_METAS[[#This Row],[PROG. ACUM]])*100,"N/A")</f>
        <v>100</v>
      </c>
      <c r="AI106"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106" s="45">
        <f>TABLA_AVANCE_METAS[[#This Row],[AVANCE ACUM. TRIM.]]-TABLA_AVANCE_METAS[[#This Row],[PROG. ACUM]]</f>
        <v>0</v>
      </c>
      <c r="AK106" s="46">
        <f>IFERROR((TABLA_AVANCE_METAS[[#This Row],[DIFERENCIA ABSOLUTA SEMESTRAL]]/TABLA_AVANCE_METAS[[#This Row],[PROG. ACUM]])*100,"N/A")</f>
        <v>0</v>
      </c>
      <c r="AL106" s="44">
        <f>TABLA_AVANCE_METAS[[#This Row],[AVANCE 1°. TRIM]]+TABLA_AVANCE_METAS[[#This Row],[AVANCE 2°. TRIM]]+TABLA_AVANCE_METAS[[#This Row],[AVANCE 3°. TRIM]]+TABLA_AVANCE_METAS[[#This Row],[AVANCE 4°. TRIM]]</f>
        <v>2</v>
      </c>
      <c r="AM106" s="40">
        <f>IFERROR((TABLA_AVANCE_METAS[[#This Row],[AVANCE ACUM. ANUAL]]/TABLA_AVANCE_METAS[[#This Row],[PROGRAMADO ANUAL]])*100,"N/A")</f>
        <v>50</v>
      </c>
      <c r="AN106"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106" s="45">
        <f>TABLA_AVANCE_METAS[[#This Row],[AVANCE ACUM. ANUAL]]-TABLA_AVANCE_METAS[[#This Row],[PROGRAMADO ANUAL]]</f>
        <v>-2</v>
      </c>
      <c r="AP106" s="47">
        <f>IFERROR((TABLA_AVANCE_METAS[[#This Row],[DIFERENCIA ABSOLUTA ANUAL]]/TABLA_AVANCE_METAS[[#This Row],[PROGRAMADO ANUAL]])*100,"N/A")</f>
        <v>-50</v>
      </c>
      <c r="AQ106" s="48" t="s">
        <v>63</v>
      </c>
      <c r="AR106" s="49"/>
      <c r="AS106" s="50"/>
      <c r="AT106" s="50"/>
      <c r="AU106" s="51" t="b">
        <f>TABLA_AVANCE_METAS[[#This Row],[PROGRAMADO ANUAL]]=SUM(TABLA_AVANCE_METAS[[#This Row],[PROGR. 1° TRIM]],TABLA_AVANCE_METAS[[#This Row],[PROGR. 2° TRIM]],TABLA_AVANCE_METAS[[#This Row],[PROGR. 3° TRIM]],TABLA_AVANCE_METAS[[#This Row],[PROGR. 4° TRIM]])</f>
        <v>1</v>
      </c>
      <c r="AV106" s="52"/>
    </row>
    <row r="107" spans="1:48" ht="75" hidden="1" customHeight="1" x14ac:dyDescent="0.3">
      <c r="A107" s="31" t="str">
        <f>CONCATENATE(TABLA_AVANCE_METAS[[#This Row],[ESTRUCTURA]],TABLA_AVANCE_METAS[[#This Row],['#]])</f>
        <v>B0020301050205112</v>
      </c>
      <c r="B107" s="32" t="s">
        <v>354</v>
      </c>
      <c r="C107" s="33" t="s">
        <v>214</v>
      </c>
      <c r="D107" s="32" t="s">
        <v>215</v>
      </c>
      <c r="E107" s="32" t="s">
        <v>355</v>
      </c>
      <c r="F107" s="32" t="s">
        <v>356</v>
      </c>
      <c r="G107" s="34" t="s">
        <v>357</v>
      </c>
      <c r="H107" s="32" t="s">
        <v>188</v>
      </c>
      <c r="I107" s="32" t="s">
        <v>189</v>
      </c>
      <c r="J107" s="32" t="s">
        <v>358</v>
      </c>
      <c r="K107" s="32" t="s">
        <v>359</v>
      </c>
      <c r="L107" s="33">
        <v>2</v>
      </c>
      <c r="M107" s="35" t="s">
        <v>361</v>
      </c>
      <c r="N107" s="34" t="s">
        <v>289</v>
      </c>
      <c r="O107" s="36">
        <v>1</v>
      </c>
      <c r="P107" s="36">
        <v>1</v>
      </c>
      <c r="Q107" s="37">
        <v>1</v>
      </c>
      <c r="R107" s="38">
        <f>IFERROR((TABLA_AVANCE_METAS[[#This Row],[AVANCE 1°. TRIM]]/TABLA_AVANCE_METAS[[#This Row],[PROGR. 1° TRIM]])*100,"0")</f>
        <v>100</v>
      </c>
      <c r="S107"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107" s="36">
        <v>0</v>
      </c>
      <c r="U107" s="37">
        <v>0</v>
      </c>
      <c r="V107" s="40" t="str">
        <f t="shared" si="2"/>
        <v>0</v>
      </c>
      <c r="W107" s="39" t="str">
        <f t="shared" si="4"/>
        <v>NO PROG.</v>
      </c>
      <c r="X107" s="36">
        <v>0</v>
      </c>
      <c r="Y107" s="37">
        <v>0</v>
      </c>
      <c r="Z107" s="40" t="s">
        <v>72</v>
      </c>
      <c r="AA107" s="39" t="s">
        <v>73</v>
      </c>
      <c r="AB107" s="36">
        <v>0</v>
      </c>
      <c r="AC107" s="41">
        <v>0</v>
      </c>
      <c r="AD107" s="40" t="str">
        <f>IFERROR((TABLA_AVANCE_METAS[[#This Row],[AVANCE 4°. TRIM]]/TABLA_AVANCE_METAS[[#This Row],[PROGR. 4° TRIM]])*100,"0")</f>
        <v>0</v>
      </c>
      <c r="AE107"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NO PROG.</v>
      </c>
      <c r="AF107" s="43" cm="1">
        <f t="array" ref="AF107">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v>
      </c>
      <c r="AG107" s="44" cm="1">
        <f t="array" ref="AG107">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1</v>
      </c>
      <c r="AH107" s="40">
        <f>IFERROR((TABLA_AVANCE_METAS[[#This Row],[AVANCE ACUM. TRIM.]]/TABLA_AVANCE_METAS[[#This Row],[PROG. ACUM]])*100,"N/A")</f>
        <v>100</v>
      </c>
      <c r="AI107"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107" s="45">
        <f>TABLA_AVANCE_METAS[[#This Row],[AVANCE ACUM. TRIM.]]-TABLA_AVANCE_METAS[[#This Row],[PROG. ACUM]]</f>
        <v>0</v>
      </c>
      <c r="AK107" s="46">
        <f>IFERROR((TABLA_AVANCE_METAS[[#This Row],[DIFERENCIA ABSOLUTA SEMESTRAL]]/TABLA_AVANCE_METAS[[#This Row],[PROG. ACUM]])*100,"N/A")</f>
        <v>0</v>
      </c>
      <c r="AL107" s="44">
        <f>TABLA_AVANCE_METAS[[#This Row],[AVANCE 1°. TRIM]]+TABLA_AVANCE_METAS[[#This Row],[AVANCE 2°. TRIM]]+TABLA_AVANCE_METAS[[#This Row],[AVANCE 3°. TRIM]]+TABLA_AVANCE_METAS[[#This Row],[AVANCE 4°. TRIM]]</f>
        <v>1</v>
      </c>
      <c r="AM107" s="40">
        <f>IFERROR((TABLA_AVANCE_METAS[[#This Row],[AVANCE ACUM. ANUAL]]/TABLA_AVANCE_METAS[[#This Row],[PROGRAMADO ANUAL]])*100,"N/A")</f>
        <v>100</v>
      </c>
      <c r="AN107"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ADECUADO</v>
      </c>
      <c r="AO107" s="45">
        <f>TABLA_AVANCE_METAS[[#This Row],[AVANCE ACUM. ANUAL]]-TABLA_AVANCE_METAS[[#This Row],[PROGRAMADO ANUAL]]</f>
        <v>0</v>
      </c>
      <c r="AP107" s="47">
        <f>IFERROR((TABLA_AVANCE_METAS[[#This Row],[DIFERENCIA ABSOLUTA ANUAL]]/TABLA_AVANCE_METAS[[#This Row],[PROGRAMADO ANUAL]])*100,"N/A")</f>
        <v>0</v>
      </c>
      <c r="AQ107" s="48" t="s">
        <v>63</v>
      </c>
      <c r="AR107" s="49"/>
      <c r="AS107" s="50"/>
      <c r="AT107" s="50"/>
      <c r="AU107" s="51" t="b">
        <f>TABLA_AVANCE_METAS[[#This Row],[PROGRAMADO ANUAL]]=SUM(TABLA_AVANCE_METAS[[#This Row],[PROGR. 1° TRIM]],TABLA_AVANCE_METAS[[#This Row],[PROGR. 2° TRIM]],TABLA_AVANCE_METAS[[#This Row],[PROGR. 3° TRIM]],TABLA_AVANCE_METAS[[#This Row],[PROGR. 4° TRIM]])</f>
        <v>1</v>
      </c>
      <c r="AV107" s="52"/>
    </row>
    <row r="108" spans="1:48" ht="75" hidden="1" customHeight="1" x14ac:dyDescent="0.3">
      <c r="A108" s="31" t="str">
        <f>CONCATENATE(TABLA_AVANCE_METAS[[#This Row],[ESTRUCTURA]],TABLA_AVANCE_METAS[[#This Row],['#]])</f>
        <v>B0020301050205113</v>
      </c>
      <c r="B108" s="32" t="s">
        <v>354</v>
      </c>
      <c r="C108" s="33" t="s">
        <v>214</v>
      </c>
      <c r="D108" s="32" t="s">
        <v>215</v>
      </c>
      <c r="E108" s="32" t="s">
        <v>355</v>
      </c>
      <c r="F108" s="32" t="s">
        <v>356</v>
      </c>
      <c r="G108" s="34" t="s">
        <v>357</v>
      </c>
      <c r="H108" s="32" t="s">
        <v>188</v>
      </c>
      <c r="I108" s="32" t="s">
        <v>189</v>
      </c>
      <c r="J108" s="32" t="s">
        <v>358</v>
      </c>
      <c r="K108" s="32" t="s">
        <v>359</v>
      </c>
      <c r="L108" s="33">
        <v>3</v>
      </c>
      <c r="M108" s="35" t="s">
        <v>362</v>
      </c>
      <c r="N108" s="34" t="s">
        <v>206</v>
      </c>
      <c r="O108" s="36">
        <v>1</v>
      </c>
      <c r="P108" s="36">
        <v>0</v>
      </c>
      <c r="Q108" s="37">
        <v>0</v>
      </c>
      <c r="R108" s="38" t="str">
        <f>IFERROR((TABLA_AVANCE_METAS[[#This Row],[AVANCE 1°. TRIM]]/TABLA_AVANCE_METAS[[#This Row],[PROGR. 1° TRIM]])*100,"0")</f>
        <v>0</v>
      </c>
      <c r="S108"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NO PROG.</v>
      </c>
      <c r="T108" s="36">
        <v>0</v>
      </c>
      <c r="U108" s="37">
        <v>0</v>
      </c>
      <c r="V108" s="40" t="str">
        <f t="shared" si="2"/>
        <v>0</v>
      </c>
      <c r="W108" s="39" t="str">
        <f t="shared" si="4"/>
        <v>NO PROG.</v>
      </c>
      <c r="X108" s="36">
        <v>0</v>
      </c>
      <c r="Y108" s="37">
        <v>0</v>
      </c>
      <c r="Z108" s="40" t="s">
        <v>72</v>
      </c>
      <c r="AA108" s="39" t="s">
        <v>73</v>
      </c>
      <c r="AB108" s="36">
        <v>1</v>
      </c>
      <c r="AC108" s="41">
        <v>0</v>
      </c>
      <c r="AD108" s="40">
        <f>IFERROR((TABLA_AVANCE_METAS[[#This Row],[AVANCE 4°. TRIM]]/TABLA_AVANCE_METAS[[#This Row],[PROGR. 4° TRIM]])*100,"0")</f>
        <v>0</v>
      </c>
      <c r="AE108"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08" s="43" cm="1">
        <f t="array" ref="AF108">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0</v>
      </c>
      <c r="AG108" s="44" cm="1">
        <f t="array" ref="AG108">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0</v>
      </c>
      <c r="AH108" s="40" t="str">
        <f>IFERROR((TABLA_AVANCE_METAS[[#This Row],[AVANCE ACUM. TRIM.]]/TABLA_AVANCE_METAS[[#This Row],[PROG. ACUM]])*100,"N/A")</f>
        <v>N/A</v>
      </c>
      <c r="AI108"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NO PROG.</v>
      </c>
      <c r="AJ108" s="45">
        <f>TABLA_AVANCE_METAS[[#This Row],[AVANCE ACUM. TRIM.]]-TABLA_AVANCE_METAS[[#This Row],[PROG. ACUM]]</f>
        <v>0</v>
      </c>
      <c r="AK108" s="46" t="str">
        <f>IFERROR((TABLA_AVANCE_METAS[[#This Row],[DIFERENCIA ABSOLUTA SEMESTRAL]]/TABLA_AVANCE_METAS[[#This Row],[PROG. ACUM]])*100,"N/A")</f>
        <v>N/A</v>
      </c>
      <c r="AL108" s="44">
        <f>TABLA_AVANCE_METAS[[#This Row],[AVANCE 1°. TRIM]]+TABLA_AVANCE_METAS[[#This Row],[AVANCE 2°. TRIM]]+TABLA_AVANCE_METAS[[#This Row],[AVANCE 3°. TRIM]]+TABLA_AVANCE_METAS[[#This Row],[AVANCE 4°. TRIM]]</f>
        <v>0</v>
      </c>
      <c r="AM108" s="40">
        <f>IFERROR((TABLA_AVANCE_METAS[[#This Row],[AVANCE ACUM. ANUAL]]/TABLA_AVANCE_METAS[[#This Row],[PROGRAMADO ANUAL]])*100,"N/A")</f>
        <v>0</v>
      </c>
      <c r="AN108"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108" s="45">
        <f>TABLA_AVANCE_METAS[[#This Row],[AVANCE ACUM. ANUAL]]-TABLA_AVANCE_METAS[[#This Row],[PROGRAMADO ANUAL]]</f>
        <v>-1</v>
      </c>
      <c r="AP108" s="47">
        <f>IFERROR((TABLA_AVANCE_METAS[[#This Row],[DIFERENCIA ABSOLUTA ANUAL]]/TABLA_AVANCE_METAS[[#This Row],[PROGRAMADO ANUAL]])*100,"N/A")</f>
        <v>-100</v>
      </c>
      <c r="AQ108" s="48" t="s">
        <v>63</v>
      </c>
      <c r="AR108" s="49"/>
      <c r="AS108" s="50"/>
      <c r="AT108" s="50"/>
      <c r="AU108" s="51" t="b">
        <f>TABLA_AVANCE_METAS[[#This Row],[PROGRAMADO ANUAL]]=SUM(TABLA_AVANCE_METAS[[#This Row],[PROGR. 1° TRIM]],TABLA_AVANCE_METAS[[#This Row],[PROGR. 2° TRIM]],TABLA_AVANCE_METAS[[#This Row],[PROGR. 3° TRIM]],TABLA_AVANCE_METAS[[#This Row],[PROGR. 4° TRIM]])</f>
        <v>1</v>
      </c>
      <c r="AV108" s="52"/>
    </row>
    <row r="109" spans="1:48" ht="75" hidden="1" customHeight="1" x14ac:dyDescent="0.3">
      <c r="A109" s="31" t="str">
        <f>CONCATENATE(TABLA_AVANCE_METAS[[#This Row],[ESTRUCTURA]],TABLA_AVANCE_METAS[[#This Row],['#]])</f>
        <v>B0020301050205114</v>
      </c>
      <c r="B109" s="32" t="s">
        <v>354</v>
      </c>
      <c r="C109" s="33" t="s">
        <v>214</v>
      </c>
      <c r="D109" s="32" t="s">
        <v>215</v>
      </c>
      <c r="E109" s="32" t="s">
        <v>355</v>
      </c>
      <c r="F109" s="32" t="s">
        <v>356</v>
      </c>
      <c r="G109" s="34" t="s">
        <v>357</v>
      </c>
      <c r="H109" s="32" t="s">
        <v>188</v>
      </c>
      <c r="I109" s="32" t="s">
        <v>189</v>
      </c>
      <c r="J109" s="32" t="s">
        <v>358</v>
      </c>
      <c r="K109" s="32" t="s">
        <v>359</v>
      </c>
      <c r="L109" s="33">
        <v>4</v>
      </c>
      <c r="M109" s="35" t="s">
        <v>363</v>
      </c>
      <c r="N109" s="34" t="s">
        <v>85</v>
      </c>
      <c r="O109" s="36">
        <v>1</v>
      </c>
      <c r="P109" s="36">
        <v>0</v>
      </c>
      <c r="Q109" s="37">
        <v>0</v>
      </c>
      <c r="R109" s="38" t="str">
        <f>IFERROR((TABLA_AVANCE_METAS[[#This Row],[AVANCE 1°. TRIM]]/TABLA_AVANCE_METAS[[#This Row],[PROGR. 1° TRIM]])*100,"0")</f>
        <v>0</v>
      </c>
      <c r="S109"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NO PROG.</v>
      </c>
      <c r="T109" s="36">
        <v>0</v>
      </c>
      <c r="U109" s="37">
        <v>0</v>
      </c>
      <c r="V109" s="40" t="str">
        <f t="shared" si="2"/>
        <v>0</v>
      </c>
      <c r="W109" s="39" t="str">
        <f t="shared" si="4"/>
        <v>NO PROG.</v>
      </c>
      <c r="X109" s="36">
        <v>1</v>
      </c>
      <c r="Y109" s="37">
        <v>0</v>
      </c>
      <c r="Z109" s="40">
        <v>0</v>
      </c>
      <c r="AA109" s="39" t="s">
        <v>62</v>
      </c>
      <c r="AB109" s="36">
        <v>0</v>
      </c>
      <c r="AC109" s="41">
        <v>0</v>
      </c>
      <c r="AD109" s="40" t="str">
        <f>IFERROR((TABLA_AVANCE_METAS[[#This Row],[AVANCE 4°. TRIM]]/TABLA_AVANCE_METAS[[#This Row],[PROGR. 4° TRIM]])*100,"0")</f>
        <v>0</v>
      </c>
      <c r="AE109"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NO PROG.</v>
      </c>
      <c r="AF109" s="43" cm="1">
        <f t="array" ref="AF109">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0</v>
      </c>
      <c r="AG109" s="44" cm="1">
        <f t="array" ref="AG109">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0</v>
      </c>
      <c r="AH109" s="40" t="str">
        <f>IFERROR((TABLA_AVANCE_METAS[[#This Row],[AVANCE ACUM. TRIM.]]/TABLA_AVANCE_METAS[[#This Row],[PROG. ACUM]])*100,"N/A")</f>
        <v>N/A</v>
      </c>
      <c r="AI109"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NO PROG.</v>
      </c>
      <c r="AJ109" s="45">
        <f>TABLA_AVANCE_METAS[[#This Row],[AVANCE ACUM. TRIM.]]-TABLA_AVANCE_METAS[[#This Row],[PROG. ACUM]]</f>
        <v>0</v>
      </c>
      <c r="AK109" s="46" t="str">
        <f>IFERROR((TABLA_AVANCE_METAS[[#This Row],[DIFERENCIA ABSOLUTA SEMESTRAL]]/TABLA_AVANCE_METAS[[#This Row],[PROG. ACUM]])*100,"N/A")</f>
        <v>N/A</v>
      </c>
      <c r="AL109" s="44">
        <f>TABLA_AVANCE_METAS[[#This Row],[AVANCE 1°. TRIM]]+TABLA_AVANCE_METAS[[#This Row],[AVANCE 2°. TRIM]]+TABLA_AVANCE_METAS[[#This Row],[AVANCE 3°. TRIM]]+TABLA_AVANCE_METAS[[#This Row],[AVANCE 4°. TRIM]]</f>
        <v>0</v>
      </c>
      <c r="AM109" s="40">
        <f>IFERROR((TABLA_AVANCE_METAS[[#This Row],[AVANCE ACUM. ANUAL]]/TABLA_AVANCE_METAS[[#This Row],[PROGRAMADO ANUAL]])*100,"N/A")</f>
        <v>0</v>
      </c>
      <c r="AN109"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109" s="45">
        <f>TABLA_AVANCE_METAS[[#This Row],[AVANCE ACUM. ANUAL]]-TABLA_AVANCE_METAS[[#This Row],[PROGRAMADO ANUAL]]</f>
        <v>-1</v>
      </c>
      <c r="AP109" s="47">
        <f>IFERROR((TABLA_AVANCE_METAS[[#This Row],[DIFERENCIA ABSOLUTA ANUAL]]/TABLA_AVANCE_METAS[[#This Row],[PROGRAMADO ANUAL]])*100,"N/A")</f>
        <v>-100</v>
      </c>
      <c r="AQ109" s="48" t="s">
        <v>63</v>
      </c>
      <c r="AR109" s="49"/>
      <c r="AS109" s="50"/>
      <c r="AT109" s="50"/>
      <c r="AU109" s="51" t="b">
        <f>TABLA_AVANCE_METAS[[#This Row],[PROGRAMADO ANUAL]]=SUM(TABLA_AVANCE_METAS[[#This Row],[PROGR. 1° TRIM]],TABLA_AVANCE_METAS[[#This Row],[PROGR. 2° TRIM]],TABLA_AVANCE_METAS[[#This Row],[PROGR. 3° TRIM]],TABLA_AVANCE_METAS[[#This Row],[PROGR. 4° TRIM]])</f>
        <v>1</v>
      </c>
      <c r="AV109" s="52"/>
    </row>
    <row r="110" spans="1:48" ht="75" hidden="1" customHeight="1" x14ac:dyDescent="0.3">
      <c r="A110" s="31" t="str">
        <f>CONCATENATE(TABLA_AVANCE_METAS[[#This Row],[ESTRUCTURA]],TABLA_AVANCE_METAS[[#This Row],['#]])</f>
        <v>B0020301050205115</v>
      </c>
      <c r="B110" s="32" t="s">
        <v>354</v>
      </c>
      <c r="C110" s="33" t="s">
        <v>214</v>
      </c>
      <c r="D110" s="32" t="s">
        <v>215</v>
      </c>
      <c r="E110" s="32" t="s">
        <v>355</v>
      </c>
      <c r="F110" s="32" t="s">
        <v>356</v>
      </c>
      <c r="G110" s="34" t="s">
        <v>357</v>
      </c>
      <c r="H110" s="32" t="s">
        <v>188</v>
      </c>
      <c r="I110" s="32" t="s">
        <v>189</v>
      </c>
      <c r="J110" s="32" t="s">
        <v>358</v>
      </c>
      <c r="K110" s="32" t="s">
        <v>359</v>
      </c>
      <c r="L110" s="33">
        <v>5</v>
      </c>
      <c r="M110" s="35" t="s">
        <v>364</v>
      </c>
      <c r="N110" s="34" t="s">
        <v>85</v>
      </c>
      <c r="O110" s="36">
        <v>1</v>
      </c>
      <c r="P110" s="36">
        <v>0</v>
      </c>
      <c r="Q110" s="37">
        <v>0</v>
      </c>
      <c r="R110" s="38" t="str">
        <f>IFERROR((TABLA_AVANCE_METAS[[#This Row],[AVANCE 1°. TRIM]]/TABLA_AVANCE_METAS[[#This Row],[PROGR. 1° TRIM]])*100,"0")</f>
        <v>0</v>
      </c>
      <c r="S110"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NO PROG.</v>
      </c>
      <c r="T110" s="36">
        <v>0</v>
      </c>
      <c r="U110" s="37">
        <v>0</v>
      </c>
      <c r="V110" s="40" t="str">
        <f t="shared" si="2"/>
        <v>0</v>
      </c>
      <c r="W110" s="39" t="str">
        <f t="shared" si="4"/>
        <v>NO PROG.</v>
      </c>
      <c r="X110" s="36">
        <v>1</v>
      </c>
      <c r="Y110" s="37">
        <v>0</v>
      </c>
      <c r="Z110" s="40">
        <v>0</v>
      </c>
      <c r="AA110" s="39" t="s">
        <v>62</v>
      </c>
      <c r="AB110" s="36">
        <v>0</v>
      </c>
      <c r="AC110" s="41">
        <v>0</v>
      </c>
      <c r="AD110" s="40" t="str">
        <f>IFERROR((TABLA_AVANCE_METAS[[#This Row],[AVANCE 4°. TRIM]]/TABLA_AVANCE_METAS[[#This Row],[PROGR. 4° TRIM]])*100,"0")</f>
        <v>0</v>
      </c>
      <c r="AE110"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NO PROG.</v>
      </c>
      <c r="AF110" s="43" cm="1">
        <f t="array" ref="AF110">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0</v>
      </c>
      <c r="AG110" s="44" cm="1">
        <f t="array" ref="AG110">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0</v>
      </c>
      <c r="AH110" s="40" t="str">
        <f>IFERROR((TABLA_AVANCE_METAS[[#This Row],[AVANCE ACUM. TRIM.]]/TABLA_AVANCE_METAS[[#This Row],[PROG. ACUM]])*100,"N/A")</f>
        <v>N/A</v>
      </c>
      <c r="AI110"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NO PROG.</v>
      </c>
      <c r="AJ110" s="45">
        <f>TABLA_AVANCE_METAS[[#This Row],[AVANCE ACUM. TRIM.]]-TABLA_AVANCE_METAS[[#This Row],[PROG. ACUM]]</f>
        <v>0</v>
      </c>
      <c r="AK110" s="46" t="str">
        <f>IFERROR((TABLA_AVANCE_METAS[[#This Row],[DIFERENCIA ABSOLUTA SEMESTRAL]]/TABLA_AVANCE_METAS[[#This Row],[PROG. ACUM]])*100,"N/A")</f>
        <v>N/A</v>
      </c>
      <c r="AL110" s="44">
        <f>TABLA_AVANCE_METAS[[#This Row],[AVANCE 1°. TRIM]]+TABLA_AVANCE_METAS[[#This Row],[AVANCE 2°. TRIM]]+TABLA_AVANCE_METAS[[#This Row],[AVANCE 3°. TRIM]]+TABLA_AVANCE_METAS[[#This Row],[AVANCE 4°. TRIM]]</f>
        <v>0</v>
      </c>
      <c r="AM110" s="40">
        <f>IFERROR((TABLA_AVANCE_METAS[[#This Row],[AVANCE ACUM. ANUAL]]/TABLA_AVANCE_METAS[[#This Row],[PROGRAMADO ANUAL]])*100,"N/A")</f>
        <v>0</v>
      </c>
      <c r="AN110"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110" s="45">
        <f>TABLA_AVANCE_METAS[[#This Row],[AVANCE ACUM. ANUAL]]-TABLA_AVANCE_METAS[[#This Row],[PROGRAMADO ANUAL]]</f>
        <v>-1</v>
      </c>
      <c r="AP110" s="47">
        <f>IFERROR((TABLA_AVANCE_METAS[[#This Row],[DIFERENCIA ABSOLUTA ANUAL]]/TABLA_AVANCE_METAS[[#This Row],[PROGRAMADO ANUAL]])*100,"N/A")</f>
        <v>-100</v>
      </c>
      <c r="AQ110" s="48" t="s">
        <v>63</v>
      </c>
      <c r="AR110" s="49"/>
      <c r="AS110" s="50"/>
      <c r="AT110" s="50"/>
      <c r="AU110" s="51" t="b">
        <f>TABLA_AVANCE_METAS[[#This Row],[PROGRAMADO ANUAL]]=SUM(TABLA_AVANCE_METAS[[#This Row],[PROGR. 1° TRIM]],TABLA_AVANCE_METAS[[#This Row],[PROGR. 2° TRIM]],TABLA_AVANCE_METAS[[#This Row],[PROGR. 3° TRIM]],TABLA_AVANCE_METAS[[#This Row],[PROGR. 4° TRIM]])</f>
        <v>1</v>
      </c>
      <c r="AV110" s="52"/>
    </row>
    <row r="111" spans="1:48" ht="75" hidden="1" customHeight="1" x14ac:dyDescent="0.3">
      <c r="A111" s="31" t="str">
        <f>CONCATENATE(TABLA_AVANCE_METAS[[#This Row],[ESTRUCTURA]],TABLA_AVANCE_METAS[[#This Row],['#]])</f>
        <v>B0020301050205116</v>
      </c>
      <c r="B111" s="32" t="s">
        <v>354</v>
      </c>
      <c r="C111" s="62" t="s">
        <v>214</v>
      </c>
      <c r="D111" s="61" t="s">
        <v>215</v>
      </c>
      <c r="E111" s="32" t="s">
        <v>355</v>
      </c>
      <c r="F111" s="61" t="s">
        <v>356</v>
      </c>
      <c r="G111" s="34" t="s">
        <v>357</v>
      </c>
      <c r="H111" s="61" t="s">
        <v>188</v>
      </c>
      <c r="I111" s="61" t="s">
        <v>189</v>
      </c>
      <c r="J111" s="61" t="s">
        <v>358</v>
      </c>
      <c r="K111" s="61" t="s">
        <v>359</v>
      </c>
      <c r="L111" s="33">
        <v>6</v>
      </c>
      <c r="M111" s="57" t="s">
        <v>365</v>
      </c>
      <c r="N111" s="34" t="s">
        <v>85</v>
      </c>
      <c r="O111" s="36">
        <v>1</v>
      </c>
      <c r="P111" s="36">
        <v>0</v>
      </c>
      <c r="Q111" s="37">
        <v>0</v>
      </c>
      <c r="R111" s="38" t="str">
        <f>IFERROR((TABLA_AVANCE_METAS[[#This Row],[AVANCE 1°. TRIM]]/TABLA_AVANCE_METAS[[#This Row],[PROGR. 1° TRIM]])*100,"0")</f>
        <v>0</v>
      </c>
      <c r="S111"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NO PROG.</v>
      </c>
      <c r="T111" s="36">
        <v>1</v>
      </c>
      <c r="U111" s="37">
        <v>1</v>
      </c>
      <c r="V111" s="40">
        <f t="shared" si="2"/>
        <v>100</v>
      </c>
      <c r="W111" s="39" t="str">
        <f t="shared" si="4"/>
        <v>ADECUADO</v>
      </c>
      <c r="X111" s="36">
        <v>0</v>
      </c>
      <c r="Y111" s="37">
        <v>0</v>
      </c>
      <c r="Z111" s="40" t="s">
        <v>72</v>
      </c>
      <c r="AA111" s="39" t="s">
        <v>73</v>
      </c>
      <c r="AB111" s="36">
        <v>0</v>
      </c>
      <c r="AC111" s="41">
        <v>0</v>
      </c>
      <c r="AD111" s="40" t="str">
        <f>IFERROR((TABLA_AVANCE_METAS[[#This Row],[AVANCE 4°. TRIM]]/TABLA_AVANCE_METAS[[#This Row],[PROGR. 4° TRIM]])*100,"0")</f>
        <v>0</v>
      </c>
      <c r="AE111"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NO PROG.</v>
      </c>
      <c r="AF111" s="43" cm="1">
        <f t="array" ref="AF111">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v>
      </c>
      <c r="AG111" s="44" cm="1">
        <f t="array" ref="AG111">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1</v>
      </c>
      <c r="AH111" s="40">
        <f>IFERROR((TABLA_AVANCE_METAS[[#This Row],[AVANCE ACUM. TRIM.]]/TABLA_AVANCE_METAS[[#This Row],[PROG. ACUM]])*100,"N/A")</f>
        <v>100</v>
      </c>
      <c r="AI111"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111" s="45">
        <f>TABLA_AVANCE_METAS[[#This Row],[AVANCE ACUM. TRIM.]]-TABLA_AVANCE_METAS[[#This Row],[PROG. ACUM]]</f>
        <v>0</v>
      </c>
      <c r="AK111" s="46">
        <f>IFERROR((TABLA_AVANCE_METAS[[#This Row],[DIFERENCIA ABSOLUTA SEMESTRAL]]/TABLA_AVANCE_METAS[[#This Row],[PROG. ACUM]])*100,"N/A")</f>
        <v>0</v>
      </c>
      <c r="AL111" s="44">
        <f>TABLA_AVANCE_METAS[[#This Row],[AVANCE 1°. TRIM]]+TABLA_AVANCE_METAS[[#This Row],[AVANCE 2°. TRIM]]+TABLA_AVANCE_METAS[[#This Row],[AVANCE 3°. TRIM]]+TABLA_AVANCE_METAS[[#This Row],[AVANCE 4°. TRIM]]</f>
        <v>1</v>
      </c>
      <c r="AM111" s="40">
        <f>IFERROR((TABLA_AVANCE_METAS[[#This Row],[AVANCE ACUM. ANUAL]]/TABLA_AVANCE_METAS[[#This Row],[PROGRAMADO ANUAL]])*100,"N/A")</f>
        <v>100</v>
      </c>
      <c r="AN111"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ADECUADO</v>
      </c>
      <c r="AO111" s="45">
        <f>TABLA_AVANCE_METAS[[#This Row],[AVANCE ACUM. ANUAL]]-TABLA_AVANCE_METAS[[#This Row],[PROGRAMADO ANUAL]]</f>
        <v>0</v>
      </c>
      <c r="AP111" s="47">
        <f>IFERROR((TABLA_AVANCE_METAS[[#This Row],[DIFERENCIA ABSOLUTA ANUAL]]/TABLA_AVANCE_METAS[[#This Row],[PROGRAMADO ANUAL]])*100,"N/A")</f>
        <v>0</v>
      </c>
      <c r="AQ111" s="48" t="s">
        <v>63</v>
      </c>
      <c r="AR111" s="49"/>
      <c r="AS111" s="50"/>
      <c r="AT111" s="50"/>
      <c r="AU111" s="51" t="b">
        <f>TABLA_AVANCE_METAS[[#This Row],[PROGRAMADO ANUAL]]=SUM(TABLA_AVANCE_METAS[[#This Row],[PROGR. 1° TRIM]],TABLA_AVANCE_METAS[[#This Row],[PROGR. 2° TRIM]],TABLA_AVANCE_METAS[[#This Row],[PROGR. 3° TRIM]],TABLA_AVANCE_METAS[[#This Row],[PROGR. 4° TRIM]])</f>
        <v>1</v>
      </c>
      <c r="AV111" s="52"/>
    </row>
    <row r="112" spans="1:48" ht="75" hidden="1" customHeight="1" x14ac:dyDescent="0.3">
      <c r="A112" s="65" t="str">
        <f>CONCATENATE(TABLA_AVANCE_METAS[[#This Row],[ESTRUCTURA]],TABLA_AVANCE_METAS[[#This Row],['#]])</f>
        <v>B0321501030101031</v>
      </c>
      <c r="B112" s="66" t="s">
        <v>366</v>
      </c>
      <c r="C112" s="67" t="s">
        <v>367</v>
      </c>
      <c r="D112" s="66" t="s">
        <v>368</v>
      </c>
      <c r="E112" s="66" t="s">
        <v>77</v>
      </c>
      <c r="F112" s="66" t="s">
        <v>78</v>
      </c>
      <c r="G112" s="68" t="s">
        <v>369</v>
      </c>
      <c r="H112" s="66" t="s">
        <v>56</v>
      </c>
      <c r="I112" s="66" t="s">
        <v>57</v>
      </c>
      <c r="J112" s="66" t="s">
        <v>58</v>
      </c>
      <c r="K112" s="66" t="s">
        <v>59</v>
      </c>
      <c r="L112" s="67">
        <v>1</v>
      </c>
      <c r="M112" s="69" t="s">
        <v>370</v>
      </c>
      <c r="N112" s="68" t="s">
        <v>371</v>
      </c>
      <c r="O112" s="70"/>
      <c r="P112" s="70">
        <v>0</v>
      </c>
      <c r="Q112" s="37">
        <v>0</v>
      </c>
      <c r="R112" s="71" t="str">
        <f>IFERROR((TABLA_AVANCE_METAS[[#This Row],[AVANCE 1°. TRIM]]/TABLA_AVANCE_METAS[[#This Row],[PROGR. 1° TRIM]])*100,"0")</f>
        <v>0</v>
      </c>
      <c r="S112" s="72"/>
      <c r="T112" s="70">
        <v>0</v>
      </c>
      <c r="U112" s="37">
        <v>0</v>
      </c>
      <c r="V112" s="73" t="str">
        <f t="shared" si="2"/>
        <v>0</v>
      </c>
      <c r="W112" s="72"/>
      <c r="X112" s="70">
        <v>1200</v>
      </c>
      <c r="Y112" s="37">
        <v>0</v>
      </c>
      <c r="Z112" s="73">
        <v>0</v>
      </c>
      <c r="AA112" s="72"/>
      <c r="AB112" s="70">
        <v>0</v>
      </c>
      <c r="AC112" s="41">
        <v>0</v>
      </c>
      <c r="AD112" s="73" t="str">
        <f>IFERROR((TABLA_AVANCE_METAS[[#This Row],[AVANCE 4°. TRIM]]/TABLA_AVANCE_METAS[[#This Row],[PROGR. 4° TRIM]])*100,"0")</f>
        <v>0</v>
      </c>
      <c r="AE112" s="74"/>
      <c r="AF112" s="43" cm="1">
        <f t="array" ref="AF112">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0</v>
      </c>
      <c r="AG112" s="44" cm="1">
        <f t="array" ref="AG112">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0</v>
      </c>
      <c r="AH112" s="40" t="str">
        <f>IFERROR((TABLA_AVANCE_METAS[[#This Row],[AVANCE ACUM. TRIM.]]/TABLA_AVANCE_METAS[[#This Row],[PROG. ACUM]])*100,"N/A")</f>
        <v>N/A</v>
      </c>
      <c r="AI112"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NO PROG.</v>
      </c>
      <c r="AJ112" s="75">
        <f>TABLA_AVANCE_METAS[[#This Row],[AVANCE ACUM. TRIM.]]-TABLA_AVANCE_METAS[[#This Row],[PROG. ACUM]]</f>
        <v>0</v>
      </c>
      <c r="AK112" s="76" t="str">
        <f>IFERROR((TABLA_AVANCE_METAS[[#This Row],[DIFERENCIA ABSOLUTA SEMESTRAL]]/TABLA_AVANCE_METAS[[#This Row],[PROG. ACUM]])*100,"N/A")</f>
        <v>N/A</v>
      </c>
      <c r="AL112" s="77">
        <f>TABLA_AVANCE_METAS[[#This Row],[AVANCE 1°. TRIM]]+TABLA_AVANCE_METAS[[#This Row],[AVANCE 2°. TRIM]]+TABLA_AVANCE_METAS[[#This Row],[AVANCE 3°. TRIM]]+TABLA_AVANCE_METAS[[#This Row],[AVANCE 4°. TRIM]]</f>
        <v>0</v>
      </c>
      <c r="AM112" s="73" t="str">
        <f>IFERROR((TABLA_AVANCE_METAS[[#This Row],[AVANCE ACUM. ANUAL]]/TABLA_AVANCE_METAS[[#This Row],[PROGRAMADO ANUAL]])*100,"N/A")</f>
        <v>N/A</v>
      </c>
      <c r="AN112" s="72"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NO PROG.</v>
      </c>
      <c r="AO112" s="75">
        <f>TABLA_AVANCE_METAS[[#This Row],[AVANCE ACUM. ANUAL]]-TABLA_AVANCE_METAS[[#This Row],[PROGRAMADO ANUAL]]</f>
        <v>0</v>
      </c>
      <c r="AP112" s="78" t="str">
        <f>IFERROR((TABLA_AVANCE_METAS[[#This Row],[DIFERENCIA ABSOLUTA ANUAL]]/TABLA_AVANCE_METAS[[#This Row],[PROGRAMADO ANUAL]])*100,"N/A")</f>
        <v>N/A</v>
      </c>
      <c r="AQ112" s="79" t="s">
        <v>372</v>
      </c>
      <c r="AR112" s="80"/>
      <c r="AS112" s="50"/>
      <c r="AT112" s="50"/>
      <c r="AU112" s="81" t="b">
        <f>TABLA_AVANCE_METAS[[#This Row],[PROGRAMADO ANUAL]]=SUM(TABLA_AVANCE_METAS[[#This Row],[PROGR. 1° TRIM]],TABLA_AVANCE_METAS[[#This Row],[PROGR. 2° TRIM]],TABLA_AVANCE_METAS[[#This Row],[PROGR. 3° TRIM]],TABLA_AVANCE_METAS[[#This Row],[PROGR. 4° TRIM]])</f>
        <v>0</v>
      </c>
      <c r="AV112" s="52"/>
    </row>
    <row r="113" spans="1:48" ht="75" hidden="1" customHeight="1" x14ac:dyDescent="0.3">
      <c r="A113" s="65" t="str">
        <f>CONCATENATE(TABLA_AVANCE_METAS[[#This Row],[ESTRUCTURA]],TABLA_AVANCE_METAS[[#This Row],['#]])</f>
        <v>B0321501030101032</v>
      </c>
      <c r="B113" s="66" t="s">
        <v>366</v>
      </c>
      <c r="C113" s="67" t="s">
        <v>367</v>
      </c>
      <c r="D113" s="66" t="s">
        <v>368</v>
      </c>
      <c r="E113" s="66" t="s">
        <v>77</v>
      </c>
      <c r="F113" s="66" t="s">
        <v>78</v>
      </c>
      <c r="G113" s="68" t="s">
        <v>369</v>
      </c>
      <c r="H113" s="66" t="s">
        <v>56</v>
      </c>
      <c r="I113" s="66" t="s">
        <v>57</v>
      </c>
      <c r="J113" s="66" t="s">
        <v>58</v>
      </c>
      <c r="K113" s="66" t="s">
        <v>59</v>
      </c>
      <c r="L113" s="67">
        <v>2</v>
      </c>
      <c r="M113" s="69" t="s">
        <v>373</v>
      </c>
      <c r="N113" s="68" t="s">
        <v>289</v>
      </c>
      <c r="O113" s="70"/>
      <c r="P113" s="70">
        <v>0</v>
      </c>
      <c r="Q113" s="37">
        <v>0</v>
      </c>
      <c r="R113" s="71" t="str">
        <f>IFERROR((TABLA_AVANCE_METAS[[#This Row],[AVANCE 1°. TRIM]]/TABLA_AVANCE_METAS[[#This Row],[PROGR. 1° TRIM]])*100,"0")</f>
        <v>0</v>
      </c>
      <c r="S113" s="72"/>
      <c r="T113" s="70">
        <v>0</v>
      </c>
      <c r="U113" s="37">
        <v>0</v>
      </c>
      <c r="V113" s="73" t="str">
        <f t="shared" si="2"/>
        <v>0</v>
      </c>
      <c r="W113" s="72"/>
      <c r="X113" s="70">
        <v>25</v>
      </c>
      <c r="Y113" s="37">
        <v>0</v>
      </c>
      <c r="Z113" s="73">
        <v>0</v>
      </c>
      <c r="AA113" s="72"/>
      <c r="AB113" s="70">
        <v>0</v>
      </c>
      <c r="AC113" s="41">
        <v>0</v>
      </c>
      <c r="AD113" s="73" t="str">
        <f>IFERROR((TABLA_AVANCE_METAS[[#This Row],[AVANCE 4°. TRIM]]/TABLA_AVANCE_METAS[[#This Row],[PROGR. 4° TRIM]])*100,"0")</f>
        <v>0</v>
      </c>
      <c r="AE113" s="74"/>
      <c r="AF113" s="43" cm="1">
        <f t="array" ref="AF113">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0</v>
      </c>
      <c r="AG113" s="44" cm="1">
        <f t="array" ref="AG113">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0</v>
      </c>
      <c r="AH113" s="40" t="str">
        <f>IFERROR((TABLA_AVANCE_METAS[[#This Row],[AVANCE ACUM. TRIM.]]/TABLA_AVANCE_METAS[[#This Row],[PROG. ACUM]])*100,"N/A")</f>
        <v>N/A</v>
      </c>
      <c r="AI113"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NO PROG.</v>
      </c>
      <c r="AJ113" s="75">
        <f>TABLA_AVANCE_METAS[[#This Row],[AVANCE ACUM. TRIM.]]-TABLA_AVANCE_METAS[[#This Row],[PROG. ACUM]]</f>
        <v>0</v>
      </c>
      <c r="AK113" s="76" t="str">
        <f>IFERROR((TABLA_AVANCE_METAS[[#This Row],[DIFERENCIA ABSOLUTA SEMESTRAL]]/TABLA_AVANCE_METAS[[#This Row],[PROG. ACUM]])*100,"N/A")</f>
        <v>N/A</v>
      </c>
      <c r="AL113" s="77">
        <f>TABLA_AVANCE_METAS[[#This Row],[AVANCE 1°. TRIM]]+TABLA_AVANCE_METAS[[#This Row],[AVANCE 2°. TRIM]]+TABLA_AVANCE_METAS[[#This Row],[AVANCE 3°. TRIM]]+TABLA_AVANCE_METAS[[#This Row],[AVANCE 4°. TRIM]]</f>
        <v>0</v>
      </c>
      <c r="AM113" s="73" t="str">
        <f>IFERROR((TABLA_AVANCE_METAS[[#This Row],[AVANCE ACUM. ANUAL]]/TABLA_AVANCE_METAS[[#This Row],[PROGRAMADO ANUAL]])*100,"N/A")</f>
        <v>N/A</v>
      </c>
      <c r="AN113" s="72"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NO PROG.</v>
      </c>
      <c r="AO113" s="75">
        <f>TABLA_AVANCE_METAS[[#This Row],[AVANCE ACUM. ANUAL]]-TABLA_AVANCE_METAS[[#This Row],[PROGRAMADO ANUAL]]</f>
        <v>0</v>
      </c>
      <c r="AP113" s="78" t="str">
        <f>IFERROR((TABLA_AVANCE_METAS[[#This Row],[DIFERENCIA ABSOLUTA ANUAL]]/TABLA_AVANCE_METAS[[#This Row],[PROGRAMADO ANUAL]])*100,"N/A")</f>
        <v>N/A</v>
      </c>
      <c r="AQ113" s="79" t="s">
        <v>372</v>
      </c>
      <c r="AR113" s="80"/>
      <c r="AS113" s="50"/>
      <c r="AT113" s="50"/>
      <c r="AU113" s="81" t="b">
        <f>TABLA_AVANCE_METAS[[#This Row],[PROGRAMADO ANUAL]]=SUM(TABLA_AVANCE_METAS[[#This Row],[PROGR. 1° TRIM]],TABLA_AVANCE_METAS[[#This Row],[PROGR. 2° TRIM]],TABLA_AVANCE_METAS[[#This Row],[PROGR. 3° TRIM]],TABLA_AVANCE_METAS[[#This Row],[PROGR. 4° TRIM]])</f>
        <v>0</v>
      </c>
      <c r="AV113" s="52"/>
    </row>
    <row r="114" spans="1:48" ht="75" hidden="1" customHeight="1" x14ac:dyDescent="0.3">
      <c r="A114" s="31" t="str">
        <f>CONCATENATE(TABLA_AVANCE_METAS[[#This Row],[ESTRUCTURA]],TABLA_AVANCE_METAS[[#This Row],['#]])</f>
        <v>B0321501030101033</v>
      </c>
      <c r="B114" s="32" t="s">
        <v>366</v>
      </c>
      <c r="C114" s="33" t="s">
        <v>367</v>
      </c>
      <c r="D114" s="32" t="s">
        <v>368</v>
      </c>
      <c r="E114" s="32" t="s">
        <v>77</v>
      </c>
      <c r="F114" s="32" t="s">
        <v>78</v>
      </c>
      <c r="G114" s="34" t="s">
        <v>369</v>
      </c>
      <c r="H114" s="32" t="s">
        <v>56</v>
      </c>
      <c r="I114" s="32" t="s">
        <v>57</v>
      </c>
      <c r="J114" s="32" t="s">
        <v>58</v>
      </c>
      <c r="K114" s="32" t="s">
        <v>59</v>
      </c>
      <c r="L114" s="33">
        <v>3</v>
      </c>
      <c r="M114" s="35" t="s">
        <v>374</v>
      </c>
      <c r="N114" s="34" t="s">
        <v>375</v>
      </c>
      <c r="O114" s="36">
        <v>260</v>
      </c>
      <c r="P114" s="36">
        <v>65</v>
      </c>
      <c r="Q114" s="37">
        <v>65</v>
      </c>
      <c r="R114" s="38">
        <f>IFERROR((TABLA_AVANCE_METAS[[#This Row],[AVANCE 1°. TRIM]]/TABLA_AVANCE_METAS[[#This Row],[PROGR. 1° TRIM]])*100,"0")</f>
        <v>100</v>
      </c>
      <c r="S114"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114" s="36">
        <v>65</v>
      </c>
      <c r="U114" s="37">
        <v>69</v>
      </c>
      <c r="V114" s="40">
        <f t="shared" si="2"/>
        <v>106.15384615384616</v>
      </c>
      <c r="W114" s="39" t="str">
        <f t="shared" ref="W114:W132" si="5">IF(AND(V114&gt;=0,V114&lt;=49.9999999999999),"CRÍTICO",IF(AND(V114&gt;=50,V114&lt;=69.9999999999999),"DEFICIENTE",IF(AND(V114&gt;=70,V114&lt;=89.9999999999999),"REGULAR",IF(AND(V114&gt;=90,V114&lt;=110.999999999999),"ADECUADO",IF(AND(V114&gt;=111,V114&lt;=999999),"SOBREPASADO","NO PROG.")))))</f>
        <v>ADECUADO</v>
      </c>
      <c r="X114" s="36">
        <v>65</v>
      </c>
      <c r="Y114" s="37">
        <v>0</v>
      </c>
      <c r="Z114" s="40">
        <v>0</v>
      </c>
      <c r="AA114" s="39" t="s">
        <v>62</v>
      </c>
      <c r="AB114" s="36">
        <v>65</v>
      </c>
      <c r="AC114" s="41">
        <v>0</v>
      </c>
      <c r="AD114" s="40">
        <f>IFERROR((TABLA_AVANCE_METAS[[#This Row],[AVANCE 4°. TRIM]]/TABLA_AVANCE_METAS[[#This Row],[PROGR. 4° TRIM]])*100,"0")</f>
        <v>0</v>
      </c>
      <c r="AE114"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14" s="43" cm="1">
        <f t="array" ref="AF114">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130</v>
      </c>
      <c r="AG114" s="44" cm="1">
        <f t="array" ref="AG114">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134</v>
      </c>
      <c r="AH114" s="40">
        <f>IFERROR((TABLA_AVANCE_METAS[[#This Row],[AVANCE ACUM. TRIM.]]/TABLA_AVANCE_METAS[[#This Row],[PROG. ACUM]])*100,"N/A")</f>
        <v>103.07692307692307</v>
      </c>
      <c r="AI114"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114" s="45">
        <f>TABLA_AVANCE_METAS[[#This Row],[AVANCE ACUM. TRIM.]]-TABLA_AVANCE_METAS[[#This Row],[PROG. ACUM]]</f>
        <v>4</v>
      </c>
      <c r="AK114" s="46">
        <f>IFERROR((TABLA_AVANCE_METAS[[#This Row],[DIFERENCIA ABSOLUTA SEMESTRAL]]/TABLA_AVANCE_METAS[[#This Row],[PROG. ACUM]])*100,"N/A")</f>
        <v>3.0769230769230771</v>
      </c>
      <c r="AL114" s="44">
        <f>TABLA_AVANCE_METAS[[#This Row],[AVANCE 1°. TRIM]]+TABLA_AVANCE_METAS[[#This Row],[AVANCE 2°. TRIM]]+TABLA_AVANCE_METAS[[#This Row],[AVANCE 3°. TRIM]]+TABLA_AVANCE_METAS[[#This Row],[AVANCE 4°. TRIM]]</f>
        <v>134</v>
      </c>
      <c r="AM114" s="40">
        <f>IFERROR((TABLA_AVANCE_METAS[[#This Row],[AVANCE ACUM. ANUAL]]/TABLA_AVANCE_METAS[[#This Row],[PROGRAMADO ANUAL]])*100,"N/A")</f>
        <v>51.538461538461533</v>
      </c>
      <c r="AN114"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114" s="45">
        <f>TABLA_AVANCE_METAS[[#This Row],[AVANCE ACUM. ANUAL]]-TABLA_AVANCE_METAS[[#This Row],[PROGRAMADO ANUAL]]</f>
        <v>-126</v>
      </c>
      <c r="AP114" s="47">
        <f>IFERROR((TABLA_AVANCE_METAS[[#This Row],[DIFERENCIA ABSOLUTA ANUAL]]/TABLA_AVANCE_METAS[[#This Row],[PROGRAMADO ANUAL]])*100,"N/A")</f>
        <v>-48.46153846153846</v>
      </c>
      <c r="AQ114" s="48" t="s">
        <v>376</v>
      </c>
      <c r="AR114" s="49"/>
      <c r="AS114" s="50"/>
      <c r="AT114" s="50"/>
      <c r="AU114" s="51" t="b">
        <f>TABLA_AVANCE_METAS[[#This Row],[PROGRAMADO ANUAL]]=SUM(TABLA_AVANCE_METAS[[#This Row],[PROGR. 1° TRIM]],TABLA_AVANCE_METAS[[#This Row],[PROGR. 2° TRIM]],TABLA_AVANCE_METAS[[#This Row],[PROGR. 3° TRIM]],TABLA_AVANCE_METAS[[#This Row],[PROGR. 4° TRIM]])</f>
        <v>1</v>
      </c>
      <c r="AV114" s="52"/>
    </row>
    <row r="115" spans="1:48" ht="75" hidden="1" customHeight="1" x14ac:dyDescent="0.3">
      <c r="A115" s="31" t="str">
        <f>CONCATENATE(TABLA_AVANCE_METAS[[#This Row],[ESTRUCTURA]],TABLA_AVANCE_METAS[[#This Row],['#]])</f>
        <v>B0321501030101034</v>
      </c>
      <c r="B115" s="32" t="s">
        <v>366</v>
      </c>
      <c r="C115" s="33" t="s">
        <v>367</v>
      </c>
      <c r="D115" s="32" t="s">
        <v>368</v>
      </c>
      <c r="E115" s="32" t="s">
        <v>77</v>
      </c>
      <c r="F115" s="32" t="s">
        <v>78</v>
      </c>
      <c r="G115" s="34" t="s">
        <v>369</v>
      </c>
      <c r="H115" s="32" t="s">
        <v>56</v>
      </c>
      <c r="I115" s="32" t="s">
        <v>57</v>
      </c>
      <c r="J115" s="32" t="s">
        <v>58</v>
      </c>
      <c r="K115" s="32" t="s">
        <v>59</v>
      </c>
      <c r="L115" s="33">
        <v>4</v>
      </c>
      <c r="M115" s="35" t="s">
        <v>377</v>
      </c>
      <c r="N115" s="34" t="s">
        <v>124</v>
      </c>
      <c r="O115" s="36">
        <v>80</v>
      </c>
      <c r="P115" s="36">
        <v>20</v>
      </c>
      <c r="Q115" s="37">
        <v>20</v>
      </c>
      <c r="R115" s="38">
        <f>IFERROR((TABLA_AVANCE_METAS[[#This Row],[AVANCE 1°. TRIM]]/TABLA_AVANCE_METAS[[#This Row],[PROGR. 1° TRIM]])*100,"0")</f>
        <v>100</v>
      </c>
      <c r="S115"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115" s="36">
        <v>20</v>
      </c>
      <c r="U115" s="37">
        <v>22</v>
      </c>
      <c r="V115" s="40">
        <f t="shared" si="2"/>
        <v>110.00000000000001</v>
      </c>
      <c r="W115" s="39" t="str">
        <f t="shared" si="5"/>
        <v>ADECUADO</v>
      </c>
      <c r="X115" s="36">
        <v>20</v>
      </c>
      <c r="Y115" s="37">
        <v>0</v>
      </c>
      <c r="Z115" s="40">
        <v>0</v>
      </c>
      <c r="AA115" s="39" t="s">
        <v>62</v>
      </c>
      <c r="AB115" s="36">
        <v>20</v>
      </c>
      <c r="AC115" s="41">
        <v>0</v>
      </c>
      <c r="AD115" s="40">
        <f>IFERROR((TABLA_AVANCE_METAS[[#This Row],[AVANCE 4°. TRIM]]/TABLA_AVANCE_METAS[[#This Row],[PROGR. 4° TRIM]])*100,"0")</f>
        <v>0</v>
      </c>
      <c r="AE115"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15" s="43" cm="1">
        <f t="array" ref="AF115">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40</v>
      </c>
      <c r="AG115" s="44" cm="1">
        <f t="array" ref="AG115">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42</v>
      </c>
      <c r="AH115" s="40">
        <f>IFERROR((TABLA_AVANCE_METAS[[#This Row],[AVANCE ACUM. TRIM.]]/TABLA_AVANCE_METAS[[#This Row],[PROG. ACUM]])*100,"N/A")</f>
        <v>105</v>
      </c>
      <c r="AI115"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115" s="45">
        <f>TABLA_AVANCE_METAS[[#This Row],[AVANCE ACUM. TRIM.]]-TABLA_AVANCE_METAS[[#This Row],[PROG. ACUM]]</f>
        <v>2</v>
      </c>
      <c r="AK115" s="46">
        <f>IFERROR((TABLA_AVANCE_METAS[[#This Row],[DIFERENCIA ABSOLUTA SEMESTRAL]]/TABLA_AVANCE_METAS[[#This Row],[PROG. ACUM]])*100,"N/A")</f>
        <v>5</v>
      </c>
      <c r="AL115" s="44">
        <f>TABLA_AVANCE_METAS[[#This Row],[AVANCE 1°. TRIM]]+TABLA_AVANCE_METAS[[#This Row],[AVANCE 2°. TRIM]]+TABLA_AVANCE_METAS[[#This Row],[AVANCE 3°. TRIM]]+TABLA_AVANCE_METAS[[#This Row],[AVANCE 4°. TRIM]]</f>
        <v>42</v>
      </c>
      <c r="AM115" s="40">
        <f>IFERROR((TABLA_AVANCE_METAS[[#This Row],[AVANCE ACUM. ANUAL]]/TABLA_AVANCE_METAS[[#This Row],[PROGRAMADO ANUAL]])*100,"N/A")</f>
        <v>52.5</v>
      </c>
      <c r="AN115"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115" s="45">
        <f>TABLA_AVANCE_METAS[[#This Row],[AVANCE ACUM. ANUAL]]-TABLA_AVANCE_METAS[[#This Row],[PROGRAMADO ANUAL]]</f>
        <v>-38</v>
      </c>
      <c r="AP115" s="47">
        <f>IFERROR((TABLA_AVANCE_METAS[[#This Row],[DIFERENCIA ABSOLUTA ANUAL]]/TABLA_AVANCE_METAS[[#This Row],[PROGRAMADO ANUAL]])*100,"N/A")</f>
        <v>-47.5</v>
      </c>
      <c r="AQ115" s="48" t="s">
        <v>376</v>
      </c>
      <c r="AR115" s="49"/>
      <c r="AS115" s="50"/>
      <c r="AT115" s="50"/>
      <c r="AU115" s="51" t="b">
        <f>TABLA_AVANCE_METAS[[#This Row],[PROGRAMADO ANUAL]]=SUM(TABLA_AVANCE_METAS[[#This Row],[PROGR. 1° TRIM]],TABLA_AVANCE_METAS[[#This Row],[PROGR. 2° TRIM]],TABLA_AVANCE_METAS[[#This Row],[PROGR. 3° TRIM]],TABLA_AVANCE_METAS[[#This Row],[PROGR. 4° TRIM]])</f>
        <v>1</v>
      </c>
      <c r="AV115" s="52"/>
    </row>
    <row r="116" spans="1:48" ht="75" hidden="1" customHeight="1" x14ac:dyDescent="0.3">
      <c r="A116" s="65" t="str">
        <f>CONCATENATE(TABLA_AVANCE_METAS[[#This Row],[ESTRUCTURA]],TABLA_AVANCE_METAS[[#This Row],['#]])</f>
        <v>B0321501030101035</v>
      </c>
      <c r="B116" s="66" t="s">
        <v>366</v>
      </c>
      <c r="C116" s="67" t="s">
        <v>367</v>
      </c>
      <c r="D116" s="66" t="s">
        <v>368</v>
      </c>
      <c r="E116" s="66" t="s">
        <v>77</v>
      </c>
      <c r="F116" s="66" t="s">
        <v>78</v>
      </c>
      <c r="G116" s="68" t="s">
        <v>369</v>
      </c>
      <c r="H116" s="66" t="s">
        <v>56</v>
      </c>
      <c r="I116" s="66" t="s">
        <v>57</v>
      </c>
      <c r="J116" s="66" t="s">
        <v>58</v>
      </c>
      <c r="K116" s="66" t="s">
        <v>59</v>
      </c>
      <c r="L116" s="67">
        <v>5</v>
      </c>
      <c r="M116" s="69" t="s">
        <v>378</v>
      </c>
      <c r="N116" s="68" t="s">
        <v>240</v>
      </c>
      <c r="O116" s="70"/>
      <c r="P116" s="70">
        <v>450</v>
      </c>
      <c r="Q116" s="37">
        <v>0</v>
      </c>
      <c r="R116" s="71">
        <f>IFERROR((TABLA_AVANCE_METAS[[#This Row],[AVANCE 1°. TRIM]]/TABLA_AVANCE_METAS[[#This Row],[PROGR. 1° TRIM]])*100,"0")</f>
        <v>0</v>
      </c>
      <c r="S116" s="72"/>
      <c r="T116" s="70">
        <v>450</v>
      </c>
      <c r="U116" s="37">
        <v>0</v>
      </c>
      <c r="V116" s="73">
        <f t="shared" si="2"/>
        <v>0</v>
      </c>
      <c r="W116" s="72"/>
      <c r="X116" s="70">
        <v>450</v>
      </c>
      <c r="Y116" s="37">
        <v>0</v>
      </c>
      <c r="Z116" s="73">
        <v>0</v>
      </c>
      <c r="AA116" s="72"/>
      <c r="AB116" s="70">
        <v>450</v>
      </c>
      <c r="AC116" s="41">
        <v>0</v>
      </c>
      <c r="AD116" s="73">
        <f>IFERROR((TABLA_AVANCE_METAS[[#This Row],[AVANCE 4°. TRIM]]/TABLA_AVANCE_METAS[[#This Row],[PROGR. 4° TRIM]])*100,"0")</f>
        <v>0</v>
      </c>
      <c r="AE116" s="74"/>
      <c r="AF116" s="43" cm="1">
        <f t="array" ref="AF116">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0</v>
      </c>
      <c r="AG116" s="44" cm="1">
        <f t="array" ref="AG116">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0</v>
      </c>
      <c r="AH116" s="40" t="str">
        <f>IFERROR((TABLA_AVANCE_METAS[[#This Row],[AVANCE ACUM. TRIM.]]/TABLA_AVANCE_METAS[[#This Row],[PROG. ACUM]])*100,"N/A")</f>
        <v>N/A</v>
      </c>
      <c r="AI116"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NO PROG.</v>
      </c>
      <c r="AJ116" s="75">
        <f>TABLA_AVANCE_METAS[[#This Row],[AVANCE ACUM. TRIM.]]-TABLA_AVANCE_METAS[[#This Row],[PROG. ACUM]]</f>
        <v>0</v>
      </c>
      <c r="AK116" s="76" t="str">
        <f>IFERROR((TABLA_AVANCE_METAS[[#This Row],[DIFERENCIA ABSOLUTA SEMESTRAL]]/TABLA_AVANCE_METAS[[#This Row],[PROG. ACUM]])*100,"N/A")</f>
        <v>N/A</v>
      </c>
      <c r="AL116" s="77">
        <f>TABLA_AVANCE_METAS[[#This Row],[AVANCE 1°. TRIM]]+TABLA_AVANCE_METAS[[#This Row],[AVANCE 2°. TRIM]]+TABLA_AVANCE_METAS[[#This Row],[AVANCE 3°. TRIM]]+TABLA_AVANCE_METAS[[#This Row],[AVANCE 4°. TRIM]]</f>
        <v>0</v>
      </c>
      <c r="AM116" s="73" t="str">
        <f>IFERROR((TABLA_AVANCE_METAS[[#This Row],[AVANCE ACUM. ANUAL]]/TABLA_AVANCE_METAS[[#This Row],[PROGRAMADO ANUAL]])*100,"N/A")</f>
        <v>N/A</v>
      </c>
      <c r="AN116" s="72"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NO PROG.</v>
      </c>
      <c r="AO116" s="75">
        <f>TABLA_AVANCE_METAS[[#This Row],[AVANCE ACUM. ANUAL]]-TABLA_AVANCE_METAS[[#This Row],[PROGRAMADO ANUAL]]</f>
        <v>0</v>
      </c>
      <c r="AP116" s="78" t="str">
        <f>IFERROR((TABLA_AVANCE_METAS[[#This Row],[DIFERENCIA ABSOLUTA ANUAL]]/TABLA_AVANCE_METAS[[#This Row],[PROGRAMADO ANUAL]])*100,"N/A")</f>
        <v>N/A</v>
      </c>
      <c r="AQ116" s="79" t="s">
        <v>379</v>
      </c>
      <c r="AR116" s="80"/>
      <c r="AS116" s="50"/>
      <c r="AT116" s="50"/>
      <c r="AU116" s="81" t="b">
        <f>TABLA_AVANCE_METAS[[#This Row],[PROGRAMADO ANUAL]]=SUM(TABLA_AVANCE_METAS[[#This Row],[PROGR. 1° TRIM]],TABLA_AVANCE_METAS[[#This Row],[PROGR. 2° TRIM]],TABLA_AVANCE_METAS[[#This Row],[PROGR. 3° TRIM]],TABLA_AVANCE_METAS[[#This Row],[PROGR. 4° TRIM]])</f>
        <v>0</v>
      </c>
      <c r="AV116" s="52"/>
    </row>
    <row r="117" spans="1:48" ht="75" hidden="1" customHeight="1" x14ac:dyDescent="0.3">
      <c r="A117" s="31" t="str">
        <f>CONCATENATE(TABLA_AVANCE_METAS[[#This Row],[ESTRUCTURA]],TABLA_AVANCE_METAS[[#This Row],['#]])</f>
        <v>B0321601050202011</v>
      </c>
      <c r="B117" s="32" t="s">
        <v>368</v>
      </c>
      <c r="C117" s="33" t="s">
        <v>367</v>
      </c>
      <c r="D117" s="32" t="s">
        <v>368</v>
      </c>
      <c r="E117" s="32" t="s">
        <v>380</v>
      </c>
      <c r="F117" s="32" t="s">
        <v>381</v>
      </c>
      <c r="G117" s="34" t="s">
        <v>382</v>
      </c>
      <c r="H117" s="32" t="s">
        <v>280</v>
      </c>
      <c r="I117" s="32" t="s">
        <v>281</v>
      </c>
      <c r="J117" s="32" t="s">
        <v>282</v>
      </c>
      <c r="K117" s="32" t="s">
        <v>283</v>
      </c>
      <c r="L117" s="33">
        <v>1</v>
      </c>
      <c r="M117" s="35" t="s">
        <v>383</v>
      </c>
      <c r="N117" s="34" t="s">
        <v>131</v>
      </c>
      <c r="O117" s="36">
        <v>2</v>
      </c>
      <c r="P117" s="36">
        <v>1</v>
      </c>
      <c r="Q117" s="37">
        <v>1</v>
      </c>
      <c r="R117" s="38">
        <f>IFERROR((TABLA_AVANCE_METAS[[#This Row],[AVANCE 1°. TRIM]]/TABLA_AVANCE_METAS[[#This Row],[PROGR. 1° TRIM]])*100,"0")</f>
        <v>100</v>
      </c>
      <c r="S117"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117" s="36">
        <v>0</v>
      </c>
      <c r="U117" s="37">
        <v>1</v>
      </c>
      <c r="V117" s="40" t="str">
        <f t="shared" si="2"/>
        <v>0</v>
      </c>
      <c r="W117" s="39" t="str">
        <f t="shared" ref="W117:W165" si="6">IF(AND(V117&gt;=0,V117&lt;=49.9999999999999),"CRÍTICO",IF(AND(V117&gt;=50,V117&lt;=69.9999999999999),"DEFICIENTE",IF(AND(V117&gt;=70,V117&lt;=89.9999999999999),"REGULAR",IF(AND(V117&gt;=90,V117&lt;=110.999999999999),"ADECUADO",IF(AND(V117&gt;=111,V117&lt;=999999),"SOBREPASADO","NO PROG.")))))</f>
        <v>NO PROG.</v>
      </c>
      <c r="X117" s="36">
        <v>1</v>
      </c>
      <c r="Y117" s="37">
        <v>0</v>
      </c>
      <c r="Z117" s="40">
        <v>0</v>
      </c>
      <c r="AA117" s="39" t="s">
        <v>62</v>
      </c>
      <c r="AB117" s="36">
        <v>0</v>
      </c>
      <c r="AC117" s="41">
        <v>0</v>
      </c>
      <c r="AD117" s="40" t="str">
        <f>IFERROR((TABLA_AVANCE_METAS[[#This Row],[AVANCE 4°. TRIM]]/TABLA_AVANCE_METAS[[#This Row],[PROGR. 4° TRIM]])*100,"0")</f>
        <v>0</v>
      </c>
      <c r="AE117"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NO PROG.</v>
      </c>
      <c r="AF117" s="43" cm="1">
        <f t="array" ref="AF117">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v>
      </c>
      <c r="AG117" s="44" cm="1">
        <f t="array" ref="AG117">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2</v>
      </c>
      <c r="AH117" s="40">
        <f>IFERROR((TABLA_AVANCE_METAS[[#This Row],[AVANCE ACUM. TRIM.]]/TABLA_AVANCE_METAS[[#This Row],[PROG. ACUM]])*100,"N/A")</f>
        <v>200</v>
      </c>
      <c r="AI117"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SOBREPASADO</v>
      </c>
      <c r="AJ117" s="45">
        <f>TABLA_AVANCE_METAS[[#This Row],[AVANCE ACUM. TRIM.]]-TABLA_AVANCE_METAS[[#This Row],[PROG. ACUM]]</f>
        <v>1</v>
      </c>
      <c r="AK117" s="46">
        <f>IFERROR((TABLA_AVANCE_METAS[[#This Row],[DIFERENCIA ABSOLUTA SEMESTRAL]]/TABLA_AVANCE_METAS[[#This Row],[PROG. ACUM]])*100,"N/A")</f>
        <v>100</v>
      </c>
      <c r="AL117" s="44">
        <f>TABLA_AVANCE_METAS[[#This Row],[AVANCE 1°. TRIM]]+TABLA_AVANCE_METAS[[#This Row],[AVANCE 2°. TRIM]]+TABLA_AVANCE_METAS[[#This Row],[AVANCE 3°. TRIM]]+TABLA_AVANCE_METAS[[#This Row],[AVANCE 4°. TRIM]]</f>
        <v>2</v>
      </c>
      <c r="AM117" s="40">
        <f>IFERROR((TABLA_AVANCE_METAS[[#This Row],[AVANCE ACUM. ANUAL]]/TABLA_AVANCE_METAS[[#This Row],[PROGRAMADO ANUAL]])*100,"N/A")</f>
        <v>100</v>
      </c>
      <c r="AN117"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ADECUADO</v>
      </c>
      <c r="AO117" s="45">
        <f>TABLA_AVANCE_METAS[[#This Row],[AVANCE ACUM. ANUAL]]-TABLA_AVANCE_METAS[[#This Row],[PROGRAMADO ANUAL]]</f>
        <v>0</v>
      </c>
      <c r="AP117" s="47">
        <f>IFERROR((TABLA_AVANCE_METAS[[#This Row],[DIFERENCIA ABSOLUTA ANUAL]]/TABLA_AVANCE_METAS[[#This Row],[PROGRAMADO ANUAL]])*100,"N/A")</f>
        <v>0</v>
      </c>
      <c r="AQ117" s="48" t="s">
        <v>63</v>
      </c>
      <c r="AR117" s="49"/>
      <c r="AS117" s="50"/>
      <c r="AT117" s="50"/>
      <c r="AU117" s="51" t="b">
        <f>TABLA_AVANCE_METAS[[#This Row],[PROGRAMADO ANUAL]]=SUM(TABLA_AVANCE_METAS[[#This Row],[PROGR. 1° TRIM]],TABLA_AVANCE_METAS[[#This Row],[PROGR. 2° TRIM]],TABLA_AVANCE_METAS[[#This Row],[PROGR. 3° TRIM]],TABLA_AVANCE_METAS[[#This Row],[PROGR. 4° TRIM]])</f>
        <v>1</v>
      </c>
      <c r="AV117" s="52"/>
    </row>
    <row r="118" spans="1:48" ht="75" hidden="1" customHeight="1" x14ac:dyDescent="0.3">
      <c r="A118" s="31" t="str">
        <f>CONCATENATE(TABLA_AVANCE_METAS[[#This Row],[ESTRUCTURA]],TABLA_AVANCE_METAS[[#This Row],['#]])</f>
        <v>B0321601050202012</v>
      </c>
      <c r="B118" s="32" t="s">
        <v>368</v>
      </c>
      <c r="C118" s="33" t="s">
        <v>367</v>
      </c>
      <c r="D118" s="32" t="s">
        <v>368</v>
      </c>
      <c r="E118" s="32" t="s">
        <v>380</v>
      </c>
      <c r="F118" s="32" t="s">
        <v>381</v>
      </c>
      <c r="G118" s="34" t="s">
        <v>382</v>
      </c>
      <c r="H118" s="32" t="s">
        <v>280</v>
      </c>
      <c r="I118" s="32" t="s">
        <v>281</v>
      </c>
      <c r="J118" s="32" t="s">
        <v>282</v>
      </c>
      <c r="K118" s="32" t="s">
        <v>283</v>
      </c>
      <c r="L118" s="33">
        <v>2</v>
      </c>
      <c r="M118" s="35" t="s">
        <v>384</v>
      </c>
      <c r="N118" s="34" t="s">
        <v>385</v>
      </c>
      <c r="O118" s="36">
        <v>1</v>
      </c>
      <c r="P118" s="36">
        <v>1</v>
      </c>
      <c r="Q118" s="37">
        <v>1</v>
      </c>
      <c r="R118" s="38">
        <f>IFERROR((TABLA_AVANCE_METAS[[#This Row],[AVANCE 1°. TRIM]]/TABLA_AVANCE_METAS[[#This Row],[PROGR. 1° TRIM]])*100,"0")</f>
        <v>100</v>
      </c>
      <c r="S118"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118" s="36">
        <v>0</v>
      </c>
      <c r="U118" s="37">
        <v>0</v>
      </c>
      <c r="V118" s="40" t="str">
        <f t="shared" si="2"/>
        <v>0</v>
      </c>
      <c r="W118" s="39" t="str">
        <f t="shared" si="6"/>
        <v>NO PROG.</v>
      </c>
      <c r="X118" s="36">
        <v>0</v>
      </c>
      <c r="Y118" s="37">
        <v>0</v>
      </c>
      <c r="Z118" s="40" t="s">
        <v>72</v>
      </c>
      <c r="AA118" s="39" t="s">
        <v>73</v>
      </c>
      <c r="AB118" s="36">
        <v>0</v>
      </c>
      <c r="AC118" s="41">
        <v>0</v>
      </c>
      <c r="AD118" s="40" t="str">
        <f>IFERROR((TABLA_AVANCE_METAS[[#This Row],[AVANCE 4°. TRIM]]/TABLA_AVANCE_METAS[[#This Row],[PROGR. 4° TRIM]])*100,"0")</f>
        <v>0</v>
      </c>
      <c r="AE118"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NO PROG.</v>
      </c>
      <c r="AF118" s="43" cm="1">
        <f t="array" ref="AF118">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v>
      </c>
      <c r="AG118" s="44" cm="1">
        <f t="array" ref="AG118">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1</v>
      </c>
      <c r="AH118" s="40">
        <f>IFERROR((TABLA_AVANCE_METAS[[#This Row],[AVANCE ACUM. TRIM.]]/TABLA_AVANCE_METAS[[#This Row],[PROG. ACUM]])*100,"N/A")</f>
        <v>100</v>
      </c>
      <c r="AI118"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118" s="45">
        <f>TABLA_AVANCE_METAS[[#This Row],[AVANCE ACUM. TRIM.]]-TABLA_AVANCE_METAS[[#This Row],[PROG. ACUM]]</f>
        <v>0</v>
      </c>
      <c r="AK118" s="46">
        <f>IFERROR((TABLA_AVANCE_METAS[[#This Row],[DIFERENCIA ABSOLUTA SEMESTRAL]]/TABLA_AVANCE_METAS[[#This Row],[PROG. ACUM]])*100,"N/A")</f>
        <v>0</v>
      </c>
      <c r="AL118" s="44">
        <f>TABLA_AVANCE_METAS[[#This Row],[AVANCE 1°. TRIM]]+TABLA_AVANCE_METAS[[#This Row],[AVANCE 2°. TRIM]]+TABLA_AVANCE_METAS[[#This Row],[AVANCE 3°. TRIM]]+TABLA_AVANCE_METAS[[#This Row],[AVANCE 4°. TRIM]]</f>
        <v>1</v>
      </c>
      <c r="AM118" s="40">
        <f>IFERROR((TABLA_AVANCE_METAS[[#This Row],[AVANCE ACUM. ANUAL]]/TABLA_AVANCE_METAS[[#This Row],[PROGRAMADO ANUAL]])*100,"N/A")</f>
        <v>100</v>
      </c>
      <c r="AN118"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ADECUADO</v>
      </c>
      <c r="AO118" s="45">
        <f>TABLA_AVANCE_METAS[[#This Row],[AVANCE ACUM. ANUAL]]-TABLA_AVANCE_METAS[[#This Row],[PROGRAMADO ANUAL]]</f>
        <v>0</v>
      </c>
      <c r="AP118" s="47">
        <f>IFERROR((TABLA_AVANCE_METAS[[#This Row],[DIFERENCIA ABSOLUTA ANUAL]]/TABLA_AVANCE_METAS[[#This Row],[PROGRAMADO ANUAL]])*100,"N/A")</f>
        <v>0</v>
      </c>
      <c r="AQ118" s="48" t="s">
        <v>63</v>
      </c>
      <c r="AR118" s="49"/>
      <c r="AS118" s="50"/>
      <c r="AT118" s="50"/>
      <c r="AU118" s="51" t="b">
        <f>TABLA_AVANCE_METAS[[#This Row],[PROGRAMADO ANUAL]]=SUM(TABLA_AVANCE_METAS[[#This Row],[PROGR. 1° TRIM]],TABLA_AVANCE_METAS[[#This Row],[PROGR. 2° TRIM]],TABLA_AVANCE_METAS[[#This Row],[PROGR. 3° TRIM]],TABLA_AVANCE_METAS[[#This Row],[PROGR. 4° TRIM]])</f>
        <v>1</v>
      </c>
      <c r="AV118" s="52"/>
    </row>
    <row r="119" spans="1:48" ht="75" hidden="1" customHeight="1" x14ac:dyDescent="0.3">
      <c r="A119" s="31" t="str">
        <f>CONCATENATE(TABLA_AVANCE_METAS[[#This Row],[ESTRUCTURA]],TABLA_AVANCE_METAS[[#This Row],['#]])</f>
        <v>B0321601050202013</v>
      </c>
      <c r="B119" s="32" t="s">
        <v>368</v>
      </c>
      <c r="C119" s="62" t="s">
        <v>367</v>
      </c>
      <c r="D119" s="61" t="s">
        <v>368</v>
      </c>
      <c r="E119" s="32" t="s">
        <v>380</v>
      </c>
      <c r="F119" s="61" t="s">
        <v>381</v>
      </c>
      <c r="G119" s="34" t="s">
        <v>382</v>
      </c>
      <c r="H119" s="61" t="s">
        <v>280</v>
      </c>
      <c r="I119" s="61" t="s">
        <v>281</v>
      </c>
      <c r="J119" s="61" t="s">
        <v>282</v>
      </c>
      <c r="K119" s="61" t="s">
        <v>283</v>
      </c>
      <c r="L119" s="33">
        <v>3</v>
      </c>
      <c r="M119" s="57" t="s">
        <v>386</v>
      </c>
      <c r="N119" s="34" t="s">
        <v>385</v>
      </c>
      <c r="O119" s="36">
        <v>1</v>
      </c>
      <c r="P119" s="36">
        <v>1</v>
      </c>
      <c r="Q119" s="37">
        <v>1</v>
      </c>
      <c r="R119" s="38">
        <f>IFERROR((TABLA_AVANCE_METAS[[#This Row],[AVANCE 1°. TRIM]]/TABLA_AVANCE_METAS[[#This Row],[PROGR. 1° TRIM]])*100,"0")</f>
        <v>100</v>
      </c>
      <c r="S119"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119" s="36">
        <v>0</v>
      </c>
      <c r="U119" s="37">
        <v>0</v>
      </c>
      <c r="V119" s="40" t="str">
        <f t="shared" si="2"/>
        <v>0</v>
      </c>
      <c r="W119" s="39" t="str">
        <f t="shared" si="6"/>
        <v>NO PROG.</v>
      </c>
      <c r="X119" s="36">
        <v>0</v>
      </c>
      <c r="Y119" s="37">
        <v>0</v>
      </c>
      <c r="Z119" s="40" t="s">
        <v>72</v>
      </c>
      <c r="AA119" s="39" t="s">
        <v>73</v>
      </c>
      <c r="AB119" s="36">
        <v>0</v>
      </c>
      <c r="AC119" s="41">
        <v>0</v>
      </c>
      <c r="AD119" s="40" t="str">
        <f>IFERROR((TABLA_AVANCE_METAS[[#This Row],[AVANCE 4°. TRIM]]/TABLA_AVANCE_METAS[[#This Row],[PROGR. 4° TRIM]])*100,"0")</f>
        <v>0</v>
      </c>
      <c r="AE119"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NO PROG.</v>
      </c>
      <c r="AF119" s="43" cm="1">
        <f t="array" ref="AF119">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v>
      </c>
      <c r="AG119" s="44" cm="1">
        <f t="array" ref="AG119">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1</v>
      </c>
      <c r="AH119" s="40">
        <f>IFERROR((TABLA_AVANCE_METAS[[#This Row],[AVANCE ACUM. TRIM.]]/TABLA_AVANCE_METAS[[#This Row],[PROG. ACUM]])*100,"N/A")</f>
        <v>100</v>
      </c>
      <c r="AI119"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119" s="45">
        <f>TABLA_AVANCE_METAS[[#This Row],[AVANCE ACUM. TRIM.]]-TABLA_AVANCE_METAS[[#This Row],[PROG. ACUM]]</f>
        <v>0</v>
      </c>
      <c r="AK119" s="46">
        <f>IFERROR((TABLA_AVANCE_METAS[[#This Row],[DIFERENCIA ABSOLUTA SEMESTRAL]]/TABLA_AVANCE_METAS[[#This Row],[PROG. ACUM]])*100,"N/A")</f>
        <v>0</v>
      </c>
      <c r="AL119" s="44">
        <f>TABLA_AVANCE_METAS[[#This Row],[AVANCE 1°. TRIM]]+TABLA_AVANCE_METAS[[#This Row],[AVANCE 2°. TRIM]]+TABLA_AVANCE_METAS[[#This Row],[AVANCE 3°. TRIM]]+TABLA_AVANCE_METAS[[#This Row],[AVANCE 4°. TRIM]]</f>
        <v>1</v>
      </c>
      <c r="AM119" s="40">
        <f>IFERROR((TABLA_AVANCE_METAS[[#This Row],[AVANCE ACUM. ANUAL]]/TABLA_AVANCE_METAS[[#This Row],[PROGRAMADO ANUAL]])*100,"N/A")</f>
        <v>100</v>
      </c>
      <c r="AN119"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ADECUADO</v>
      </c>
      <c r="AO119" s="45">
        <f>TABLA_AVANCE_METAS[[#This Row],[AVANCE ACUM. ANUAL]]-TABLA_AVANCE_METAS[[#This Row],[PROGRAMADO ANUAL]]</f>
        <v>0</v>
      </c>
      <c r="AP119" s="47">
        <f>IFERROR((TABLA_AVANCE_METAS[[#This Row],[DIFERENCIA ABSOLUTA ANUAL]]/TABLA_AVANCE_METAS[[#This Row],[PROGRAMADO ANUAL]])*100,"N/A")</f>
        <v>0</v>
      </c>
      <c r="AQ119" s="48" t="s">
        <v>63</v>
      </c>
      <c r="AR119" s="49"/>
      <c r="AS119" s="50"/>
      <c r="AT119" s="50"/>
      <c r="AU119" s="51" t="b">
        <f>TABLA_AVANCE_METAS[[#This Row],[PROGRAMADO ANUAL]]=SUM(TABLA_AVANCE_METAS[[#This Row],[PROGR. 1° TRIM]],TABLA_AVANCE_METAS[[#This Row],[PROGR. 2° TRIM]],TABLA_AVANCE_METAS[[#This Row],[PROGR. 3° TRIM]],TABLA_AVANCE_METAS[[#This Row],[PROGR. 4° TRIM]])</f>
        <v>1</v>
      </c>
      <c r="AV119" s="52"/>
    </row>
    <row r="120" spans="1:48" ht="75" hidden="1" customHeight="1" x14ac:dyDescent="0.3">
      <c r="A120" s="31" t="str">
        <f>CONCATENATE(TABLA_AVANCE_METAS[[#This Row],[ESTRUCTURA]],TABLA_AVANCE_METAS[[#This Row],['#]])</f>
        <v>B0320201050202011</v>
      </c>
      <c r="B120" s="32" t="s">
        <v>387</v>
      </c>
      <c r="C120" s="62" t="s">
        <v>367</v>
      </c>
      <c r="D120" s="61" t="s">
        <v>368</v>
      </c>
      <c r="E120" s="32" t="s">
        <v>388</v>
      </c>
      <c r="F120" s="61" t="s">
        <v>389</v>
      </c>
      <c r="G120" s="34" t="s">
        <v>390</v>
      </c>
      <c r="H120" s="61" t="s">
        <v>280</v>
      </c>
      <c r="I120" s="61" t="s">
        <v>281</v>
      </c>
      <c r="J120" s="61" t="s">
        <v>282</v>
      </c>
      <c r="K120" s="61" t="s">
        <v>283</v>
      </c>
      <c r="L120" s="33">
        <v>1</v>
      </c>
      <c r="M120" s="57" t="s">
        <v>391</v>
      </c>
      <c r="N120" s="34" t="s">
        <v>371</v>
      </c>
      <c r="O120" s="36">
        <v>3600</v>
      </c>
      <c r="P120" s="36">
        <v>900</v>
      </c>
      <c r="Q120" s="37">
        <v>914</v>
      </c>
      <c r="R120" s="38">
        <f>IFERROR((TABLA_AVANCE_METAS[[#This Row],[AVANCE 1°. TRIM]]/TABLA_AVANCE_METAS[[#This Row],[PROGR. 1° TRIM]])*100,"0")</f>
        <v>101.55555555555556</v>
      </c>
      <c r="S120"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120" s="36">
        <v>900</v>
      </c>
      <c r="U120" s="37">
        <v>857</v>
      </c>
      <c r="V120" s="40">
        <f t="shared" si="2"/>
        <v>95.222222222222214</v>
      </c>
      <c r="W120" s="39" t="str">
        <f t="shared" si="6"/>
        <v>ADECUADO</v>
      </c>
      <c r="X120" s="36">
        <v>900</v>
      </c>
      <c r="Y120" s="37">
        <v>0</v>
      </c>
      <c r="Z120" s="40">
        <v>0</v>
      </c>
      <c r="AA120" s="39" t="s">
        <v>62</v>
      </c>
      <c r="AB120" s="36">
        <v>900</v>
      </c>
      <c r="AC120" s="41">
        <v>0</v>
      </c>
      <c r="AD120" s="40">
        <f>IFERROR((TABLA_AVANCE_METAS[[#This Row],[AVANCE 4°. TRIM]]/TABLA_AVANCE_METAS[[#This Row],[PROGR. 4° TRIM]])*100,"0")</f>
        <v>0</v>
      </c>
      <c r="AE120"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20" s="43" cm="1">
        <f t="array" ref="AF120">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1800</v>
      </c>
      <c r="AG120" s="44" cm="1">
        <f t="array" ref="AG120">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1771</v>
      </c>
      <c r="AH120" s="40">
        <f>IFERROR((TABLA_AVANCE_METAS[[#This Row],[AVANCE ACUM. TRIM.]]/TABLA_AVANCE_METAS[[#This Row],[PROG. ACUM]])*100,"N/A")</f>
        <v>98.388888888888886</v>
      </c>
      <c r="AI120"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120" s="45">
        <f>TABLA_AVANCE_METAS[[#This Row],[AVANCE ACUM. TRIM.]]-TABLA_AVANCE_METAS[[#This Row],[PROG. ACUM]]</f>
        <v>-29</v>
      </c>
      <c r="AK120" s="46">
        <f>IFERROR((TABLA_AVANCE_METAS[[#This Row],[DIFERENCIA ABSOLUTA SEMESTRAL]]/TABLA_AVANCE_METAS[[#This Row],[PROG. ACUM]])*100,"N/A")</f>
        <v>-1.6111111111111112</v>
      </c>
      <c r="AL120" s="44">
        <f>TABLA_AVANCE_METAS[[#This Row],[AVANCE 1°. TRIM]]+TABLA_AVANCE_METAS[[#This Row],[AVANCE 2°. TRIM]]+TABLA_AVANCE_METAS[[#This Row],[AVANCE 3°. TRIM]]+TABLA_AVANCE_METAS[[#This Row],[AVANCE 4°. TRIM]]</f>
        <v>1771</v>
      </c>
      <c r="AM120" s="40">
        <f>IFERROR((TABLA_AVANCE_METAS[[#This Row],[AVANCE ACUM. ANUAL]]/TABLA_AVANCE_METAS[[#This Row],[PROGRAMADO ANUAL]])*100,"N/A")</f>
        <v>49.194444444444443</v>
      </c>
      <c r="AN120"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120" s="45">
        <f>TABLA_AVANCE_METAS[[#This Row],[AVANCE ACUM. ANUAL]]-TABLA_AVANCE_METAS[[#This Row],[PROGRAMADO ANUAL]]</f>
        <v>-1829</v>
      </c>
      <c r="AP120" s="47">
        <f>IFERROR((TABLA_AVANCE_METAS[[#This Row],[DIFERENCIA ABSOLUTA ANUAL]]/TABLA_AVANCE_METAS[[#This Row],[PROGRAMADO ANUAL]])*100,"N/A")</f>
        <v>-50.805555555555557</v>
      </c>
      <c r="AQ120" s="48" t="s">
        <v>392</v>
      </c>
      <c r="AR120" s="49"/>
      <c r="AS120" s="50"/>
      <c r="AT120" s="50"/>
      <c r="AU120" s="51" t="b">
        <f>TABLA_AVANCE_METAS[[#This Row],[PROGRAMADO ANUAL]]=SUM(TABLA_AVANCE_METAS[[#This Row],[PROGR. 1° TRIM]],TABLA_AVANCE_METAS[[#This Row],[PROGR. 2° TRIM]],TABLA_AVANCE_METAS[[#This Row],[PROGR. 3° TRIM]],TABLA_AVANCE_METAS[[#This Row],[PROGR. 4° TRIM]])</f>
        <v>1</v>
      </c>
      <c r="AV120" s="52"/>
    </row>
    <row r="121" spans="1:48" ht="75" hidden="1" customHeight="1" x14ac:dyDescent="0.3">
      <c r="A121" s="31" t="str">
        <f>CONCATENATE(TABLA_AVANCE_METAS[[#This Row],[ESTRUCTURA]],TABLA_AVANCE_METAS[[#This Row],['#]])</f>
        <v>B0320201050202012</v>
      </c>
      <c r="B121" s="32" t="s">
        <v>387</v>
      </c>
      <c r="C121" s="33" t="s">
        <v>367</v>
      </c>
      <c r="D121" s="32" t="s">
        <v>368</v>
      </c>
      <c r="E121" s="32" t="s">
        <v>388</v>
      </c>
      <c r="F121" s="32" t="s">
        <v>389</v>
      </c>
      <c r="G121" s="34" t="s">
        <v>390</v>
      </c>
      <c r="H121" s="32" t="s">
        <v>280</v>
      </c>
      <c r="I121" s="32" t="s">
        <v>281</v>
      </c>
      <c r="J121" s="32" t="s">
        <v>282</v>
      </c>
      <c r="K121" s="32" t="s">
        <v>283</v>
      </c>
      <c r="L121" s="33">
        <v>2</v>
      </c>
      <c r="M121" s="35" t="s">
        <v>393</v>
      </c>
      <c r="N121" s="34" t="s">
        <v>289</v>
      </c>
      <c r="O121" s="36">
        <v>120</v>
      </c>
      <c r="P121" s="36">
        <v>30</v>
      </c>
      <c r="Q121" s="37">
        <v>40</v>
      </c>
      <c r="R121" s="38">
        <f>IFERROR((TABLA_AVANCE_METAS[[#This Row],[AVANCE 1°. TRIM]]/TABLA_AVANCE_METAS[[#This Row],[PROGR. 1° TRIM]])*100,"0")</f>
        <v>133.33333333333331</v>
      </c>
      <c r="S121"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SOBREPASADO</v>
      </c>
      <c r="T121" s="36">
        <v>30</v>
      </c>
      <c r="U121" s="37">
        <v>28</v>
      </c>
      <c r="V121" s="40">
        <f t="shared" si="2"/>
        <v>93.333333333333329</v>
      </c>
      <c r="W121" s="39" t="str">
        <f t="shared" si="6"/>
        <v>ADECUADO</v>
      </c>
      <c r="X121" s="36">
        <v>30</v>
      </c>
      <c r="Y121" s="37">
        <v>0</v>
      </c>
      <c r="Z121" s="40">
        <v>0</v>
      </c>
      <c r="AA121" s="39" t="s">
        <v>62</v>
      </c>
      <c r="AB121" s="36">
        <v>30</v>
      </c>
      <c r="AC121" s="41">
        <v>0</v>
      </c>
      <c r="AD121" s="40">
        <f>IFERROR((TABLA_AVANCE_METAS[[#This Row],[AVANCE 4°. TRIM]]/TABLA_AVANCE_METAS[[#This Row],[PROGR. 4° TRIM]])*100,"0")</f>
        <v>0</v>
      </c>
      <c r="AE121"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21" s="43" cm="1">
        <f t="array" ref="AF121">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60</v>
      </c>
      <c r="AG121" s="44" cm="1">
        <f t="array" ref="AG121">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68</v>
      </c>
      <c r="AH121" s="40">
        <f>IFERROR((TABLA_AVANCE_METAS[[#This Row],[AVANCE ACUM. TRIM.]]/TABLA_AVANCE_METAS[[#This Row],[PROG. ACUM]])*100,"N/A")</f>
        <v>113.33333333333333</v>
      </c>
      <c r="AI121"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SOBREPASADO</v>
      </c>
      <c r="AJ121" s="45">
        <f>TABLA_AVANCE_METAS[[#This Row],[AVANCE ACUM. TRIM.]]-TABLA_AVANCE_METAS[[#This Row],[PROG. ACUM]]</f>
        <v>8</v>
      </c>
      <c r="AK121" s="46">
        <f>IFERROR((TABLA_AVANCE_METAS[[#This Row],[DIFERENCIA ABSOLUTA SEMESTRAL]]/TABLA_AVANCE_METAS[[#This Row],[PROG. ACUM]])*100,"N/A")</f>
        <v>13.333333333333334</v>
      </c>
      <c r="AL121" s="44">
        <f>TABLA_AVANCE_METAS[[#This Row],[AVANCE 1°. TRIM]]+TABLA_AVANCE_METAS[[#This Row],[AVANCE 2°. TRIM]]+TABLA_AVANCE_METAS[[#This Row],[AVANCE 3°. TRIM]]+TABLA_AVANCE_METAS[[#This Row],[AVANCE 4°. TRIM]]</f>
        <v>68</v>
      </c>
      <c r="AM121" s="40">
        <f>IFERROR((TABLA_AVANCE_METAS[[#This Row],[AVANCE ACUM. ANUAL]]/TABLA_AVANCE_METAS[[#This Row],[PROGRAMADO ANUAL]])*100,"N/A")</f>
        <v>56.666666666666664</v>
      </c>
      <c r="AN121"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121" s="45">
        <f>TABLA_AVANCE_METAS[[#This Row],[AVANCE ACUM. ANUAL]]-TABLA_AVANCE_METAS[[#This Row],[PROGRAMADO ANUAL]]</f>
        <v>-52</v>
      </c>
      <c r="AP121" s="47">
        <f>IFERROR((TABLA_AVANCE_METAS[[#This Row],[DIFERENCIA ABSOLUTA ANUAL]]/TABLA_AVANCE_METAS[[#This Row],[PROGRAMADO ANUAL]])*100,"N/A")</f>
        <v>-43.333333333333336</v>
      </c>
      <c r="AQ121" s="48" t="s">
        <v>394</v>
      </c>
      <c r="AR121" s="49"/>
      <c r="AS121" s="50"/>
      <c r="AT121" s="50"/>
      <c r="AU121" s="51" t="b">
        <f>TABLA_AVANCE_METAS[[#This Row],[PROGRAMADO ANUAL]]=SUM(TABLA_AVANCE_METAS[[#This Row],[PROGR. 1° TRIM]],TABLA_AVANCE_METAS[[#This Row],[PROGR. 2° TRIM]],TABLA_AVANCE_METAS[[#This Row],[PROGR. 3° TRIM]],TABLA_AVANCE_METAS[[#This Row],[PROGR. 4° TRIM]])</f>
        <v>1</v>
      </c>
      <c r="AV121" s="52"/>
    </row>
    <row r="122" spans="1:48" ht="75" hidden="1" customHeight="1" x14ac:dyDescent="0.3">
      <c r="A122" s="31" t="str">
        <f>CONCATENATE(TABLA_AVANCE_METAS[[#This Row],[ESTRUCTURA]],TABLA_AVANCE_METAS[[#This Row],['#]])</f>
        <v>B0320201050202013</v>
      </c>
      <c r="B122" s="32" t="s">
        <v>387</v>
      </c>
      <c r="C122" s="33" t="s">
        <v>367</v>
      </c>
      <c r="D122" s="32" t="s">
        <v>368</v>
      </c>
      <c r="E122" s="32" t="s">
        <v>388</v>
      </c>
      <c r="F122" s="32" t="s">
        <v>389</v>
      </c>
      <c r="G122" s="34" t="s">
        <v>390</v>
      </c>
      <c r="H122" s="32" t="s">
        <v>280</v>
      </c>
      <c r="I122" s="32" t="s">
        <v>281</v>
      </c>
      <c r="J122" s="32" t="s">
        <v>282</v>
      </c>
      <c r="K122" s="32" t="s">
        <v>283</v>
      </c>
      <c r="L122" s="33">
        <v>3</v>
      </c>
      <c r="M122" s="35" t="s">
        <v>395</v>
      </c>
      <c r="N122" s="34" t="s">
        <v>240</v>
      </c>
      <c r="O122" s="36">
        <v>900</v>
      </c>
      <c r="P122" s="36">
        <v>225</v>
      </c>
      <c r="Q122" s="37">
        <v>52</v>
      </c>
      <c r="R122" s="38">
        <f>IFERROR((TABLA_AVANCE_METAS[[#This Row],[AVANCE 1°. TRIM]]/TABLA_AVANCE_METAS[[#This Row],[PROGR. 1° TRIM]])*100,"0")</f>
        <v>23.111111111111111</v>
      </c>
      <c r="S122"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CRÍTICO</v>
      </c>
      <c r="T122" s="36">
        <v>225</v>
      </c>
      <c r="U122" s="37">
        <v>44</v>
      </c>
      <c r="V122" s="40">
        <f t="shared" si="2"/>
        <v>19.555555555555557</v>
      </c>
      <c r="W122" s="39" t="str">
        <f t="shared" si="6"/>
        <v>CRÍTICO</v>
      </c>
      <c r="X122" s="36">
        <v>225</v>
      </c>
      <c r="Y122" s="37">
        <v>0</v>
      </c>
      <c r="Z122" s="40">
        <v>0</v>
      </c>
      <c r="AA122" s="39" t="s">
        <v>62</v>
      </c>
      <c r="AB122" s="36">
        <v>225</v>
      </c>
      <c r="AC122" s="41">
        <v>0</v>
      </c>
      <c r="AD122" s="40">
        <f>IFERROR((TABLA_AVANCE_METAS[[#This Row],[AVANCE 4°. TRIM]]/TABLA_AVANCE_METAS[[#This Row],[PROGR. 4° TRIM]])*100,"0")</f>
        <v>0</v>
      </c>
      <c r="AE122"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22" s="43" cm="1">
        <f t="array" ref="AF122">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450</v>
      </c>
      <c r="AG122" s="44" cm="1">
        <f t="array" ref="AG122">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96</v>
      </c>
      <c r="AH122" s="40">
        <f>IFERROR((TABLA_AVANCE_METAS[[#This Row],[AVANCE ACUM. TRIM.]]/TABLA_AVANCE_METAS[[#This Row],[PROG. ACUM]])*100,"N/A")</f>
        <v>21.333333333333336</v>
      </c>
      <c r="AI122"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CRÍTICO</v>
      </c>
      <c r="AJ122" s="45">
        <f>TABLA_AVANCE_METAS[[#This Row],[AVANCE ACUM. TRIM.]]-TABLA_AVANCE_METAS[[#This Row],[PROG. ACUM]]</f>
        <v>-354</v>
      </c>
      <c r="AK122" s="46">
        <f>IFERROR((TABLA_AVANCE_METAS[[#This Row],[DIFERENCIA ABSOLUTA SEMESTRAL]]/TABLA_AVANCE_METAS[[#This Row],[PROG. ACUM]])*100,"N/A")</f>
        <v>-78.666666666666657</v>
      </c>
      <c r="AL122" s="44">
        <f>TABLA_AVANCE_METAS[[#This Row],[AVANCE 1°. TRIM]]+TABLA_AVANCE_METAS[[#This Row],[AVANCE 2°. TRIM]]+TABLA_AVANCE_METAS[[#This Row],[AVANCE 3°. TRIM]]+TABLA_AVANCE_METAS[[#This Row],[AVANCE 4°. TRIM]]</f>
        <v>96</v>
      </c>
      <c r="AM122" s="40">
        <f>IFERROR((TABLA_AVANCE_METAS[[#This Row],[AVANCE ACUM. ANUAL]]/TABLA_AVANCE_METAS[[#This Row],[PROGRAMADO ANUAL]])*100,"N/A")</f>
        <v>10.666666666666668</v>
      </c>
      <c r="AN122"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122" s="45">
        <f>TABLA_AVANCE_METAS[[#This Row],[AVANCE ACUM. ANUAL]]-TABLA_AVANCE_METAS[[#This Row],[PROGRAMADO ANUAL]]</f>
        <v>-804</v>
      </c>
      <c r="AP122" s="47">
        <f>IFERROR((TABLA_AVANCE_METAS[[#This Row],[DIFERENCIA ABSOLUTA ANUAL]]/TABLA_AVANCE_METAS[[#This Row],[PROGRAMADO ANUAL]])*100,"N/A")</f>
        <v>-89.333333333333329</v>
      </c>
      <c r="AQ122" s="48" t="s">
        <v>396</v>
      </c>
      <c r="AR122" s="49"/>
      <c r="AS122" s="50"/>
      <c r="AT122" s="50"/>
      <c r="AU122" s="51" t="b">
        <f>TABLA_AVANCE_METAS[[#This Row],[PROGRAMADO ANUAL]]=SUM(TABLA_AVANCE_METAS[[#This Row],[PROGR. 1° TRIM]],TABLA_AVANCE_METAS[[#This Row],[PROGR. 2° TRIM]],TABLA_AVANCE_METAS[[#This Row],[PROGR. 3° TRIM]],TABLA_AVANCE_METAS[[#This Row],[PROGR. 4° TRIM]])</f>
        <v>1</v>
      </c>
      <c r="AV122" s="52"/>
    </row>
    <row r="123" spans="1:48" ht="75" hidden="1" customHeight="1" x14ac:dyDescent="0.3">
      <c r="A123" s="31" t="str">
        <f>CONCATENATE(TABLA_AVANCE_METAS[[#This Row],[ESTRUCTURA]],TABLA_AVANCE_METAS[[#This Row],['#]])</f>
        <v>B0320201050202014</v>
      </c>
      <c r="B123" s="32" t="s">
        <v>387</v>
      </c>
      <c r="C123" s="33" t="s">
        <v>367</v>
      </c>
      <c r="D123" s="32" t="s">
        <v>368</v>
      </c>
      <c r="E123" s="32" t="s">
        <v>388</v>
      </c>
      <c r="F123" s="32" t="s">
        <v>389</v>
      </c>
      <c r="G123" s="34" t="s">
        <v>390</v>
      </c>
      <c r="H123" s="32" t="s">
        <v>280</v>
      </c>
      <c r="I123" s="32" t="s">
        <v>281</v>
      </c>
      <c r="J123" s="32" t="s">
        <v>282</v>
      </c>
      <c r="K123" s="32" t="s">
        <v>283</v>
      </c>
      <c r="L123" s="33">
        <v>4</v>
      </c>
      <c r="M123" s="35" t="s">
        <v>397</v>
      </c>
      <c r="N123" s="34" t="s">
        <v>398</v>
      </c>
      <c r="O123" s="36">
        <v>200000</v>
      </c>
      <c r="P123" s="36">
        <v>50000</v>
      </c>
      <c r="Q123" s="37">
        <v>89338</v>
      </c>
      <c r="R123" s="38">
        <f>IFERROR((TABLA_AVANCE_METAS[[#This Row],[AVANCE 1°. TRIM]]/TABLA_AVANCE_METAS[[#This Row],[PROGR. 1° TRIM]])*100,"0")</f>
        <v>178.67599999999999</v>
      </c>
      <c r="S123"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SOBREPASADO</v>
      </c>
      <c r="T123" s="36">
        <v>50000</v>
      </c>
      <c r="U123" s="37">
        <v>15281</v>
      </c>
      <c r="V123" s="40">
        <f t="shared" si="2"/>
        <v>30.562000000000001</v>
      </c>
      <c r="W123" s="39" t="str">
        <f t="shared" si="6"/>
        <v>CRÍTICO</v>
      </c>
      <c r="X123" s="36">
        <v>50000</v>
      </c>
      <c r="Y123" s="37">
        <v>0</v>
      </c>
      <c r="Z123" s="40">
        <v>0</v>
      </c>
      <c r="AA123" s="39" t="s">
        <v>62</v>
      </c>
      <c r="AB123" s="36">
        <v>50000</v>
      </c>
      <c r="AC123" s="41">
        <v>0</v>
      </c>
      <c r="AD123" s="40">
        <f>IFERROR((TABLA_AVANCE_METAS[[#This Row],[AVANCE 4°. TRIM]]/TABLA_AVANCE_METAS[[#This Row],[PROGR. 4° TRIM]])*100,"0")</f>
        <v>0</v>
      </c>
      <c r="AE123"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23" s="43" cm="1">
        <f t="array" ref="AF123">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100000</v>
      </c>
      <c r="AG123" s="44" cm="1">
        <f t="array" ref="AG123">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104619</v>
      </c>
      <c r="AH123" s="40">
        <f>IFERROR((TABLA_AVANCE_METAS[[#This Row],[AVANCE ACUM. TRIM.]]/TABLA_AVANCE_METAS[[#This Row],[PROG. ACUM]])*100,"N/A")</f>
        <v>104.619</v>
      </c>
      <c r="AI123"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123" s="45">
        <f>TABLA_AVANCE_METAS[[#This Row],[AVANCE ACUM. TRIM.]]-TABLA_AVANCE_METAS[[#This Row],[PROG. ACUM]]</f>
        <v>4619</v>
      </c>
      <c r="AK123" s="46">
        <f>IFERROR((TABLA_AVANCE_METAS[[#This Row],[DIFERENCIA ABSOLUTA SEMESTRAL]]/TABLA_AVANCE_METAS[[#This Row],[PROG. ACUM]])*100,"N/A")</f>
        <v>4.6189999999999998</v>
      </c>
      <c r="AL123" s="44">
        <f>TABLA_AVANCE_METAS[[#This Row],[AVANCE 1°. TRIM]]+TABLA_AVANCE_METAS[[#This Row],[AVANCE 2°. TRIM]]+TABLA_AVANCE_METAS[[#This Row],[AVANCE 3°. TRIM]]+TABLA_AVANCE_METAS[[#This Row],[AVANCE 4°. TRIM]]</f>
        <v>104619</v>
      </c>
      <c r="AM123" s="40">
        <f>IFERROR((TABLA_AVANCE_METAS[[#This Row],[AVANCE ACUM. ANUAL]]/TABLA_AVANCE_METAS[[#This Row],[PROGRAMADO ANUAL]])*100,"N/A")</f>
        <v>52.3095</v>
      </c>
      <c r="AN123"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123" s="45">
        <f>TABLA_AVANCE_METAS[[#This Row],[AVANCE ACUM. ANUAL]]-TABLA_AVANCE_METAS[[#This Row],[PROGRAMADO ANUAL]]</f>
        <v>-95381</v>
      </c>
      <c r="AP123" s="47">
        <f>IFERROR((TABLA_AVANCE_METAS[[#This Row],[DIFERENCIA ABSOLUTA ANUAL]]/TABLA_AVANCE_METAS[[#This Row],[PROGRAMADO ANUAL]])*100,"N/A")</f>
        <v>-47.6905</v>
      </c>
      <c r="AQ123" s="48" t="s">
        <v>399</v>
      </c>
      <c r="AR123" s="49"/>
      <c r="AS123" s="50"/>
      <c r="AT123" s="50"/>
      <c r="AU123" s="51" t="b">
        <f>TABLA_AVANCE_METAS[[#This Row],[PROGRAMADO ANUAL]]=SUM(TABLA_AVANCE_METAS[[#This Row],[PROGR. 1° TRIM]],TABLA_AVANCE_METAS[[#This Row],[PROGR. 2° TRIM]],TABLA_AVANCE_METAS[[#This Row],[PROGR. 3° TRIM]],TABLA_AVANCE_METAS[[#This Row],[PROGR. 4° TRIM]])</f>
        <v>1</v>
      </c>
      <c r="AV123" s="52"/>
    </row>
    <row r="124" spans="1:48" ht="75" hidden="1" customHeight="1" x14ac:dyDescent="0.3">
      <c r="A124" s="31" t="str">
        <f>CONCATENATE(TABLA_AVANCE_METAS[[#This Row],[ESTRUCTURA]],TABLA_AVANCE_METAS[[#This Row],['#]])</f>
        <v>B0322001050202011</v>
      </c>
      <c r="B124" s="32" t="s">
        <v>400</v>
      </c>
      <c r="C124" s="33" t="s">
        <v>367</v>
      </c>
      <c r="D124" s="32" t="s">
        <v>368</v>
      </c>
      <c r="E124" s="32" t="s">
        <v>401</v>
      </c>
      <c r="F124" s="32" t="s">
        <v>402</v>
      </c>
      <c r="G124" s="34" t="s">
        <v>403</v>
      </c>
      <c r="H124" s="32" t="s">
        <v>280</v>
      </c>
      <c r="I124" s="32" t="s">
        <v>281</v>
      </c>
      <c r="J124" s="32" t="s">
        <v>282</v>
      </c>
      <c r="K124" s="32" t="s">
        <v>283</v>
      </c>
      <c r="L124" s="33">
        <v>1</v>
      </c>
      <c r="M124" s="35" t="s">
        <v>404</v>
      </c>
      <c r="N124" s="34" t="s">
        <v>97</v>
      </c>
      <c r="O124" s="36">
        <v>860</v>
      </c>
      <c r="P124" s="36">
        <v>215</v>
      </c>
      <c r="Q124" s="37">
        <v>215</v>
      </c>
      <c r="R124" s="38">
        <f>IFERROR((TABLA_AVANCE_METAS[[#This Row],[AVANCE 1°. TRIM]]/TABLA_AVANCE_METAS[[#This Row],[PROGR. 1° TRIM]])*100,"0")</f>
        <v>100</v>
      </c>
      <c r="S124"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124" s="36">
        <v>215</v>
      </c>
      <c r="U124" s="37">
        <v>215</v>
      </c>
      <c r="V124" s="40">
        <f t="shared" si="2"/>
        <v>100</v>
      </c>
      <c r="W124" s="39" t="str">
        <f t="shared" si="6"/>
        <v>ADECUADO</v>
      </c>
      <c r="X124" s="36">
        <v>215</v>
      </c>
      <c r="Y124" s="37">
        <v>0</v>
      </c>
      <c r="Z124" s="40">
        <v>0</v>
      </c>
      <c r="AA124" s="39" t="s">
        <v>62</v>
      </c>
      <c r="AB124" s="36">
        <v>215</v>
      </c>
      <c r="AC124" s="41">
        <v>0</v>
      </c>
      <c r="AD124" s="40">
        <f>IFERROR((TABLA_AVANCE_METAS[[#This Row],[AVANCE 4°. TRIM]]/TABLA_AVANCE_METAS[[#This Row],[PROGR. 4° TRIM]])*100,"0")</f>
        <v>0</v>
      </c>
      <c r="AE124"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24" s="43" cm="1">
        <f t="array" ref="AF124">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430</v>
      </c>
      <c r="AG124" s="44" cm="1">
        <f t="array" ref="AG124">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430</v>
      </c>
      <c r="AH124" s="40">
        <f>IFERROR((TABLA_AVANCE_METAS[[#This Row],[AVANCE ACUM. TRIM.]]/TABLA_AVANCE_METAS[[#This Row],[PROG. ACUM]])*100,"N/A")</f>
        <v>100</v>
      </c>
      <c r="AI124"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124" s="45">
        <f>TABLA_AVANCE_METAS[[#This Row],[AVANCE ACUM. TRIM.]]-TABLA_AVANCE_METAS[[#This Row],[PROG. ACUM]]</f>
        <v>0</v>
      </c>
      <c r="AK124" s="46">
        <f>IFERROR((TABLA_AVANCE_METAS[[#This Row],[DIFERENCIA ABSOLUTA SEMESTRAL]]/TABLA_AVANCE_METAS[[#This Row],[PROG. ACUM]])*100,"N/A")</f>
        <v>0</v>
      </c>
      <c r="AL124" s="44">
        <f>TABLA_AVANCE_METAS[[#This Row],[AVANCE 1°. TRIM]]+TABLA_AVANCE_METAS[[#This Row],[AVANCE 2°. TRIM]]+TABLA_AVANCE_METAS[[#This Row],[AVANCE 3°. TRIM]]+TABLA_AVANCE_METAS[[#This Row],[AVANCE 4°. TRIM]]</f>
        <v>430</v>
      </c>
      <c r="AM124" s="40">
        <f>IFERROR((TABLA_AVANCE_METAS[[#This Row],[AVANCE ACUM. ANUAL]]/TABLA_AVANCE_METAS[[#This Row],[PROGRAMADO ANUAL]])*100,"N/A")</f>
        <v>50</v>
      </c>
      <c r="AN124"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124" s="45">
        <f>TABLA_AVANCE_METAS[[#This Row],[AVANCE ACUM. ANUAL]]-TABLA_AVANCE_METAS[[#This Row],[PROGRAMADO ANUAL]]</f>
        <v>-430</v>
      </c>
      <c r="AP124" s="47">
        <f>IFERROR((TABLA_AVANCE_METAS[[#This Row],[DIFERENCIA ABSOLUTA ANUAL]]/TABLA_AVANCE_METAS[[#This Row],[PROGRAMADO ANUAL]])*100,"N/A")</f>
        <v>-50</v>
      </c>
      <c r="AQ124" s="48" t="s">
        <v>63</v>
      </c>
      <c r="AR124" s="49"/>
      <c r="AS124" s="50"/>
      <c r="AT124" s="50"/>
      <c r="AU124" s="51" t="b">
        <f>TABLA_AVANCE_METAS[[#This Row],[PROGRAMADO ANUAL]]=SUM(TABLA_AVANCE_METAS[[#This Row],[PROGR. 1° TRIM]],TABLA_AVANCE_METAS[[#This Row],[PROGR. 2° TRIM]],TABLA_AVANCE_METAS[[#This Row],[PROGR. 3° TRIM]],TABLA_AVANCE_METAS[[#This Row],[PROGR. 4° TRIM]])</f>
        <v>1</v>
      </c>
      <c r="AV124" s="52"/>
    </row>
    <row r="125" spans="1:48" ht="75" hidden="1" customHeight="1" x14ac:dyDescent="0.3">
      <c r="A125" s="31" t="str">
        <f>CONCATENATE(TABLA_AVANCE_METAS[[#This Row],[ESTRUCTURA]],TABLA_AVANCE_METAS[[#This Row],['#]])</f>
        <v>B0322001050202012</v>
      </c>
      <c r="B125" s="32" t="s">
        <v>400</v>
      </c>
      <c r="C125" s="33" t="s">
        <v>367</v>
      </c>
      <c r="D125" s="32" t="s">
        <v>368</v>
      </c>
      <c r="E125" s="32" t="s">
        <v>401</v>
      </c>
      <c r="F125" s="32" t="s">
        <v>402</v>
      </c>
      <c r="G125" s="34" t="s">
        <v>403</v>
      </c>
      <c r="H125" s="32" t="s">
        <v>280</v>
      </c>
      <c r="I125" s="32" t="s">
        <v>281</v>
      </c>
      <c r="J125" s="32" t="s">
        <v>282</v>
      </c>
      <c r="K125" s="32" t="s">
        <v>283</v>
      </c>
      <c r="L125" s="33">
        <v>2</v>
      </c>
      <c r="M125" s="35" t="s">
        <v>405</v>
      </c>
      <c r="N125" s="34" t="s">
        <v>406</v>
      </c>
      <c r="O125" s="36">
        <v>1900</v>
      </c>
      <c r="P125" s="36">
        <v>475</v>
      </c>
      <c r="Q125" s="37">
        <v>475</v>
      </c>
      <c r="R125" s="38">
        <f>IFERROR((TABLA_AVANCE_METAS[[#This Row],[AVANCE 1°. TRIM]]/TABLA_AVANCE_METAS[[#This Row],[PROGR. 1° TRIM]])*100,"0")</f>
        <v>100</v>
      </c>
      <c r="S125"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125" s="36">
        <v>475</v>
      </c>
      <c r="U125" s="37">
        <v>475</v>
      </c>
      <c r="V125" s="40">
        <f t="shared" si="2"/>
        <v>100</v>
      </c>
      <c r="W125" s="39" t="str">
        <f t="shared" si="6"/>
        <v>ADECUADO</v>
      </c>
      <c r="X125" s="36">
        <v>475</v>
      </c>
      <c r="Y125" s="37">
        <v>0</v>
      </c>
      <c r="Z125" s="40">
        <v>0</v>
      </c>
      <c r="AA125" s="39" t="s">
        <v>62</v>
      </c>
      <c r="AB125" s="36">
        <v>475</v>
      </c>
      <c r="AC125" s="41">
        <v>0</v>
      </c>
      <c r="AD125" s="40">
        <f>IFERROR((TABLA_AVANCE_METAS[[#This Row],[AVANCE 4°. TRIM]]/TABLA_AVANCE_METAS[[#This Row],[PROGR. 4° TRIM]])*100,"0")</f>
        <v>0</v>
      </c>
      <c r="AE125"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25" s="43" cm="1">
        <f t="array" ref="AF125">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950</v>
      </c>
      <c r="AG125" s="44" cm="1">
        <f t="array" ref="AG125">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950</v>
      </c>
      <c r="AH125" s="40">
        <f>IFERROR((TABLA_AVANCE_METAS[[#This Row],[AVANCE ACUM. TRIM.]]/TABLA_AVANCE_METAS[[#This Row],[PROG. ACUM]])*100,"N/A")</f>
        <v>100</v>
      </c>
      <c r="AI125"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125" s="45">
        <f>TABLA_AVANCE_METAS[[#This Row],[AVANCE ACUM. TRIM.]]-TABLA_AVANCE_METAS[[#This Row],[PROG. ACUM]]</f>
        <v>0</v>
      </c>
      <c r="AK125" s="46">
        <f>IFERROR((TABLA_AVANCE_METAS[[#This Row],[DIFERENCIA ABSOLUTA SEMESTRAL]]/TABLA_AVANCE_METAS[[#This Row],[PROG. ACUM]])*100,"N/A")</f>
        <v>0</v>
      </c>
      <c r="AL125" s="44">
        <f>TABLA_AVANCE_METAS[[#This Row],[AVANCE 1°. TRIM]]+TABLA_AVANCE_METAS[[#This Row],[AVANCE 2°. TRIM]]+TABLA_AVANCE_METAS[[#This Row],[AVANCE 3°. TRIM]]+TABLA_AVANCE_METAS[[#This Row],[AVANCE 4°. TRIM]]</f>
        <v>950</v>
      </c>
      <c r="AM125" s="40">
        <f>IFERROR((TABLA_AVANCE_METAS[[#This Row],[AVANCE ACUM. ANUAL]]/TABLA_AVANCE_METAS[[#This Row],[PROGRAMADO ANUAL]])*100,"N/A")</f>
        <v>50</v>
      </c>
      <c r="AN125"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125" s="45">
        <f>TABLA_AVANCE_METAS[[#This Row],[AVANCE ACUM. ANUAL]]-TABLA_AVANCE_METAS[[#This Row],[PROGRAMADO ANUAL]]</f>
        <v>-950</v>
      </c>
      <c r="AP125" s="47">
        <f>IFERROR((TABLA_AVANCE_METAS[[#This Row],[DIFERENCIA ABSOLUTA ANUAL]]/TABLA_AVANCE_METAS[[#This Row],[PROGRAMADO ANUAL]])*100,"N/A")</f>
        <v>-50</v>
      </c>
      <c r="AQ125" s="48" t="s">
        <v>63</v>
      </c>
      <c r="AR125" s="49"/>
      <c r="AS125" s="50"/>
      <c r="AT125" s="50"/>
      <c r="AU125" s="51" t="b">
        <f>TABLA_AVANCE_METAS[[#This Row],[PROGRAMADO ANUAL]]=SUM(TABLA_AVANCE_METAS[[#This Row],[PROGR. 1° TRIM]],TABLA_AVANCE_METAS[[#This Row],[PROGR. 2° TRIM]],TABLA_AVANCE_METAS[[#This Row],[PROGR. 3° TRIM]],TABLA_AVANCE_METAS[[#This Row],[PROGR. 4° TRIM]])</f>
        <v>1</v>
      </c>
      <c r="AV125" s="52"/>
    </row>
    <row r="126" spans="1:48" ht="75" hidden="1" customHeight="1" x14ac:dyDescent="0.3">
      <c r="A126" s="31" t="str">
        <f>CONCATENATE(TABLA_AVANCE_METAS[[#This Row],[ESTRUCTURA]],TABLA_AVANCE_METAS[[#This Row],['#]])</f>
        <v>B0322001050202013</v>
      </c>
      <c r="B126" s="32" t="s">
        <v>400</v>
      </c>
      <c r="C126" s="33" t="s">
        <v>367</v>
      </c>
      <c r="D126" s="32" t="s">
        <v>368</v>
      </c>
      <c r="E126" s="32" t="s">
        <v>401</v>
      </c>
      <c r="F126" s="32" t="s">
        <v>402</v>
      </c>
      <c r="G126" s="34" t="s">
        <v>403</v>
      </c>
      <c r="H126" s="32" t="s">
        <v>280</v>
      </c>
      <c r="I126" s="32" t="s">
        <v>281</v>
      </c>
      <c r="J126" s="32" t="s">
        <v>282</v>
      </c>
      <c r="K126" s="32" t="s">
        <v>283</v>
      </c>
      <c r="L126" s="33">
        <v>3</v>
      </c>
      <c r="M126" s="35" t="s">
        <v>407</v>
      </c>
      <c r="N126" s="34" t="s">
        <v>408</v>
      </c>
      <c r="O126" s="36">
        <v>4000</v>
      </c>
      <c r="P126" s="36">
        <v>1000</v>
      </c>
      <c r="Q126" s="37">
        <v>1000</v>
      </c>
      <c r="R126" s="38">
        <f>IFERROR((TABLA_AVANCE_METAS[[#This Row],[AVANCE 1°. TRIM]]/TABLA_AVANCE_METAS[[#This Row],[PROGR. 1° TRIM]])*100,"0")</f>
        <v>100</v>
      </c>
      <c r="S126"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126" s="36">
        <v>1000</v>
      </c>
      <c r="U126" s="37">
        <v>1000</v>
      </c>
      <c r="V126" s="40">
        <f t="shared" si="2"/>
        <v>100</v>
      </c>
      <c r="W126" s="39" t="str">
        <f t="shared" si="6"/>
        <v>ADECUADO</v>
      </c>
      <c r="X126" s="36">
        <v>1000</v>
      </c>
      <c r="Y126" s="37">
        <v>0</v>
      </c>
      <c r="Z126" s="40">
        <v>0</v>
      </c>
      <c r="AA126" s="39" t="s">
        <v>62</v>
      </c>
      <c r="AB126" s="36">
        <v>1000</v>
      </c>
      <c r="AC126" s="41">
        <v>0</v>
      </c>
      <c r="AD126" s="40">
        <f>IFERROR((TABLA_AVANCE_METAS[[#This Row],[AVANCE 4°. TRIM]]/TABLA_AVANCE_METAS[[#This Row],[PROGR. 4° TRIM]])*100,"0")</f>
        <v>0</v>
      </c>
      <c r="AE126"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26" s="43" cm="1">
        <f t="array" ref="AF126">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2000</v>
      </c>
      <c r="AG126" s="44" cm="1">
        <f t="array" ref="AG126">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2000</v>
      </c>
      <c r="AH126" s="40">
        <f>IFERROR((TABLA_AVANCE_METAS[[#This Row],[AVANCE ACUM. TRIM.]]/TABLA_AVANCE_METAS[[#This Row],[PROG. ACUM]])*100,"N/A")</f>
        <v>100</v>
      </c>
      <c r="AI126"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126" s="45">
        <f>TABLA_AVANCE_METAS[[#This Row],[AVANCE ACUM. TRIM.]]-TABLA_AVANCE_METAS[[#This Row],[PROG. ACUM]]</f>
        <v>0</v>
      </c>
      <c r="AK126" s="46">
        <f>IFERROR((TABLA_AVANCE_METAS[[#This Row],[DIFERENCIA ABSOLUTA SEMESTRAL]]/TABLA_AVANCE_METAS[[#This Row],[PROG. ACUM]])*100,"N/A")</f>
        <v>0</v>
      </c>
      <c r="AL126" s="44">
        <f>TABLA_AVANCE_METAS[[#This Row],[AVANCE 1°. TRIM]]+TABLA_AVANCE_METAS[[#This Row],[AVANCE 2°. TRIM]]+TABLA_AVANCE_METAS[[#This Row],[AVANCE 3°. TRIM]]+TABLA_AVANCE_METAS[[#This Row],[AVANCE 4°. TRIM]]</f>
        <v>2000</v>
      </c>
      <c r="AM126" s="40">
        <f>IFERROR((TABLA_AVANCE_METAS[[#This Row],[AVANCE ACUM. ANUAL]]/TABLA_AVANCE_METAS[[#This Row],[PROGRAMADO ANUAL]])*100,"N/A")</f>
        <v>50</v>
      </c>
      <c r="AN126"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126" s="45">
        <f>TABLA_AVANCE_METAS[[#This Row],[AVANCE ACUM. ANUAL]]-TABLA_AVANCE_METAS[[#This Row],[PROGRAMADO ANUAL]]</f>
        <v>-2000</v>
      </c>
      <c r="AP126" s="47">
        <f>IFERROR((TABLA_AVANCE_METAS[[#This Row],[DIFERENCIA ABSOLUTA ANUAL]]/TABLA_AVANCE_METAS[[#This Row],[PROGRAMADO ANUAL]])*100,"N/A")</f>
        <v>-50</v>
      </c>
      <c r="AQ126" s="48" t="s">
        <v>63</v>
      </c>
      <c r="AR126" s="49"/>
      <c r="AS126" s="50"/>
      <c r="AT126" s="50"/>
      <c r="AU126" s="51" t="b">
        <f>TABLA_AVANCE_METAS[[#This Row],[PROGRAMADO ANUAL]]=SUM(TABLA_AVANCE_METAS[[#This Row],[PROGR. 1° TRIM]],TABLA_AVANCE_METAS[[#This Row],[PROGR. 2° TRIM]],TABLA_AVANCE_METAS[[#This Row],[PROGR. 3° TRIM]],TABLA_AVANCE_METAS[[#This Row],[PROGR. 4° TRIM]])</f>
        <v>1</v>
      </c>
      <c r="AV126" s="52"/>
    </row>
    <row r="127" spans="1:48" ht="75" hidden="1" customHeight="1" x14ac:dyDescent="0.3">
      <c r="A127" s="31" t="str">
        <f>CONCATENATE(TABLA_AVANCE_METAS[[#This Row],[ESTRUCTURA]],TABLA_AVANCE_METAS[[#This Row],['#]])</f>
        <v>B0320801050202011</v>
      </c>
      <c r="B127" s="32" t="s">
        <v>409</v>
      </c>
      <c r="C127" s="33" t="s">
        <v>367</v>
      </c>
      <c r="D127" s="32" t="s">
        <v>368</v>
      </c>
      <c r="E127" s="32" t="s">
        <v>410</v>
      </c>
      <c r="F127" s="32" t="s">
        <v>411</v>
      </c>
      <c r="G127" s="34" t="s">
        <v>412</v>
      </c>
      <c r="H127" s="32" t="s">
        <v>280</v>
      </c>
      <c r="I127" s="32" t="s">
        <v>281</v>
      </c>
      <c r="J127" s="32" t="s">
        <v>282</v>
      </c>
      <c r="K127" s="32" t="s">
        <v>283</v>
      </c>
      <c r="L127" s="33">
        <v>1</v>
      </c>
      <c r="M127" s="35" t="s">
        <v>413</v>
      </c>
      <c r="N127" s="34" t="s">
        <v>414</v>
      </c>
      <c r="O127" s="36">
        <v>27000</v>
      </c>
      <c r="P127" s="36">
        <v>3000</v>
      </c>
      <c r="Q127" s="37">
        <v>11046</v>
      </c>
      <c r="R127" s="38">
        <f>IFERROR((TABLA_AVANCE_METAS[[#This Row],[AVANCE 1°. TRIM]]/TABLA_AVANCE_METAS[[#This Row],[PROGR. 1° TRIM]])*100,"0")</f>
        <v>368.2</v>
      </c>
      <c r="S127"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SOBREPASADO</v>
      </c>
      <c r="T127" s="36">
        <v>8000</v>
      </c>
      <c r="U127" s="37">
        <v>8000</v>
      </c>
      <c r="V127" s="40">
        <f t="shared" si="2"/>
        <v>100</v>
      </c>
      <c r="W127" s="39" t="str">
        <f t="shared" si="6"/>
        <v>ADECUADO</v>
      </c>
      <c r="X127" s="36">
        <v>8000</v>
      </c>
      <c r="Y127" s="37">
        <v>0</v>
      </c>
      <c r="Z127" s="40">
        <v>0</v>
      </c>
      <c r="AA127" s="39" t="s">
        <v>62</v>
      </c>
      <c r="AB127" s="36">
        <v>8000</v>
      </c>
      <c r="AC127" s="41">
        <v>0</v>
      </c>
      <c r="AD127" s="40">
        <f>IFERROR((TABLA_AVANCE_METAS[[#This Row],[AVANCE 4°. TRIM]]/TABLA_AVANCE_METAS[[#This Row],[PROGR. 4° TRIM]])*100,"0")</f>
        <v>0</v>
      </c>
      <c r="AE127"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27" s="43" cm="1">
        <f t="array" ref="AF127">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11000</v>
      </c>
      <c r="AG127" s="44" cm="1">
        <f t="array" ref="AG127">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19046</v>
      </c>
      <c r="AH127" s="40">
        <f>IFERROR((TABLA_AVANCE_METAS[[#This Row],[AVANCE ACUM. TRIM.]]/TABLA_AVANCE_METAS[[#This Row],[PROG. ACUM]])*100,"N/A")</f>
        <v>173.14545454545453</v>
      </c>
      <c r="AI127"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SOBREPASADO</v>
      </c>
      <c r="AJ127" s="45">
        <f>TABLA_AVANCE_METAS[[#This Row],[AVANCE ACUM. TRIM.]]-TABLA_AVANCE_METAS[[#This Row],[PROG. ACUM]]</f>
        <v>8046</v>
      </c>
      <c r="AK127" s="46">
        <f>IFERROR((TABLA_AVANCE_METAS[[#This Row],[DIFERENCIA ABSOLUTA SEMESTRAL]]/TABLA_AVANCE_METAS[[#This Row],[PROG. ACUM]])*100,"N/A")</f>
        <v>73.145454545454541</v>
      </c>
      <c r="AL127" s="44">
        <f>TABLA_AVANCE_METAS[[#This Row],[AVANCE 1°. TRIM]]+TABLA_AVANCE_METAS[[#This Row],[AVANCE 2°. TRIM]]+TABLA_AVANCE_METAS[[#This Row],[AVANCE 3°. TRIM]]+TABLA_AVANCE_METAS[[#This Row],[AVANCE 4°. TRIM]]</f>
        <v>19046</v>
      </c>
      <c r="AM127" s="40">
        <f>IFERROR((TABLA_AVANCE_METAS[[#This Row],[AVANCE ACUM. ANUAL]]/TABLA_AVANCE_METAS[[#This Row],[PROGRAMADO ANUAL]])*100,"N/A")</f>
        <v>70.540740740740731</v>
      </c>
      <c r="AN127"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REGULAR</v>
      </c>
      <c r="AO127" s="45">
        <f>TABLA_AVANCE_METAS[[#This Row],[AVANCE ACUM. ANUAL]]-TABLA_AVANCE_METAS[[#This Row],[PROGRAMADO ANUAL]]</f>
        <v>-7954</v>
      </c>
      <c r="AP127" s="47">
        <f>IFERROR((TABLA_AVANCE_METAS[[#This Row],[DIFERENCIA ABSOLUTA ANUAL]]/TABLA_AVANCE_METAS[[#This Row],[PROGRAMADO ANUAL]])*100,"N/A")</f>
        <v>-29.459259259259259</v>
      </c>
      <c r="AQ127" s="48" t="s">
        <v>63</v>
      </c>
      <c r="AR127" s="49"/>
      <c r="AS127" s="50"/>
      <c r="AT127" s="50"/>
      <c r="AU127" s="51" t="b">
        <f>TABLA_AVANCE_METAS[[#This Row],[PROGRAMADO ANUAL]]=SUM(TABLA_AVANCE_METAS[[#This Row],[PROGR. 1° TRIM]],TABLA_AVANCE_METAS[[#This Row],[PROGR. 2° TRIM]],TABLA_AVANCE_METAS[[#This Row],[PROGR. 3° TRIM]],TABLA_AVANCE_METAS[[#This Row],[PROGR. 4° TRIM]])</f>
        <v>1</v>
      </c>
      <c r="AV127" s="52"/>
    </row>
    <row r="128" spans="1:48" ht="75" hidden="1" customHeight="1" x14ac:dyDescent="0.3">
      <c r="A128" s="31" t="str">
        <f>CONCATENATE(TABLA_AVANCE_METAS[[#This Row],[ESTRUCTURA]],TABLA_AVANCE_METAS[[#This Row],['#]])</f>
        <v>B0320801050202012</v>
      </c>
      <c r="B128" s="32" t="s">
        <v>409</v>
      </c>
      <c r="C128" s="33" t="s">
        <v>367</v>
      </c>
      <c r="D128" s="32" t="s">
        <v>368</v>
      </c>
      <c r="E128" s="32" t="s">
        <v>410</v>
      </c>
      <c r="F128" s="32" t="s">
        <v>411</v>
      </c>
      <c r="G128" s="34" t="s">
        <v>412</v>
      </c>
      <c r="H128" s="32" t="s">
        <v>280</v>
      </c>
      <c r="I128" s="32" t="s">
        <v>281</v>
      </c>
      <c r="J128" s="32" t="s">
        <v>282</v>
      </c>
      <c r="K128" s="32" t="s">
        <v>283</v>
      </c>
      <c r="L128" s="33">
        <v>2</v>
      </c>
      <c r="M128" s="35" t="s">
        <v>415</v>
      </c>
      <c r="N128" s="34" t="s">
        <v>416</v>
      </c>
      <c r="O128" s="36">
        <v>21000</v>
      </c>
      <c r="P128" s="36">
        <v>3000</v>
      </c>
      <c r="Q128" s="37">
        <v>10487</v>
      </c>
      <c r="R128" s="38">
        <f>IFERROR((TABLA_AVANCE_METAS[[#This Row],[AVANCE 1°. TRIM]]/TABLA_AVANCE_METAS[[#This Row],[PROGR. 1° TRIM]])*100,"0")</f>
        <v>349.56666666666666</v>
      </c>
      <c r="S128"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SOBREPASADO</v>
      </c>
      <c r="T128" s="36">
        <v>6000</v>
      </c>
      <c r="U128" s="37">
        <v>10320</v>
      </c>
      <c r="V128" s="40">
        <f t="shared" si="2"/>
        <v>172</v>
      </c>
      <c r="W128" s="39" t="str">
        <f t="shared" si="6"/>
        <v>SOBREPASADO</v>
      </c>
      <c r="X128" s="36">
        <v>6000</v>
      </c>
      <c r="Y128" s="37">
        <v>0</v>
      </c>
      <c r="Z128" s="40">
        <v>0</v>
      </c>
      <c r="AA128" s="39" t="s">
        <v>62</v>
      </c>
      <c r="AB128" s="36">
        <v>6000</v>
      </c>
      <c r="AC128" s="41">
        <v>0</v>
      </c>
      <c r="AD128" s="40">
        <f>IFERROR((TABLA_AVANCE_METAS[[#This Row],[AVANCE 4°. TRIM]]/TABLA_AVANCE_METAS[[#This Row],[PROGR. 4° TRIM]])*100,"0")</f>
        <v>0</v>
      </c>
      <c r="AE128"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28" s="43" cm="1">
        <f t="array" ref="AF128">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9000</v>
      </c>
      <c r="AG128" s="44" cm="1">
        <f t="array" ref="AG128">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20807</v>
      </c>
      <c r="AH128" s="40">
        <f>IFERROR((TABLA_AVANCE_METAS[[#This Row],[AVANCE ACUM. TRIM.]]/TABLA_AVANCE_METAS[[#This Row],[PROG. ACUM]])*100,"N/A")</f>
        <v>231.1888888888889</v>
      </c>
      <c r="AI128"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SOBREPASADO</v>
      </c>
      <c r="AJ128" s="45">
        <f>TABLA_AVANCE_METAS[[#This Row],[AVANCE ACUM. TRIM.]]-TABLA_AVANCE_METAS[[#This Row],[PROG. ACUM]]</f>
        <v>11807</v>
      </c>
      <c r="AK128" s="46">
        <f>IFERROR((TABLA_AVANCE_METAS[[#This Row],[DIFERENCIA ABSOLUTA SEMESTRAL]]/TABLA_AVANCE_METAS[[#This Row],[PROG. ACUM]])*100,"N/A")</f>
        <v>131.1888888888889</v>
      </c>
      <c r="AL128" s="44">
        <f>TABLA_AVANCE_METAS[[#This Row],[AVANCE 1°. TRIM]]+TABLA_AVANCE_METAS[[#This Row],[AVANCE 2°. TRIM]]+TABLA_AVANCE_METAS[[#This Row],[AVANCE 3°. TRIM]]+TABLA_AVANCE_METAS[[#This Row],[AVANCE 4°. TRIM]]</f>
        <v>20807</v>
      </c>
      <c r="AM128" s="40">
        <f>IFERROR((TABLA_AVANCE_METAS[[#This Row],[AVANCE ACUM. ANUAL]]/TABLA_AVANCE_METAS[[#This Row],[PROGRAMADO ANUAL]])*100,"N/A")</f>
        <v>99.080952380952382</v>
      </c>
      <c r="AN128"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ADECUADO</v>
      </c>
      <c r="AO128" s="45">
        <f>TABLA_AVANCE_METAS[[#This Row],[AVANCE ACUM. ANUAL]]-TABLA_AVANCE_METAS[[#This Row],[PROGRAMADO ANUAL]]</f>
        <v>-193</v>
      </c>
      <c r="AP128" s="47">
        <f>IFERROR((TABLA_AVANCE_METAS[[#This Row],[DIFERENCIA ABSOLUTA ANUAL]]/TABLA_AVANCE_METAS[[#This Row],[PROGRAMADO ANUAL]])*100,"N/A")</f>
        <v>-0.919047619047619</v>
      </c>
      <c r="AQ128" s="48" t="s">
        <v>63</v>
      </c>
      <c r="AR128" s="49"/>
      <c r="AS128" s="50"/>
      <c r="AT128" s="50"/>
      <c r="AU128" s="51" t="b">
        <f>TABLA_AVANCE_METAS[[#This Row],[PROGRAMADO ANUAL]]=SUM(TABLA_AVANCE_METAS[[#This Row],[PROGR. 1° TRIM]],TABLA_AVANCE_METAS[[#This Row],[PROGR. 2° TRIM]],TABLA_AVANCE_METAS[[#This Row],[PROGR. 3° TRIM]],TABLA_AVANCE_METAS[[#This Row],[PROGR. 4° TRIM]])</f>
        <v>1</v>
      </c>
      <c r="AV128" s="52"/>
    </row>
    <row r="129" spans="1:48" ht="75" hidden="1" customHeight="1" x14ac:dyDescent="0.3">
      <c r="A129" s="31" t="str">
        <f>CONCATENATE(TABLA_AVANCE_METAS[[#This Row],[ESTRUCTURA]],TABLA_AVANCE_METAS[[#This Row],['#]])</f>
        <v>B0320801050202013</v>
      </c>
      <c r="B129" s="32" t="s">
        <v>409</v>
      </c>
      <c r="C129" s="33" t="s">
        <v>367</v>
      </c>
      <c r="D129" s="32" t="s">
        <v>368</v>
      </c>
      <c r="E129" s="32" t="s">
        <v>410</v>
      </c>
      <c r="F129" s="32" t="s">
        <v>411</v>
      </c>
      <c r="G129" s="34" t="s">
        <v>412</v>
      </c>
      <c r="H129" s="32" t="s">
        <v>280</v>
      </c>
      <c r="I129" s="32" t="s">
        <v>281</v>
      </c>
      <c r="J129" s="32" t="s">
        <v>282</v>
      </c>
      <c r="K129" s="32" t="s">
        <v>283</v>
      </c>
      <c r="L129" s="33">
        <v>3</v>
      </c>
      <c r="M129" s="35" t="s">
        <v>417</v>
      </c>
      <c r="N129" s="34" t="s">
        <v>418</v>
      </c>
      <c r="O129" s="36">
        <v>200</v>
      </c>
      <c r="P129" s="36">
        <v>20</v>
      </c>
      <c r="Q129" s="37">
        <v>52</v>
      </c>
      <c r="R129" s="38">
        <f>IFERROR((TABLA_AVANCE_METAS[[#This Row],[AVANCE 1°. TRIM]]/TABLA_AVANCE_METAS[[#This Row],[PROGR. 1° TRIM]])*100,"0")</f>
        <v>260</v>
      </c>
      <c r="S129"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SOBREPASADO</v>
      </c>
      <c r="T129" s="36">
        <v>60</v>
      </c>
      <c r="U129" s="37">
        <v>45</v>
      </c>
      <c r="V129" s="40">
        <f t="shared" si="2"/>
        <v>75</v>
      </c>
      <c r="W129" s="39" t="str">
        <f t="shared" si="6"/>
        <v>REGULAR</v>
      </c>
      <c r="X129" s="36">
        <v>60</v>
      </c>
      <c r="Y129" s="37">
        <v>0</v>
      </c>
      <c r="Z129" s="40">
        <v>0</v>
      </c>
      <c r="AA129" s="39" t="s">
        <v>62</v>
      </c>
      <c r="AB129" s="36">
        <v>60</v>
      </c>
      <c r="AC129" s="41">
        <v>0</v>
      </c>
      <c r="AD129" s="40">
        <f>IFERROR((TABLA_AVANCE_METAS[[#This Row],[AVANCE 4°. TRIM]]/TABLA_AVANCE_METAS[[#This Row],[PROGR. 4° TRIM]])*100,"0")</f>
        <v>0</v>
      </c>
      <c r="AE129"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29" s="43" cm="1">
        <f t="array" ref="AF129">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80</v>
      </c>
      <c r="AG129" s="44" cm="1">
        <f t="array" ref="AG129">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97</v>
      </c>
      <c r="AH129" s="40">
        <f>IFERROR((TABLA_AVANCE_METAS[[#This Row],[AVANCE ACUM. TRIM.]]/TABLA_AVANCE_METAS[[#This Row],[PROG. ACUM]])*100,"N/A")</f>
        <v>121.24999999999999</v>
      </c>
      <c r="AI129"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SOBREPASADO</v>
      </c>
      <c r="AJ129" s="45">
        <f>TABLA_AVANCE_METAS[[#This Row],[AVANCE ACUM. TRIM.]]-TABLA_AVANCE_METAS[[#This Row],[PROG. ACUM]]</f>
        <v>17</v>
      </c>
      <c r="AK129" s="46">
        <f>IFERROR((TABLA_AVANCE_METAS[[#This Row],[DIFERENCIA ABSOLUTA SEMESTRAL]]/TABLA_AVANCE_METAS[[#This Row],[PROG. ACUM]])*100,"N/A")</f>
        <v>21.25</v>
      </c>
      <c r="AL129" s="44">
        <f>TABLA_AVANCE_METAS[[#This Row],[AVANCE 1°. TRIM]]+TABLA_AVANCE_METAS[[#This Row],[AVANCE 2°. TRIM]]+TABLA_AVANCE_METAS[[#This Row],[AVANCE 3°. TRIM]]+TABLA_AVANCE_METAS[[#This Row],[AVANCE 4°. TRIM]]</f>
        <v>97</v>
      </c>
      <c r="AM129" s="40">
        <f>IFERROR((TABLA_AVANCE_METAS[[#This Row],[AVANCE ACUM. ANUAL]]/TABLA_AVANCE_METAS[[#This Row],[PROGRAMADO ANUAL]])*100,"N/A")</f>
        <v>48.5</v>
      </c>
      <c r="AN129"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129" s="45">
        <f>TABLA_AVANCE_METAS[[#This Row],[AVANCE ACUM. ANUAL]]-TABLA_AVANCE_METAS[[#This Row],[PROGRAMADO ANUAL]]</f>
        <v>-103</v>
      </c>
      <c r="AP129" s="47">
        <f>IFERROR((TABLA_AVANCE_METAS[[#This Row],[DIFERENCIA ABSOLUTA ANUAL]]/TABLA_AVANCE_METAS[[#This Row],[PROGRAMADO ANUAL]])*100,"N/A")</f>
        <v>-51.5</v>
      </c>
      <c r="AQ129" s="48" t="s">
        <v>63</v>
      </c>
      <c r="AR129" s="49"/>
      <c r="AS129" s="50"/>
      <c r="AT129" s="50"/>
      <c r="AU129" s="51" t="b">
        <f>TABLA_AVANCE_METAS[[#This Row],[PROGRAMADO ANUAL]]=SUM(TABLA_AVANCE_METAS[[#This Row],[PROGR. 1° TRIM]],TABLA_AVANCE_METAS[[#This Row],[PROGR. 2° TRIM]],TABLA_AVANCE_METAS[[#This Row],[PROGR. 3° TRIM]],TABLA_AVANCE_METAS[[#This Row],[PROGR. 4° TRIM]])</f>
        <v>1</v>
      </c>
      <c r="AV129" s="52"/>
    </row>
    <row r="130" spans="1:48" ht="75" hidden="1" customHeight="1" x14ac:dyDescent="0.3">
      <c r="A130" s="31" t="str">
        <f>CONCATENATE(TABLA_AVANCE_METAS[[#This Row],[ESTRUCTURA]],TABLA_AVANCE_METAS[[#This Row],['#]])</f>
        <v>B0320801050202014</v>
      </c>
      <c r="B130" s="32" t="s">
        <v>409</v>
      </c>
      <c r="C130" s="62" t="s">
        <v>367</v>
      </c>
      <c r="D130" s="61" t="s">
        <v>368</v>
      </c>
      <c r="E130" s="32" t="s">
        <v>410</v>
      </c>
      <c r="F130" s="61" t="s">
        <v>411</v>
      </c>
      <c r="G130" s="34" t="s">
        <v>412</v>
      </c>
      <c r="H130" s="61" t="s">
        <v>280</v>
      </c>
      <c r="I130" s="61" t="s">
        <v>281</v>
      </c>
      <c r="J130" s="61" t="s">
        <v>282</v>
      </c>
      <c r="K130" s="61" t="s">
        <v>283</v>
      </c>
      <c r="L130" s="33">
        <v>4</v>
      </c>
      <c r="M130" s="57" t="s">
        <v>419</v>
      </c>
      <c r="N130" s="34" t="s">
        <v>420</v>
      </c>
      <c r="O130" s="36">
        <v>50</v>
      </c>
      <c r="P130" s="36">
        <v>5</v>
      </c>
      <c r="Q130" s="37">
        <v>11</v>
      </c>
      <c r="R130" s="38">
        <f>IFERROR((TABLA_AVANCE_METAS[[#This Row],[AVANCE 1°. TRIM]]/TABLA_AVANCE_METAS[[#This Row],[PROGR. 1° TRIM]])*100,"0")</f>
        <v>220.00000000000003</v>
      </c>
      <c r="S130"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SOBREPASADO</v>
      </c>
      <c r="T130" s="36">
        <v>15</v>
      </c>
      <c r="U130" s="37">
        <v>0</v>
      </c>
      <c r="V130" s="40">
        <f t="shared" si="2"/>
        <v>0</v>
      </c>
      <c r="W130" s="39" t="str">
        <f t="shared" si="6"/>
        <v>CRÍTICO</v>
      </c>
      <c r="X130" s="36">
        <v>15</v>
      </c>
      <c r="Y130" s="37">
        <v>0</v>
      </c>
      <c r="Z130" s="40">
        <v>0</v>
      </c>
      <c r="AA130" s="39" t="s">
        <v>62</v>
      </c>
      <c r="AB130" s="36">
        <v>15</v>
      </c>
      <c r="AC130" s="41">
        <v>0</v>
      </c>
      <c r="AD130" s="40">
        <f>IFERROR((TABLA_AVANCE_METAS[[#This Row],[AVANCE 4°. TRIM]]/TABLA_AVANCE_METAS[[#This Row],[PROGR. 4° TRIM]])*100,"0")</f>
        <v>0</v>
      </c>
      <c r="AE130"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30" s="43" cm="1">
        <f t="array" ref="AF130">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20</v>
      </c>
      <c r="AG130" s="44" cm="1">
        <f t="array" ref="AG130">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11</v>
      </c>
      <c r="AH130" s="40">
        <f>IFERROR((TABLA_AVANCE_METAS[[#This Row],[AVANCE ACUM. TRIM.]]/TABLA_AVANCE_METAS[[#This Row],[PROG. ACUM]])*100,"N/A")</f>
        <v>55.000000000000007</v>
      </c>
      <c r="AI130"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DEFICIENTE</v>
      </c>
      <c r="AJ130" s="45">
        <f>TABLA_AVANCE_METAS[[#This Row],[AVANCE ACUM. TRIM.]]-TABLA_AVANCE_METAS[[#This Row],[PROG. ACUM]]</f>
        <v>-9</v>
      </c>
      <c r="AK130" s="46">
        <f>IFERROR((TABLA_AVANCE_METAS[[#This Row],[DIFERENCIA ABSOLUTA SEMESTRAL]]/TABLA_AVANCE_METAS[[#This Row],[PROG. ACUM]])*100,"N/A")</f>
        <v>-45</v>
      </c>
      <c r="AL130" s="44">
        <f>TABLA_AVANCE_METAS[[#This Row],[AVANCE 1°. TRIM]]+TABLA_AVANCE_METAS[[#This Row],[AVANCE 2°. TRIM]]+TABLA_AVANCE_METAS[[#This Row],[AVANCE 3°. TRIM]]+TABLA_AVANCE_METAS[[#This Row],[AVANCE 4°. TRIM]]</f>
        <v>11</v>
      </c>
      <c r="AM130" s="40">
        <f>IFERROR((TABLA_AVANCE_METAS[[#This Row],[AVANCE ACUM. ANUAL]]/TABLA_AVANCE_METAS[[#This Row],[PROGRAMADO ANUAL]])*100,"N/A")</f>
        <v>22</v>
      </c>
      <c r="AN130"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130" s="45">
        <f>TABLA_AVANCE_METAS[[#This Row],[AVANCE ACUM. ANUAL]]-TABLA_AVANCE_METAS[[#This Row],[PROGRAMADO ANUAL]]</f>
        <v>-39</v>
      </c>
      <c r="AP130" s="47">
        <f>IFERROR((TABLA_AVANCE_METAS[[#This Row],[DIFERENCIA ABSOLUTA ANUAL]]/TABLA_AVANCE_METAS[[#This Row],[PROGRAMADO ANUAL]])*100,"N/A")</f>
        <v>-78</v>
      </c>
      <c r="AQ130" s="48" t="s">
        <v>63</v>
      </c>
      <c r="AR130" s="49"/>
      <c r="AS130" s="50"/>
      <c r="AT130" s="50"/>
      <c r="AU130" s="51" t="b">
        <f>TABLA_AVANCE_METAS[[#This Row],[PROGRAMADO ANUAL]]=SUM(TABLA_AVANCE_METAS[[#This Row],[PROGR. 1° TRIM]],TABLA_AVANCE_METAS[[#This Row],[PROGR. 2° TRIM]],TABLA_AVANCE_METAS[[#This Row],[PROGR. 3° TRIM]],TABLA_AVANCE_METAS[[#This Row],[PROGR. 4° TRIM]])</f>
        <v>1</v>
      </c>
      <c r="AV130" s="52"/>
    </row>
    <row r="131" spans="1:48" ht="75" hidden="1" customHeight="1" x14ac:dyDescent="0.3">
      <c r="A131" s="31" t="str">
        <f>CONCATENATE(TABLA_AVANCE_METAS[[#This Row],[ESTRUCTURA]],TABLA_AVANCE_METAS[[#This Row],['#]])</f>
        <v>B0320801050202015</v>
      </c>
      <c r="B131" s="32" t="s">
        <v>409</v>
      </c>
      <c r="C131" s="33" t="s">
        <v>367</v>
      </c>
      <c r="D131" s="32" t="s">
        <v>368</v>
      </c>
      <c r="E131" s="32" t="s">
        <v>410</v>
      </c>
      <c r="F131" s="32" t="s">
        <v>411</v>
      </c>
      <c r="G131" s="34" t="s">
        <v>412</v>
      </c>
      <c r="H131" s="32" t="s">
        <v>280</v>
      </c>
      <c r="I131" s="32" t="s">
        <v>281</v>
      </c>
      <c r="J131" s="32" t="s">
        <v>282</v>
      </c>
      <c r="K131" s="32" t="s">
        <v>283</v>
      </c>
      <c r="L131" s="33">
        <v>5</v>
      </c>
      <c r="M131" s="35" t="s">
        <v>421</v>
      </c>
      <c r="N131" s="34" t="s">
        <v>422</v>
      </c>
      <c r="O131" s="36">
        <v>21500</v>
      </c>
      <c r="P131" s="36">
        <v>3500</v>
      </c>
      <c r="Q131" s="37">
        <v>3990</v>
      </c>
      <c r="R131" s="38">
        <f>IFERROR((TABLA_AVANCE_METAS[[#This Row],[AVANCE 1°. TRIM]]/TABLA_AVANCE_METAS[[#This Row],[PROGR. 1° TRIM]])*100,"0")</f>
        <v>113.99999999999999</v>
      </c>
      <c r="S131"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SOBREPASADO</v>
      </c>
      <c r="T131" s="36">
        <v>6000</v>
      </c>
      <c r="U131" s="37">
        <v>6644</v>
      </c>
      <c r="V131" s="40">
        <f t="shared" si="2"/>
        <v>110.73333333333333</v>
      </c>
      <c r="W131" s="39" t="str">
        <f t="shared" si="6"/>
        <v>ADECUADO</v>
      </c>
      <c r="X131" s="36">
        <v>6000</v>
      </c>
      <c r="Y131" s="37">
        <v>0</v>
      </c>
      <c r="Z131" s="40">
        <v>0</v>
      </c>
      <c r="AA131" s="39" t="s">
        <v>62</v>
      </c>
      <c r="AB131" s="36">
        <v>6000</v>
      </c>
      <c r="AC131" s="41">
        <v>0</v>
      </c>
      <c r="AD131" s="40">
        <f>IFERROR((TABLA_AVANCE_METAS[[#This Row],[AVANCE 4°. TRIM]]/TABLA_AVANCE_METAS[[#This Row],[PROGR. 4° TRIM]])*100,"0")</f>
        <v>0</v>
      </c>
      <c r="AE131"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31" s="43" cm="1">
        <f t="array" ref="AF131">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9500</v>
      </c>
      <c r="AG131" s="44" cm="1">
        <f t="array" ref="AG131">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10634</v>
      </c>
      <c r="AH131" s="40">
        <f>IFERROR((TABLA_AVANCE_METAS[[#This Row],[AVANCE ACUM. TRIM.]]/TABLA_AVANCE_METAS[[#This Row],[PROG. ACUM]])*100,"N/A")</f>
        <v>111.93684210526315</v>
      </c>
      <c r="AI131"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SOBREPASADO</v>
      </c>
      <c r="AJ131" s="45">
        <f>TABLA_AVANCE_METAS[[#This Row],[AVANCE ACUM. TRIM.]]-TABLA_AVANCE_METAS[[#This Row],[PROG. ACUM]]</f>
        <v>1134</v>
      </c>
      <c r="AK131" s="46">
        <f>IFERROR((TABLA_AVANCE_METAS[[#This Row],[DIFERENCIA ABSOLUTA SEMESTRAL]]/TABLA_AVANCE_METAS[[#This Row],[PROG. ACUM]])*100,"N/A")</f>
        <v>11.936842105263159</v>
      </c>
      <c r="AL131" s="44">
        <f>TABLA_AVANCE_METAS[[#This Row],[AVANCE 1°. TRIM]]+TABLA_AVANCE_METAS[[#This Row],[AVANCE 2°. TRIM]]+TABLA_AVANCE_METAS[[#This Row],[AVANCE 3°. TRIM]]+TABLA_AVANCE_METAS[[#This Row],[AVANCE 4°. TRIM]]</f>
        <v>10634</v>
      </c>
      <c r="AM131" s="40">
        <f>IFERROR((TABLA_AVANCE_METAS[[#This Row],[AVANCE ACUM. ANUAL]]/TABLA_AVANCE_METAS[[#This Row],[PROGRAMADO ANUAL]])*100,"N/A")</f>
        <v>49.460465116279067</v>
      </c>
      <c r="AN131"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131" s="45">
        <f>TABLA_AVANCE_METAS[[#This Row],[AVANCE ACUM. ANUAL]]-TABLA_AVANCE_METAS[[#This Row],[PROGRAMADO ANUAL]]</f>
        <v>-10866</v>
      </c>
      <c r="AP131" s="47">
        <f>IFERROR((TABLA_AVANCE_METAS[[#This Row],[DIFERENCIA ABSOLUTA ANUAL]]/TABLA_AVANCE_METAS[[#This Row],[PROGRAMADO ANUAL]])*100,"N/A")</f>
        <v>-50.539534883720926</v>
      </c>
      <c r="AQ131" s="48" t="s">
        <v>63</v>
      </c>
      <c r="AR131" s="49"/>
      <c r="AS131" s="50"/>
      <c r="AT131" s="50"/>
      <c r="AU131" s="51" t="b">
        <f>TABLA_AVANCE_METAS[[#This Row],[PROGRAMADO ANUAL]]=SUM(TABLA_AVANCE_METAS[[#This Row],[PROGR. 1° TRIM]],TABLA_AVANCE_METAS[[#This Row],[PROGR. 2° TRIM]],TABLA_AVANCE_METAS[[#This Row],[PROGR. 3° TRIM]],TABLA_AVANCE_METAS[[#This Row],[PROGR. 4° TRIM]])</f>
        <v>1</v>
      </c>
      <c r="AV131" s="52"/>
    </row>
    <row r="132" spans="1:48" ht="75" hidden="1" customHeight="1" x14ac:dyDescent="0.3">
      <c r="A132" s="31" t="str">
        <f>CONCATENATE(TABLA_AVANCE_METAS[[#This Row],[ESTRUCTURA]],TABLA_AVANCE_METAS[[#This Row],['#]])</f>
        <v>B0322301050202011</v>
      </c>
      <c r="B132" s="32" t="s">
        <v>423</v>
      </c>
      <c r="C132" s="33" t="s">
        <v>367</v>
      </c>
      <c r="D132" s="32" t="s">
        <v>368</v>
      </c>
      <c r="E132" s="32" t="s">
        <v>424</v>
      </c>
      <c r="F132" s="32" t="s">
        <v>425</v>
      </c>
      <c r="G132" s="34" t="s">
        <v>426</v>
      </c>
      <c r="H132" s="32" t="s">
        <v>280</v>
      </c>
      <c r="I132" s="32" t="s">
        <v>281</v>
      </c>
      <c r="J132" s="32" t="s">
        <v>282</v>
      </c>
      <c r="K132" s="32" t="s">
        <v>283</v>
      </c>
      <c r="L132" s="33">
        <v>1</v>
      </c>
      <c r="M132" s="35" t="s">
        <v>427</v>
      </c>
      <c r="N132" s="34" t="s">
        <v>428</v>
      </c>
      <c r="O132" s="36">
        <v>150000</v>
      </c>
      <c r="P132" s="36">
        <v>20000</v>
      </c>
      <c r="Q132" s="37">
        <v>59103</v>
      </c>
      <c r="R132" s="38">
        <f>IFERROR((TABLA_AVANCE_METAS[[#This Row],[AVANCE 1°. TRIM]]/TABLA_AVANCE_METAS[[#This Row],[PROGR. 1° TRIM]])*100,"0")</f>
        <v>295.51500000000004</v>
      </c>
      <c r="S132"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SOBREPASADO</v>
      </c>
      <c r="T132" s="36">
        <v>30000</v>
      </c>
      <c r="U132" s="37">
        <v>58804</v>
      </c>
      <c r="V132" s="40">
        <f t="shared" si="2"/>
        <v>196.01333333333332</v>
      </c>
      <c r="W132" s="39" t="str">
        <f t="shared" si="6"/>
        <v>SOBREPASADO</v>
      </c>
      <c r="X132" s="36">
        <v>50000</v>
      </c>
      <c r="Y132" s="37">
        <v>0</v>
      </c>
      <c r="Z132" s="40">
        <v>0</v>
      </c>
      <c r="AA132" s="39" t="s">
        <v>62</v>
      </c>
      <c r="AB132" s="36">
        <v>50000</v>
      </c>
      <c r="AC132" s="41">
        <v>0</v>
      </c>
      <c r="AD132" s="40">
        <f>IFERROR((TABLA_AVANCE_METAS[[#This Row],[AVANCE 4°. TRIM]]/TABLA_AVANCE_METAS[[#This Row],[PROGR. 4° TRIM]])*100,"0")</f>
        <v>0</v>
      </c>
      <c r="AE132"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32" s="43" cm="1">
        <f t="array" ref="AF132">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50000</v>
      </c>
      <c r="AG132" s="44" cm="1">
        <f t="array" ref="AG132">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117907</v>
      </c>
      <c r="AH132" s="40">
        <f>IFERROR((TABLA_AVANCE_METAS[[#This Row],[AVANCE ACUM. TRIM.]]/TABLA_AVANCE_METAS[[#This Row],[PROG. ACUM]])*100,"N/A")</f>
        <v>235.81400000000002</v>
      </c>
      <c r="AI132"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SOBREPASADO</v>
      </c>
      <c r="AJ132" s="45">
        <f>TABLA_AVANCE_METAS[[#This Row],[AVANCE ACUM. TRIM.]]-TABLA_AVANCE_METAS[[#This Row],[PROG. ACUM]]</f>
        <v>67907</v>
      </c>
      <c r="AK132" s="46">
        <f>IFERROR((TABLA_AVANCE_METAS[[#This Row],[DIFERENCIA ABSOLUTA SEMESTRAL]]/TABLA_AVANCE_METAS[[#This Row],[PROG. ACUM]])*100,"N/A")</f>
        <v>135.81399999999999</v>
      </c>
      <c r="AL132" s="44">
        <f>TABLA_AVANCE_METAS[[#This Row],[AVANCE 1°. TRIM]]+TABLA_AVANCE_METAS[[#This Row],[AVANCE 2°. TRIM]]+TABLA_AVANCE_METAS[[#This Row],[AVANCE 3°. TRIM]]+TABLA_AVANCE_METAS[[#This Row],[AVANCE 4°. TRIM]]</f>
        <v>117907</v>
      </c>
      <c r="AM132" s="40">
        <f>IFERROR((TABLA_AVANCE_METAS[[#This Row],[AVANCE ACUM. ANUAL]]/TABLA_AVANCE_METAS[[#This Row],[PROGRAMADO ANUAL]])*100,"N/A")</f>
        <v>78.604666666666674</v>
      </c>
      <c r="AN132"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REGULAR</v>
      </c>
      <c r="AO132" s="45">
        <f>TABLA_AVANCE_METAS[[#This Row],[AVANCE ACUM. ANUAL]]-TABLA_AVANCE_METAS[[#This Row],[PROGRAMADO ANUAL]]</f>
        <v>-32093</v>
      </c>
      <c r="AP132" s="47">
        <f>IFERROR((TABLA_AVANCE_METAS[[#This Row],[DIFERENCIA ABSOLUTA ANUAL]]/TABLA_AVANCE_METAS[[#This Row],[PROGRAMADO ANUAL]])*100,"N/A")</f>
        <v>-21.395333333333333</v>
      </c>
      <c r="AQ132" s="48" t="s">
        <v>63</v>
      </c>
      <c r="AR132" s="49"/>
      <c r="AS132" s="50"/>
      <c r="AT132" s="50"/>
      <c r="AU132" s="51" t="b">
        <f>TABLA_AVANCE_METAS[[#This Row],[PROGRAMADO ANUAL]]=SUM(TABLA_AVANCE_METAS[[#This Row],[PROGR. 1° TRIM]],TABLA_AVANCE_METAS[[#This Row],[PROGR. 2° TRIM]],TABLA_AVANCE_METAS[[#This Row],[PROGR. 3° TRIM]],TABLA_AVANCE_METAS[[#This Row],[PROGR. 4° TRIM]])</f>
        <v>1</v>
      </c>
      <c r="AV132" s="52"/>
    </row>
    <row r="133" spans="1:48" ht="75" hidden="1" customHeight="1" x14ac:dyDescent="0.3">
      <c r="A133" s="31" t="str">
        <f>CONCATENATE(TABLA_AVANCE_METAS[[#This Row],[ESTRUCTURA]],TABLA_AVANCE_METAS[[#This Row],['#]])</f>
        <v>B0322301050202012</v>
      </c>
      <c r="B133" s="32" t="s">
        <v>423</v>
      </c>
      <c r="C133" s="33" t="s">
        <v>367</v>
      </c>
      <c r="D133" s="32" t="s">
        <v>368</v>
      </c>
      <c r="E133" s="32" t="s">
        <v>424</v>
      </c>
      <c r="F133" s="32" t="s">
        <v>425</v>
      </c>
      <c r="G133" s="34" t="s">
        <v>426</v>
      </c>
      <c r="H133" s="32" t="s">
        <v>280</v>
      </c>
      <c r="I133" s="32" t="s">
        <v>281</v>
      </c>
      <c r="J133" s="32" t="s">
        <v>282</v>
      </c>
      <c r="K133" s="32" t="s">
        <v>283</v>
      </c>
      <c r="L133" s="33">
        <v>2</v>
      </c>
      <c r="M133" s="35" t="s">
        <v>429</v>
      </c>
      <c r="N133" s="34" t="s">
        <v>430</v>
      </c>
      <c r="O133" s="36">
        <v>2</v>
      </c>
      <c r="P133" s="36">
        <v>1</v>
      </c>
      <c r="Q133" s="37">
        <v>1</v>
      </c>
      <c r="R133" s="38">
        <f>IFERROR((TABLA_AVANCE_METAS[[#This Row],[AVANCE 1°. TRIM]]/TABLA_AVANCE_METAS[[#This Row],[PROGR. 1° TRIM]])*100,"0")</f>
        <v>100</v>
      </c>
      <c r="S133"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133" s="36">
        <v>0</v>
      </c>
      <c r="U133" s="37">
        <v>0</v>
      </c>
      <c r="V133" s="40" t="str">
        <f t="shared" ref="V133:V196" si="7">IFERROR((U133/T133)*100,"0")</f>
        <v>0</v>
      </c>
      <c r="W133" s="39" t="str">
        <f t="shared" si="6"/>
        <v>NO PROG.</v>
      </c>
      <c r="X133" s="36">
        <v>1</v>
      </c>
      <c r="Y133" s="37">
        <v>0</v>
      </c>
      <c r="Z133" s="40">
        <v>0</v>
      </c>
      <c r="AA133" s="39" t="s">
        <v>62</v>
      </c>
      <c r="AB133" s="36">
        <v>0</v>
      </c>
      <c r="AC133" s="41">
        <v>0</v>
      </c>
      <c r="AD133" s="40" t="str">
        <f>IFERROR((TABLA_AVANCE_METAS[[#This Row],[AVANCE 4°. TRIM]]/TABLA_AVANCE_METAS[[#This Row],[PROGR. 4° TRIM]])*100,"0")</f>
        <v>0</v>
      </c>
      <c r="AE133"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NO PROG.</v>
      </c>
      <c r="AF133" s="43" cm="1">
        <f t="array" ref="AF133">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v>
      </c>
      <c r="AG133" s="44" cm="1">
        <f t="array" ref="AG133">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1</v>
      </c>
      <c r="AH133" s="40">
        <f>IFERROR((TABLA_AVANCE_METAS[[#This Row],[AVANCE ACUM. TRIM.]]/TABLA_AVANCE_METAS[[#This Row],[PROG. ACUM]])*100,"N/A")</f>
        <v>100</v>
      </c>
      <c r="AI133"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133" s="45">
        <f>TABLA_AVANCE_METAS[[#This Row],[AVANCE ACUM. TRIM.]]-TABLA_AVANCE_METAS[[#This Row],[PROG. ACUM]]</f>
        <v>0</v>
      </c>
      <c r="AK133" s="46">
        <f>IFERROR((TABLA_AVANCE_METAS[[#This Row],[DIFERENCIA ABSOLUTA SEMESTRAL]]/TABLA_AVANCE_METAS[[#This Row],[PROG. ACUM]])*100,"N/A")</f>
        <v>0</v>
      </c>
      <c r="AL133" s="44">
        <f>TABLA_AVANCE_METAS[[#This Row],[AVANCE 1°. TRIM]]+TABLA_AVANCE_METAS[[#This Row],[AVANCE 2°. TRIM]]+TABLA_AVANCE_METAS[[#This Row],[AVANCE 3°. TRIM]]+TABLA_AVANCE_METAS[[#This Row],[AVANCE 4°. TRIM]]</f>
        <v>1</v>
      </c>
      <c r="AM133" s="40">
        <f>IFERROR((TABLA_AVANCE_METAS[[#This Row],[AVANCE ACUM. ANUAL]]/TABLA_AVANCE_METAS[[#This Row],[PROGRAMADO ANUAL]])*100,"N/A")</f>
        <v>50</v>
      </c>
      <c r="AN133"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133" s="45">
        <f>TABLA_AVANCE_METAS[[#This Row],[AVANCE ACUM. ANUAL]]-TABLA_AVANCE_METAS[[#This Row],[PROGRAMADO ANUAL]]</f>
        <v>-1</v>
      </c>
      <c r="AP133" s="47">
        <f>IFERROR((TABLA_AVANCE_METAS[[#This Row],[DIFERENCIA ABSOLUTA ANUAL]]/TABLA_AVANCE_METAS[[#This Row],[PROGRAMADO ANUAL]])*100,"N/A")</f>
        <v>-50</v>
      </c>
      <c r="AQ133" s="48" t="s">
        <v>63</v>
      </c>
      <c r="AR133" s="49"/>
      <c r="AS133" s="50"/>
      <c r="AT133" s="50"/>
      <c r="AU133" s="51" t="b">
        <f>TABLA_AVANCE_METAS[[#This Row],[PROGRAMADO ANUAL]]=SUM(TABLA_AVANCE_METAS[[#This Row],[PROGR. 1° TRIM]],TABLA_AVANCE_METAS[[#This Row],[PROGR. 2° TRIM]],TABLA_AVANCE_METAS[[#This Row],[PROGR. 3° TRIM]],TABLA_AVANCE_METAS[[#This Row],[PROGR. 4° TRIM]])</f>
        <v>1</v>
      </c>
      <c r="AV133" s="52"/>
    </row>
    <row r="134" spans="1:48" ht="75" hidden="1" customHeight="1" x14ac:dyDescent="0.3">
      <c r="A134" s="31" t="str">
        <f>CONCATENATE(TABLA_AVANCE_METAS[[#This Row],[ESTRUCTURA]],TABLA_AVANCE_METAS[[#This Row],['#]])</f>
        <v>B0322402010301011</v>
      </c>
      <c r="B134" s="32" t="s">
        <v>431</v>
      </c>
      <c r="C134" s="33" t="s">
        <v>367</v>
      </c>
      <c r="D134" s="32" t="s">
        <v>368</v>
      </c>
      <c r="E134" s="32" t="s">
        <v>432</v>
      </c>
      <c r="F134" s="32" t="s">
        <v>433</v>
      </c>
      <c r="G134" s="34" t="s">
        <v>434</v>
      </c>
      <c r="H134" s="32" t="s">
        <v>435</v>
      </c>
      <c r="I134" s="32" t="s">
        <v>436</v>
      </c>
      <c r="J134" s="32" t="s">
        <v>437</v>
      </c>
      <c r="K134" s="32" t="s">
        <v>438</v>
      </c>
      <c r="L134" s="33">
        <v>1</v>
      </c>
      <c r="M134" s="35" t="s">
        <v>439</v>
      </c>
      <c r="N134" s="34" t="s">
        <v>440</v>
      </c>
      <c r="O134" s="36">
        <v>4</v>
      </c>
      <c r="P134" s="36">
        <v>1</v>
      </c>
      <c r="Q134" s="37">
        <v>1</v>
      </c>
      <c r="R134" s="38">
        <f>IFERROR((TABLA_AVANCE_METAS[[#This Row],[AVANCE 1°. TRIM]]/TABLA_AVANCE_METAS[[#This Row],[PROGR. 1° TRIM]])*100,"0")</f>
        <v>100</v>
      </c>
      <c r="S134"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134" s="36">
        <v>1</v>
      </c>
      <c r="U134" s="37">
        <v>1</v>
      </c>
      <c r="V134" s="40">
        <f t="shared" si="7"/>
        <v>100</v>
      </c>
      <c r="W134" s="39" t="str">
        <f t="shared" si="6"/>
        <v>ADECUADO</v>
      </c>
      <c r="X134" s="36">
        <v>1</v>
      </c>
      <c r="Y134" s="37">
        <v>0</v>
      </c>
      <c r="Z134" s="40">
        <v>0</v>
      </c>
      <c r="AA134" s="39" t="s">
        <v>62</v>
      </c>
      <c r="AB134" s="36">
        <v>1</v>
      </c>
      <c r="AC134" s="41">
        <v>0</v>
      </c>
      <c r="AD134" s="40">
        <f>IFERROR((TABLA_AVANCE_METAS[[#This Row],[AVANCE 4°. TRIM]]/TABLA_AVANCE_METAS[[#This Row],[PROGR. 4° TRIM]])*100,"0")</f>
        <v>0</v>
      </c>
      <c r="AE134"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34" s="43" cm="1">
        <f t="array" ref="AF134">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2</v>
      </c>
      <c r="AG134" s="44" cm="1">
        <f t="array" ref="AG134">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2</v>
      </c>
      <c r="AH134" s="40">
        <f>IFERROR((TABLA_AVANCE_METAS[[#This Row],[AVANCE ACUM. TRIM.]]/TABLA_AVANCE_METAS[[#This Row],[PROG. ACUM]])*100,"N/A")</f>
        <v>100</v>
      </c>
      <c r="AI134"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134" s="45">
        <f>TABLA_AVANCE_METAS[[#This Row],[AVANCE ACUM. TRIM.]]-TABLA_AVANCE_METAS[[#This Row],[PROG. ACUM]]</f>
        <v>0</v>
      </c>
      <c r="AK134" s="46">
        <f>IFERROR((TABLA_AVANCE_METAS[[#This Row],[DIFERENCIA ABSOLUTA SEMESTRAL]]/TABLA_AVANCE_METAS[[#This Row],[PROG. ACUM]])*100,"N/A")</f>
        <v>0</v>
      </c>
      <c r="AL134" s="44">
        <f>TABLA_AVANCE_METAS[[#This Row],[AVANCE 1°. TRIM]]+TABLA_AVANCE_METAS[[#This Row],[AVANCE 2°. TRIM]]+TABLA_AVANCE_METAS[[#This Row],[AVANCE 3°. TRIM]]+TABLA_AVANCE_METAS[[#This Row],[AVANCE 4°. TRIM]]</f>
        <v>2</v>
      </c>
      <c r="AM134" s="40">
        <f>IFERROR((TABLA_AVANCE_METAS[[#This Row],[AVANCE ACUM. ANUAL]]/TABLA_AVANCE_METAS[[#This Row],[PROGRAMADO ANUAL]])*100,"N/A")</f>
        <v>50</v>
      </c>
      <c r="AN134"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134" s="45">
        <f>TABLA_AVANCE_METAS[[#This Row],[AVANCE ACUM. ANUAL]]-TABLA_AVANCE_METAS[[#This Row],[PROGRAMADO ANUAL]]</f>
        <v>-2</v>
      </c>
      <c r="AP134" s="47">
        <f>IFERROR((TABLA_AVANCE_METAS[[#This Row],[DIFERENCIA ABSOLUTA ANUAL]]/TABLA_AVANCE_METAS[[#This Row],[PROGRAMADO ANUAL]])*100,"N/A")</f>
        <v>-50</v>
      </c>
      <c r="AQ134" s="48" t="s">
        <v>63</v>
      </c>
      <c r="AR134" s="49"/>
      <c r="AS134" s="50"/>
      <c r="AT134" s="50"/>
      <c r="AU134" s="51" t="b">
        <f>TABLA_AVANCE_METAS[[#This Row],[PROGRAMADO ANUAL]]=SUM(TABLA_AVANCE_METAS[[#This Row],[PROGR. 1° TRIM]],TABLA_AVANCE_METAS[[#This Row],[PROGR. 2° TRIM]],TABLA_AVANCE_METAS[[#This Row],[PROGR. 3° TRIM]],TABLA_AVANCE_METAS[[#This Row],[PROGR. 4° TRIM]])</f>
        <v>1</v>
      </c>
      <c r="AV134" s="52"/>
    </row>
    <row r="135" spans="1:48" ht="75" hidden="1" customHeight="1" x14ac:dyDescent="0.3">
      <c r="A135" s="31" t="str">
        <f>CONCATENATE(TABLA_AVANCE_METAS[[#This Row],[ESTRUCTURA]],TABLA_AVANCE_METAS[[#This Row],['#]])</f>
        <v>B0322402010301012</v>
      </c>
      <c r="B135" s="32" t="s">
        <v>431</v>
      </c>
      <c r="C135" s="33" t="s">
        <v>367</v>
      </c>
      <c r="D135" s="32" t="s">
        <v>368</v>
      </c>
      <c r="E135" s="32" t="s">
        <v>432</v>
      </c>
      <c r="F135" s="32" t="s">
        <v>433</v>
      </c>
      <c r="G135" s="34" t="s">
        <v>434</v>
      </c>
      <c r="H135" s="32" t="s">
        <v>435</v>
      </c>
      <c r="I135" s="32" t="s">
        <v>436</v>
      </c>
      <c r="J135" s="32" t="s">
        <v>437</v>
      </c>
      <c r="K135" s="32" t="s">
        <v>438</v>
      </c>
      <c r="L135" s="33">
        <v>2</v>
      </c>
      <c r="M135" s="35" t="s">
        <v>441</v>
      </c>
      <c r="N135" s="34" t="s">
        <v>408</v>
      </c>
      <c r="O135" s="36">
        <v>130</v>
      </c>
      <c r="P135" s="36">
        <v>30</v>
      </c>
      <c r="Q135" s="37">
        <v>30</v>
      </c>
      <c r="R135" s="38">
        <f>IFERROR((TABLA_AVANCE_METAS[[#This Row],[AVANCE 1°. TRIM]]/TABLA_AVANCE_METAS[[#This Row],[PROGR. 1° TRIM]])*100,"0")</f>
        <v>100</v>
      </c>
      <c r="S135"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135" s="36">
        <v>35</v>
      </c>
      <c r="U135" s="37">
        <v>38</v>
      </c>
      <c r="V135" s="40">
        <f t="shared" si="7"/>
        <v>108.57142857142857</v>
      </c>
      <c r="W135" s="39" t="str">
        <f t="shared" si="6"/>
        <v>ADECUADO</v>
      </c>
      <c r="X135" s="36">
        <v>35</v>
      </c>
      <c r="Y135" s="37">
        <v>0</v>
      </c>
      <c r="Z135" s="40">
        <v>0</v>
      </c>
      <c r="AA135" s="39" t="s">
        <v>62</v>
      </c>
      <c r="AB135" s="36">
        <v>30</v>
      </c>
      <c r="AC135" s="41">
        <v>0</v>
      </c>
      <c r="AD135" s="40">
        <f>IFERROR((TABLA_AVANCE_METAS[[#This Row],[AVANCE 4°. TRIM]]/TABLA_AVANCE_METAS[[#This Row],[PROGR. 4° TRIM]])*100,"0")</f>
        <v>0</v>
      </c>
      <c r="AE135"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35" s="43" cm="1">
        <f t="array" ref="AF135">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65</v>
      </c>
      <c r="AG135" s="44" cm="1">
        <f t="array" ref="AG135">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68</v>
      </c>
      <c r="AH135" s="40">
        <f>IFERROR((TABLA_AVANCE_METAS[[#This Row],[AVANCE ACUM. TRIM.]]/TABLA_AVANCE_METAS[[#This Row],[PROG. ACUM]])*100,"N/A")</f>
        <v>104.61538461538463</v>
      </c>
      <c r="AI135"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135" s="45">
        <f>TABLA_AVANCE_METAS[[#This Row],[AVANCE ACUM. TRIM.]]-TABLA_AVANCE_METAS[[#This Row],[PROG. ACUM]]</f>
        <v>3</v>
      </c>
      <c r="AK135" s="46">
        <f>IFERROR((TABLA_AVANCE_METAS[[#This Row],[DIFERENCIA ABSOLUTA SEMESTRAL]]/TABLA_AVANCE_METAS[[#This Row],[PROG. ACUM]])*100,"N/A")</f>
        <v>4.6153846153846159</v>
      </c>
      <c r="AL135" s="44">
        <f>TABLA_AVANCE_METAS[[#This Row],[AVANCE 1°. TRIM]]+TABLA_AVANCE_METAS[[#This Row],[AVANCE 2°. TRIM]]+TABLA_AVANCE_METAS[[#This Row],[AVANCE 3°. TRIM]]+TABLA_AVANCE_METAS[[#This Row],[AVANCE 4°. TRIM]]</f>
        <v>68</v>
      </c>
      <c r="AM135" s="40">
        <f>IFERROR((TABLA_AVANCE_METAS[[#This Row],[AVANCE ACUM. ANUAL]]/TABLA_AVANCE_METAS[[#This Row],[PROGRAMADO ANUAL]])*100,"N/A")</f>
        <v>52.307692307692314</v>
      </c>
      <c r="AN135"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135" s="45">
        <f>TABLA_AVANCE_METAS[[#This Row],[AVANCE ACUM. ANUAL]]-TABLA_AVANCE_METAS[[#This Row],[PROGRAMADO ANUAL]]</f>
        <v>-62</v>
      </c>
      <c r="AP135" s="47">
        <f>IFERROR((TABLA_AVANCE_METAS[[#This Row],[DIFERENCIA ABSOLUTA ANUAL]]/TABLA_AVANCE_METAS[[#This Row],[PROGRAMADO ANUAL]])*100,"N/A")</f>
        <v>-47.692307692307693</v>
      </c>
      <c r="AQ135" s="48" t="s">
        <v>63</v>
      </c>
      <c r="AR135" s="49"/>
      <c r="AS135" s="50"/>
      <c r="AT135" s="50"/>
      <c r="AU135" s="51" t="b">
        <f>TABLA_AVANCE_METAS[[#This Row],[PROGRAMADO ANUAL]]=SUM(TABLA_AVANCE_METAS[[#This Row],[PROGR. 1° TRIM]],TABLA_AVANCE_METAS[[#This Row],[PROGR. 2° TRIM]],TABLA_AVANCE_METAS[[#This Row],[PROGR. 3° TRIM]],TABLA_AVANCE_METAS[[#This Row],[PROGR. 4° TRIM]])</f>
        <v>1</v>
      </c>
      <c r="AV135" s="52"/>
    </row>
    <row r="136" spans="1:48" ht="75" hidden="1" customHeight="1" x14ac:dyDescent="0.3">
      <c r="A136" s="31" t="str">
        <f>CONCATENATE(TABLA_AVANCE_METAS[[#This Row],[ESTRUCTURA]],TABLA_AVANCE_METAS[[#This Row],['#]])</f>
        <v>B0322402010301013</v>
      </c>
      <c r="B136" s="32" t="s">
        <v>431</v>
      </c>
      <c r="C136" s="33" t="s">
        <v>367</v>
      </c>
      <c r="D136" s="32" t="s">
        <v>368</v>
      </c>
      <c r="E136" s="32" t="s">
        <v>432</v>
      </c>
      <c r="F136" s="32" t="s">
        <v>433</v>
      </c>
      <c r="G136" s="34" t="s">
        <v>434</v>
      </c>
      <c r="H136" s="32" t="s">
        <v>435</v>
      </c>
      <c r="I136" s="32" t="s">
        <v>436</v>
      </c>
      <c r="J136" s="32" t="s">
        <v>437</v>
      </c>
      <c r="K136" s="32" t="s">
        <v>438</v>
      </c>
      <c r="L136" s="33">
        <v>3</v>
      </c>
      <c r="M136" s="35" t="s">
        <v>442</v>
      </c>
      <c r="N136" s="34" t="s">
        <v>443</v>
      </c>
      <c r="O136" s="36">
        <v>120</v>
      </c>
      <c r="P136" s="36">
        <v>25</v>
      </c>
      <c r="Q136" s="37">
        <v>25</v>
      </c>
      <c r="R136" s="38">
        <f>IFERROR((TABLA_AVANCE_METAS[[#This Row],[AVANCE 1°. TRIM]]/TABLA_AVANCE_METAS[[#This Row],[PROGR. 1° TRIM]])*100,"0")</f>
        <v>100</v>
      </c>
      <c r="S136"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136" s="36">
        <v>35</v>
      </c>
      <c r="U136" s="37">
        <v>35</v>
      </c>
      <c r="V136" s="40">
        <f t="shared" si="7"/>
        <v>100</v>
      </c>
      <c r="W136" s="39" t="str">
        <f t="shared" si="6"/>
        <v>ADECUADO</v>
      </c>
      <c r="X136" s="36">
        <v>35</v>
      </c>
      <c r="Y136" s="37">
        <v>0</v>
      </c>
      <c r="Z136" s="40">
        <v>0</v>
      </c>
      <c r="AA136" s="39" t="s">
        <v>62</v>
      </c>
      <c r="AB136" s="36">
        <v>25</v>
      </c>
      <c r="AC136" s="41">
        <v>0</v>
      </c>
      <c r="AD136" s="40">
        <f>IFERROR((TABLA_AVANCE_METAS[[#This Row],[AVANCE 4°. TRIM]]/TABLA_AVANCE_METAS[[#This Row],[PROGR. 4° TRIM]])*100,"0")</f>
        <v>0</v>
      </c>
      <c r="AE136"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36" s="43" cm="1">
        <f t="array" ref="AF136">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60</v>
      </c>
      <c r="AG136" s="44" cm="1">
        <f t="array" ref="AG136">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60</v>
      </c>
      <c r="AH136" s="40">
        <f>IFERROR((TABLA_AVANCE_METAS[[#This Row],[AVANCE ACUM. TRIM.]]/TABLA_AVANCE_METAS[[#This Row],[PROG. ACUM]])*100,"N/A")</f>
        <v>100</v>
      </c>
      <c r="AI136"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136" s="45">
        <f>TABLA_AVANCE_METAS[[#This Row],[AVANCE ACUM. TRIM.]]-TABLA_AVANCE_METAS[[#This Row],[PROG. ACUM]]</f>
        <v>0</v>
      </c>
      <c r="AK136" s="46">
        <f>IFERROR((TABLA_AVANCE_METAS[[#This Row],[DIFERENCIA ABSOLUTA SEMESTRAL]]/TABLA_AVANCE_METAS[[#This Row],[PROG. ACUM]])*100,"N/A")</f>
        <v>0</v>
      </c>
      <c r="AL136" s="44">
        <f>TABLA_AVANCE_METAS[[#This Row],[AVANCE 1°. TRIM]]+TABLA_AVANCE_METAS[[#This Row],[AVANCE 2°. TRIM]]+TABLA_AVANCE_METAS[[#This Row],[AVANCE 3°. TRIM]]+TABLA_AVANCE_METAS[[#This Row],[AVANCE 4°. TRIM]]</f>
        <v>60</v>
      </c>
      <c r="AM136" s="40">
        <f>IFERROR((TABLA_AVANCE_METAS[[#This Row],[AVANCE ACUM. ANUAL]]/TABLA_AVANCE_METAS[[#This Row],[PROGRAMADO ANUAL]])*100,"N/A")</f>
        <v>50</v>
      </c>
      <c r="AN136"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136" s="45">
        <f>TABLA_AVANCE_METAS[[#This Row],[AVANCE ACUM. ANUAL]]-TABLA_AVANCE_METAS[[#This Row],[PROGRAMADO ANUAL]]</f>
        <v>-60</v>
      </c>
      <c r="AP136" s="47">
        <f>IFERROR((TABLA_AVANCE_METAS[[#This Row],[DIFERENCIA ABSOLUTA ANUAL]]/TABLA_AVANCE_METAS[[#This Row],[PROGRAMADO ANUAL]])*100,"N/A")</f>
        <v>-50</v>
      </c>
      <c r="AQ136" s="48" t="s">
        <v>63</v>
      </c>
      <c r="AR136" s="49"/>
      <c r="AS136" s="50"/>
      <c r="AT136" s="50"/>
      <c r="AU136" s="51" t="b">
        <f>TABLA_AVANCE_METAS[[#This Row],[PROGRAMADO ANUAL]]=SUM(TABLA_AVANCE_METAS[[#This Row],[PROGR. 1° TRIM]],TABLA_AVANCE_METAS[[#This Row],[PROGR. 2° TRIM]],TABLA_AVANCE_METAS[[#This Row],[PROGR. 3° TRIM]],TABLA_AVANCE_METAS[[#This Row],[PROGR. 4° TRIM]])</f>
        <v>1</v>
      </c>
      <c r="AV136" s="52"/>
    </row>
    <row r="137" spans="1:48" ht="75" hidden="1" customHeight="1" x14ac:dyDescent="0.3">
      <c r="A137" s="31" t="str">
        <f>CONCATENATE(TABLA_AVANCE_METAS[[#This Row],[ESTRUCTURA]],TABLA_AVANCE_METAS[[#This Row],['#]])</f>
        <v>C0023002010301011</v>
      </c>
      <c r="B137" s="32" t="s">
        <v>444</v>
      </c>
      <c r="C137" s="62" t="s">
        <v>445</v>
      </c>
      <c r="D137" s="61" t="s">
        <v>446</v>
      </c>
      <c r="E137" s="32" t="s">
        <v>197</v>
      </c>
      <c r="F137" s="61" t="s">
        <v>198</v>
      </c>
      <c r="G137" s="34" t="s">
        <v>447</v>
      </c>
      <c r="H137" s="61" t="s">
        <v>435</v>
      </c>
      <c r="I137" s="61" t="s">
        <v>436</v>
      </c>
      <c r="J137" s="61" t="s">
        <v>437</v>
      </c>
      <c r="K137" s="61" t="s">
        <v>438</v>
      </c>
      <c r="L137" s="33">
        <v>1</v>
      </c>
      <c r="M137" s="57" t="s">
        <v>448</v>
      </c>
      <c r="N137" s="34" t="s">
        <v>85</v>
      </c>
      <c r="O137" s="36">
        <v>4</v>
      </c>
      <c r="P137" s="36">
        <v>1</v>
      </c>
      <c r="Q137" s="37">
        <v>1</v>
      </c>
      <c r="R137" s="38">
        <f>IFERROR((TABLA_AVANCE_METAS[[#This Row],[AVANCE 1°. TRIM]]/TABLA_AVANCE_METAS[[#This Row],[PROGR. 1° TRIM]])*100,"0")</f>
        <v>100</v>
      </c>
      <c r="S137"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137" s="36">
        <v>1</v>
      </c>
      <c r="U137" s="37">
        <v>1</v>
      </c>
      <c r="V137" s="40">
        <f t="shared" si="7"/>
        <v>100</v>
      </c>
      <c r="W137" s="39" t="str">
        <f t="shared" si="6"/>
        <v>ADECUADO</v>
      </c>
      <c r="X137" s="36">
        <v>1</v>
      </c>
      <c r="Y137" s="37">
        <v>0</v>
      </c>
      <c r="Z137" s="40">
        <v>0</v>
      </c>
      <c r="AA137" s="39" t="s">
        <v>62</v>
      </c>
      <c r="AB137" s="36">
        <v>1</v>
      </c>
      <c r="AC137" s="41">
        <v>0</v>
      </c>
      <c r="AD137" s="40">
        <f>IFERROR((TABLA_AVANCE_METAS[[#This Row],[AVANCE 4°. TRIM]]/TABLA_AVANCE_METAS[[#This Row],[PROGR. 4° TRIM]])*100,"0")</f>
        <v>0</v>
      </c>
      <c r="AE137"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37" s="43" cm="1">
        <f t="array" ref="AF137">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2</v>
      </c>
      <c r="AG137" s="44" cm="1">
        <f t="array" ref="AG137">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2</v>
      </c>
      <c r="AH137" s="40">
        <f>IFERROR((TABLA_AVANCE_METAS[[#This Row],[AVANCE ACUM. TRIM.]]/TABLA_AVANCE_METAS[[#This Row],[PROG. ACUM]])*100,"N/A")</f>
        <v>100</v>
      </c>
      <c r="AI137"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137" s="45">
        <f>TABLA_AVANCE_METAS[[#This Row],[AVANCE ACUM. TRIM.]]-TABLA_AVANCE_METAS[[#This Row],[PROG. ACUM]]</f>
        <v>0</v>
      </c>
      <c r="AK137" s="46">
        <f>IFERROR((TABLA_AVANCE_METAS[[#This Row],[DIFERENCIA ABSOLUTA SEMESTRAL]]/TABLA_AVANCE_METAS[[#This Row],[PROG. ACUM]])*100,"N/A")</f>
        <v>0</v>
      </c>
      <c r="AL137" s="44">
        <f>TABLA_AVANCE_METAS[[#This Row],[AVANCE 1°. TRIM]]+TABLA_AVANCE_METAS[[#This Row],[AVANCE 2°. TRIM]]+TABLA_AVANCE_METAS[[#This Row],[AVANCE 3°. TRIM]]+TABLA_AVANCE_METAS[[#This Row],[AVANCE 4°. TRIM]]</f>
        <v>2</v>
      </c>
      <c r="AM137" s="40">
        <f>IFERROR((TABLA_AVANCE_METAS[[#This Row],[AVANCE ACUM. ANUAL]]/TABLA_AVANCE_METAS[[#This Row],[PROGRAMADO ANUAL]])*100,"N/A")</f>
        <v>50</v>
      </c>
      <c r="AN137"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137" s="45">
        <f>TABLA_AVANCE_METAS[[#This Row],[AVANCE ACUM. ANUAL]]-TABLA_AVANCE_METAS[[#This Row],[PROGRAMADO ANUAL]]</f>
        <v>-2</v>
      </c>
      <c r="AP137" s="47">
        <f>IFERROR((TABLA_AVANCE_METAS[[#This Row],[DIFERENCIA ABSOLUTA ANUAL]]/TABLA_AVANCE_METAS[[#This Row],[PROGRAMADO ANUAL]])*100,"N/A")</f>
        <v>-50</v>
      </c>
      <c r="AQ137" s="48" t="s">
        <v>63</v>
      </c>
      <c r="AR137" s="49"/>
      <c r="AS137" s="50"/>
      <c r="AT137" s="50"/>
      <c r="AU137" s="51" t="b">
        <f>TABLA_AVANCE_METAS[[#This Row],[PROGRAMADO ANUAL]]=SUM(TABLA_AVANCE_METAS[[#This Row],[PROGR. 1° TRIM]],TABLA_AVANCE_METAS[[#This Row],[PROGR. 2° TRIM]],TABLA_AVANCE_METAS[[#This Row],[PROGR. 3° TRIM]],TABLA_AVANCE_METAS[[#This Row],[PROGR. 4° TRIM]])</f>
        <v>1</v>
      </c>
      <c r="AV137" s="52"/>
    </row>
    <row r="138" spans="1:48" ht="75" hidden="1" customHeight="1" x14ac:dyDescent="0.3">
      <c r="A138" s="31" t="str">
        <f>CONCATENATE(TABLA_AVANCE_METAS[[#This Row],[ESTRUCTURA]],TABLA_AVANCE_METAS[[#This Row],['#]])</f>
        <v>C0023002010301012</v>
      </c>
      <c r="B138" s="32" t="s">
        <v>444</v>
      </c>
      <c r="C138" s="33" t="s">
        <v>445</v>
      </c>
      <c r="D138" s="32" t="s">
        <v>446</v>
      </c>
      <c r="E138" s="32" t="s">
        <v>197</v>
      </c>
      <c r="F138" s="32" t="s">
        <v>198</v>
      </c>
      <c r="G138" s="34" t="s">
        <v>447</v>
      </c>
      <c r="H138" s="32" t="s">
        <v>435</v>
      </c>
      <c r="I138" s="32" t="s">
        <v>436</v>
      </c>
      <c r="J138" s="32" t="s">
        <v>437</v>
      </c>
      <c r="K138" s="32" t="s">
        <v>438</v>
      </c>
      <c r="L138" s="33">
        <v>2</v>
      </c>
      <c r="M138" s="35" t="s">
        <v>449</v>
      </c>
      <c r="N138" s="34" t="s">
        <v>85</v>
      </c>
      <c r="O138" s="36">
        <v>12</v>
      </c>
      <c r="P138" s="36">
        <v>3</v>
      </c>
      <c r="Q138" s="37">
        <v>3</v>
      </c>
      <c r="R138" s="38">
        <f>IFERROR((TABLA_AVANCE_METAS[[#This Row],[AVANCE 1°. TRIM]]/TABLA_AVANCE_METAS[[#This Row],[PROGR. 1° TRIM]])*100,"0")</f>
        <v>100</v>
      </c>
      <c r="S138"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138" s="36">
        <v>3</v>
      </c>
      <c r="U138" s="37">
        <v>3</v>
      </c>
      <c r="V138" s="40">
        <f t="shared" si="7"/>
        <v>100</v>
      </c>
      <c r="W138" s="39" t="str">
        <f t="shared" si="6"/>
        <v>ADECUADO</v>
      </c>
      <c r="X138" s="36">
        <v>3</v>
      </c>
      <c r="Y138" s="37">
        <v>0</v>
      </c>
      <c r="Z138" s="40">
        <v>0</v>
      </c>
      <c r="AA138" s="39" t="s">
        <v>62</v>
      </c>
      <c r="AB138" s="36">
        <v>3</v>
      </c>
      <c r="AC138" s="41">
        <v>0</v>
      </c>
      <c r="AD138" s="40">
        <f>IFERROR((TABLA_AVANCE_METAS[[#This Row],[AVANCE 4°. TRIM]]/TABLA_AVANCE_METAS[[#This Row],[PROGR. 4° TRIM]])*100,"0")</f>
        <v>0</v>
      </c>
      <c r="AE138"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38" s="43" cm="1">
        <f t="array" ref="AF138">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6</v>
      </c>
      <c r="AG138" s="44" cm="1">
        <f t="array" ref="AG138">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6</v>
      </c>
      <c r="AH138" s="40">
        <f>IFERROR((TABLA_AVANCE_METAS[[#This Row],[AVANCE ACUM. TRIM.]]/TABLA_AVANCE_METAS[[#This Row],[PROG. ACUM]])*100,"N/A")</f>
        <v>100</v>
      </c>
      <c r="AI138"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138" s="45">
        <f>TABLA_AVANCE_METAS[[#This Row],[AVANCE ACUM. TRIM.]]-TABLA_AVANCE_METAS[[#This Row],[PROG. ACUM]]</f>
        <v>0</v>
      </c>
      <c r="AK138" s="46">
        <f>IFERROR((TABLA_AVANCE_METAS[[#This Row],[DIFERENCIA ABSOLUTA SEMESTRAL]]/TABLA_AVANCE_METAS[[#This Row],[PROG. ACUM]])*100,"N/A")</f>
        <v>0</v>
      </c>
      <c r="AL138" s="44">
        <f>TABLA_AVANCE_METAS[[#This Row],[AVANCE 1°. TRIM]]+TABLA_AVANCE_METAS[[#This Row],[AVANCE 2°. TRIM]]+TABLA_AVANCE_METAS[[#This Row],[AVANCE 3°. TRIM]]+TABLA_AVANCE_METAS[[#This Row],[AVANCE 4°. TRIM]]</f>
        <v>6</v>
      </c>
      <c r="AM138" s="40">
        <f>IFERROR((TABLA_AVANCE_METAS[[#This Row],[AVANCE ACUM. ANUAL]]/TABLA_AVANCE_METAS[[#This Row],[PROGRAMADO ANUAL]])*100,"N/A")</f>
        <v>50</v>
      </c>
      <c r="AN138"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138" s="45">
        <f>TABLA_AVANCE_METAS[[#This Row],[AVANCE ACUM. ANUAL]]-TABLA_AVANCE_METAS[[#This Row],[PROGRAMADO ANUAL]]</f>
        <v>-6</v>
      </c>
      <c r="AP138" s="47">
        <f>IFERROR((TABLA_AVANCE_METAS[[#This Row],[DIFERENCIA ABSOLUTA ANUAL]]/TABLA_AVANCE_METAS[[#This Row],[PROGRAMADO ANUAL]])*100,"N/A")</f>
        <v>-50</v>
      </c>
      <c r="AQ138" s="48" t="s">
        <v>63</v>
      </c>
      <c r="AR138" s="49"/>
      <c r="AS138" s="50"/>
      <c r="AT138" s="50"/>
      <c r="AU138" s="51" t="b">
        <f>TABLA_AVANCE_METAS[[#This Row],[PROGRAMADO ANUAL]]=SUM(TABLA_AVANCE_METAS[[#This Row],[PROGR. 1° TRIM]],TABLA_AVANCE_METAS[[#This Row],[PROGR. 2° TRIM]],TABLA_AVANCE_METAS[[#This Row],[PROGR. 3° TRIM]],TABLA_AVANCE_METAS[[#This Row],[PROGR. 4° TRIM]])</f>
        <v>1</v>
      </c>
      <c r="AV138" s="52"/>
    </row>
    <row r="139" spans="1:48" ht="75" hidden="1" customHeight="1" x14ac:dyDescent="0.3">
      <c r="A139" s="31" t="str">
        <f>CONCATENATE(TABLA_AVANCE_METAS[[#This Row],[ESTRUCTURA]],TABLA_AVANCE_METAS[[#This Row],['#]])</f>
        <v>C0023002010301013</v>
      </c>
      <c r="B139" s="32" t="s">
        <v>444</v>
      </c>
      <c r="C139" s="33" t="s">
        <v>445</v>
      </c>
      <c r="D139" s="32" t="s">
        <v>446</v>
      </c>
      <c r="E139" s="32" t="s">
        <v>197</v>
      </c>
      <c r="F139" s="32" t="s">
        <v>198</v>
      </c>
      <c r="G139" s="34" t="s">
        <v>447</v>
      </c>
      <c r="H139" s="32" t="s">
        <v>435</v>
      </c>
      <c r="I139" s="32" t="s">
        <v>436</v>
      </c>
      <c r="J139" s="32" t="s">
        <v>437</v>
      </c>
      <c r="K139" s="32" t="s">
        <v>438</v>
      </c>
      <c r="L139" s="33">
        <v>3</v>
      </c>
      <c r="M139" s="35" t="s">
        <v>450</v>
      </c>
      <c r="N139" s="34" t="s">
        <v>155</v>
      </c>
      <c r="O139" s="36">
        <v>2</v>
      </c>
      <c r="P139" s="36">
        <v>1</v>
      </c>
      <c r="Q139" s="37">
        <v>1</v>
      </c>
      <c r="R139" s="38">
        <f>IFERROR((TABLA_AVANCE_METAS[[#This Row],[AVANCE 1°. TRIM]]/TABLA_AVANCE_METAS[[#This Row],[PROGR. 1° TRIM]])*100,"0")</f>
        <v>100</v>
      </c>
      <c r="S139"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139" s="36">
        <v>0</v>
      </c>
      <c r="U139" s="37">
        <v>0</v>
      </c>
      <c r="V139" s="40" t="str">
        <f t="shared" si="7"/>
        <v>0</v>
      </c>
      <c r="W139" s="39" t="str">
        <f t="shared" si="6"/>
        <v>NO PROG.</v>
      </c>
      <c r="X139" s="36">
        <v>1</v>
      </c>
      <c r="Y139" s="37">
        <v>0</v>
      </c>
      <c r="Z139" s="40">
        <v>0</v>
      </c>
      <c r="AA139" s="39" t="s">
        <v>62</v>
      </c>
      <c r="AB139" s="36">
        <v>0</v>
      </c>
      <c r="AC139" s="41">
        <v>0</v>
      </c>
      <c r="AD139" s="40" t="str">
        <f>IFERROR((TABLA_AVANCE_METAS[[#This Row],[AVANCE 4°. TRIM]]/TABLA_AVANCE_METAS[[#This Row],[PROGR. 4° TRIM]])*100,"0")</f>
        <v>0</v>
      </c>
      <c r="AE139"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NO PROG.</v>
      </c>
      <c r="AF139" s="43" cm="1">
        <f t="array" ref="AF139">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v>
      </c>
      <c r="AG139" s="44" cm="1">
        <f t="array" ref="AG139">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1</v>
      </c>
      <c r="AH139" s="40">
        <f>IFERROR((TABLA_AVANCE_METAS[[#This Row],[AVANCE ACUM. TRIM.]]/TABLA_AVANCE_METAS[[#This Row],[PROG. ACUM]])*100,"N/A")</f>
        <v>100</v>
      </c>
      <c r="AI139"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139" s="45">
        <f>TABLA_AVANCE_METAS[[#This Row],[AVANCE ACUM. TRIM.]]-TABLA_AVANCE_METAS[[#This Row],[PROG. ACUM]]</f>
        <v>0</v>
      </c>
      <c r="AK139" s="46">
        <f>IFERROR((TABLA_AVANCE_METAS[[#This Row],[DIFERENCIA ABSOLUTA SEMESTRAL]]/TABLA_AVANCE_METAS[[#This Row],[PROG. ACUM]])*100,"N/A")</f>
        <v>0</v>
      </c>
      <c r="AL139" s="44">
        <f>TABLA_AVANCE_METAS[[#This Row],[AVANCE 1°. TRIM]]+TABLA_AVANCE_METAS[[#This Row],[AVANCE 2°. TRIM]]+TABLA_AVANCE_METAS[[#This Row],[AVANCE 3°. TRIM]]+TABLA_AVANCE_METAS[[#This Row],[AVANCE 4°. TRIM]]</f>
        <v>1</v>
      </c>
      <c r="AM139" s="40">
        <f>IFERROR((TABLA_AVANCE_METAS[[#This Row],[AVANCE ACUM. ANUAL]]/TABLA_AVANCE_METAS[[#This Row],[PROGRAMADO ANUAL]])*100,"N/A")</f>
        <v>50</v>
      </c>
      <c r="AN139"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139" s="45">
        <f>TABLA_AVANCE_METAS[[#This Row],[AVANCE ACUM. ANUAL]]-TABLA_AVANCE_METAS[[#This Row],[PROGRAMADO ANUAL]]</f>
        <v>-1</v>
      </c>
      <c r="AP139" s="47">
        <f>IFERROR((TABLA_AVANCE_METAS[[#This Row],[DIFERENCIA ABSOLUTA ANUAL]]/TABLA_AVANCE_METAS[[#This Row],[PROGRAMADO ANUAL]])*100,"N/A")</f>
        <v>-50</v>
      </c>
      <c r="AQ139" s="48" t="s">
        <v>63</v>
      </c>
      <c r="AR139" s="49"/>
      <c r="AS139" s="50"/>
      <c r="AT139" s="50"/>
      <c r="AU139" s="51" t="b">
        <f>TABLA_AVANCE_METAS[[#This Row],[PROGRAMADO ANUAL]]=SUM(TABLA_AVANCE_METAS[[#This Row],[PROGR. 1° TRIM]],TABLA_AVANCE_METAS[[#This Row],[PROGR. 2° TRIM]],TABLA_AVANCE_METAS[[#This Row],[PROGR. 3° TRIM]],TABLA_AVANCE_METAS[[#This Row],[PROGR. 4° TRIM]])</f>
        <v>1</v>
      </c>
      <c r="AV139" s="52"/>
    </row>
    <row r="140" spans="1:48" ht="75" hidden="1" customHeight="1" x14ac:dyDescent="0.3">
      <c r="A140" s="31" t="str">
        <f>CONCATENATE(TABLA_AVANCE_METAS[[#This Row],[ESTRUCTURA]],TABLA_AVANCE_METAS[[#This Row],['#]])</f>
        <v>C0023002010301014</v>
      </c>
      <c r="B140" s="32" t="s">
        <v>444</v>
      </c>
      <c r="C140" s="33" t="s">
        <v>445</v>
      </c>
      <c r="D140" s="32" t="s">
        <v>446</v>
      </c>
      <c r="E140" s="32" t="s">
        <v>197</v>
      </c>
      <c r="F140" s="32" t="s">
        <v>198</v>
      </c>
      <c r="G140" s="34" t="s">
        <v>447</v>
      </c>
      <c r="H140" s="32" t="s">
        <v>435</v>
      </c>
      <c r="I140" s="32" t="s">
        <v>436</v>
      </c>
      <c r="J140" s="32" t="s">
        <v>437</v>
      </c>
      <c r="K140" s="32" t="s">
        <v>438</v>
      </c>
      <c r="L140" s="33">
        <v>4</v>
      </c>
      <c r="M140" s="35" t="s">
        <v>451</v>
      </c>
      <c r="N140" s="34" t="s">
        <v>300</v>
      </c>
      <c r="O140" s="36">
        <v>24</v>
      </c>
      <c r="P140" s="36">
        <v>6</v>
      </c>
      <c r="Q140" s="37">
        <v>6</v>
      </c>
      <c r="R140" s="38">
        <f>IFERROR((TABLA_AVANCE_METAS[[#This Row],[AVANCE 1°. TRIM]]/TABLA_AVANCE_METAS[[#This Row],[PROGR. 1° TRIM]])*100,"0")</f>
        <v>100</v>
      </c>
      <c r="S140"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140" s="36">
        <v>6</v>
      </c>
      <c r="U140" s="37">
        <v>6</v>
      </c>
      <c r="V140" s="40">
        <f t="shared" si="7"/>
        <v>100</v>
      </c>
      <c r="W140" s="39" t="str">
        <f t="shared" si="6"/>
        <v>ADECUADO</v>
      </c>
      <c r="X140" s="36">
        <v>6</v>
      </c>
      <c r="Y140" s="37">
        <v>0</v>
      </c>
      <c r="Z140" s="40">
        <v>0</v>
      </c>
      <c r="AA140" s="39" t="s">
        <v>62</v>
      </c>
      <c r="AB140" s="36">
        <v>6</v>
      </c>
      <c r="AC140" s="41">
        <v>0</v>
      </c>
      <c r="AD140" s="40">
        <f>IFERROR((TABLA_AVANCE_METAS[[#This Row],[AVANCE 4°. TRIM]]/TABLA_AVANCE_METAS[[#This Row],[PROGR. 4° TRIM]])*100,"0")</f>
        <v>0</v>
      </c>
      <c r="AE140"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40" s="43" cm="1">
        <f t="array" ref="AF140">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12</v>
      </c>
      <c r="AG140" s="44" cm="1">
        <f t="array" ref="AG140">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12</v>
      </c>
      <c r="AH140" s="40">
        <f>IFERROR((TABLA_AVANCE_METAS[[#This Row],[AVANCE ACUM. TRIM.]]/TABLA_AVANCE_METAS[[#This Row],[PROG. ACUM]])*100,"N/A")</f>
        <v>100</v>
      </c>
      <c r="AI140"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140" s="45">
        <f>TABLA_AVANCE_METAS[[#This Row],[AVANCE ACUM. TRIM.]]-TABLA_AVANCE_METAS[[#This Row],[PROG. ACUM]]</f>
        <v>0</v>
      </c>
      <c r="AK140" s="46">
        <f>IFERROR((TABLA_AVANCE_METAS[[#This Row],[DIFERENCIA ABSOLUTA SEMESTRAL]]/TABLA_AVANCE_METAS[[#This Row],[PROG. ACUM]])*100,"N/A")</f>
        <v>0</v>
      </c>
      <c r="AL140" s="44">
        <f>TABLA_AVANCE_METAS[[#This Row],[AVANCE 1°. TRIM]]+TABLA_AVANCE_METAS[[#This Row],[AVANCE 2°. TRIM]]+TABLA_AVANCE_METAS[[#This Row],[AVANCE 3°. TRIM]]+TABLA_AVANCE_METAS[[#This Row],[AVANCE 4°. TRIM]]</f>
        <v>12</v>
      </c>
      <c r="AM140" s="40">
        <f>IFERROR((TABLA_AVANCE_METAS[[#This Row],[AVANCE ACUM. ANUAL]]/TABLA_AVANCE_METAS[[#This Row],[PROGRAMADO ANUAL]])*100,"N/A")</f>
        <v>50</v>
      </c>
      <c r="AN140"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140" s="45">
        <f>TABLA_AVANCE_METAS[[#This Row],[AVANCE ACUM. ANUAL]]-TABLA_AVANCE_METAS[[#This Row],[PROGRAMADO ANUAL]]</f>
        <v>-12</v>
      </c>
      <c r="AP140" s="47">
        <f>IFERROR((TABLA_AVANCE_METAS[[#This Row],[DIFERENCIA ABSOLUTA ANUAL]]/TABLA_AVANCE_METAS[[#This Row],[PROGRAMADO ANUAL]])*100,"N/A")</f>
        <v>-50</v>
      </c>
      <c r="AQ140" s="48" t="s">
        <v>63</v>
      </c>
      <c r="AR140" s="49"/>
      <c r="AS140" s="50"/>
      <c r="AT140" s="50"/>
      <c r="AU140" s="51" t="b">
        <f>TABLA_AVANCE_METAS[[#This Row],[PROGRAMADO ANUAL]]=SUM(TABLA_AVANCE_METAS[[#This Row],[PROGR. 1° TRIM]],TABLA_AVANCE_METAS[[#This Row],[PROGR. 2° TRIM]],TABLA_AVANCE_METAS[[#This Row],[PROGR. 3° TRIM]],TABLA_AVANCE_METAS[[#This Row],[PROGR. 4° TRIM]])</f>
        <v>1</v>
      </c>
      <c r="AV140" s="52"/>
    </row>
    <row r="141" spans="1:48" ht="75" hidden="1" customHeight="1" x14ac:dyDescent="0.3">
      <c r="A141" s="31" t="str">
        <f>CONCATENATE(TABLA_AVANCE_METAS[[#This Row],[ESTRUCTURA]],TABLA_AVANCE_METAS[[#This Row],['#]])</f>
        <v>C0023002010301015</v>
      </c>
      <c r="B141" s="32" t="s">
        <v>444</v>
      </c>
      <c r="C141" s="33" t="s">
        <v>445</v>
      </c>
      <c r="D141" s="32" t="s">
        <v>446</v>
      </c>
      <c r="E141" s="32" t="s">
        <v>197</v>
      </c>
      <c r="F141" s="32" t="s">
        <v>198</v>
      </c>
      <c r="G141" s="34" t="s">
        <v>447</v>
      </c>
      <c r="H141" s="32" t="s">
        <v>435</v>
      </c>
      <c r="I141" s="32" t="s">
        <v>436</v>
      </c>
      <c r="J141" s="32" t="s">
        <v>437</v>
      </c>
      <c r="K141" s="32" t="s">
        <v>438</v>
      </c>
      <c r="L141" s="33">
        <v>5</v>
      </c>
      <c r="M141" s="35" t="s">
        <v>452</v>
      </c>
      <c r="N141" s="34" t="s">
        <v>453</v>
      </c>
      <c r="O141" s="36">
        <v>4</v>
      </c>
      <c r="P141" s="36">
        <v>1</v>
      </c>
      <c r="Q141" s="37">
        <v>1</v>
      </c>
      <c r="R141" s="38">
        <f>IFERROR((TABLA_AVANCE_METAS[[#This Row],[AVANCE 1°. TRIM]]/TABLA_AVANCE_METAS[[#This Row],[PROGR. 1° TRIM]])*100,"0")</f>
        <v>100</v>
      </c>
      <c r="S141"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141" s="36">
        <v>1</v>
      </c>
      <c r="U141" s="37">
        <v>2</v>
      </c>
      <c r="V141" s="40">
        <f t="shared" si="7"/>
        <v>200</v>
      </c>
      <c r="W141" s="39" t="str">
        <f t="shared" si="6"/>
        <v>SOBREPASADO</v>
      </c>
      <c r="X141" s="36">
        <v>1</v>
      </c>
      <c r="Y141" s="37">
        <v>0</v>
      </c>
      <c r="Z141" s="40">
        <v>0</v>
      </c>
      <c r="AA141" s="39" t="s">
        <v>62</v>
      </c>
      <c r="AB141" s="36">
        <v>1</v>
      </c>
      <c r="AC141" s="41">
        <v>0</v>
      </c>
      <c r="AD141" s="40">
        <f>IFERROR((TABLA_AVANCE_METAS[[#This Row],[AVANCE 4°. TRIM]]/TABLA_AVANCE_METAS[[#This Row],[PROGR. 4° TRIM]])*100,"0")</f>
        <v>0</v>
      </c>
      <c r="AE141"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41" s="43" cm="1">
        <f t="array" ref="AF141">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2</v>
      </c>
      <c r="AG141" s="44" cm="1">
        <f t="array" ref="AG141">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3</v>
      </c>
      <c r="AH141" s="40">
        <f>IFERROR((TABLA_AVANCE_METAS[[#This Row],[AVANCE ACUM. TRIM.]]/TABLA_AVANCE_METAS[[#This Row],[PROG. ACUM]])*100,"N/A")</f>
        <v>150</v>
      </c>
      <c r="AI141"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SOBREPASADO</v>
      </c>
      <c r="AJ141" s="45">
        <f>TABLA_AVANCE_METAS[[#This Row],[AVANCE ACUM. TRIM.]]-TABLA_AVANCE_METAS[[#This Row],[PROG. ACUM]]</f>
        <v>1</v>
      </c>
      <c r="AK141" s="46">
        <f>IFERROR((TABLA_AVANCE_METAS[[#This Row],[DIFERENCIA ABSOLUTA SEMESTRAL]]/TABLA_AVANCE_METAS[[#This Row],[PROG. ACUM]])*100,"N/A")</f>
        <v>50</v>
      </c>
      <c r="AL141" s="44">
        <f>TABLA_AVANCE_METAS[[#This Row],[AVANCE 1°. TRIM]]+TABLA_AVANCE_METAS[[#This Row],[AVANCE 2°. TRIM]]+TABLA_AVANCE_METAS[[#This Row],[AVANCE 3°. TRIM]]+TABLA_AVANCE_METAS[[#This Row],[AVANCE 4°. TRIM]]</f>
        <v>3</v>
      </c>
      <c r="AM141" s="40">
        <f>IFERROR((TABLA_AVANCE_METAS[[#This Row],[AVANCE ACUM. ANUAL]]/TABLA_AVANCE_METAS[[#This Row],[PROGRAMADO ANUAL]])*100,"N/A")</f>
        <v>75</v>
      </c>
      <c r="AN141"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REGULAR</v>
      </c>
      <c r="AO141" s="45">
        <f>TABLA_AVANCE_METAS[[#This Row],[AVANCE ACUM. ANUAL]]-TABLA_AVANCE_METAS[[#This Row],[PROGRAMADO ANUAL]]</f>
        <v>-1</v>
      </c>
      <c r="AP141" s="47">
        <f>IFERROR((TABLA_AVANCE_METAS[[#This Row],[DIFERENCIA ABSOLUTA ANUAL]]/TABLA_AVANCE_METAS[[#This Row],[PROGRAMADO ANUAL]])*100,"N/A")</f>
        <v>-25</v>
      </c>
      <c r="AQ141" s="48" t="s">
        <v>63</v>
      </c>
      <c r="AR141" s="49"/>
      <c r="AS141" s="50"/>
      <c r="AT141" s="50"/>
      <c r="AU141" s="51" t="b">
        <f>TABLA_AVANCE_METAS[[#This Row],[PROGRAMADO ANUAL]]=SUM(TABLA_AVANCE_METAS[[#This Row],[PROGR. 1° TRIM]],TABLA_AVANCE_METAS[[#This Row],[PROGR. 2° TRIM]],TABLA_AVANCE_METAS[[#This Row],[PROGR. 3° TRIM]],TABLA_AVANCE_METAS[[#This Row],[PROGR. 4° TRIM]])</f>
        <v>1</v>
      </c>
      <c r="AV141" s="52"/>
    </row>
    <row r="142" spans="1:48" ht="75" hidden="1" customHeight="1" x14ac:dyDescent="0.3">
      <c r="A142" s="31" t="str">
        <f>CONCATENATE(TABLA_AVANCE_METAS[[#This Row],[ESTRUCTURA]],TABLA_AVANCE_METAS[[#This Row],['#]])</f>
        <v>C0023302010301011</v>
      </c>
      <c r="B142" s="32" t="s">
        <v>444</v>
      </c>
      <c r="C142" s="33" t="s">
        <v>445</v>
      </c>
      <c r="D142" s="32" t="s">
        <v>446</v>
      </c>
      <c r="E142" s="32" t="s">
        <v>454</v>
      </c>
      <c r="F142" s="32" t="s">
        <v>455</v>
      </c>
      <c r="G142" s="34" t="s">
        <v>456</v>
      </c>
      <c r="H142" s="32" t="s">
        <v>435</v>
      </c>
      <c r="I142" s="32" t="s">
        <v>436</v>
      </c>
      <c r="J142" s="32" t="s">
        <v>437</v>
      </c>
      <c r="K142" s="32" t="s">
        <v>438</v>
      </c>
      <c r="L142" s="33">
        <v>1</v>
      </c>
      <c r="M142" s="82" t="s">
        <v>457</v>
      </c>
      <c r="N142" s="34" t="s">
        <v>458</v>
      </c>
      <c r="O142" s="36">
        <v>57</v>
      </c>
      <c r="P142" s="36">
        <v>12</v>
      </c>
      <c r="Q142" s="37">
        <v>12</v>
      </c>
      <c r="R142" s="38">
        <f>IFERROR((TABLA_AVANCE_METAS[[#This Row],[AVANCE 1°. TRIM]]/TABLA_AVANCE_METAS[[#This Row],[PROGR. 1° TRIM]])*100,"0")</f>
        <v>100</v>
      </c>
      <c r="S142"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142" s="36">
        <v>15</v>
      </c>
      <c r="U142" s="37">
        <v>15</v>
      </c>
      <c r="V142" s="40">
        <f t="shared" si="7"/>
        <v>100</v>
      </c>
      <c r="W142" s="39" t="str">
        <f t="shared" si="6"/>
        <v>ADECUADO</v>
      </c>
      <c r="X142" s="36">
        <v>15</v>
      </c>
      <c r="Y142" s="37">
        <v>0</v>
      </c>
      <c r="Z142" s="40">
        <v>0</v>
      </c>
      <c r="AA142" s="39" t="s">
        <v>62</v>
      </c>
      <c r="AB142" s="36">
        <v>15</v>
      </c>
      <c r="AC142" s="41">
        <v>0</v>
      </c>
      <c r="AD142" s="40">
        <f>IFERROR((TABLA_AVANCE_METAS[[#This Row],[AVANCE 4°. TRIM]]/TABLA_AVANCE_METAS[[#This Row],[PROGR. 4° TRIM]])*100,"0")</f>
        <v>0</v>
      </c>
      <c r="AE142"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42" s="43" cm="1">
        <f t="array" ref="AF142">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27</v>
      </c>
      <c r="AG142" s="44" cm="1">
        <f t="array" ref="AG142">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27</v>
      </c>
      <c r="AH142" s="40">
        <f>IFERROR((TABLA_AVANCE_METAS[[#This Row],[AVANCE ACUM. TRIM.]]/TABLA_AVANCE_METAS[[#This Row],[PROG. ACUM]])*100,"N/A")</f>
        <v>100</v>
      </c>
      <c r="AI142"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142" s="45">
        <f>TABLA_AVANCE_METAS[[#This Row],[AVANCE ACUM. TRIM.]]-TABLA_AVANCE_METAS[[#This Row],[PROG. ACUM]]</f>
        <v>0</v>
      </c>
      <c r="AK142" s="46">
        <f>IFERROR((TABLA_AVANCE_METAS[[#This Row],[DIFERENCIA ABSOLUTA SEMESTRAL]]/TABLA_AVANCE_METAS[[#This Row],[PROG. ACUM]])*100,"N/A")</f>
        <v>0</v>
      </c>
      <c r="AL142" s="44">
        <f>TABLA_AVANCE_METAS[[#This Row],[AVANCE 1°. TRIM]]+TABLA_AVANCE_METAS[[#This Row],[AVANCE 2°. TRIM]]+TABLA_AVANCE_METAS[[#This Row],[AVANCE 3°. TRIM]]+TABLA_AVANCE_METAS[[#This Row],[AVANCE 4°. TRIM]]</f>
        <v>27</v>
      </c>
      <c r="AM142" s="40">
        <f>IFERROR((TABLA_AVANCE_METAS[[#This Row],[AVANCE ACUM. ANUAL]]/TABLA_AVANCE_METAS[[#This Row],[PROGRAMADO ANUAL]])*100,"N/A")</f>
        <v>47.368421052631575</v>
      </c>
      <c r="AN142"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142" s="45">
        <f>TABLA_AVANCE_METAS[[#This Row],[AVANCE ACUM. ANUAL]]-TABLA_AVANCE_METAS[[#This Row],[PROGRAMADO ANUAL]]</f>
        <v>-30</v>
      </c>
      <c r="AP142" s="47">
        <f>IFERROR((TABLA_AVANCE_METAS[[#This Row],[DIFERENCIA ABSOLUTA ANUAL]]/TABLA_AVANCE_METAS[[#This Row],[PROGRAMADO ANUAL]])*100,"N/A")</f>
        <v>-52.631578947368418</v>
      </c>
      <c r="AQ142" s="48" t="s">
        <v>63</v>
      </c>
      <c r="AR142" s="49"/>
      <c r="AS142" s="50"/>
      <c r="AT142" s="50"/>
      <c r="AU142" s="83" t="b">
        <f>TABLA_AVANCE_METAS[[#This Row],[PROGRAMADO ANUAL]]=SUM(TABLA_AVANCE_METAS[[#This Row],[PROGR. 1° TRIM]],TABLA_AVANCE_METAS[[#This Row],[PROGR. 2° TRIM]],TABLA_AVANCE_METAS[[#This Row],[PROGR. 3° TRIM]],TABLA_AVANCE_METAS[[#This Row],[PROGR. 4° TRIM]])</f>
        <v>1</v>
      </c>
      <c r="AV142" s="52"/>
    </row>
    <row r="143" spans="1:48" ht="75" hidden="1" customHeight="1" x14ac:dyDescent="0.3">
      <c r="A143" s="31" t="str">
        <f>CONCATENATE(TABLA_AVANCE_METAS[[#This Row],[ESTRUCTURA]],TABLA_AVANCE_METAS[[#This Row],['#]])</f>
        <v>C0023302010301012</v>
      </c>
      <c r="B143" s="32" t="s">
        <v>444</v>
      </c>
      <c r="C143" s="33" t="s">
        <v>445</v>
      </c>
      <c r="D143" s="32" t="s">
        <v>446</v>
      </c>
      <c r="E143" s="32" t="s">
        <v>454</v>
      </c>
      <c r="F143" s="32" t="s">
        <v>455</v>
      </c>
      <c r="G143" s="34" t="s">
        <v>456</v>
      </c>
      <c r="H143" s="32" t="s">
        <v>435</v>
      </c>
      <c r="I143" s="32" t="s">
        <v>436</v>
      </c>
      <c r="J143" s="32" t="s">
        <v>437</v>
      </c>
      <c r="K143" s="32" t="s">
        <v>438</v>
      </c>
      <c r="L143" s="33">
        <v>2</v>
      </c>
      <c r="M143" s="82" t="s">
        <v>459</v>
      </c>
      <c r="N143" s="34" t="s">
        <v>460</v>
      </c>
      <c r="O143" s="36">
        <v>57</v>
      </c>
      <c r="P143" s="36">
        <v>12</v>
      </c>
      <c r="Q143" s="37">
        <v>12</v>
      </c>
      <c r="R143" s="38">
        <f>IFERROR((TABLA_AVANCE_METAS[[#This Row],[AVANCE 1°. TRIM]]/TABLA_AVANCE_METAS[[#This Row],[PROGR. 1° TRIM]])*100,"0")</f>
        <v>100</v>
      </c>
      <c r="S143"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143" s="36">
        <v>15</v>
      </c>
      <c r="U143" s="37">
        <v>15</v>
      </c>
      <c r="V143" s="40">
        <f t="shared" si="7"/>
        <v>100</v>
      </c>
      <c r="W143" s="39" t="str">
        <f t="shared" si="6"/>
        <v>ADECUADO</v>
      </c>
      <c r="X143" s="36">
        <v>15</v>
      </c>
      <c r="Y143" s="37">
        <v>0</v>
      </c>
      <c r="Z143" s="40">
        <v>0</v>
      </c>
      <c r="AA143" s="39" t="s">
        <v>62</v>
      </c>
      <c r="AB143" s="36">
        <v>15</v>
      </c>
      <c r="AC143" s="41">
        <v>0</v>
      </c>
      <c r="AD143" s="40">
        <f>IFERROR((TABLA_AVANCE_METAS[[#This Row],[AVANCE 4°. TRIM]]/TABLA_AVANCE_METAS[[#This Row],[PROGR. 4° TRIM]])*100,"0")</f>
        <v>0</v>
      </c>
      <c r="AE143"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43" s="43" cm="1">
        <f t="array" ref="AF143">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27</v>
      </c>
      <c r="AG143" s="44" cm="1">
        <f t="array" ref="AG143">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27</v>
      </c>
      <c r="AH143" s="40">
        <f>IFERROR((TABLA_AVANCE_METAS[[#This Row],[AVANCE ACUM. TRIM.]]/TABLA_AVANCE_METAS[[#This Row],[PROG. ACUM]])*100,"N/A")</f>
        <v>100</v>
      </c>
      <c r="AI143"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143" s="45">
        <f>TABLA_AVANCE_METAS[[#This Row],[AVANCE ACUM. TRIM.]]-TABLA_AVANCE_METAS[[#This Row],[PROG. ACUM]]</f>
        <v>0</v>
      </c>
      <c r="AK143" s="46">
        <f>IFERROR((TABLA_AVANCE_METAS[[#This Row],[DIFERENCIA ABSOLUTA SEMESTRAL]]/TABLA_AVANCE_METAS[[#This Row],[PROG. ACUM]])*100,"N/A")</f>
        <v>0</v>
      </c>
      <c r="AL143" s="44">
        <f>TABLA_AVANCE_METAS[[#This Row],[AVANCE 1°. TRIM]]+TABLA_AVANCE_METAS[[#This Row],[AVANCE 2°. TRIM]]+TABLA_AVANCE_METAS[[#This Row],[AVANCE 3°. TRIM]]+TABLA_AVANCE_METAS[[#This Row],[AVANCE 4°. TRIM]]</f>
        <v>27</v>
      </c>
      <c r="AM143" s="40">
        <f>IFERROR((TABLA_AVANCE_METAS[[#This Row],[AVANCE ACUM. ANUAL]]/TABLA_AVANCE_METAS[[#This Row],[PROGRAMADO ANUAL]])*100,"N/A")</f>
        <v>47.368421052631575</v>
      </c>
      <c r="AN143"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143" s="45">
        <f>TABLA_AVANCE_METAS[[#This Row],[AVANCE ACUM. ANUAL]]-TABLA_AVANCE_METAS[[#This Row],[PROGRAMADO ANUAL]]</f>
        <v>-30</v>
      </c>
      <c r="AP143" s="47">
        <f>IFERROR((TABLA_AVANCE_METAS[[#This Row],[DIFERENCIA ABSOLUTA ANUAL]]/TABLA_AVANCE_METAS[[#This Row],[PROGRAMADO ANUAL]])*100,"N/A")</f>
        <v>-52.631578947368418</v>
      </c>
      <c r="AQ143" s="48" t="s">
        <v>63</v>
      </c>
      <c r="AR143" s="49"/>
      <c r="AS143" s="50"/>
      <c r="AT143" s="50"/>
      <c r="AU143" s="83" t="b">
        <f>TABLA_AVANCE_METAS[[#This Row],[PROGRAMADO ANUAL]]=SUM(TABLA_AVANCE_METAS[[#This Row],[PROGR. 1° TRIM]],TABLA_AVANCE_METAS[[#This Row],[PROGR. 2° TRIM]],TABLA_AVANCE_METAS[[#This Row],[PROGR. 3° TRIM]],TABLA_AVANCE_METAS[[#This Row],[PROGR. 4° TRIM]])</f>
        <v>1</v>
      </c>
      <c r="AV143" s="52"/>
    </row>
    <row r="144" spans="1:48" ht="75" hidden="1" customHeight="1" x14ac:dyDescent="0.3">
      <c r="A144" s="31" t="str">
        <f>CONCATENATE(TABLA_AVANCE_METAS[[#This Row],[ESTRUCTURA]],TABLA_AVANCE_METAS[[#This Row],['#]])</f>
        <v>C0023302010301013</v>
      </c>
      <c r="B144" s="32" t="s">
        <v>444</v>
      </c>
      <c r="C144" s="33" t="s">
        <v>445</v>
      </c>
      <c r="D144" s="32" t="s">
        <v>446</v>
      </c>
      <c r="E144" s="32" t="s">
        <v>454</v>
      </c>
      <c r="F144" s="32" t="s">
        <v>455</v>
      </c>
      <c r="G144" s="34" t="s">
        <v>456</v>
      </c>
      <c r="H144" s="32" t="s">
        <v>435</v>
      </c>
      <c r="I144" s="32" t="s">
        <v>436</v>
      </c>
      <c r="J144" s="32" t="s">
        <v>437</v>
      </c>
      <c r="K144" s="32" t="s">
        <v>438</v>
      </c>
      <c r="L144" s="33">
        <v>3</v>
      </c>
      <c r="M144" s="82" t="s">
        <v>461</v>
      </c>
      <c r="N144" s="34" t="s">
        <v>462</v>
      </c>
      <c r="O144" s="36">
        <v>45</v>
      </c>
      <c r="P144" s="36">
        <v>6</v>
      </c>
      <c r="Q144" s="37">
        <v>6</v>
      </c>
      <c r="R144" s="38">
        <f>IFERROR((TABLA_AVANCE_METAS[[#This Row],[AVANCE 1°. TRIM]]/TABLA_AVANCE_METAS[[#This Row],[PROGR. 1° TRIM]])*100,"0")</f>
        <v>100</v>
      </c>
      <c r="S144"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144" s="36">
        <v>13</v>
      </c>
      <c r="U144" s="37">
        <v>13</v>
      </c>
      <c r="V144" s="40">
        <f t="shared" si="7"/>
        <v>100</v>
      </c>
      <c r="W144" s="39" t="str">
        <f t="shared" si="6"/>
        <v>ADECUADO</v>
      </c>
      <c r="X144" s="36">
        <v>13</v>
      </c>
      <c r="Y144" s="37">
        <v>0</v>
      </c>
      <c r="Z144" s="40">
        <v>0</v>
      </c>
      <c r="AA144" s="39" t="s">
        <v>62</v>
      </c>
      <c r="AB144" s="36">
        <v>13</v>
      </c>
      <c r="AC144" s="41">
        <v>0</v>
      </c>
      <c r="AD144" s="40">
        <f>IFERROR((TABLA_AVANCE_METAS[[#This Row],[AVANCE 4°. TRIM]]/TABLA_AVANCE_METAS[[#This Row],[PROGR. 4° TRIM]])*100,"0")</f>
        <v>0</v>
      </c>
      <c r="AE144"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44" s="43" cm="1">
        <f t="array" ref="AF144">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19</v>
      </c>
      <c r="AG144" s="44" cm="1">
        <f t="array" ref="AG144">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19</v>
      </c>
      <c r="AH144" s="40">
        <f>IFERROR((TABLA_AVANCE_METAS[[#This Row],[AVANCE ACUM. TRIM.]]/TABLA_AVANCE_METAS[[#This Row],[PROG. ACUM]])*100,"N/A")</f>
        <v>100</v>
      </c>
      <c r="AI144"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144" s="45">
        <f>TABLA_AVANCE_METAS[[#This Row],[AVANCE ACUM. TRIM.]]-TABLA_AVANCE_METAS[[#This Row],[PROG. ACUM]]</f>
        <v>0</v>
      </c>
      <c r="AK144" s="46">
        <f>IFERROR((TABLA_AVANCE_METAS[[#This Row],[DIFERENCIA ABSOLUTA SEMESTRAL]]/TABLA_AVANCE_METAS[[#This Row],[PROG. ACUM]])*100,"N/A")</f>
        <v>0</v>
      </c>
      <c r="AL144" s="44">
        <f>TABLA_AVANCE_METAS[[#This Row],[AVANCE 1°. TRIM]]+TABLA_AVANCE_METAS[[#This Row],[AVANCE 2°. TRIM]]+TABLA_AVANCE_METAS[[#This Row],[AVANCE 3°. TRIM]]+TABLA_AVANCE_METAS[[#This Row],[AVANCE 4°. TRIM]]</f>
        <v>19</v>
      </c>
      <c r="AM144" s="40">
        <f>IFERROR((TABLA_AVANCE_METAS[[#This Row],[AVANCE ACUM. ANUAL]]/TABLA_AVANCE_METAS[[#This Row],[PROGRAMADO ANUAL]])*100,"N/A")</f>
        <v>42.222222222222221</v>
      </c>
      <c r="AN144"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144" s="45">
        <f>TABLA_AVANCE_METAS[[#This Row],[AVANCE ACUM. ANUAL]]-TABLA_AVANCE_METAS[[#This Row],[PROGRAMADO ANUAL]]</f>
        <v>-26</v>
      </c>
      <c r="AP144" s="47">
        <f>IFERROR((TABLA_AVANCE_METAS[[#This Row],[DIFERENCIA ABSOLUTA ANUAL]]/TABLA_AVANCE_METAS[[#This Row],[PROGRAMADO ANUAL]])*100,"N/A")</f>
        <v>-57.777777777777771</v>
      </c>
      <c r="AQ144" s="48" t="s">
        <v>63</v>
      </c>
      <c r="AR144" s="49"/>
      <c r="AS144" s="50"/>
      <c r="AT144" s="50"/>
      <c r="AU144" s="83" t="b">
        <f>TABLA_AVANCE_METAS[[#This Row],[PROGRAMADO ANUAL]]=SUM(TABLA_AVANCE_METAS[[#This Row],[PROGR. 1° TRIM]],TABLA_AVANCE_METAS[[#This Row],[PROGR. 2° TRIM]],TABLA_AVANCE_METAS[[#This Row],[PROGR. 3° TRIM]],TABLA_AVANCE_METAS[[#This Row],[PROGR. 4° TRIM]])</f>
        <v>1</v>
      </c>
      <c r="AV144" s="52"/>
    </row>
    <row r="145" spans="1:48" ht="75" hidden="1" customHeight="1" x14ac:dyDescent="0.3">
      <c r="A145" s="31" t="str">
        <f>CONCATENATE(TABLA_AVANCE_METAS[[#This Row],[ESTRUCTURA]],TABLA_AVANCE_METAS[[#This Row],['#]])</f>
        <v>C0023302010301014</v>
      </c>
      <c r="B145" s="32" t="s">
        <v>444</v>
      </c>
      <c r="C145" s="33" t="s">
        <v>445</v>
      </c>
      <c r="D145" s="32" t="s">
        <v>446</v>
      </c>
      <c r="E145" s="32" t="s">
        <v>454</v>
      </c>
      <c r="F145" s="32" t="s">
        <v>455</v>
      </c>
      <c r="G145" s="34" t="s">
        <v>456</v>
      </c>
      <c r="H145" s="32" t="s">
        <v>435</v>
      </c>
      <c r="I145" s="32" t="s">
        <v>436</v>
      </c>
      <c r="J145" s="32" t="s">
        <v>437</v>
      </c>
      <c r="K145" s="32" t="s">
        <v>438</v>
      </c>
      <c r="L145" s="33">
        <v>4</v>
      </c>
      <c r="M145" s="82" t="s">
        <v>463</v>
      </c>
      <c r="N145" s="34" t="s">
        <v>240</v>
      </c>
      <c r="O145" s="36">
        <v>3</v>
      </c>
      <c r="P145" s="36">
        <v>0</v>
      </c>
      <c r="Q145" s="37">
        <v>0</v>
      </c>
      <c r="R145" s="38" t="str">
        <f>IFERROR((TABLA_AVANCE_METAS[[#This Row],[AVANCE 1°. TRIM]]/TABLA_AVANCE_METAS[[#This Row],[PROGR. 1° TRIM]])*100,"0")</f>
        <v>0</v>
      </c>
      <c r="S145"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NO PROG.</v>
      </c>
      <c r="T145" s="36">
        <v>3</v>
      </c>
      <c r="U145" s="37">
        <v>3</v>
      </c>
      <c r="V145" s="40">
        <f t="shared" si="7"/>
        <v>100</v>
      </c>
      <c r="W145" s="39" t="str">
        <f t="shared" si="6"/>
        <v>ADECUADO</v>
      </c>
      <c r="X145" s="36">
        <v>0</v>
      </c>
      <c r="Y145" s="37">
        <v>0</v>
      </c>
      <c r="Z145" s="40" t="s">
        <v>72</v>
      </c>
      <c r="AA145" s="39" t="s">
        <v>73</v>
      </c>
      <c r="AB145" s="36">
        <v>0</v>
      </c>
      <c r="AC145" s="41">
        <v>0</v>
      </c>
      <c r="AD145" s="40" t="str">
        <f>IFERROR((TABLA_AVANCE_METAS[[#This Row],[AVANCE 4°. TRIM]]/TABLA_AVANCE_METAS[[#This Row],[PROGR. 4° TRIM]])*100,"0")</f>
        <v>0</v>
      </c>
      <c r="AE145"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NO PROG.</v>
      </c>
      <c r="AF145" s="43" cm="1">
        <f t="array" ref="AF145">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3</v>
      </c>
      <c r="AG145" s="44" cm="1">
        <f t="array" ref="AG145">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3</v>
      </c>
      <c r="AH145" s="40">
        <f>IFERROR((TABLA_AVANCE_METAS[[#This Row],[AVANCE ACUM. TRIM.]]/TABLA_AVANCE_METAS[[#This Row],[PROG. ACUM]])*100,"N/A")</f>
        <v>100</v>
      </c>
      <c r="AI145"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145" s="45">
        <f>TABLA_AVANCE_METAS[[#This Row],[AVANCE ACUM. TRIM.]]-TABLA_AVANCE_METAS[[#This Row],[PROG. ACUM]]</f>
        <v>0</v>
      </c>
      <c r="AK145" s="46">
        <f>IFERROR((TABLA_AVANCE_METAS[[#This Row],[DIFERENCIA ABSOLUTA SEMESTRAL]]/TABLA_AVANCE_METAS[[#This Row],[PROG. ACUM]])*100,"N/A")</f>
        <v>0</v>
      </c>
      <c r="AL145" s="44">
        <f>TABLA_AVANCE_METAS[[#This Row],[AVANCE 1°. TRIM]]+TABLA_AVANCE_METAS[[#This Row],[AVANCE 2°. TRIM]]+TABLA_AVANCE_METAS[[#This Row],[AVANCE 3°. TRIM]]+TABLA_AVANCE_METAS[[#This Row],[AVANCE 4°. TRIM]]</f>
        <v>3</v>
      </c>
      <c r="AM145" s="40">
        <f>IFERROR((TABLA_AVANCE_METAS[[#This Row],[AVANCE ACUM. ANUAL]]/TABLA_AVANCE_METAS[[#This Row],[PROGRAMADO ANUAL]])*100,"N/A")</f>
        <v>100</v>
      </c>
      <c r="AN145"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ADECUADO</v>
      </c>
      <c r="AO145" s="45">
        <f>TABLA_AVANCE_METAS[[#This Row],[AVANCE ACUM. ANUAL]]-TABLA_AVANCE_METAS[[#This Row],[PROGRAMADO ANUAL]]</f>
        <v>0</v>
      </c>
      <c r="AP145" s="47">
        <f>IFERROR((TABLA_AVANCE_METAS[[#This Row],[DIFERENCIA ABSOLUTA ANUAL]]/TABLA_AVANCE_METAS[[#This Row],[PROGRAMADO ANUAL]])*100,"N/A")</f>
        <v>0</v>
      </c>
      <c r="AQ145" s="48" t="s">
        <v>63</v>
      </c>
      <c r="AR145" s="49"/>
      <c r="AS145" s="50"/>
      <c r="AT145" s="50"/>
      <c r="AU145" s="83" t="b">
        <f>TABLA_AVANCE_METAS[[#This Row],[PROGRAMADO ANUAL]]=SUM(TABLA_AVANCE_METAS[[#This Row],[PROGR. 1° TRIM]],TABLA_AVANCE_METAS[[#This Row],[PROGR. 2° TRIM]],TABLA_AVANCE_METAS[[#This Row],[PROGR. 3° TRIM]],TABLA_AVANCE_METAS[[#This Row],[PROGR. 4° TRIM]])</f>
        <v>1</v>
      </c>
      <c r="AV145" s="52"/>
    </row>
    <row r="146" spans="1:48" ht="75" hidden="1" customHeight="1" x14ac:dyDescent="0.3">
      <c r="A146" s="31" t="str">
        <f>CONCATENATE(TABLA_AVANCE_METAS[[#This Row],[ESTRUCTURA]],TABLA_AVANCE_METAS[[#This Row],['#]])</f>
        <v>C0022002010301021</v>
      </c>
      <c r="B146" s="32" t="s">
        <v>464</v>
      </c>
      <c r="C146" s="33" t="s">
        <v>445</v>
      </c>
      <c r="D146" s="32" t="s">
        <v>446</v>
      </c>
      <c r="E146" s="32" t="s">
        <v>401</v>
      </c>
      <c r="F146" s="32" t="s">
        <v>402</v>
      </c>
      <c r="G146" s="34" t="s">
        <v>465</v>
      </c>
      <c r="H146" s="32" t="s">
        <v>435</v>
      </c>
      <c r="I146" s="32" t="s">
        <v>436</v>
      </c>
      <c r="J146" s="32" t="s">
        <v>466</v>
      </c>
      <c r="K146" s="32" t="s">
        <v>467</v>
      </c>
      <c r="L146" s="33">
        <v>1</v>
      </c>
      <c r="M146" s="35" t="s">
        <v>468</v>
      </c>
      <c r="N146" s="34" t="s">
        <v>469</v>
      </c>
      <c r="O146" s="36">
        <v>40</v>
      </c>
      <c r="P146" s="36">
        <v>10</v>
      </c>
      <c r="Q146" s="37">
        <v>10</v>
      </c>
      <c r="R146" s="38">
        <f>IFERROR((TABLA_AVANCE_METAS[[#This Row],[AVANCE 1°. TRIM]]/TABLA_AVANCE_METAS[[#This Row],[PROGR. 1° TRIM]])*100,"0")</f>
        <v>100</v>
      </c>
      <c r="S146"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146" s="36">
        <v>10</v>
      </c>
      <c r="U146" s="37">
        <v>10</v>
      </c>
      <c r="V146" s="40">
        <f t="shared" si="7"/>
        <v>100</v>
      </c>
      <c r="W146" s="39" t="str">
        <f t="shared" si="6"/>
        <v>ADECUADO</v>
      </c>
      <c r="X146" s="36">
        <v>10</v>
      </c>
      <c r="Y146" s="37">
        <v>0</v>
      </c>
      <c r="Z146" s="40">
        <v>0</v>
      </c>
      <c r="AA146" s="39" t="s">
        <v>62</v>
      </c>
      <c r="AB146" s="36">
        <v>10</v>
      </c>
      <c r="AC146" s="41">
        <v>0</v>
      </c>
      <c r="AD146" s="40">
        <f>IFERROR((TABLA_AVANCE_METAS[[#This Row],[AVANCE 4°. TRIM]]/TABLA_AVANCE_METAS[[#This Row],[PROGR. 4° TRIM]])*100,"0")</f>
        <v>0</v>
      </c>
      <c r="AE146"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46" s="43" cm="1">
        <f t="array" ref="AF146">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20</v>
      </c>
      <c r="AG146" s="44" cm="1">
        <f t="array" ref="AG146">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20</v>
      </c>
      <c r="AH146" s="40">
        <f>IFERROR((TABLA_AVANCE_METAS[[#This Row],[AVANCE ACUM. TRIM.]]/TABLA_AVANCE_METAS[[#This Row],[PROG. ACUM]])*100,"N/A")</f>
        <v>100</v>
      </c>
      <c r="AI146"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146" s="45">
        <f>TABLA_AVANCE_METAS[[#This Row],[AVANCE ACUM. TRIM.]]-TABLA_AVANCE_METAS[[#This Row],[PROG. ACUM]]</f>
        <v>0</v>
      </c>
      <c r="AK146" s="46">
        <f>IFERROR((TABLA_AVANCE_METAS[[#This Row],[DIFERENCIA ABSOLUTA SEMESTRAL]]/TABLA_AVANCE_METAS[[#This Row],[PROG. ACUM]])*100,"N/A")</f>
        <v>0</v>
      </c>
      <c r="AL146" s="44">
        <f>TABLA_AVANCE_METAS[[#This Row],[AVANCE 1°. TRIM]]+TABLA_AVANCE_METAS[[#This Row],[AVANCE 2°. TRIM]]+TABLA_AVANCE_METAS[[#This Row],[AVANCE 3°. TRIM]]+TABLA_AVANCE_METAS[[#This Row],[AVANCE 4°. TRIM]]</f>
        <v>20</v>
      </c>
      <c r="AM146" s="40">
        <f>IFERROR((TABLA_AVANCE_METAS[[#This Row],[AVANCE ACUM. ANUAL]]/TABLA_AVANCE_METAS[[#This Row],[PROGRAMADO ANUAL]])*100,"N/A")</f>
        <v>50</v>
      </c>
      <c r="AN146"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146" s="45">
        <f>TABLA_AVANCE_METAS[[#This Row],[AVANCE ACUM. ANUAL]]-TABLA_AVANCE_METAS[[#This Row],[PROGRAMADO ANUAL]]</f>
        <v>-20</v>
      </c>
      <c r="AP146" s="47">
        <f>IFERROR((TABLA_AVANCE_METAS[[#This Row],[DIFERENCIA ABSOLUTA ANUAL]]/TABLA_AVANCE_METAS[[#This Row],[PROGRAMADO ANUAL]])*100,"N/A")</f>
        <v>-50</v>
      </c>
      <c r="AQ146" s="48" t="s">
        <v>63</v>
      </c>
      <c r="AR146" s="49"/>
      <c r="AS146" s="50"/>
      <c r="AT146" s="50"/>
      <c r="AU146" s="51" t="b">
        <f>TABLA_AVANCE_METAS[[#This Row],[PROGRAMADO ANUAL]]=SUM(TABLA_AVANCE_METAS[[#This Row],[PROGR. 1° TRIM]],TABLA_AVANCE_METAS[[#This Row],[PROGR. 2° TRIM]],TABLA_AVANCE_METAS[[#This Row],[PROGR. 3° TRIM]],TABLA_AVANCE_METAS[[#This Row],[PROGR. 4° TRIM]])</f>
        <v>1</v>
      </c>
      <c r="AV146" s="52"/>
    </row>
    <row r="147" spans="1:48" ht="75" hidden="1" customHeight="1" x14ac:dyDescent="0.3">
      <c r="A147" s="31" t="str">
        <f>CONCATENATE(TABLA_AVANCE_METAS[[#This Row],[ESTRUCTURA]],TABLA_AVANCE_METAS[[#This Row],['#]])</f>
        <v>C0022002010301022</v>
      </c>
      <c r="B147" s="32" t="s">
        <v>464</v>
      </c>
      <c r="C147" s="33" t="s">
        <v>445</v>
      </c>
      <c r="D147" s="32" t="s">
        <v>446</v>
      </c>
      <c r="E147" s="32" t="s">
        <v>401</v>
      </c>
      <c r="F147" s="32" t="s">
        <v>402</v>
      </c>
      <c r="G147" s="34" t="s">
        <v>465</v>
      </c>
      <c r="H147" s="32" t="s">
        <v>435</v>
      </c>
      <c r="I147" s="32" t="s">
        <v>436</v>
      </c>
      <c r="J147" s="32" t="s">
        <v>466</v>
      </c>
      <c r="K147" s="32" t="s">
        <v>467</v>
      </c>
      <c r="L147" s="33">
        <v>2</v>
      </c>
      <c r="M147" s="35" t="s">
        <v>470</v>
      </c>
      <c r="N147" s="34" t="s">
        <v>471</v>
      </c>
      <c r="O147" s="36">
        <v>2</v>
      </c>
      <c r="P147" s="36">
        <v>1</v>
      </c>
      <c r="Q147" s="37">
        <v>1</v>
      </c>
      <c r="R147" s="38">
        <f>IFERROR((TABLA_AVANCE_METAS[[#This Row],[AVANCE 1°. TRIM]]/TABLA_AVANCE_METAS[[#This Row],[PROGR. 1° TRIM]])*100,"0")</f>
        <v>100</v>
      </c>
      <c r="S147"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147" s="36">
        <v>1</v>
      </c>
      <c r="U147" s="37">
        <v>1</v>
      </c>
      <c r="V147" s="40">
        <f t="shared" si="7"/>
        <v>100</v>
      </c>
      <c r="W147" s="39" t="str">
        <f t="shared" si="6"/>
        <v>ADECUADO</v>
      </c>
      <c r="X147" s="36">
        <v>0</v>
      </c>
      <c r="Y147" s="37">
        <v>0</v>
      </c>
      <c r="Z147" s="40" t="s">
        <v>72</v>
      </c>
      <c r="AA147" s="39" t="s">
        <v>73</v>
      </c>
      <c r="AB147" s="36">
        <v>0</v>
      </c>
      <c r="AC147" s="41">
        <v>0</v>
      </c>
      <c r="AD147" s="40" t="str">
        <f>IFERROR((TABLA_AVANCE_METAS[[#This Row],[AVANCE 4°. TRIM]]/TABLA_AVANCE_METAS[[#This Row],[PROGR. 4° TRIM]])*100,"0")</f>
        <v>0</v>
      </c>
      <c r="AE147"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NO PROG.</v>
      </c>
      <c r="AF147" s="43" cm="1">
        <f t="array" ref="AF147">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2</v>
      </c>
      <c r="AG147" s="44" cm="1">
        <f t="array" ref="AG147">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2</v>
      </c>
      <c r="AH147" s="40">
        <f>IFERROR((TABLA_AVANCE_METAS[[#This Row],[AVANCE ACUM. TRIM.]]/TABLA_AVANCE_METAS[[#This Row],[PROG. ACUM]])*100,"N/A")</f>
        <v>100</v>
      </c>
      <c r="AI147"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147" s="45">
        <f>TABLA_AVANCE_METAS[[#This Row],[AVANCE ACUM. TRIM.]]-TABLA_AVANCE_METAS[[#This Row],[PROG. ACUM]]</f>
        <v>0</v>
      </c>
      <c r="AK147" s="46">
        <f>IFERROR((TABLA_AVANCE_METAS[[#This Row],[DIFERENCIA ABSOLUTA SEMESTRAL]]/TABLA_AVANCE_METAS[[#This Row],[PROG. ACUM]])*100,"N/A")</f>
        <v>0</v>
      </c>
      <c r="AL147" s="44">
        <f>TABLA_AVANCE_METAS[[#This Row],[AVANCE 1°. TRIM]]+TABLA_AVANCE_METAS[[#This Row],[AVANCE 2°. TRIM]]+TABLA_AVANCE_METAS[[#This Row],[AVANCE 3°. TRIM]]+TABLA_AVANCE_METAS[[#This Row],[AVANCE 4°. TRIM]]</f>
        <v>2</v>
      </c>
      <c r="AM147" s="40">
        <f>IFERROR((TABLA_AVANCE_METAS[[#This Row],[AVANCE ACUM. ANUAL]]/TABLA_AVANCE_METAS[[#This Row],[PROGRAMADO ANUAL]])*100,"N/A")</f>
        <v>100</v>
      </c>
      <c r="AN147"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ADECUADO</v>
      </c>
      <c r="AO147" s="45">
        <f>TABLA_AVANCE_METAS[[#This Row],[AVANCE ACUM. ANUAL]]-TABLA_AVANCE_METAS[[#This Row],[PROGRAMADO ANUAL]]</f>
        <v>0</v>
      </c>
      <c r="AP147" s="47">
        <f>IFERROR((TABLA_AVANCE_METAS[[#This Row],[DIFERENCIA ABSOLUTA ANUAL]]/TABLA_AVANCE_METAS[[#This Row],[PROGRAMADO ANUAL]])*100,"N/A")</f>
        <v>0</v>
      </c>
      <c r="AQ147" s="48" t="s">
        <v>63</v>
      </c>
      <c r="AR147" s="49"/>
      <c r="AS147" s="50"/>
      <c r="AT147" s="50"/>
      <c r="AU147" s="51" t="b">
        <f>TABLA_AVANCE_METAS[[#This Row],[PROGRAMADO ANUAL]]=SUM(TABLA_AVANCE_METAS[[#This Row],[PROGR. 1° TRIM]],TABLA_AVANCE_METAS[[#This Row],[PROGR. 2° TRIM]],TABLA_AVANCE_METAS[[#This Row],[PROGR. 3° TRIM]],TABLA_AVANCE_METAS[[#This Row],[PROGR. 4° TRIM]])</f>
        <v>1</v>
      </c>
      <c r="AV147" s="52"/>
    </row>
    <row r="148" spans="1:48" ht="75" hidden="1" customHeight="1" x14ac:dyDescent="0.3">
      <c r="A148" s="31" t="str">
        <f>CONCATENATE(TABLA_AVANCE_METAS[[#This Row],[ESTRUCTURA]],TABLA_AVANCE_METAS[[#This Row],['#]])</f>
        <v>C0022002010301023</v>
      </c>
      <c r="B148" s="32" t="s">
        <v>464</v>
      </c>
      <c r="C148" s="33" t="s">
        <v>445</v>
      </c>
      <c r="D148" s="32" t="s">
        <v>446</v>
      </c>
      <c r="E148" s="32" t="s">
        <v>401</v>
      </c>
      <c r="F148" s="32" t="s">
        <v>402</v>
      </c>
      <c r="G148" s="34" t="s">
        <v>465</v>
      </c>
      <c r="H148" s="32" t="s">
        <v>435</v>
      </c>
      <c r="I148" s="32" t="s">
        <v>436</v>
      </c>
      <c r="J148" s="32" t="s">
        <v>466</v>
      </c>
      <c r="K148" s="32" t="s">
        <v>467</v>
      </c>
      <c r="L148" s="33">
        <v>3</v>
      </c>
      <c r="M148" s="35" t="s">
        <v>472</v>
      </c>
      <c r="N148" s="34" t="s">
        <v>85</v>
      </c>
      <c r="O148" s="36">
        <v>4</v>
      </c>
      <c r="P148" s="36">
        <v>1</v>
      </c>
      <c r="Q148" s="37">
        <v>1</v>
      </c>
      <c r="R148" s="38">
        <f>IFERROR((TABLA_AVANCE_METAS[[#This Row],[AVANCE 1°. TRIM]]/TABLA_AVANCE_METAS[[#This Row],[PROGR. 1° TRIM]])*100,"0")</f>
        <v>100</v>
      </c>
      <c r="S148"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148" s="36">
        <v>1</v>
      </c>
      <c r="U148" s="37">
        <v>1</v>
      </c>
      <c r="V148" s="40">
        <f t="shared" si="7"/>
        <v>100</v>
      </c>
      <c r="W148" s="39" t="str">
        <f t="shared" si="6"/>
        <v>ADECUADO</v>
      </c>
      <c r="X148" s="36">
        <v>1</v>
      </c>
      <c r="Y148" s="37">
        <v>0</v>
      </c>
      <c r="Z148" s="40">
        <v>0</v>
      </c>
      <c r="AA148" s="39" t="s">
        <v>62</v>
      </c>
      <c r="AB148" s="36">
        <v>1</v>
      </c>
      <c r="AC148" s="41">
        <v>0</v>
      </c>
      <c r="AD148" s="40">
        <f>IFERROR((TABLA_AVANCE_METAS[[#This Row],[AVANCE 4°. TRIM]]/TABLA_AVANCE_METAS[[#This Row],[PROGR. 4° TRIM]])*100,"0")</f>
        <v>0</v>
      </c>
      <c r="AE148"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48" s="43" cm="1">
        <f t="array" ref="AF148">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2</v>
      </c>
      <c r="AG148" s="44" cm="1">
        <f t="array" ref="AG148">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2</v>
      </c>
      <c r="AH148" s="40">
        <f>IFERROR((TABLA_AVANCE_METAS[[#This Row],[AVANCE ACUM. TRIM.]]/TABLA_AVANCE_METAS[[#This Row],[PROG. ACUM]])*100,"N/A")</f>
        <v>100</v>
      </c>
      <c r="AI148"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148" s="45">
        <f>TABLA_AVANCE_METAS[[#This Row],[AVANCE ACUM. TRIM.]]-TABLA_AVANCE_METAS[[#This Row],[PROG. ACUM]]</f>
        <v>0</v>
      </c>
      <c r="AK148" s="46">
        <f>IFERROR((TABLA_AVANCE_METAS[[#This Row],[DIFERENCIA ABSOLUTA SEMESTRAL]]/TABLA_AVANCE_METAS[[#This Row],[PROG. ACUM]])*100,"N/A")</f>
        <v>0</v>
      </c>
      <c r="AL148" s="44">
        <f>TABLA_AVANCE_METAS[[#This Row],[AVANCE 1°. TRIM]]+TABLA_AVANCE_METAS[[#This Row],[AVANCE 2°. TRIM]]+TABLA_AVANCE_METAS[[#This Row],[AVANCE 3°. TRIM]]+TABLA_AVANCE_METAS[[#This Row],[AVANCE 4°. TRIM]]</f>
        <v>2</v>
      </c>
      <c r="AM148" s="40">
        <f>IFERROR((TABLA_AVANCE_METAS[[#This Row],[AVANCE ACUM. ANUAL]]/TABLA_AVANCE_METAS[[#This Row],[PROGRAMADO ANUAL]])*100,"N/A")</f>
        <v>50</v>
      </c>
      <c r="AN148"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148" s="45">
        <f>TABLA_AVANCE_METAS[[#This Row],[AVANCE ACUM. ANUAL]]-TABLA_AVANCE_METAS[[#This Row],[PROGRAMADO ANUAL]]</f>
        <v>-2</v>
      </c>
      <c r="AP148" s="47">
        <f>IFERROR((TABLA_AVANCE_METAS[[#This Row],[DIFERENCIA ABSOLUTA ANUAL]]/TABLA_AVANCE_METAS[[#This Row],[PROGRAMADO ANUAL]])*100,"N/A")</f>
        <v>-50</v>
      </c>
      <c r="AQ148" s="48" t="s">
        <v>63</v>
      </c>
      <c r="AR148" s="49"/>
      <c r="AS148" s="50"/>
      <c r="AT148" s="50"/>
      <c r="AU148" s="51" t="b">
        <f>TABLA_AVANCE_METAS[[#This Row],[PROGRAMADO ANUAL]]=SUM(TABLA_AVANCE_METAS[[#This Row],[PROGR. 1° TRIM]],TABLA_AVANCE_METAS[[#This Row],[PROGR. 2° TRIM]],TABLA_AVANCE_METAS[[#This Row],[PROGR. 3° TRIM]],TABLA_AVANCE_METAS[[#This Row],[PROGR. 4° TRIM]])</f>
        <v>1</v>
      </c>
      <c r="AV148" s="52"/>
    </row>
    <row r="149" spans="1:48" ht="75" hidden="1" customHeight="1" x14ac:dyDescent="0.3">
      <c r="A149" s="31" t="str">
        <f>CONCATENATE(TABLA_AVANCE_METAS[[#This Row],[ESTRUCTURA]],TABLA_AVANCE_METAS[[#This Row],['#]])</f>
        <v>C0022002010301024</v>
      </c>
      <c r="B149" s="32" t="s">
        <v>464</v>
      </c>
      <c r="C149" s="33" t="s">
        <v>445</v>
      </c>
      <c r="D149" s="32" t="s">
        <v>446</v>
      </c>
      <c r="E149" s="32" t="s">
        <v>401</v>
      </c>
      <c r="F149" s="32" t="s">
        <v>402</v>
      </c>
      <c r="G149" s="34" t="s">
        <v>465</v>
      </c>
      <c r="H149" s="32" t="s">
        <v>435</v>
      </c>
      <c r="I149" s="32" t="s">
        <v>436</v>
      </c>
      <c r="J149" s="32" t="s">
        <v>466</v>
      </c>
      <c r="K149" s="32" t="s">
        <v>467</v>
      </c>
      <c r="L149" s="33">
        <v>4</v>
      </c>
      <c r="M149" s="35" t="s">
        <v>473</v>
      </c>
      <c r="N149" s="34" t="s">
        <v>85</v>
      </c>
      <c r="O149" s="36">
        <v>12</v>
      </c>
      <c r="P149" s="36">
        <v>3</v>
      </c>
      <c r="Q149" s="37">
        <v>3</v>
      </c>
      <c r="R149" s="38">
        <f>IFERROR((TABLA_AVANCE_METAS[[#This Row],[AVANCE 1°. TRIM]]/TABLA_AVANCE_METAS[[#This Row],[PROGR. 1° TRIM]])*100,"0")</f>
        <v>100</v>
      </c>
      <c r="S149"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149" s="36">
        <v>3</v>
      </c>
      <c r="U149" s="37">
        <v>3</v>
      </c>
      <c r="V149" s="40">
        <f t="shared" si="7"/>
        <v>100</v>
      </c>
      <c r="W149" s="39" t="str">
        <f t="shared" si="6"/>
        <v>ADECUADO</v>
      </c>
      <c r="X149" s="36">
        <v>3</v>
      </c>
      <c r="Y149" s="37">
        <v>0</v>
      </c>
      <c r="Z149" s="40">
        <v>0</v>
      </c>
      <c r="AA149" s="39" t="s">
        <v>62</v>
      </c>
      <c r="AB149" s="36">
        <v>3</v>
      </c>
      <c r="AC149" s="41">
        <v>0</v>
      </c>
      <c r="AD149" s="40">
        <f>IFERROR((TABLA_AVANCE_METAS[[#This Row],[AVANCE 4°. TRIM]]/TABLA_AVANCE_METAS[[#This Row],[PROGR. 4° TRIM]])*100,"0")</f>
        <v>0</v>
      </c>
      <c r="AE149"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49" s="43" cm="1">
        <f t="array" ref="AF149">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6</v>
      </c>
      <c r="AG149" s="44" cm="1">
        <f t="array" ref="AG149">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6</v>
      </c>
      <c r="AH149" s="40">
        <f>IFERROR((TABLA_AVANCE_METAS[[#This Row],[AVANCE ACUM. TRIM.]]/TABLA_AVANCE_METAS[[#This Row],[PROG. ACUM]])*100,"N/A")</f>
        <v>100</v>
      </c>
      <c r="AI149"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149" s="45">
        <f>TABLA_AVANCE_METAS[[#This Row],[AVANCE ACUM. TRIM.]]-TABLA_AVANCE_METAS[[#This Row],[PROG. ACUM]]</f>
        <v>0</v>
      </c>
      <c r="AK149" s="46">
        <f>IFERROR((TABLA_AVANCE_METAS[[#This Row],[DIFERENCIA ABSOLUTA SEMESTRAL]]/TABLA_AVANCE_METAS[[#This Row],[PROG. ACUM]])*100,"N/A")</f>
        <v>0</v>
      </c>
      <c r="AL149" s="44">
        <f>TABLA_AVANCE_METAS[[#This Row],[AVANCE 1°. TRIM]]+TABLA_AVANCE_METAS[[#This Row],[AVANCE 2°. TRIM]]+TABLA_AVANCE_METAS[[#This Row],[AVANCE 3°. TRIM]]+TABLA_AVANCE_METAS[[#This Row],[AVANCE 4°. TRIM]]</f>
        <v>6</v>
      </c>
      <c r="AM149" s="40">
        <f>IFERROR((TABLA_AVANCE_METAS[[#This Row],[AVANCE ACUM. ANUAL]]/TABLA_AVANCE_METAS[[#This Row],[PROGRAMADO ANUAL]])*100,"N/A")</f>
        <v>50</v>
      </c>
      <c r="AN149"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149" s="45">
        <f>TABLA_AVANCE_METAS[[#This Row],[AVANCE ACUM. ANUAL]]-TABLA_AVANCE_METAS[[#This Row],[PROGRAMADO ANUAL]]</f>
        <v>-6</v>
      </c>
      <c r="AP149" s="47">
        <f>IFERROR((TABLA_AVANCE_METAS[[#This Row],[DIFERENCIA ABSOLUTA ANUAL]]/TABLA_AVANCE_METAS[[#This Row],[PROGRAMADO ANUAL]])*100,"N/A")</f>
        <v>-50</v>
      </c>
      <c r="AQ149" s="48" t="s">
        <v>63</v>
      </c>
      <c r="AR149" s="49"/>
      <c r="AS149" s="50"/>
      <c r="AT149" s="50"/>
      <c r="AU149" s="51" t="b">
        <f>TABLA_AVANCE_METAS[[#This Row],[PROGRAMADO ANUAL]]=SUM(TABLA_AVANCE_METAS[[#This Row],[PROGR. 1° TRIM]],TABLA_AVANCE_METAS[[#This Row],[PROGR. 2° TRIM]],TABLA_AVANCE_METAS[[#This Row],[PROGR. 3° TRIM]],TABLA_AVANCE_METAS[[#This Row],[PROGR. 4° TRIM]])</f>
        <v>1</v>
      </c>
      <c r="AV149" s="52"/>
    </row>
    <row r="150" spans="1:48" ht="75" hidden="1" customHeight="1" x14ac:dyDescent="0.3">
      <c r="A150" s="31" t="str">
        <f>CONCATENATE(TABLA_AVANCE_METAS[[#This Row],[ESTRUCTURA]],TABLA_AVANCE_METAS[[#This Row],['#]])</f>
        <v>C0022002010301025</v>
      </c>
      <c r="B150" s="32" t="s">
        <v>464</v>
      </c>
      <c r="C150" s="33" t="s">
        <v>445</v>
      </c>
      <c r="D150" s="32" t="s">
        <v>446</v>
      </c>
      <c r="E150" s="32" t="s">
        <v>401</v>
      </c>
      <c r="F150" s="32" t="s">
        <v>402</v>
      </c>
      <c r="G150" s="34" t="s">
        <v>465</v>
      </c>
      <c r="H150" s="32" t="s">
        <v>435</v>
      </c>
      <c r="I150" s="32" t="s">
        <v>436</v>
      </c>
      <c r="J150" s="32" t="s">
        <v>466</v>
      </c>
      <c r="K150" s="32" t="s">
        <v>467</v>
      </c>
      <c r="L150" s="33">
        <v>5</v>
      </c>
      <c r="M150" s="35" t="s">
        <v>474</v>
      </c>
      <c r="N150" s="34" t="s">
        <v>85</v>
      </c>
      <c r="O150" s="36">
        <v>55</v>
      </c>
      <c r="P150" s="36">
        <v>33</v>
      </c>
      <c r="Q150" s="37">
        <v>0</v>
      </c>
      <c r="R150" s="38">
        <f>IFERROR((TABLA_AVANCE_METAS[[#This Row],[AVANCE 1°. TRIM]]/TABLA_AVANCE_METAS[[#This Row],[PROGR. 1° TRIM]])*100,"0")</f>
        <v>0</v>
      </c>
      <c r="S150"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CRÍTICO</v>
      </c>
      <c r="T150" s="36">
        <v>22</v>
      </c>
      <c r="U150" s="37">
        <v>55</v>
      </c>
      <c r="V150" s="40">
        <f t="shared" si="7"/>
        <v>250</v>
      </c>
      <c r="W150" s="39" t="str">
        <f t="shared" si="6"/>
        <v>SOBREPASADO</v>
      </c>
      <c r="X150" s="36">
        <v>0</v>
      </c>
      <c r="Y150" s="37">
        <v>0</v>
      </c>
      <c r="Z150" s="40" t="s">
        <v>72</v>
      </c>
      <c r="AA150" s="39" t="s">
        <v>73</v>
      </c>
      <c r="AB150" s="36">
        <v>0</v>
      </c>
      <c r="AC150" s="41">
        <v>0</v>
      </c>
      <c r="AD150" s="40" t="str">
        <f>IFERROR((TABLA_AVANCE_METAS[[#This Row],[AVANCE 4°. TRIM]]/TABLA_AVANCE_METAS[[#This Row],[PROGR. 4° TRIM]])*100,"0")</f>
        <v>0</v>
      </c>
      <c r="AE150"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NO PROG.</v>
      </c>
      <c r="AF150" s="43" cm="1">
        <f t="array" ref="AF150">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55</v>
      </c>
      <c r="AG150" s="44" cm="1">
        <f t="array" ref="AG150">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55</v>
      </c>
      <c r="AH150" s="40">
        <f>IFERROR((TABLA_AVANCE_METAS[[#This Row],[AVANCE ACUM. TRIM.]]/TABLA_AVANCE_METAS[[#This Row],[PROG. ACUM]])*100,"N/A")</f>
        <v>100</v>
      </c>
      <c r="AI150"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150" s="45">
        <f>TABLA_AVANCE_METAS[[#This Row],[AVANCE ACUM. TRIM.]]-TABLA_AVANCE_METAS[[#This Row],[PROG. ACUM]]</f>
        <v>0</v>
      </c>
      <c r="AK150" s="46">
        <f>IFERROR((TABLA_AVANCE_METAS[[#This Row],[DIFERENCIA ABSOLUTA SEMESTRAL]]/TABLA_AVANCE_METAS[[#This Row],[PROG. ACUM]])*100,"N/A")</f>
        <v>0</v>
      </c>
      <c r="AL150" s="44">
        <f>TABLA_AVANCE_METAS[[#This Row],[AVANCE 1°. TRIM]]+TABLA_AVANCE_METAS[[#This Row],[AVANCE 2°. TRIM]]+TABLA_AVANCE_METAS[[#This Row],[AVANCE 3°. TRIM]]+TABLA_AVANCE_METAS[[#This Row],[AVANCE 4°. TRIM]]</f>
        <v>55</v>
      </c>
      <c r="AM150" s="40">
        <f>IFERROR((TABLA_AVANCE_METAS[[#This Row],[AVANCE ACUM. ANUAL]]/TABLA_AVANCE_METAS[[#This Row],[PROGRAMADO ANUAL]])*100,"N/A")</f>
        <v>100</v>
      </c>
      <c r="AN150"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ADECUADO</v>
      </c>
      <c r="AO150" s="45">
        <f>TABLA_AVANCE_METAS[[#This Row],[AVANCE ACUM. ANUAL]]-TABLA_AVANCE_METAS[[#This Row],[PROGRAMADO ANUAL]]</f>
        <v>0</v>
      </c>
      <c r="AP150" s="47">
        <f>IFERROR((TABLA_AVANCE_METAS[[#This Row],[DIFERENCIA ABSOLUTA ANUAL]]/TABLA_AVANCE_METAS[[#This Row],[PROGRAMADO ANUAL]])*100,"N/A")</f>
        <v>0</v>
      </c>
      <c r="AQ150" s="48" t="s">
        <v>475</v>
      </c>
      <c r="AR150" s="49"/>
      <c r="AS150" s="50"/>
      <c r="AT150" s="50"/>
      <c r="AU150" s="51" t="b">
        <f>TABLA_AVANCE_METAS[[#This Row],[PROGRAMADO ANUAL]]=SUM(TABLA_AVANCE_METAS[[#This Row],[PROGR. 1° TRIM]],TABLA_AVANCE_METAS[[#This Row],[PROGR. 2° TRIM]],TABLA_AVANCE_METAS[[#This Row],[PROGR. 3° TRIM]],TABLA_AVANCE_METAS[[#This Row],[PROGR. 4° TRIM]])</f>
        <v>1</v>
      </c>
      <c r="AV150" s="52"/>
    </row>
    <row r="151" spans="1:48" ht="75" hidden="1" customHeight="1" x14ac:dyDescent="0.3">
      <c r="A151" s="31" t="str">
        <f>CONCATENATE(TABLA_AVANCE_METAS[[#This Row],[ESTRUCTURA]],TABLA_AVANCE_METAS[[#This Row],['#]])</f>
        <v>C0022202010301021</v>
      </c>
      <c r="B151" s="32" t="s">
        <v>476</v>
      </c>
      <c r="C151" s="33" t="s">
        <v>445</v>
      </c>
      <c r="D151" s="32" t="s">
        <v>446</v>
      </c>
      <c r="E151" s="32" t="s">
        <v>477</v>
      </c>
      <c r="F151" s="32" t="s">
        <v>478</v>
      </c>
      <c r="G151" s="34" t="s">
        <v>479</v>
      </c>
      <c r="H151" s="32" t="s">
        <v>435</v>
      </c>
      <c r="I151" s="32" t="s">
        <v>436</v>
      </c>
      <c r="J151" s="32" t="s">
        <v>466</v>
      </c>
      <c r="K151" s="32" t="s">
        <v>467</v>
      </c>
      <c r="L151" s="33">
        <v>1</v>
      </c>
      <c r="M151" s="84" t="s">
        <v>480</v>
      </c>
      <c r="N151" s="34" t="s">
        <v>481</v>
      </c>
      <c r="O151" s="36">
        <v>450</v>
      </c>
      <c r="P151" s="36">
        <v>150</v>
      </c>
      <c r="Q151" s="37">
        <v>116</v>
      </c>
      <c r="R151" s="38">
        <f>IFERROR((TABLA_AVANCE_METAS[[#This Row],[AVANCE 1°. TRIM]]/TABLA_AVANCE_METAS[[#This Row],[PROGR. 1° TRIM]])*100,"0")</f>
        <v>77.333333333333329</v>
      </c>
      <c r="S151"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REGULAR</v>
      </c>
      <c r="T151" s="36">
        <v>100</v>
      </c>
      <c r="U151" s="37">
        <v>121</v>
      </c>
      <c r="V151" s="40">
        <f t="shared" si="7"/>
        <v>121</v>
      </c>
      <c r="W151" s="39" t="str">
        <f t="shared" si="6"/>
        <v>SOBREPASADO</v>
      </c>
      <c r="X151" s="36">
        <v>100</v>
      </c>
      <c r="Y151" s="37">
        <v>0</v>
      </c>
      <c r="Z151" s="40">
        <v>0</v>
      </c>
      <c r="AA151" s="39" t="s">
        <v>62</v>
      </c>
      <c r="AB151" s="36">
        <v>100</v>
      </c>
      <c r="AC151" s="41">
        <v>0</v>
      </c>
      <c r="AD151" s="40">
        <f>IFERROR((TABLA_AVANCE_METAS[[#This Row],[AVANCE 4°. TRIM]]/TABLA_AVANCE_METAS[[#This Row],[PROGR. 4° TRIM]])*100,"0")</f>
        <v>0</v>
      </c>
      <c r="AE151"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51" s="43" cm="1">
        <f t="array" ref="AF151">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250</v>
      </c>
      <c r="AG151" s="44" cm="1">
        <f t="array" ref="AG151">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237</v>
      </c>
      <c r="AH151" s="40">
        <f>IFERROR((TABLA_AVANCE_METAS[[#This Row],[AVANCE ACUM. TRIM.]]/TABLA_AVANCE_METAS[[#This Row],[PROG. ACUM]])*100,"N/A")</f>
        <v>94.8</v>
      </c>
      <c r="AI151"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151" s="45">
        <f>TABLA_AVANCE_METAS[[#This Row],[AVANCE ACUM. TRIM.]]-TABLA_AVANCE_METAS[[#This Row],[PROG. ACUM]]</f>
        <v>-13</v>
      </c>
      <c r="AK151" s="46">
        <f>IFERROR((TABLA_AVANCE_METAS[[#This Row],[DIFERENCIA ABSOLUTA SEMESTRAL]]/TABLA_AVANCE_METAS[[#This Row],[PROG. ACUM]])*100,"N/A")</f>
        <v>-5.2</v>
      </c>
      <c r="AL151" s="44">
        <f>TABLA_AVANCE_METAS[[#This Row],[AVANCE 1°. TRIM]]+TABLA_AVANCE_METAS[[#This Row],[AVANCE 2°. TRIM]]+TABLA_AVANCE_METAS[[#This Row],[AVANCE 3°. TRIM]]+TABLA_AVANCE_METAS[[#This Row],[AVANCE 4°. TRIM]]</f>
        <v>237</v>
      </c>
      <c r="AM151" s="40">
        <f>IFERROR((TABLA_AVANCE_METAS[[#This Row],[AVANCE ACUM. ANUAL]]/TABLA_AVANCE_METAS[[#This Row],[PROGRAMADO ANUAL]])*100,"N/A")</f>
        <v>52.666666666666664</v>
      </c>
      <c r="AN151"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151" s="45">
        <f>TABLA_AVANCE_METAS[[#This Row],[AVANCE ACUM. ANUAL]]-TABLA_AVANCE_METAS[[#This Row],[PROGRAMADO ANUAL]]</f>
        <v>-213</v>
      </c>
      <c r="AP151" s="47">
        <f>IFERROR((TABLA_AVANCE_METAS[[#This Row],[DIFERENCIA ABSOLUTA ANUAL]]/TABLA_AVANCE_METAS[[#This Row],[PROGRAMADO ANUAL]])*100,"N/A")</f>
        <v>-47.333333333333336</v>
      </c>
      <c r="AQ151" s="48" t="s">
        <v>482</v>
      </c>
      <c r="AR151" s="49"/>
      <c r="AS151" s="50"/>
      <c r="AT151" s="50"/>
      <c r="AU151" s="83" t="b">
        <f>TABLA_AVANCE_METAS[[#This Row],[PROGRAMADO ANUAL]]=SUM(TABLA_AVANCE_METAS[[#This Row],[PROGR. 1° TRIM]],TABLA_AVANCE_METAS[[#This Row],[PROGR. 2° TRIM]],TABLA_AVANCE_METAS[[#This Row],[PROGR. 3° TRIM]],TABLA_AVANCE_METAS[[#This Row],[PROGR. 4° TRIM]])</f>
        <v>1</v>
      </c>
      <c r="AV151" s="52"/>
    </row>
    <row r="152" spans="1:48" ht="75" hidden="1" customHeight="1" x14ac:dyDescent="0.3">
      <c r="A152" s="31" t="str">
        <f>CONCATENATE(TABLA_AVANCE_METAS[[#This Row],[ESTRUCTURA]],TABLA_AVANCE_METAS[[#This Row],['#]])</f>
        <v>C0022202010301022</v>
      </c>
      <c r="B152" s="32" t="s">
        <v>476</v>
      </c>
      <c r="C152" s="33" t="s">
        <v>445</v>
      </c>
      <c r="D152" s="32" t="s">
        <v>446</v>
      </c>
      <c r="E152" s="32" t="s">
        <v>477</v>
      </c>
      <c r="F152" s="32" t="s">
        <v>478</v>
      </c>
      <c r="G152" s="34" t="s">
        <v>479</v>
      </c>
      <c r="H152" s="32" t="s">
        <v>435</v>
      </c>
      <c r="I152" s="32" t="s">
        <v>436</v>
      </c>
      <c r="J152" s="32" t="s">
        <v>466</v>
      </c>
      <c r="K152" s="32" t="s">
        <v>467</v>
      </c>
      <c r="L152" s="33">
        <v>2</v>
      </c>
      <c r="M152" s="84" t="s">
        <v>483</v>
      </c>
      <c r="N152" s="34" t="s">
        <v>484</v>
      </c>
      <c r="O152" s="36">
        <v>190930</v>
      </c>
      <c r="P152" s="36">
        <v>90000</v>
      </c>
      <c r="Q152" s="37">
        <v>37465</v>
      </c>
      <c r="R152" s="38">
        <f>IFERROR((TABLA_AVANCE_METAS[[#This Row],[AVANCE 1°. TRIM]]/TABLA_AVANCE_METAS[[#This Row],[PROGR. 1° TRIM]])*100,"0")</f>
        <v>41.62777777777778</v>
      </c>
      <c r="S152"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CRÍTICO</v>
      </c>
      <c r="T152" s="36">
        <v>20000</v>
      </c>
      <c r="U152" s="37">
        <v>59093</v>
      </c>
      <c r="V152" s="40">
        <f t="shared" si="7"/>
        <v>295.46499999999997</v>
      </c>
      <c r="W152" s="39" t="str">
        <f t="shared" si="6"/>
        <v>SOBREPASADO</v>
      </c>
      <c r="X152" s="36">
        <v>40465</v>
      </c>
      <c r="Y152" s="37">
        <v>0</v>
      </c>
      <c r="Z152" s="40">
        <v>0</v>
      </c>
      <c r="AA152" s="39" t="s">
        <v>62</v>
      </c>
      <c r="AB152" s="36">
        <v>40465</v>
      </c>
      <c r="AC152" s="41">
        <v>0</v>
      </c>
      <c r="AD152" s="40">
        <f>IFERROR((TABLA_AVANCE_METAS[[#This Row],[AVANCE 4°. TRIM]]/TABLA_AVANCE_METAS[[#This Row],[PROGR. 4° TRIM]])*100,"0")</f>
        <v>0</v>
      </c>
      <c r="AE152"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52" s="43" cm="1">
        <f t="array" ref="AF152">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110000</v>
      </c>
      <c r="AG152" s="44" cm="1">
        <f t="array" ref="AG152">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96558</v>
      </c>
      <c r="AH152" s="40">
        <f>IFERROR((TABLA_AVANCE_METAS[[#This Row],[AVANCE ACUM. TRIM.]]/TABLA_AVANCE_METAS[[#This Row],[PROG. ACUM]])*100,"N/A")</f>
        <v>87.78</v>
      </c>
      <c r="AI152"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REGULAR</v>
      </c>
      <c r="AJ152" s="45">
        <f>TABLA_AVANCE_METAS[[#This Row],[AVANCE ACUM. TRIM.]]-TABLA_AVANCE_METAS[[#This Row],[PROG. ACUM]]</f>
        <v>-13442</v>
      </c>
      <c r="AK152" s="46">
        <f>IFERROR((TABLA_AVANCE_METAS[[#This Row],[DIFERENCIA ABSOLUTA SEMESTRAL]]/TABLA_AVANCE_METAS[[#This Row],[PROG. ACUM]])*100,"N/A")</f>
        <v>-12.22</v>
      </c>
      <c r="AL152" s="44">
        <f>TABLA_AVANCE_METAS[[#This Row],[AVANCE 1°. TRIM]]+TABLA_AVANCE_METAS[[#This Row],[AVANCE 2°. TRIM]]+TABLA_AVANCE_METAS[[#This Row],[AVANCE 3°. TRIM]]+TABLA_AVANCE_METAS[[#This Row],[AVANCE 4°. TRIM]]</f>
        <v>96558</v>
      </c>
      <c r="AM152" s="40">
        <f>IFERROR((TABLA_AVANCE_METAS[[#This Row],[AVANCE ACUM. ANUAL]]/TABLA_AVANCE_METAS[[#This Row],[PROGRAMADO ANUAL]])*100,"N/A")</f>
        <v>50.572461111402092</v>
      </c>
      <c r="AN152"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152" s="45">
        <f>TABLA_AVANCE_METAS[[#This Row],[AVANCE ACUM. ANUAL]]-TABLA_AVANCE_METAS[[#This Row],[PROGRAMADO ANUAL]]</f>
        <v>-94372</v>
      </c>
      <c r="AP152" s="47">
        <f>IFERROR((TABLA_AVANCE_METAS[[#This Row],[DIFERENCIA ABSOLUTA ANUAL]]/TABLA_AVANCE_METAS[[#This Row],[PROGRAMADO ANUAL]])*100,"N/A")</f>
        <v>-49.427538888597915</v>
      </c>
      <c r="AQ152" s="48" t="s">
        <v>485</v>
      </c>
      <c r="AR152" s="49"/>
      <c r="AS152" s="50"/>
      <c r="AT152" s="50"/>
      <c r="AU152" s="83" t="b">
        <f>TABLA_AVANCE_METAS[[#This Row],[PROGRAMADO ANUAL]]=SUM(TABLA_AVANCE_METAS[[#This Row],[PROGR. 1° TRIM]],TABLA_AVANCE_METAS[[#This Row],[PROGR. 2° TRIM]],TABLA_AVANCE_METAS[[#This Row],[PROGR. 3° TRIM]],TABLA_AVANCE_METAS[[#This Row],[PROGR. 4° TRIM]])</f>
        <v>1</v>
      </c>
      <c r="AV152" s="52"/>
    </row>
    <row r="153" spans="1:48" ht="75" hidden="1" customHeight="1" x14ac:dyDescent="0.3">
      <c r="A153" s="31" t="str">
        <f>CONCATENATE(TABLA_AVANCE_METAS[[#This Row],[ESTRUCTURA]],TABLA_AVANCE_METAS[[#This Row],['#]])</f>
        <v>C0022202010301023</v>
      </c>
      <c r="B153" s="32" t="s">
        <v>476</v>
      </c>
      <c r="C153" s="33" t="s">
        <v>445</v>
      </c>
      <c r="D153" s="32" t="s">
        <v>446</v>
      </c>
      <c r="E153" s="32" t="s">
        <v>477</v>
      </c>
      <c r="F153" s="32" t="s">
        <v>478</v>
      </c>
      <c r="G153" s="34" t="s">
        <v>479</v>
      </c>
      <c r="H153" s="32" t="s">
        <v>435</v>
      </c>
      <c r="I153" s="32" t="s">
        <v>436</v>
      </c>
      <c r="J153" s="32" t="s">
        <v>466</v>
      </c>
      <c r="K153" s="32" t="s">
        <v>467</v>
      </c>
      <c r="L153" s="33">
        <v>3</v>
      </c>
      <c r="M153" s="84" t="s">
        <v>486</v>
      </c>
      <c r="N153" s="34" t="s">
        <v>487</v>
      </c>
      <c r="O153" s="36">
        <v>200</v>
      </c>
      <c r="P153" s="36">
        <v>200</v>
      </c>
      <c r="Q153" s="37">
        <v>0</v>
      </c>
      <c r="R153" s="38">
        <f>IFERROR((TABLA_AVANCE_METAS[[#This Row],[AVANCE 1°. TRIM]]/TABLA_AVANCE_METAS[[#This Row],[PROGR. 1° TRIM]])*100,"0")</f>
        <v>0</v>
      </c>
      <c r="S153"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CRÍTICO</v>
      </c>
      <c r="T153" s="36">
        <v>0</v>
      </c>
      <c r="U153" s="37">
        <v>4</v>
      </c>
      <c r="V153" s="40" t="str">
        <f t="shared" si="7"/>
        <v>0</v>
      </c>
      <c r="W153" s="39" t="str">
        <f t="shared" si="6"/>
        <v>NO PROG.</v>
      </c>
      <c r="X153" s="36">
        <v>0</v>
      </c>
      <c r="Y153" s="37">
        <v>0</v>
      </c>
      <c r="Z153" s="40" t="s">
        <v>72</v>
      </c>
      <c r="AA153" s="39" t="s">
        <v>73</v>
      </c>
      <c r="AB153" s="36">
        <v>0</v>
      </c>
      <c r="AC153" s="41">
        <v>0</v>
      </c>
      <c r="AD153" s="40" t="str">
        <f>IFERROR((TABLA_AVANCE_METAS[[#This Row],[AVANCE 4°. TRIM]]/TABLA_AVANCE_METAS[[#This Row],[PROGR. 4° TRIM]])*100,"0")</f>
        <v>0</v>
      </c>
      <c r="AE153"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NO PROG.</v>
      </c>
      <c r="AF153" s="43" cm="1">
        <f t="array" ref="AF153">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200</v>
      </c>
      <c r="AG153" s="44" cm="1">
        <f t="array" ref="AG153">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4</v>
      </c>
      <c r="AH153" s="40">
        <f>IFERROR((TABLA_AVANCE_METAS[[#This Row],[AVANCE ACUM. TRIM.]]/TABLA_AVANCE_METAS[[#This Row],[PROG. ACUM]])*100,"N/A")</f>
        <v>2</v>
      </c>
      <c r="AI153"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CRÍTICO</v>
      </c>
      <c r="AJ153" s="45">
        <f>TABLA_AVANCE_METAS[[#This Row],[AVANCE ACUM. TRIM.]]-TABLA_AVANCE_METAS[[#This Row],[PROG. ACUM]]</f>
        <v>-196</v>
      </c>
      <c r="AK153" s="46">
        <f>IFERROR((TABLA_AVANCE_METAS[[#This Row],[DIFERENCIA ABSOLUTA SEMESTRAL]]/TABLA_AVANCE_METAS[[#This Row],[PROG. ACUM]])*100,"N/A")</f>
        <v>-98</v>
      </c>
      <c r="AL153" s="44">
        <f>TABLA_AVANCE_METAS[[#This Row],[AVANCE 1°. TRIM]]+TABLA_AVANCE_METAS[[#This Row],[AVANCE 2°. TRIM]]+TABLA_AVANCE_METAS[[#This Row],[AVANCE 3°. TRIM]]+TABLA_AVANCE_METAS[[#This Row],[AVANCE 4°. TRIM]]</f>
        <v>4</v>
      </c>
      <c r="AM153" s="40">
        <f>IFERROR((TABLA_AVANCE_METAS[[#This Row],[AVANCE ACUM. ANUAL]]/TABLA_AVANCE_METAS[[#This Row],[PROGRAMADO ANUAL]])*100,"N/A")</f>
        <v>2</v>
      </c>
      <c r="AN153"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153" s="45">
        <f>TABLA_AVANCE_METAS[[#This Row],[AVANCE ACUM. ANUAL]]-TABLA_AVANCE_METAS[[#This Row],[PROGRAMADO ANUAL]]</f>
        <v>-196</v>
      </c>
      <c r="AP153" s="47">
        <f>IFERROR((TABLA_AVANCE_METAS[[#This Row],[DIFERENCIA ABSOLUTA ANUAL]]/TABLA_AVANCE_METAS[[#This Row],[PROGRAMADO ANUAL]])*100,"N/A")</f>
        <v>-98</v>
      </c>
      <c r="AQ153" s="48" t="s">
        <v>63</v>
      </c>
      <c r="AR153" s="49"/>
      <c r="AS153" s="50"/>
      <c r="AT153" s="50"/>
      <c r="AU153" s="83" t="b">
        <f>TABLA_AVANCE_METAS[[#This Row],[PROGRAMADO ANUAL]]=SUM(TABLA_AVANCE_METAS[[#This Row],[PROGR. 1° TRIM]],TABLA_AVANCE_METAS[[#This Row],[PROGR. 2° TRIM]],TABLA_AVANCE_METAS[[#This Row],[PROGR. 3° TRIM]],TABLA_AVANCE_METAS[[#This Row],[PROGR. 4° TRIM]])</f>
        <v>1</v>
      </c>
      <c r="AV153" s="52"/>
    </row>
    <row r="154" spans="1:48" ht="75" hidden="1" customHeight="1" x14ac:dyDescent="0.3">
      <c r="A154" s="31" t="str">
        <f>CONCATENATE(TABLA_AVANCE_METAS[[#This Row],[ESTRUCTURA]],TABLA_AVANCE_METAS[[#This Row],['#]])</f>
        <v>C0022202010301024</v>
      </c>
      <c r="B154" s="32" t="s">
        <v>476</v>
      </c>
      <c r="C154" s="33" t="s">
        <v>445</v>
      </c>
      <c r="D154" s="32" t="s">
        <v>446</v>
      </c>
      <c r="E154" s="32" t="s">
        <v>477</v>
      </c>
      <c r="F154" s="32" t="s">
        <v>478</v>
      </c>
      <c r="G154" s="34" t="s">
        <v>479</v>
      </c>
      <c r="H154" s="32" t="s">
        <v>435</v>
      </c>
      <c r="I154" s="32" t="s">
        <v>436</v>
      </c>
      <c r="J154" s="32" t="s">
        <v>466</v>
      </c>
      <c r="K154" s="32" t="s">
        <v>467</v>
      </c>
      <c r="L154" s="33">
        <v>4</v>
      </c>
      <c r="M154" s="84" t="s">
        <v>488</v>
      </c>
      <c r="N154" s="34" t="s">
        <v>489</v>
      </c>
      <c r="O154" s="36">
        <v>30</v>
      </c>
      <c r="P154" s="36">
        <v>30</v>
      </c>
      <c r="Q154" s="37">
        <v>9</v>
      </c>
      <c r="R154" s="38">
        <f>IFERROR((TABLA_AVANCE_METAS[[#This Row],[AVANCE 1°. TRIM]]/TABLA_AVANCE_METAS[[#This Row],[PROGR. 1° TRIM]])*100,"0")</f>
        <v>30</v>
      </c>
      <c r="S154"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CRÍTICO</v>
      </c>
      <c r="T154" s="36">
        <v>0</v>
      </c>
      <c r="U154" s="37">
        <v>11</v>
      </c>
      <c r="V154" s="40" t="str">
        <f t="shared" si="7"/>
        <v>0</v>
      </c>
      <c r="W154" s="39" t="str">
        <f t="shared" si="6"/>
        <v>NO PROG.</v>
      </c>
      <c r="X154" s="36">
        <v>0</v>
      </c>
      <c r="Y154" s="37">
        <v>0</v>
      </c>
      <c r="Z154" s="40" t="s">
        <v>72</v>
      </c>
      <c r="AA154" s="39" t="s">
        <v>73</v>
      </c>
      <c r="AB154" s="36">
        <v>0</v>
      </c>
      <c r="AC154" s="41">
        <v>0</v>
      </c>
      <c r="AD154" s="40" t="str">
        <f>IFERROR((TABLA_AVANCE_METAS[[#This Row],[AVANCE 4°. TRIM]]/TABLA_AVANCE_METAS[[#This Row],[PROGR. 4° TRIM]])*100,"0")</f>
        <v>0</v>
      </c>
      <c r="AE154"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NO PROG.</v>
      </c>
      <c r="AF154" s="43" cm="1">
        <f t="array" ref="AF154">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30</v>
      </c>
      <c r="AG154" s="44" cm="1">
        <f t="array" ref="AG154">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20</v>
      </c>
      <c r="AH154" s="40">
        <f>IFERROR((TABLA_AVANCE_METAS[[#This Row],[AVANCE ACUM. TRIM.]]/TABLA_AVANCE_METAS[[#This Row],[PROG. ACUM]])*100,"N/A")</f>
        <v>66.666666666666657</v>
      </c>
      <c r="AI154"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DEFICIENTE</v>
      </c>
      <c r="AJ154" s="45">
        <f>TABLA_AVANCE_METAS[[#This Row],[AVANCE ACUM. TRIM.]]-TABLA_AVANCE_METAS[[#This Row],[PROG. ACUM]]</f>
        <v>-10</v>
      </c>
      <c r="AK154" s="46">
        <f>IFERROR((TABLA_AVANCE_METAS[[#This Row],[DIFERENCIA ABSOLUTA SEMESTRAL]]/TABLA_AVANCE_METAS[[#This Row],[PROG. ACUM]])*100,"N/A")</f>
        <v>-33.333333333333329</v>
      </c>
      <c r="AL154" s="44">
        <f>TABLA_AVANCE_METAS[[#This Row],[AVANCE 1°. TRIM]]+TABLA_AVANCE_METAS[[#This Row],[AVANCE 2°. TRIM]]+TABLA_AVANCE_METAS[[#This Row],[AVANCE 3°. TRIM]]+TABLA_AVANCE_METAS[[#This Row],[AVANCE 4°. TRIM]]</f>
        <v>20</v>
      </c>
      <c r="AM154" s="40">
        <f>IFERROR((TABLA_AVANCE_METAS[[#This Row],[AVANCE ACUM. ANUAL]]/TABLA_AVANCE_METAS[[#This Row],[PROGRAMADO ANUAL]])*100,"N/A")</f>
        <v>66.666666666666657</v>
      </c>
      <c r="AN154"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154" s="45">
        <f>TABLA_AVANCE_METAS[[#This Row],[AVANCE ACUM. ANUAL]]-TABLA_AVANCE_METAS[[#This Row],[PROGRAMADO ANUAL]]</f>
        <v>-10</v>
      </c>
      <c r="AP154" s="47">
        <f>IFERROR((TABLA_AVANCE_METAS[[#This Row],[DIFERENCIA ABSOLUTA ANUAL]]/TABLA_AVANCE_METAS[[#This Row],[PROGRAMADO ANUAL]])*100,"N/A")</f>
        <v>-33.333333333333329</v>
      </c>
      <c r="AQ154" s="48" t="s">
        <v>490</v>
      </c>
      <c r="AR154" s="49"/>
      <c r="AS154" s="50"/>
      <c r="AT154" s="50"/>
      <c r="AU154" s="83" t="b">
        <f>TABLA_AVANCE_METAS[[#This Row],[PROGRAMADO ANUAL]]=SUM(TABLA_AVANCE_METAS[[#This Row],[PROGR. 1° TRIM]],TABLA_AVANCE_METAS[[#This Row],[PROGR. 2° TRIM]],TABLA_AVANCE_METAS[[#This Row],[PROGR. 3° TRIM]],TABLA_AVANCE_METAS[[#This Row],[PROGR. 4° TRIM]])</f>
        <v>1</v>
      </c>
      <c r="AV154" s="52"/>
    </row>
    <row r="155" spans="1:48" ht="75" hidden="1" customHeight="1" x14ac:dyDescent="0.3">
      <c r="A155" s="31" t="str">
        <f>CONCATENATE(TABLA_AVANCE_METAS[[#This Row],[ESTRUCTURA]],TABLA_AVANCE_METAS[[#This Row],['#]])</f>
        <v>C0022202010301025</v>
      </c>
      <c r="B155" s="32" t="s">
        <v>476</v>
      </c>
      <c r="C155" s="33" t="s">
        <v>445</v>
      </c>
      <c r="D155" s="32" t="s">
        <v>446</v>
      </c>
      <c r="E155" s="32" t="s">
        <v>477</v>
      </c>
      <c r="F155" s="32" t="s">
        <v>478</v>
      </c>
      <c r="G155" s="34" t="s">
        <v>479</v>
      </c>
      <c r="H155" s="32" t="s">
        <v>435</v>
      </c>
      <c r="I155" s="32" t="s">
        <v>436</v>
      </c>
      <c r="J155" s="32" t="s">
        <v>466</v>
      </c>
      <c r="K155" s="32" t="s">
        <v>467</v>
      </c>
      <c r="L155" s="33">
        <v>5</v>
      </c>
      <c r="M155" s="82" t="s">
        <v>491</v>
      </c>
      <c r="N155" s="34" t="s">
        <v>492</v>
      </c>
      <c r="O155" s="36">
        <v>280</v>
      </c>
      <c r="P155" s="36">
        <v>60</v>
      </c>
      <c r="Q155" s="37">
        <v>91</v>
      </c>
      <c r="R155" s="38">
        <f>IFERROR((TABLA_AVANCE_METAS[[#This Row],[AVANCE 1°. TRIM]]/TABLA_AVANCE_METAS[[#This Row],[PROGR. 1° TRIM]])*100,"0")</f>
        <v>151.66666666666666</v>
      </c>
      <c r="S155"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SOBREPASADO</v>
      </c>
      <c r="T155" s="36">
        <v>80</v>
      </c>
      <c r="U155" s="37">
        <v>72</v>
      </c>
      <c r="V155" s="40">
        <f t="shared" si="7"/>
        <v>90</v>
      </c>
      <c r="W155" s="39" t="str">
        <f t="shared" si="6"/>
        <v>ADECUADO</v>
      </c>
      <c r="X155" s="36">
        <v>70</v>
      </c>
      <c r="Y155" s="37">
        <v>0</v>
      </c>
      <c r="Z155" s="40">
        <v>0</v>
      </c>
      <c r="AA155" s="39" t="s">
        <v>62</v>
      </c>
      <c r="AB155" s="36">
        <v>70</v>
      </c>
      <c r="AC155" s="41">
        <v>0</v>
      </c>
      <c r="AD155" s="40">
        <f>IFERROR((TABLA_AVANCE_METAS[[#This Row],[AVANCE 4°. TRIM]]/TABLA_AVANCE_METAS[[#This Row],[PROGR. 4° TRIM]])*100,"0")</f>
        <v>0</v>
      </c>
      <c r="AE155"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55" s="43" cm="1">
        <f t="array" ref="AF155">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140</v>
      </c>
      <c r="AG155" s="44" cm="1">
        <f t="array" ref="AG155">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163</v>
      </c>
      <c r="AH155" s="40">
        <f>IFERROR((TABLA_AVANCE_METAS[[#This Row],[AVANCE ACUM. TRIM.]]/TABLA_AVANCE_METAS[[#This Row],[PROG. ACUM]])*100,"N/A")</f>
        <v>116.42857142857143</v>
      </c>
      <c r="AI155"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SOBREPASADO</v>
      </c>
      <c r="AJ155" s="45">
        <f>TABLA_AVANCE_METAS[[#This Row],[AVANCE ACUM. TRIM.]]-TABLA_AVANCE_METAS[[#This Row],[PROG. ACUM]]</f>
        <v>23</v>
      </c>
      <c r="AK155" s="46">
        <f>IFERROR((TABLA_AVANCE_METAS[[#This Row],[DIFERENCIA ABSOLUTA SEMESTRAL]]/TABLA_AVANCE_METAS[[#This Row],[PROG. ACUM]])*100,"N/A")</f>
        <v>16.428571428571427</v>
      </c>
      <c r="AL155" s="44">
        <f>TABLA_AVANCE_METAS[[#This Row],[AVANCE 1°. TRIM]]+TABLA_AVANCE_METAS[[#This Row],[AVANCE 2°. TRIM]]+TABLA_AVANCE_METAS[[#This Row],[AVANCE 3°. TRIM]]+TABLA_AVANCE_METAS[[#This Row],[AVANCE 4°. TRIM]]</f>
        <v>163</v>
      </c>
      <c r="AM155" s="40">
        <f>IFERROR((TABLA_AVANCE_METAS[[#This Row],[AVANCE ACUM. ANUAL]]/TABLA_AVANCE_METAS[[#This Row],[PROGRAMADO ANUAL]])*100,"N/A")</f>
        <v>58.214285714285715</v>
      </c>
      <c r="AN155"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155" s="45">
        <f>TABLA_AVANCE_METAS[[#This Row],[AVANCE ACUM. ANUAL]]-TABLA_AVANCE_METAS[[#This Row],[PROGRAMADO ANUAL]]</f>
        <v>-117</v>
      </c>
      <c r="AP155" s="47">
        <f>IFERROR((TABLA_AVANCE_METAS[[#This Row],[DIFERENCIA ABSOLUTA ANUAL]]/TABLA_AVANCE_METAS[[#This Row],[PROGRAMADO ANUAL]])*100,"N/A")</f>
        <v>-41.785714285714285</v>
      </c>
      <c r="AQ155" s="48" t="s">
        <v>493</v>
      </c>
      <c r="AR155" s="49"/>
      <c r="AS155" s="50"/>
      <c r="AT155" s="50"/>
      <c r="AU155" s="83" t="b">
        <f>TABLA_AVANCE_METAS[[#This Row],[PROGRAMADO ANUAL]]=SUM(TABLA_AVANCE_METAS[[#This Row],[PROGR. 1° TRIM]],TABLA_AVANCE_METAS[[#This Row],[PROGR. 2° TRIM]],TABLA_AVANCE_METAS[[#This Row],[PROGR. 3° TRIM]],TABLA_AVANCE_METAS[[#This Row],[PROGR. 4° TRIM]])</f>
        <v>1</v>
      </c>
      <c r="AV155" s="52"/>
    </row>
    <row r="156" spans="1:48" ht="75" hidden="1" customHeight="1" x14ac:dyDescent="0.3">
      <c r="A156" s="31" t="str">
        <f>CONCATENATE(TABLA_AVANCE_METAS[[#This Row],[ESTRUCTURA]],TABLA_AVANCE_METAS[[#This Row],['#]])</f>
        <v>C0022502010301041</v>
      </c>
      <c r="B156" s="32" t="s">
        <v>494</v>
      </c>
      <c r="C156" s="33" t="s">
        <v>445</v>
      </c>
      <c r="D156" s="32" t="s">
        <v>446</v>
      </c>
      <c r="E156" s="32" t="s">
        <v>495</v>
      </c>
      <c r="F156" s="32" t="s">
        <v>496</v>
      </c>
      <c r="G156" s="34" t="s">
        <v>497</v>
      </c>
      <c r="H156" s="32" t="s">
        <v>435</v>
      </c>
      <c r="I156" s="32" t="s">
        <v>436</v>
      </c>
      <c r="J156" s="32" t="s">
        <v>498</v>
      </c>
      <c r="K156" s="32" t="s">
        <v>499</v>
      </c>
      <c r="L156" s="33">
        <v>1</v>
      </c>
      <c r="M156" s="84" t="s">
        <v>500</v>
      </c>
      <c r="N156" s="34" t="s">
        <v>501</v>
      </c>
      <c r="O156" s="36">
        <v>128</v>
      </c>
      <c r="P156" s="36">
        <v>88</v>
      </c>
      <c r="Q156" s="37">
        <v>123</v>
      </c>
      <c r="R156" s="38">
        <f>IFERROR((TABLA_AVANCE_METAS[[#This Row],[AVANCE 1°. TRIM]]/TABLA_AVANCE_METAS[[#This Row],[PROGR. 1° TRIM]])*100,"0")</f>
        <v>139.77272727272728</v>
      </c>
      <c r="S156"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SOBREPASADO</v>
      </c>
      <c r="T156" s="36">
        <v>40</v>
      </c>
      <c r="U156" s="37">
        <v>0</v>
      </c>
      <c r="V156" s="40">
        <f t="shared" si="7"/>
        <v>0</v>
      </c>
      <c r="W156" s="39" t="str">
        <f t="shared" si="6"/>
        <v>CRÍTICO</v>
      </c>
      <c r="X156" s="36">
        <v>0</v>
      </c>
      <c r="Y156" s="37">
        <v>0</v>
      </c>
      <c r="Z156" s="40" t="s">
        <v>72</v>
      </c>
      <c r="AA156" s="39" t="s">
        <v>73</v>
      </c>
      <c r="AB156" s="36">
        <v>0</v>
      </c>
      <c r="AC156" s="41">
        <v>0</v>
      </c>
      <c r="AD156" s="40" t="str">
        <f>IFERROR((TABLA_AVANCE_METAS[[#This Row],[AVANCE 4°. TRIM]]/TABLA_AVANCE_METAS[[#This Row],[PROGR. 4° TRIM]])*100,"0")</f>
        <v>0</v>
      </c>
      <c r="AE156"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NO PROG.</v>
      </c>
      <c r="AF156" s="43" cm="1">
        <f t="array" ref="AF156">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128</v>
      </c>
      <c r="AG156" s="44" cm="1">
        <f t="array" ref="AG156">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123</v>
      </c>
      <c r="AH156" s="40">
        <f>IFERROR((TABLA_AVANCE_METAS[[#This Row],[AVANCE ACUM. TRIM.]]/TABLA_AVANCE_METAS[[#This Row],[PROG. ACUM]])*100,"N/A")</f>
        <v>96.09375</v>
      </c>
      <c r="AI156"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156" s="45">
        <f>TABLA_AVANCE_METAS[[#This Row],[AVANCE ACUM. TRIM.]]-TABLA_AVANCE_METAS[[#This Row],[PROG. ACUM]]</f>
        <v>-5</v>
      </c>
      <c r="AK156" s="46">
        <f>IFERROR((TABLA_AVANCE_METAS[[#This Row],[DIFERENCIA ABSOLUTA SEMESTRAL]]/TABLA_AVANCE_METAS[[#This Row],[PROG. ACUM]])*100,"N/A")</f>
        <v>-3.90625</v>
      </c>
      <c r="AL156" s="44">
        <f>TABLA_AVANCE_METAS[[#This Row],[AVANCE 1°. TRIM]]+TABLA_AVANCE_METAS[[#This Row],[AVANCE 2°. TRIM]]+TABLA_AVANCE_METAS[[#This Row],[AVANCE 3°. TRIM]]+TABLA_AVANCE_METAS[[#This Row],[AVANCE 4°. TRIM]]</f>
        <v>123</v>
      </c>
      <c r="AM156" s="40">
        <f>IFERROR((TABLA_AVANCE_METAS[[#This Row],[AVANCE ACUM. ANUAL]]/TABLA_AVANCE_METAS[[#This Row],[PROGRAMADO ANUAL]])*100,"N/A")</f>
        <v>96.09375</v>
      </c>
      <c r="AN156"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ADECUADO</v>
      </c>
      <c r="AO156" s="45">
        <f>TABLA_AVANCE_METAS[[#This Row],[AVANCE ACUM. ANUAL]]-TABLA_AVANCE_METAS[[#This Row],[PROGRAMADO ANUAL]]</f>
        <v>-5</v>
      </c>
      <c r="AP156" s="47">
        <f>IFERROR((TABLA_AVANCE_METAS[[#This Row],[DIFERENCIA ABSOLUTA ANUAL]]/TABLA_AVANCE_METAS[[#This Row],[PROGRAMADO ANUAL]])*100,"N/A")</f>
        <v>-3.90625</v>
      </c>
      <c r="AQ156" s="48" t="s">
        <v>502</v>
      </c>
      <c r="AR156" s="49"/>
      <c r="AS156" s="50"/>
      <c r="AT156" s="50"/>
      <c r="AU156" s="51" t="b">
        <f>TABLA_AVANCE_METAS[[#This Row],[PROGRAMADO ANUAL]]=SUM(TABLA_AVANCE_METAS[[#This Row],[PROGR. 1° TRIM]],TABLA_AVANCE_METAS[[#This Row],[PROGR. 2° TRIM]],TABLA_AVANCE_METAS[[#This Row],[PROGR. 3° TRIM]],TABLA_AVANCE_METAS[[#This Row],[PROGR. 4° TRIM]])</f>
        <v>1</v>
      </c>
      <c r="AV156" s="52"/>
    </row>
    <row r="157" spans="1:48" ht="75" hidden="1" customHeight="1" x14ac:dyDescent="0.3">
      <c r="A157" s="31" t="str">
        <f>CONCATENATE(TABLA_AVANCE_METAS[[#This Row],[ESTRUCTURA]],TABLA_AVANCE_METAS[[#This Row],['#]])</f>
        <v>C0022502010301042</v>
      </c>
      <c r="B157" s="32" t="s">
        <v>494</v>
      </c>
      <c r="C157" s="33" t="s">
        <v>445</v>
      </c>
      <c r="D157" s="32" t="s">
        <v>446</v>
      </c>
      <c r="E157" s="32" t="s">
        <v>495</v>
      </c>
      <c r="F157" s="32" t="s">
        <v>496</v>
      </c>
      <c r="G157" s="34" t="s">
        <v>497</v>
      </c>
      <c r="H157" s="32" t="s">
        <v>435</v>
      </c>
      <c r="I157" s="32" t="s">
        <v>436</v>
      </c>
      <c r="J157" s="32" t="s">
        <v>498</v>
      </c>
      <c r="K157" s="32" t="s">
        <v>499</v>
      </c>
      <c r="L157" s="33">
        <v>2</v>
      </c>
      <c r="M157" s="84" t="s">
        <v>503</v>
      </c>
      <c r="N157" s="34" t="s">
        <v>504</v>
      </c>
      <c r="O157" s="36">
        <v>128</v>
      </c>
      <c r="P157" s="36">
        <v>88</v>
      </c>
      <c r="Q157" s="37">
        <v>133</v>
      </c>
      <c r="R157" s="38">
        <f>IFERROR((TABLA_AVANCE_METAS[[#This Row],[AVANCE 1°. TRIM]]/TABLA_AVANCE_METAS[[#This Row],[PROGR. 1° TRIM]])*100,"0")</f>
        <v>151.13636363636365</v>
      </c>
      <c r="S157"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SOBREPASADO</v>
      </c>
      <c r="T157" s="36">
        <v>40</v>
      </c>
      <c r="U157" s="37">
        <v>0</v>
      </c>
      <c r="V157" s="40">
        <f t="shared" si="7"/>
        <v>0</v>
      </c>
      <c r="W157" s="39" t="str">
        <f t="shared" si="6"/>
        <v>CRÍTICO</v>
      </c>
      <c r="X157" s="36">
        <v>0</v>
      </c>
      <c r="Y157" s="37">
        <v>0</v>
      </c>
      <c r="Z157" s="40" t="s">
        <v>72</v>
      </c>
      <c r="AA157" s="39" t="s">
        <v>73</v>
      </c>
      <c r="AB157" s="36">
        <v>0</v>
      </c>
      <c r="AC157" s="41">
        <v>0</v>
      </c>
      <c r="AD157" s="40" t="str">
        <f>IFERROR((TABLA_AVANCE_METAS[[#This Row],[AVANCE 4°. TRIM]]/TABLA_AVANCE_METAS[[#This Row],[PROGR. 4° TRIM]])*100,"0")</f>
        <v>0</v>
      </c>
      <c r="AE157"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NO PROG.</v>
      </c>
      <c r="AF157" s="43" cm="1">
        <f t="array" ref="AF157">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128</v>
      </c>
      <c r="AG157" s="44" cm="1">
        <f t="array" ref="AG157">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133</v>
      </c>
      <c r="AH157" s="40">
        <f>IFERROR((TABLA_AVANCE_METAS[[#This Row],[AVANCE ACUM. TRIM.]]/TABLA_AVANCE_METAS[[#This Row],[PROG. ACUM]])*100,"N/A")</f>
        <v>103.90625</v>
      </c>
      <c r="AI157"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157" s="45">
        <f>TABLA_AVANCE_METAS[[#This Row],[AVANCE ACUM. TRIM.]]-TABLA_AVANCE_METAS[[#This Row],[PROG. ACUM]]</f>
        <v>5</v>
      </c>
      <c r="AK157" s="46">
        <f>IFERROR((TABLA_AVANCE_METAS[[#This Row],[DIFERENCIA ABSOLUTA SEMESTRAL]]/TABLA_AVANCE_METAS[[#This Row],[PROG. ACUM]])*100,"N/A")</f>
        <v>3.90625</v>
      </c>
      <c r="AL157" s="44">
        <f>TABLA_AVANCE_METAS[[#This Row],[AVANCE 1°. TRIM]]+TABLA_AVANCE_METAS[[#This Row],[AVANCE 2°. TRIM]]+TABLA_AVANCE_METAS[[#This Row],[AVANCE 3°. TRIM]]+TABLA_AVANCE_METAS[[#This Row],[AVANCE 4°. TRIM]]</f>
        <v>133</v>
      </c>
      <c r="AM157" s="40">
        <f>IFERROR((TABLA_AVANCE_METAS[[#This Row],[AVANCE ACUM. ANUAL]]/TABLA_AVANCE_METAS[[#This Row],[PROGRAMADO ANUAL]])*100,"N/A")</f>
        <v>103.90625</v>
      </c>
      <c r="AN157"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ADECUADO</v>
      </c>
      <c r="AO157" s="45">
        <f>TABLA_AVANCE_METAS[[#This Row],[AVANCE ACUM. ANUAL]]-TABLA_AVANCE_METAS[[#This Row],[PROGRAMADO ANUAL]]</f>
        <v>5</v>
      </c>
      <c r="AP157" s="47">
        <f>IFERROR((TABLA_AVANCE_METAS[[#This Row],[DIFERENCIA ABSOLUTA ANUAL]]/TABLA_AVANCE_METAS[[#This Row],[PROGRAMADO ANUAL]])*100,"N/A")</f>
        <v>3.90625</v>
      </c>
      <c r="AQ157" s="48" t="s">
        <v>502</v>
      </c>
      <c r="AR157" s="49"/>
      <c r="AS157" s="50"/>
      <c r="AT157" s="50"/>
      <c r="AU157" s="83" t="b">
        <f>TABLA_AVANCE_METAS[[#This Row],[PROGRAMADO ANUAL]]=SUM(TABLA_AVANCE_METAS[[#This Row],[PROGR. 1° TRIM]],TABLA_AVANCE_METAS[[#This Row],[PROGR. 2° TRIM]],TABLA_AVANCE_METAS[[#This Row],[PROGR. 3° TRIM]],TABLA_AVANCE_METAS[[#This Row],[PROGR. 4° TRIM]])</f>
        <v>1</v>
      </c>
      <c r="AV157" s="52"/>
    </row>
    <row r="158" spans="1:48" ht="75" hidden="1" customHeight="1" x14ac:dyDescent="0.3">
      <c r="A158" s="31" t="str">
        <f>CONCATENATE(TABLA_AVANCE_METAS[[#This Row],[ESTRUCTURA]],TABLA_AVANCE_METAS[[#This Row],['#]])</f>
        <v>C0022502010301043</v>
      </c>
      <c r="B158" s="32" t="s">
        <v>494</v>
      </c>
      <c r="C158" s="33" t="s">
        <v>445</v>
      </c>
      <c r="D158" s="32" t="s">
        <v>446</v>
      </c>
      <c r="E158" s="32" t="s">
        <v>495</v>
      </c>
      <c r="F158" s="32" t="s">
        <v>496</v>
      </c>
      <c r="G158" s="34" t="s">
        <v>497</v>
      </c>
      <c r="H158" s="32" t="s">
        <v>435</v>
      </c>
      <c r="I158" s="32" t="s">
        <v>436</v>
      </c>
      <c r="J158" s="32" t="s">
        <v>498</v>
      </c>
      <c r="K158" s="32" t="s">
        <v>499</v>
      </c>
      <c r="L158" s="33">
        <v>3</v>
      </c>
      <c r="M158" s="84" t="s">
        <v>505</v>
      </c>
      <c r="N158" s="34" t="s">
        <v>506</v>
      </c>
      <c r="O158" s="36">
        <v>98</v>
      </c>
      <c r="P158" s="36">
        <v>35</v>
      </c>
      <c r="Q158" s="37">
        <v>27</v>
      </c>
      <c r="R158" s="38">
        <f>IFERROR((TABLA_AVANCE_METAS[[#This Row],[AVANCE 1°. TRIM]]/TABLA_AVANCE_METAS[[#This Row],[PROGR. 1° TRIM]])*100,"0")</f>
        <v>77.142857142857153</v>
      </c>
      <c r="S158"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REGULAR</v>
      </c>
      <c r="T158" s="36">
        <v>20</v>
      </c>
      <c r="U158" s="37">
        <v>22</v>
      </c>
      <c r="V158" s="40">
        <f t="shared" si="7"/>
        <v>110.00000000000001</v>
      </c>
      <c r="W158" s="39" t="str">
        <f t="shared" si="6"/>
        <v>ADECUADO</v>
      </c>
      <c r="X158" s="36">
        <v>22</v>
      </c>
      <c r="Y158" s="37">
        <v>0</v>
      </c>
      <c r="Z158" s="40">
        <v>0</v>
      </c>
      <c r="AA158" s="39" t="s">
        <v>62</v>
      </c>
      <c r="AB158" s="36">
        <v>21</v>
      </c>
      <c r="AC158" s="41">
        <v>0</v>
      </c>
      <c r="AD158" s="40">
        <f>IFERROR((TABLA_AVANCE_METAS[[#This Row],[AVANCE 4°. TRIM]]/TABLA_AVANCE_METAS[[#This Row],[PROGR. 4° TRIM]])*100,"0")</f>
        <v>0</v>
      </c>
      <c r="AE158"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58" s="43" cm="1">
        <f t="array" ref="AF158">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55</v>
      </c>
      <c r="AG158" s="44" cm="1">
        <f t="array" ref="AG158">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49</v>
      </c>
      <c r="AH158" s="40">
        <f>IFERROR((TABLA_AVANCE_METAS[[#This Row],[AVANCE ACUM. TRIM.]]/TABLA_AVANCE_METAS[[#This Row],[PROG. ACUM]])*100,"N/A")</f>
        <v>89.090909090909093</v>
      </c>
      <c r="AI158"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REGULAR</v>
      </c>
      <c r="AJ158" s="45">
        <f>TABLA_AVANCE_METAS[[#This Row],[AVANCE ACUM. TRIM.]]-TABLA_AVANCE_METAS[[#This Row],[PROG. ACUM]]</f>
        <v>-6</v>
      </c>
      <c r="AK158" s="46">
        <f>IFERROR((TABLA_AVANCE_METAS[[#This Row],[DIFERENCIA ABSOLUTA SEMESTRAL]]/TABLA_AVANCE_METAS[[#This Row],[PROG. ACUM]])*100,"N/A")</f>
        <v>-10.909090909090908</v>
      </c>
      <c r="AL158" s="44">
        <f>TABLA_AVANCE_METAS[[#This Row],[AVANCE 1°. TRIM]]+TABLA_AVANCE_METAS[[#This Row],[AVANCE 2°. TRIM]]+TABLA_AVANCE_METAS[[#This Row],[AVANCE 3°. TRIM]]+TABLA_AVANCE_METAS[[#This Row],[AVANCE 4°. TRIM]]</f>
        <v>49</v>
      </c>
      <c r="AM158" s="40">
        <f>IFERROR((TABLA_AVANCE_METAS[[#This Row],[AVANCE ACUM. ANUAL]]/TABLA_AVANCE_METAS[[#This Row],[PROGRAMADO ANUAL]])*100,"N/A")</f>
        <v>50</v>
      </c>
      <c r="AN158"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158" s="45">
        <f>TABLA_AVANCE_METAS[[#This Row],[AVANCE ACUM. ANUAL]]-TABLA_AVANCE_METAS[[#This Row],[PROGRAMADO ANUAL]]</f>
        <v>-49</v>
      </c>
      <c r="AP158" s="47">
        <f>IFERROR((TABLA_AVANCE_METAS[[#This Row],[DIFERENCIA ABSOLUTA ANUAL]]/TABLA_AVANCE_METAS[[#This Row],[PROGRAMADO ANUAL]])*100,"N/A")</f>
        <v>-50</v>
      </c>
      <c r="AQ158" s="48" t="s">
        <v>507</v>
      </c>
      <c r="AR158" s="49"/>
      <c r="AS158" s="50"/>
      <c r="AT158" s="50"/>
      <c r="AU158" s="51" t="b">
        <f>TABLA_AVANCE_METAS[[#This Row],[PROGRAMADO ANUAL]]=SUM(TABLA_AVANCE_METAS[[#This Row],[PROGR. 1° TRIM]],TABLA_AVANCE_METAS[[#This Row],[PROGR. 2° TRIM]],TABLA_AVANCE_METAS[[#This Row],[PROGR. 3° TRIM]],TABLA_AVANCE_METAS[[#This Row],[PROGR. 4° TRIM]])</f>
        <v>1</v>
      </c>
      <c r="AV158" s="52"/>
    </row>
    <row r="159" spans="1:48" ht="75" hidden="1" customHeight="1" x14ac:dyDescent="0.3">
      <c r="A159" s="31" t="str">
        <f>CONCATENATE(TABLA_AVANCE_METAS[[#This Row],[ESTRUCTURA]],TABLA_AVANCE_METAS[[#This Row],['#]])</f>
        <v>C0022502010301044</v>
      </c>
      <c r="B159" s="32" t="s">
        <v>494</v>
      </c>
      <c r="C159" s="33" t="s">
        <v>445</v>
      </c>
      <c r="D159" s="32" t="s">
        <v>446</v>
      </c>
      <c r="E159" s="32" t="s">
        <v>495</v>
      </c>
      <c r="F159" s="32" t="s">
        <v>496</v>
      </c>
      <c r="G159" s="34" t="s">
        <v>497</v>
      </c>
      <c r="H159" s="32" t="s">
        <v>435</v>
      </c>
      <c r="I159" s="32" t="s">
        <v>436</v>
      </c>
      <c r="J159" s="32" t="s">
        <v>498</v>
      </c>
      <c r="K159" s="32" t="s">
        <v>499</v>
      </c>
      <c r="L159" s="33">
        <v>4</v>
      </c>
      <c r="M159" s="84" t="s">
        <v>508</v>
      </c>
      <c r="N159" s="34" t="s">
        <v>506</v>
      </c>
      <c r="O159" s="36">
        <v>45</v>
      </c>
      <c r="P159" s="36">
        <v>15</v>
      </c>
      <c r="Q159" s="37">
        <v>9</v>
      </c>
      <c r="R159" s="38">
        <f>IFERROR((TABLA_AVANCE_METAS[[#This Row],[AVANCE 1°. TRIM]]/TABLA_AVANCE_METAS[[#This Row],[PROGR. 1° TRIM]])*100,"0")</f>
        <v>60</v>
      </c>
      <c r="S159"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DEFICIENTE</v>
      </c>
      <c r="T159" s="36">
        <v>6</v>
      </c>
      <c r="U159" s="37">
        <v>12</v>
      </c>
      <c r="V159" s="40">
        <f t="shared" si="7"/>
        <v>200</v>
      </c>
      <c r="W159" s="39" t="str">
        <f t="shared" si="6"/>
        <v>SOBREPASADO</v>
      </c>
      <c r="X159" s="36">
        <v>12</v>
      </c>
      <c r="Y159" s="37">
        <v>0</v>
      </c>
      <c r="Z159" s="40">
        <v>0</v>
      </c>
      <c r="AA159" s="39" t="s">
        <v>62</v>
      </c>
      <c r="AB159" s="36">
        <v>12</v>
      </c>
      <c r="AC159" s="41">
        <v>0</v>
      </c>
      <c r="AD159" s="40">
        <f>IFERROR((TABLA_AVANCE_METAS[[#This Row],[AVANCE 4°. TRIM]]/TABLA_AVANCE_METAS[[#This Row],[PROGR. 4° TRIM]])*100,"0")</f>
        <v>0</v>
      </c>
      <c r="AE159"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59" s="43" cm="1">
        <f t="array" ref="AF159">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21</v>
      </c>
      <c r="AG159" s="44" cm="1">
        <f t="array" ref="AG159">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21</v>
      </c>
      <c r="AH159" s="40">
        <f>IFERROR((TABLA_AVANCE_METAS[[#This Row],[AVANCE ACUM. TRIM.]]/TABLA_AVANCE_METAS[[#This Row],[PROG. ACUM]])*100,"N/A")</f>
        <v>100</v>
      </c>
      <c r="AI159"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159" s="45">
        <f>TABLA_AVANCE_METAS[[#This Row],[AVANCE ACUM. TRIM.]]-TABLA_AVANCE_METAS[[#This Row],[PROG. ACUM]]</f>
        <v>0</v>
      </c>
      <c r="AK159" s="46">
        <f>IFERROR((TABLA_AVANCE_METAS[[#This Row],[DIFERENCIA ABSOLUTA SEMESTRAL]]/TABLA_AVANCE_METAS[[#This Row],[PROG. ACUM]])*100,"N/A")</f>
        <v>0</v>
      </c>
      <c r="AL159" s="44">
        <f>TABLA_AVANCE_METAS[[#This Row],[AVANCE 1°. TRIM]]+TABLA_AVANCE_METAS[[#This Row],[AVANCE 2°. TRIM]]+TABLA_AVANCE_METAS[[#This Row],[AVANCE 3°. TRIM]]+TABLA_AVANCE_METAS[[#This Row],[AVANCE 4°. TRIM]]</f>
        <v>21</v>
      </c>
      <c r="AM159" s="40">
        <f>IFERROR((TABLA_AVANCE_METAS[[#This Row],[AVANCE ACUM. ANUAL]]/TABLA_AVANCE_METAS[[#This Row],[PROGRAMADO ANUAL]])*100,"N/A")</f>
        <v>46.666666666666664</v>
      </c>
      <c r="AN159"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159" s="45">
        <f>TABLA_AVANCE_METAS[[#This Row],[AVANCE ACUM. ANUAL]]-TABLA_AVANCE_METAS[[#This Row],[PROGRAMADO ANUAL]]</f>
        <v>-24</v>
      </c>
      <c r="AP159" s="47">
        <f>IFERROR((TABLA_AVANCE_METAS[[#This Row],[DIFERENCIA ABSOLUTA ANUAL]]/TABLA_AVANCE_METAS[[#This Row],[PROGRAMADO ANUAL]])*100,"N/A")</f>
        <v>-53.333333333333336</v>
      </c>
      <c r="AQ159" s="48" t="s">
        <v>509</v>
      </c>
      <c r="AR159" s="49"/>
      <c r="AS159" s="50"/>
      <c r="AT159" s="50"/>
      <c r="AU159" s="51" t="b">
        <f>TABLA_AVANCE_METAS[[#This Row],[PROGRAMADO ANUAL]]=SUM(TABLA_AVANCE_METAS[[#This Row],[PROGR. 1° TRIM]],TABLA_AVANCE_METAS[[#This Row],[PROGR. 2° TRIM]],TABLA_AVANCE_METAS[[#This Row],[PROGR. 3° TRIM]],TABLA_AVANCE_METAS[[#This Row],[PROGR. 4° TRIM]])</f>
        <v>1</v>
      </c>
      <c r="AV159" s="52"/>
    </row>
    <row r="160" spans="1:48" ht="75" hidden="1" customHeight="1" x14ac:dyDescent="0.3">
      <c r="A160" s="31" t="str">
        <f>CONCATENATE(TABLA_AVANCE_METAS[[#This Row],[ESTRUCTURA]],TABLA_AVANCE_METAS[[#This Row],['#]])</f>
        <v>C0022502010301045</v>
      </c>
      <c r="B160" s="32" t="s">
        <v>494</v>
      </c>
      <c r="C160" s="33" t="s">
        <v>445</v>
      </c>
      <c r="D160" s="32" t="s">
        <v>446</v>
      </c>
      <c r="E160" s="32" t="s">
        <v>495</v>
      </c>
      <c r="F160" s="32" t="s">
        <v>496</v>
      </c>
      <c r="G160" s="34" t="s">
        <v>497</v>
      </c>
      <c r="H160" s="32" t="s">
        <v>435</v>
      </c>
      <c r="I160" s="32" t="s">
        <v>436</v>
      </c>
      <c r="J160" s="32" t="s">
        <v>498</v>
      </c>
      <c r="K160" s="32" t="s">
        <v>499</v>
      </c>
      <c r="L160" s="33">
        <v>5</v>
      </c>
      <c r="M160" s="84" t="s">
        <v>510</v>
      </c>
      <c r="N160" s="34" t="s">
        <v>511</v>
      </c>
      <c r="O160" s="36">
        <v>783316</v>
      </c>
      <c r="P160" s="36">
        <v>241056</v>
      </c>
      <c r="Q160" s="37">
        <v>211627</v>
      </c>
      <c r="R160" s="38">
        <f>IFERROR((TABLA_AVANCE_METAS[[#This Row],[AVANCE 1°. TRIM]]/TABLA_AVANCE_METAS[[#This Row],[PROGR. 1° TRIM]])*100,"0")</f>
        <v>87.791633479357486</v>
      </c>
      <c r="S160"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REGULAR</v>
      </c>
      <c r="T160" s="36">
        <v>180780</v>
      </c>
      <c r="U160" s="37">
        <v>175779</v>
      </c>
      <c r="V160" s="40">
        <f t="shared" si="7"/>
        <v>97.233654165283767</v>
      </c>
      <c r="W160" s="39" t="str">
        <f t="shared" si="6"/>
        <v>ADECUADO</v>
      </c>
      <c r="X160" s="36">
        <v>180780</v>
      </c>
      <c r="Y160" s="37">
        <v>0</v>
      </c>
      <c r="Z160" s="40">
        <v>0</v>
      </c>
      <c r="AA160" s="39" t="s">
        <v>62</v>
      </c>
      <c r="AB160" s="36">
        <v>180700</v>
      </c>
      <c r="AC160" s="41">
        <v>0</v>
      </c>
      <c r="AD160" s="40">
        <f>IFERROR((TABLA_AVANCE_METAS[[#This Row],[AVANCE 4°. TRIM]]/TABLA_AVANCE_METAS[[#This Row],[PROGR. 4° TRIM]])*100,"0")</f>
        <v>0</v>
      </c>
      <c r="AE160"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60" s="43" cm="1">
        <f t="array" ref="AF160">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421836</v>
      </c>
      <c r="AG160" s="44" cm="1">
        <f t="array" ref="AG160">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387406</v>
      </c>
      <c r="AH160" s="40">
        <f>IFERROR((TABLA_AVANCE_METAS[[#This Row],[AVANCE ACUM. TRIM.]]/TABLA_AVANCE_METAS[[#This Row],[PROG. ACUM]])*100,"N/A")</f>
        <v>91.838060288832622</v>
      </c>
      <c r="AI160"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160" s="45">
        <f>TABLA_AVANCE_METAS[[#This Row],[AVANCE ACUM. TRIM.]]-TABLA_AVANCE_METAS[[#This Row],[PROG. ACUM]]</f>
        <v>-34430</v>
      </c>
      <c r="AK160" s="46">
        <f>IFERROR((TABLA_AVANCE_METAS[[#This Row],[DIFERENCIA ABSOLUTA SEMESTRAL]]/TABLA_AVANCE_METAS[[#This Row],[PROG. ACUM]])*100,"N/A")</f>
        <v>-8.1619397111673742</v>
      </c>
      <c r="AL160" s="44">
        <f>TABLA_AVANCE_METAS[[#This Row],[AVANCE 1°. TRIM]]+TABLA_AVANCE_METAS[[#This Row],[AVANCE 2°. TRIM]]+TABLA_AVANCE_METAS[[#This Row],[AVANCE 3°. TRIM]]+TABLA_AVANCE_METAS[[#This Row],[AVANCE 4°. TRIM]]</f>
        <v>387406</v>
      </c>
      <c r="AM160" s="40">
        <f>IFERROR((TABLA_AVANCE_METAS[[#This Row],[AVANCE ACUM. ANUAL]]/TABLA_AVANCE_METAS[[#This Row],[PROGRAMADO ANUAL]])*100,"N/A")</f>
        <v>49.457179478013977</v>
      </c>
      <c r="AN160"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160" s="45">
        <f>TABLA_AVANCE_METAS[[#This Row],[AVANCE ACUM. ANUAL]]-TABLA_AVANCE_METAS[[#This Row],[PROGRAMADO ANUAL]]</f>
        <v>-395910</v>
      </c>
      <c r="AP160" s="47">
        <f>IFERROR((TABLA_AVANCE_METAS[[#This Row],[DIFERENCIA ABSOLUTA ANUAL]]/TABLA_AVANCE_METAS[[#This Row],[PROGRAMADO ANUAL]])*100,"N/A")</f>
        <v>-50.542820521986023</v>
      </c>
      <c r="AQ160" s="48" t="s">
        <v>63</v>
      </c>
      <c r="AR160" s="49"/>
      <c r="AS160" s="50"/>
      <c r="AT160" s="50"/>
      <c r="AU160" s="51" t="b">
        <f>TABLA_AVANCE_METAS[[#This Row],[PROGRAMADO ANUAL]]=SUM(TABLA_AVANCE_METAS[[#This Row],[PROGR. 1° TRIM]],TABLA_AVANCE_METAS[[#This Row],[PROGR. 2° TRIM]],TABLA_AVANCE_METAS[[#This Row],[PROGR. 3° TRIM]],TABLA_AVANCE_METAS[[#This Row],[PROGR. 4° TRIM]])</f>
        <v>1</v>
      </c>
      <c r="AV160" s="52"/>
    </row>
    <row r="161" spans="1:48" ht="75" hidden="1" customHeight="1" x14ac:dyDescent="0.3">
      <c r="A161" s="31" t="str">
        <f>CONCATENATE(TABLA_AVANCE_METAS[[#This Row],[ESTRUCTURA]],TABLA_AVANCE_METAS[[#This Row],['#]])</f>
        <v>C0022502010301046</v>
      </c>
      <c r="B161" s="32" t="s">
        <v>494</v>
      </c>
      <c r="C161" s="33" t="s">
        <v>445</v>
      </c>
      <c r="D161" s="32" t="s">
        <v>446</v>
      </c>
      <c r="E161" s="32" t="s">
        <v>495</v>
      </c>
      <c r="F161" s="32" t="s">
        <v>496</v>
      </c>
      <c r="G161" s="34" t="s">
        <v>497</v>
      </c>
      <c r="H161" s="32" t="s">
        <v>435</v>
      </c>
      <c r="I161" s="32" t="s">
        <v>436</v>
      </c>
      <c r="J161" s="32" t="s">
        <v>498</v>
      </c>
      <c r="K161" s="32" t="s">
        <v>499</v>
      </c>
      <c r="L161" s="33">
        <v>6</v>
      </c>
      <c r="M161" s="84" t="s">
        <v>512</v>
      </c>
      <c r="N161" s="34" t="s">
        <v>513</v>
      </c>
      <c r="O161" s="36">
        <v>1</v>
      </c>
      <c r="P161" s="36">
        <v>0</v>
      </c>
      <c r="Q161" s="37">
        <v>0</v>
      </c>
      <c r="R161" s="38" t="str">
        <f>IFERROR((TABLA_AVANCE_METAS[[#This Row],[AVANCE 1°. TRIM]]/TABLA_AVANCE_METAS[[#This Row],[PROGR. 1° TRIM]])*100,"0")</f>
        <v>0</v>
      </c>
      <c r="S161"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NO PROG.</v>
      </c>
      <c r="T161" s="36">
        <v>0</v>
      </c>
      <c r="U161" s="37">
        <v>0</v>
      </c>
      <c r="V161" s="40" t="str">
        <f t="shared" si="7"/>
        <v>0</v>
      </c>
      <c r="W161" s="39" t="str">
        <f t="shared" si="6"/>
        <v>NO PROG.</v>
      </c>
      <c r="X161" s="36">
        <v>1</v>
      </c>
      <c r="Y161" s="37">
        <v>0</v>
      </c>
      <c r="Z161" s="40">
        <v>0</v>
      </c>
      <c r="AA161" s="39" t="s">
        <v>62</v>
      </c>
      <c r="AB161" s="36">
        <v>0</v>
      </c>
      <c r="AC161" s="41">
        <v>0</v>
      </c>
      <c r="AD161" s="40" t="str">
        <f>IFERROR((TABLA_AVANCE_METAS[[#This Row],[AVANCE 4°. TRIM]]/TABLA_AVANCE_METAS[[#This Row],[PROGR. 4° TRIM]])*100,"0")</f>
        <v>0</v>
      </c>
      <c r="AE161"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NO PROG.</v>
      </c>
      <c r="AF161" s="43" cm="1">
        <f t="array" ref="AF161">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0</v>
      </c>
      <c r="AG161" s="44" cm="1">
        <f t="array" ref="AG161">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0</v>
      </c>
      <c r="AH161" s="40" t="str">
        <f>IFERROR((TABLA_AVANCE_METAS[[#This Row],[AVANCE ACUM. TRIM.]]/TABLA_AVANCE_METAS[[#This Row],[PROG. ACUM]])*100,"N/A")</f>
        <v>N/A</v>
      </c>
      <c r="AI161"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NO PROG.</v>
      </c>
      <c r="AJ161" s="45">
        <f>TABLA_AVANCE_METAS[[#This Row],[AVANCE ACUM. TRIM.]]-TABLA_AVANCE_METAS[[#This Row],[PROG. ACUM]]</f>
        <v>0</v>
      </c>
      <c r="AK161" s="46" t="str">
        <f>IFERROR((TABLA_AVANCE_METAS[[#This Row],[DIFERENCIA ABSOLUTA SEMESTRAL]]/TABLA_AVANCE_METAS[[#This Row],[PROG. ACUM]])*100,"N/A")</f>
        <v>N/A</v>
      </c>
      <c r="AL161" s="44">
        <f>TABLA_AVANCE_METAS[[#This Row],[AVANCE 1°. TRIM]]+TABLA_AVANCE_METAS[[#This Row],[AVANCE 2°. TRIM]]+TABLA_AVANCE_METAS[[#This Row],[AVANCE 3°. TRIM]]+TABLA_AVANCE_METAS[[#This Row],[AVANCE 4°. TRIM]]</f>
        <v>0</v>
      </c>
      <c r="AM161" s="40">
        <f>IFERROR((TABLA_AVANCE_METAS[[#This Row],[AVANCE ACUM. ANUAL]]/TABLA_AVANCE_METAS[[#This Row],[PROGRAMADO ANUAL]])*100,"N/A")</f>
        <v>0</v>
      </c>
      <c r="AN161"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161" s="45">
        <f>TABLA_AVANCE_METAS[[#This Row],[AVANCE ACUM. ANUAL]]-TABLA_AVANCE_METAS[[#This Row],[PROGRAMADO ANUAL]]</f>
        <v>-1</v>
      </c>
      <c r="AP161" s="47">
        <f>IFERROR((TABLA_AVANCE_METAS[[#This Row],[DIFERENCIA ABSOLUTA ANUAL]]/TABLA_AVANCE_METAS[[#This Row],[PROGRAMADO ANUAL]])*100,"N/A")</f>
        <v>-100</v>
      </c>
      <c r="AQ161" s="48" t="s">
        <v>63</v>
      </c>
      <c r="AR161" s="49"/>
      <c r="AS161" s="50"/>
      <c r="AT161" s="50"/>
      <c r="AU161" s="51" t="b">
        <f>TABLA_AVANCE_METAS[[#This Row],[PROGRAMADO ANUAL]]=SUM(TABLA_AVANCE_METAS[[#This Row],[PROGR. 1° TRIM]],TABLA_AVANCE_METAS[[#This Row],[PROGR. 2° TRIM]],TABLA_AVANCE_METAS[[#This Row],[PROGR. 3° TRIM]],TABLA_AVANCE_METAS[[#This Row],[PROGR. 4° TRIM]])</f>
        <v>1</v>
      </c>
      <c r="AV161" s="52"/>
    </row>
    <row r="162" spans="1:48" ht="75" hidden="1" customHeight="1" x14ac:dyDescent="0.3">
      <c r="A162" s="31" t="str">
        <f>CONCATENATE(TABLA_AVANCE_METAS[[#This Row],[ESTRUCTURA]],TABLA_AVANCE_METAS[[#This Row],['#]])</f>
        <v>C0022502010301047</v>
      </c>
      <c r="B162" s="32" t="s">
        <v>494</v>
      </c>
      <c r="C162" s="33" t="s">
        <v>445</v>
      </c>
      <c r="D162" s="32" t="s">
        <v>446</v>
      </c>
      <c r="E162" s="32" t="s">
        <v>495</v>
      </c>
      <c r="F162" s="32" t="s">
        <v>496</v>
      </c>
      <c r="G162" s="34" t="s">
        <v>497</v>
      </c>
      <c r="H162" s="32" t="s">
        <v>435</v>
      </c>
      <c r="I162" s="32" t="s">
        <v>436</v>
      </c>
      <c r="J162" s="32" t="s">
        <v>498</v>
      </c>
      <c r="K162" s="32" t="s">
        <v>499</v>
      </c>
      <c r="L162" s="33">
        <v>7</v>
      </c>
      <c r="M162" s="35" t="s">
        <v>514</v>
      </c>
      <c r="N162" s="34" t="s">
        <v>151</v>
      </c>
      <c r="O162" s="36">
        <v>1</v>
      </c>
      <c r="P162" s="36">
        <v>1</v>
      </c>
      <c r="Q162" s="37">
        <v>0</v>
      </c>
      <c r="R162" s="38">
        <f>IFERROR((TABLA_AVANCE_METAS[[#This Row],[AVANCE 1°. TRIM]]/TABLA_AVANCE_METAS[[#This Row],[PROGR. 1° TRIM]])*100,"0")</f>
        <v>0</v>
      </c>
      <c r="S162"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CRÍTICO</v>
      </c>
      <c r="T162" s="36">
        <v>0</v>
      </c>
      <c r="U162" s="37">
        <v>1</v>
      </c>
      <c r="V162" s="40" t="str">
        <f t="shared" si="7"/>
        <v>0</v>
      </c>
      <c r="W162" s="39" t="str">
        <f t="shared" si="6"/>
        <v>NO PROG.</v>
      </c>
      <c r="X162" s="36">
        <v>0</v>
      </c>
      <c r="Y162" s="37">
        <v>0</v>
      </c>
      <c r="Z162" s="40" t="s">
        <v>72</v>
      </c>
      <c r="AA162" s="39" t="s">
        <v>73</v>
      </c>
      <c r="AB162" s="36">
        <v>0</v>
      </c>
      <c r="AC162" s="41">
        <v>0</v>
      </c>
      <c r="AD162" s="40" t="str">
        <f>IFERROR((TABLA_AVANCE_METAS[[#This Row],[AVANCE 4°. TRIM]]/TABLA_AVANCE_METAS[[#This Row],[PROGR. 4° TRIM]])*100,"0")</f>
        <v>0</v>
      </c>
      <c r="AE162"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NO PROG.</v>
      </c>
      <c r="AF162" s="43" cm="1">
        <f t="array" ref="AF162">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v>
      </c>
      <c r="AG162" s="44" cm="1">
        <f t="array" ref="AG162">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1</v>
      </c>
      <c r="AH162" s="40">
        <f>IFERROR((TABLA_AVANCE_METAS[[#This Row],[AVANCE ACUM. TRIM.]]/TABLA_AVANCE_METAS[[#This Row],[PROG. ACUM]])*100,"N/A")</f>
        <v>100</v>
      </c>
      <c r="AI162"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162" s="45">
        <f>TABLA_AVANCE_METAS[[#This Row],[AVANCE ACUM. TRIM.]]-TABLA_AVANCE_METAS[[#This Row],[PROG. ACUM]]</f>
        <v>0</v>
      </c>
      <c r="AK162" s="46">
        <f>IFERROR((TABLA_AVANCE_METAS[[#This Row],[DIFERENCIA ABSOLUTA SEMESTRAL]]/TABLA_AVANCE_METAS[[#This Row],[PROG. ACUM]])*100,"N/A")</f>
        <v>0</v>
      </c>
      <c r="AL162" s="44">
        <f>TABLA_AVANCE_METAS[[#This Row],[AVANCE 1°. TRIM]]+TABLA_AVANCE_METAS[[#This Row],[AVANCE 2°. TRIM]]+TABLA_AVANCE_METAS[[#This Row],[AVANCE 3°. TRIM]]+TABLA_AVANCE_METAS[[#This Row],[AVANCE 4°. TRIM]]</f>
        <v>1</v>
      </c>
      <c r="AM162" s="40">
        <f>IFERROR((TABLA_AVANCE_METAS[[#This Row],[AVANCE ACUM. ANUAL]]/TABLA_AVANCE_METAS[[#This Row],[PROGRAMADO ANUAL]])*100,"N/A")</f>
        <v>100</v>
      </c>
      <c r="AN162"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ADECUADO</v>
      </c>
      <c r="AO162" s="45">
        <f>TABLA_AVANCE_METAS[[#This Row],[AVANCE ACUM. ANUAL]]-TABLA_AVANCE_METAS[[#This Row],[PROGRAMADO ANUAL]]</f>
        <v>0</v>
      </c>
      <c r="AP162" s="47">
        <f>IFERROR((TABLA_AVANCE_METAS[[#This Row],[DIFERENCIA ABSOLUTA ANUAL]]/TABLA_AVANCE_METAS[[#This Row],[PROGRAMADO ANUAL]])*100,"N/A")</f>
        <v>0</v>
      </c>
      <c r="AQ162" s="48" t="s">
        <v>515</v>
      </c>
      <c r="AR162" s="49"/>
      <c r="AS162" s="50"/>
      <c r="AT162" s="50"/>
      <c r="AU162" s="51" t="b">
        <f>TABLA_AVANCE_METAS[[#This Row],[PROGRAMADO ANUAL]]=SUM(TABLA_AVANCE_METAS[[#This Row],[PROGR. 1° TRIM]],TABLA_AVANCE_METAS[[#This Row],[PROGR. 2° TRIM]],TABLA_AVANCE_METAS[[#This Row],[PROGR. 3° TRIM]],TABLA_AVANCE_METAS[[#This Row],[PROGR. 4° TRIM]])</f>
        <v>1</v>
      </c>
      <c r="AV162" s="52"/>
    </row>
    <row r="163" spans="1:48" ht="75" hidden="1" customHeight="1" x14ac:dyDescent="0.3">
      <c r="A163" s="31" t="str">
        <f>CONCATENATE(TABLA_AVANCE_METAS[[#This Row],[ESTRUCTURA]],TABLA_AVANCE_METAS[[#This Row],['#]])</f>
        <v>C0022002020301071</v>
      </c>
      <c r="B163" s="32" t="s">
        <v>516</v>
      </c>
      <c r="C163" s="33" t="s">
        <v>445</v>
      </c>
      <c r="D163" s="32" t="s">
        <v>446</v>
      </c>
      <c r="E163" s="32" t="s">
        <v>401</v>
      </c>
      <c r="F163" s="32" t="s">
        <v>402</v>
      </c>
      <c r="G163" s="34" t="s">
        <v>517</v>
      </c>
      <c r="H163" s="32" t="s">
        <v>177</v>
      </c>
      <c r="I163" s="32" t="s">
        <v>178</v>
      </c>
      <c r="J163" s="32" t="s">
        <v>518</v>
      </c>
      <c r="K163" s="32" t="s">
        <v>519</v>
      </c>
      <c r="L163" s="33">
        <v>1</v>
      </c>
      <c r="M163" s="35" t="s">
        <v>520</v>
      </c>
      <c r="N163" s="34" t="s">
        <v>469</v>
      </c>
      <c r="O163" s="36">
        <v>40</v>
      </c>
      <c r="P163" s="36">
        <v>10</v>
      </c>
      <c r="Q163" s="37">
        <v>10</v>
      </c>
      <c r="R163" s="38">
        <f>IFERROR((TABLA_AVANCE_METAS[[#This Row],[AVANCE 1°. TRIM]]/TABLA_AVANCE_METAS[[#This Row],[PROGR. 1° TRIM]])*100,"0")</f>
        <v>100</v>
      </c>
      <c r="S163"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163" s="36">
        <v>10</v>
      </c>
      <c r="U163" s="37">
        <v>10</v>
      </c>
      <c r="V163" s="40">
        <f t="shared" si="7"/>
        <v>100</v>
      </c>
      <c r="W163" s="39" t="str">
        <f t="shared" si="6"/>
        <v>ADECUADO</v>
      </c>
      <c r="X163" s="36">
        <v>10</v>
      </c>
      <c r="Y163" s="37">
        <v>0</v>
      </c>
      <c r="Z163" s="40">
        <v>0</v>
      </c>
      <c r="AA163" s="39" t="s">
        <v>62</v>
      </c>
      <c r="AB163" s="36">
        <v>10</v>
      </c>
      <c r="AC163" s="41">
        <v>0</v>
      </c>
      <c r="AD163" s="40">
        <f>IFERROR((TABLA_AVANCE_METAS[[#This Row],[AVANCE 4°. TRIM]]/TABLA_AVANCE_METAS[[#This Row],[PROGR. 4° TRIM]])*100,"0")</f>
        <v>0</v>
      </c>
      <c r="AE163"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63" s="43" cm="1">
        <f t="array" ref="AF163">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20</v>
      </c>
      <c r="AG163" s="44" cm="1">
        <f t="array" ref="AG163">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20</v>
      </c>
      <c r="AH163" s="40">
        <f>IFERROR((TABLA_AVANCE_METAS[[#This Row],[AVANCE ACUM. TRIM.]]/TABLA_AVANCE_METAS[[#This Row],[PROG. ACUM]])*100,"N/A")</f>
        <v>100</v>
      </c>
      <c r="AI163"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163" s="45">
        <f>TABLA_AVANCE_METAS[[#This Row],[AVANCE ACUM. TRIM.]]-TABLA_AVANCE_METAS[[#This Row],[PROG. ACUM]]</f>
        <v>0</v>
      </c>
      <c r="AK163" s="46">
        <f>IFERROR((TABLA_AVANCE_METAS[[#This Row],[DIFERENCIA ABSOLUTA SEMESTRAL]]/TABLA_AVANCE_METAS[[#This Row],[PROG. ACUM]])*100,"N/A")</f>
        <v>0</v>
      </c>
      <c r="AL163" s="44">
        <f>TABLA_AVANCE_METAS[[#This Row],[AVANCE 1°. TRIM]]+TABLA_AVANCE_METAS[[#This Row],[AVANCE 2°. TRIM]]+TABLA_AVANCE_METAS[[#This Row],[AVANCE 3°. TRIM]]+TABLA_AVANCE_METAS[[#This Row],[AVANCE 4°. TRIM]]</f>
        <v>20</v>
      </c>
      <c r="AM163" s="40">
        <f>IFERROR((TABLA_AVANCE_METAS[[#This Row],[AVANCE ACUM. ANUAL]]/TABLA_AVANCE_METAS[[#This Row],[PROGRAMADO ANUAL]])*100,"N/A")</f>
        <v>50</v>
      </c>
      <c r="AN163"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163" s="45">
        <f>TABLA_AVANCE_METAS[[#This Row],[AVANCE ACUM. ANUAL]]-TABLA_AVANCE_METAS[[#This Row],[PROGRAMADO ANUAL]]</f>
        <v>-20</v>
      </c>
      <c r="AP163" s="47">
        <f>IFERROR((TABLA_AVANCE_METAS[[#This Row],[DIFERENCIA ABSOLUTA ANUAL]]/TABLA_AVANCE_METAS[[#This Row],[PROGRAMADO ANUAL]])*100,"N/A")</f>
        <v>-50</v>
      </c>
      <c r="AQ163" s="48" t="s">
        <v>63</v>
      </c>
      <c r="AR163" s="49"/>
      <c r="AS163" s="50"/>
      <c r="AT163" s="50"/>
      <c r="AU163" s="51" t="b">
        <f>TABLA_AVANCE_METAS[[#This Row],[PROGRAMADO ANUAL]]=SUM(TABLA_AVANCE_METAS[[#This Row],[PROGR. 1° TRIM]],TABLA_AVANCE_METAS[[#This Row],[PROGR. 2° TRIM]],TABLA_AVANCE_METAS[[#This Row],[PROGR. 3° TRIM]],TABLA_AVANCE_METAS[[#This Row],[PROGR. 4° TRIM]])</f>
        <v>1</v>
      </c>
      <c r="AV163" s="52"/>
    </row>
    <row r="164" spans="1:48" ht="75" hidden="1" customHeight="1" x14ac:dyDescent="0.3">
      <c r="A164" s="31" t="str">
        <f>CONCATENATE(TABLA_AVANCE_METAS[[#This Row],[ESTRUCTURA]],TABLA_AVANCE_METAS[[#This Row],['#]])</f>
        <v>C0022002020301072</v>
      </c>
      <c r="B164" s="32" t="s">
        <v>516</v>
      </c>
      <c r="C164" s="33" t="s">
        <v>445</v>
      </c>
      <c r="D164" s="32" t="s">
        <v>446</v>
      </c>
      <c r="E164" s="32" t="s">
        <v>401</v>
      </c>
      <c r="F164" s="32" t="s">
        <v>402</v>
      </c>
      <c r="G164" s="34" t="s">
        <v>517</v>
      </c>
      <c r="H164" s="32" t="s">
        <v>177</v>
      </c>
      <c r="I164" s="32" t="s">
        <v>178</v>
      </c>
      <c r="J164" s="32" t="s">
        <v>518</v>
      </c>
      <c r="K164" s="32" t="s">
        <v>519</v>
      </c>
      <c r="L164" s="33">
        <v>2</v>
      </c>
      <c r="M164" s="35" t="s">
        <v>521</v>
      </c>
      <c r="N164" s="34" t="s">
        <v>522</v>
      </c>
      <c r="O164" s="36">
        <v>12</v>
      </c>
      <c r="P164" s="36">
        <v>3</v>
      </c>
      <c r="Q164" s="37">
        <v>3</v>
      </c>
      <c r="R164" s="38">
        <f>IFERROR((TABLA_AVANCE_METAS[[#This Row],[AVANCE 1°. TRIM]]/TABLA_AVANCE_METAS[[#This Row],[PROGR. 1° TRIM]])*100,"0")</f>
        <v>100</v>
      </c>
      <c r="S164"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164" s="36">
        <v>3</v>
      </c>
      <c r="U164" s="37">
        <v>3</v>
      </c>
      <c r="V164" s="40">
        <f t="shared" si="7"/>
        <v>100</v>
      </c>
      <c r="W164" s="39" t="str">
        <f t="shared" si="6"/>
        <v>ADECUADO</v>
      </c>
      <c r="X164" s="36">
        <v>3</v>
      </c>
      <c r="Y164" s="37">
        <v>0</v>
      </c>
      <c r="Z164" s="40">
        <v>0</v>
      </c>
      <c r="AA164" s="39" t="s">
        <v>62</v>
      </c>
      <c r="AB164" s="36">
        <v>3</v>
      </c>
      <c r="AC164" s="41">
        <v>0</v>
      </c>
      <c r="AD164" s="40">
        <f>IFERROR((TABLA_AVANCE_METAS[[#This Row],[AVANCE 4°. TRIM]]/TABLA_AVANCE_METAS[[#This Row],[PROGR. 4° TRIM]])*100,"0")</f>
        <v>0</v>
      </c>
      <c r="AE164"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64" s="43" cm="1">
        <f t="array" ref="AF164">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6</v>
      </c>
      <c r="AG164" s="44" cm="1">
        <f t="array" ref="AG164">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6</v>
      </c>
      <c r="AH164" s="40">
        <f>IFERROR((TABLA_AVANCE_METAS[[#This Row],[AVANCE ACUM. TRIM.]]/TABLA_AVANCE_METAS[[#This Row],[PROG. ACUM]])*100,"N/A")</f>
        <v>100</v>
      </c>
      <c r="AI164"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164" s="45">
        <f>TABLA_AVANCE_METAS[[#This Row],[AVANCE ACUM. TRIM.]]-TABLA_AVANCE_METAS[[#This Row],[PROG. ACUM]]</f>
        <v>0</v>
      </c>
      <c r="AK164" s="46">
        <f>IFERROR((TABLA_AVANCE_METAS[[#This Row],[DIFERENCIA ABSOLUTA SEMESTRAL]]/TABLA_AVANCE_METAS[[#This Row],[PROG. ACUM]])*100,"N/A")</f>
        <v>0</v>
      </c>
      <c r="AL164" s="44">
        <f>TABLA_AVANCE_METAS[[#This Row],[AVANCE 1°. TRIM]]+TABLA_AVANCE_METAS[[#This Row],[AVANCE 2°. TRIM]]+TABLA_AVANCE_METAS[[#This Row],[AVANCE 3°. TRIM]]+TABLA_AVANCE_METAS[[#This Row],[AVANCE 4°. TRIM]]</f>
        <v>6</v>
      </c>
      <c r="AM164" s="40">
        <f>IFERROR((TABLA_AVANCE_METAS[[#This Row],[AVANCE ACUM. ANUAL]]/TABLA_AVANCE_METAS[[#This Row],[PROGRAMADO ANUAL]])*100,"N/A")</f>
        <v>50</v>
      </c>
      <c r="AN164"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164" s="45">
        <f>TABLA_AVANCE_METAS[[#This Row],[AVANCE ACUM. ANUAL]]-TABLA_AVANCE_METAS[[#This Row],[PROGRAMADO ANUAL]]</f>
        <v>-6</v>
      </c>
      <c r="AP164" s="47">
        <f>IFERROR((TABLA_AVANCE_METAS[[#This Row],[DIFERENCIA ABSOLUTA ANUAL]]/TABLA_AVANCE_METAS[[#This Row],[PROGRAMADO ANUAL]])*100,"N/A")</f>
        <v>-50</v>
      </c>
      <c r="AQ164" s="48" t="s">
        <v>63</v>
      </c>
      <c r="AR164" s="49"/>
      <c r="AS164" s="50"/>
      <c r="AT164" s="50"/>
      <c r="AU164" s="51" t="b">
        <f>TABLA_AVANCE_METAS[[#This Row],[PROGRAMADO ANUAL]]=SUM(TABLA_AVANCE_METAS[[#This Row],[PROGR. 1° TRIM]],TABLA_AVANCE_METAS[[#This Row],[PROGR. 2° TRIM]],TABLA_AVANCE_METAS[[#This Row],[PROGR. 3° TRIM]],TABLA_AVANCE_METAS[[#This Row],[PROGR. 4° TRIM]])</f>
        <v>1</v>
      </c>
      <c r="AV164" s="52"/>
    </row>
    <row r="165" spans="1:48" ht="75" hidden="1" customHeight="1" x14ac:dyDescent="0.3">
      <c r="A165" s="31" t="str">
        <f>CONCATENATE(TABLA_AVANCE_METAS[[#This Row],[ESTRUCTURA]],TABLA_AVANCE_METAS[[#This Row],['#]])</f>
        <v>C0022002020301073</v>
      </c>
      <c r="B165" s="32" t="s">
        <v>516</v>
      </c>
      <c r="C165" s="55" t="s">
        <v>445</v>
      </c>
      <c r="D165" s="54" t="s">
        <v>446</v>
      </c>
      <c r="E165" s="32" t="s">
        <v>401</v>
      </c>
      <c r="F165" s="54" t="s">
        <v>402</v>
      </c>
      <c r="G165" s="56" t="s">
        <v>517</v>
      </c>
      <c r="H165" s="54" t="s">
        <v>177</v>
      </c>
      <c r="I165" s="54" t="s">
        <v>178</v>
      </c>
      <c r="J165" s="54" t="s">
        <v>518</v>
      </c>
      <c r="K165" s="54" t="s">
        <v>519</v>
      </c>
      <c r="L165" s="55">
        <v>3</v>
      </c>
      <c r="M165" s="57" t="s">
        <v>523</v>
      </c>
      <c r="N165" s="56" t="s">
        <v>524</v>
      </c>
      <c r="O165" s="36">
        <v>12</v>
      </c>
      <c r="P165" s="36">
        <v>3</v>
      </c>
      <c r="Q165" s="37">
        <v>3</v>
      </c>
      <c r="R165" s="38">
        <f>IFERROR((TABLA_AVANCE_METAS[[#This Row],[AVANCE 1°. TRIM]]/TABLA_AVANCE_METAS[[#This Row],[PROGR. 1° TRIM]])*100,"0")</f>
        <v>100</v>
      </c>
      <c r="S165"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165" s="36">
        <v>3</v>
      </c>
      <c r="U165" s="37">
        <v>3</v>
      </c>
      <c r="V165" s="40">
        <f t="shared" si="7"/>
        <v>100</v>
      </c>
      <c r="W165" s="39" t="str">
        <f t="shared" si="6"/>
        <v>ADECUADO</v>
      </c>
      <c r="X165" s="36">
        <v>3</v>
      </c>
      <c r="Y165" s="37">
        <v>0</v>
      </c>
      <c r="Z165" s="40">
        <v>0</v>
      </c>
      <c r="AA165" s="39" t="s">
        <v>62</v>
      </c>
      <c r="AB165" s="36">
        <v>3</v>
      </c>
      <c r="AC165" s="41">
        <v>0</v>
      </c>
      <c r="AD165" s="40">
        <f>IFERROR((TABLA_AVANCE_METAS[[#This Row],[AVANCE 4°. TRIM]]/TABLA_AVANCE_METAS[[#This Row],[PROGR. 4° TRIM]])*100,"0")</f>
        <v>0</v>
      </c>
      <c r="AE165"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65" s="43" cm="1">
        <f t="array" ref="AF165">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6</v>
      </c>
      <c r="AG165" s="44" cm="1">
        <f t="array" ref="AG165">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6</v>
      </c>
      <c r="AH165" s="40">
        <f>IFERROR((TABLA_AVANCE_METAS[[#This Row],[AVANCE ACUM. TRIM.]]/TABLA_AVANCE_METAS[[#This Row],[PROG. ACUM]])*100,"N/A")</f>
        <v>100</v>
      </c>
      <c r="AI165"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165" s="45">
        <f>TABLA_AVANCE_METAS[[#This Row],[AVANCE ACUM. TRIM.]]-TABLA_AVANCE_METAS[[#This Row],[PROG. ACUM]]</f>
        <v>0</v>
      </c>
      <c r="AK165" s="46">
        <f>IFERROR((TABLA_AVANCE_METAS[[#This Row],[DIFERENCIA ABSOLUTA SEMESTRAL]]/TABLA_AVANCE_METAS[[#This Row],[PROG. ACUM]])*100,"N/A")</f>
        <v>0</v>
      </c>
      <c r="AL165" s="44">
        <f>TABLA_AVANCE_METAS[[#This Row],[AVANCE 1°. TRIM]]+TABLA_AVANCE_METAS[[#This Row],[AVANCE 2°. TRIM]]+TABLA_AVANCE_METAS[[#This Row],[AVANCE 3°. TRIM]]+TABLA_AVANCE_METAS[[#This Row],[AVANCE 4°. TRIM]]</f>
        <v>6</v>
      </c>
      <c r="AM165" s="40">
        <f>IFERROR((TABLA_AVANCE_METAS[[#This Row],[AVANCE ACUM. ANUAL]]/TABLA_AVANCE_METAS[[#This Row],[PROGRAMADO ANUAL]])*100,"N/A")</f>
        <v>50</v>
      </c>
      <c r="AN165"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165" s="45">
        <f>TABLA_AVANCE_METAS[[#This Row],[AVANCE ACUM. ANUAL]]-TABLA_AVANCE_METAS[[#This Row],[PROGRAMADO ANUAL]]</f>
        <v>-6</v>
      </c>
      <c r="AP165" s="47">
        <f>IFERROR((TABLA_AVANCE_METAS[[#This Row],[DIFERENCIA ABSOLUTA ANUAL]]/TABLA_AVANCE_METAS[[#This Row],[PROGRAMADO ANUAL]])*100,"N/A")</f>
        <v>-50</v>
      </c>
      <c r="AQ165" s="48" t="s">
        <v>63</v>
      </c>
      <c r="AR165" s="49"/>
      <c r="AS165" s="50"/>
      <c r="AT165" s="50"/>
      <c r="AU165" s="51" t="b">
        <f>TABLA_AVANCE_METAS[[#This Row],[PROGRAMADO ANUAL]]=SUM(TABLA_AVANCE_METAS[[#This Row],[PROGR. 1° TRIM]],TABLA_AVANCE_METAS[[#This Row],[PROGR. 2° TRIM]],TABLA_AVANCE_METAS[[#This Row],[PROGR. 3° TRIM]],TABLA_AVANCE_METAS[[#This Row],[PROGR. 4° TRIM]])</f>
        <v>1</v>
      </c>
      <c r="AV165" s="52"/>
    </row>
    <row r="166" spans="1:48" ht="75" hidden="1" customHeight="1" x14ac:dyDescent="0.3">
      <c r="A166" s="65" t="str">
        <f>CONCATENATE(TABLA_AVANCE_METAS[[#This Row],[ESTRUCTURA]],TABLA_AVANCE_METAS[[#This Row],['#]])</f>
        <v>C0021902020301101</v>
      </c>
      <c r="B166" s="66" t="s">
        <v>525</v>
      </c>
      <c r="C166" s="79" t="s">
        <v>445</v>
      </c>
      <c r="D166" s="85" t="s">
        <v>446</v>
      </c>
      <c r="E166" s="66" t="s">
        <v>526</v>
      </c>
      <c r="F166" s="85" t="s">
        <v>527</v>
      </c>
      <c r="G166" s="86" t="s">
        <v>528</v>
      </c>
      <c r="H166" s="85" t="s">
        <v>177</v>
      </c>
      <c r="I166" s="85" t="s">
        <v>178</v>
      </c>
      <c r="J166" s="85" t="s">
        <v>529</v>
      </c>
      <c r="K166" s="85" t="s">
        <v>530</v>
      </c>
      <c r="L166" s="79">
        <v>1</v>
      </c>
      <c r="M166" s="87" t="s">
        <v>531</v>
      </c>
      <c r="N166" s="86" t="s">
        <v>532</v>
      </c>
      <c r="O166" s="70">
        <v>1140</v>
      </c>
      <c r="P166" s="36">
        <v>1140</v>
      </c>
      <c r="Q166" s="37">
        <v>868</v>
      </c>
      <c r="R166" s="38">
        <f>IFERROR((TABLA_AVANCE_METAS[[#This Row],[AVANCE 1°. TRIM]]/TABLA_AVANCE_METAS[[#This Row],[PROGR. 1° TRIM]])*100,"0")</f>
        <v>76.140350877192986</v>
      </c>
      <c r="S166"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REGULAR</v>
      </c>
      <c r="T166" s="36">
        <v>0</v>
      </c>
      <c r="U166" s="37">
        <v>0</v>
      </c>
      <c r="V166" s="40" t="str">
        <f t="shared" si="7"/>
        <v>0</v>
      </c>
      <c r="W166" s="39"/>
      <c r="X166" s="36">
        <v>0</v>
      </c>
      <c r="Y166" s="37">
        <v>0</v>
      </c>
      <c r="Z166" s="73" t="s">
        <v>72</v>
      </c>
      <c r="AA166" s="72" t="s">
        <v>73</v>
      </c>
      <c r="AB166" s="36">
        <v>0</v>
      </c>
      <c r="AC166" s="41">
        <v>0</v>
      </c>
      <c r="AD166" s="73" t="str">
        <f>IFERROR((TABLA_AVANCE_METAS[[#This Row],[AVANCE 4°. TRIM]]/TABLA_AVANCE_METAS[[#This Row],[PROGR. 4° TRIM]])*100,"0")</f>
        <v>0</v>
      </c>
      <c r="AE166" s="74"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NO PROG.</v>
      </c>
      <c r="AF166" s="43" cm="1">
        <f t="array" ref="AF166">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1140</v>
      </c>
      <c r="AG166" s="44" cm="1">
        <f t="array" ref="AG166">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868</v>
      </c>
      <c r="AH166" s="40">
        <f>IFERROR((TABLA_AVANCE_METAS[[#This Row],[AVANCE ACUM. TRIM.]]/TABLA_AVANCE_METAS[[#This Row],[PROG. ACUM]])*100,"N/A")</f>
        <v>76.140350877192986</v>
      </c>
      <c r="AI166"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REGULAR</v>
      </c>
      <c r="AJ166" s="45">
        <f>TABLA_AVANCE_METAS[[#This Row],[AVANCE ACUM. TRIM.]]-TABLA_AVANCE_METAS[[#This Row],[PROG. ACUM]]</f>
        <v>-272</v>
      </c>
      <c r="AK166" s="46">
        <f>IFERROR((TABLA_AVANCE_METAS[[#This Row],[DIFERENCIA ABSOLUTA SEMESTRAL]]/TABLA_AVANCE_METAS[[#This Row],[PROG. ACUM]])*100,"N/A")</f>
        <v>-23.859649122807017</v>
      </c>
      <c r="AL166" s="44">
        <f>TABLA_AVANCE_METAS[[#This Row],[AVANCE 1°. TRIM]]+TABLA_AVANCE_METAS[[#This Row],[AVANCE 2°. TRIM]]+TABLA_AVANCE_METAS[[#This Row],[AVANCE 3°. TRIM]]+TABLA_AVANCE_METAS[[#This Row],[AVANCE 4°. TRIM]]</f>
        <v>868</v>
      </c>
      <c r="AM166" s="40">
        <f>IFERROR((TABLA_AVANCE_METAS[[#This Row],[AVANCE ACUM. ANUAL]]/TABLA_AVANCE_METAS[[#This Row],[PROGRAMADO ANUAL]])*100,"N/A")</f>
        <v>76.140350877192986</v>
      </c>
      <c r="AN166"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REGULAR</v>
      </c>
      <c r="AO166" s="45">
        <f>TABLA_AVANCE_METAS[[#This Row],[AVANCE ACUM. ANUAL]]-TABLA_AVANCE_METAS[[#This Row],[PROGRAMADO ANUAL]]</f>
        <v>-272</v>
      </c>
      <c r="AP166" s="47">
        <f>IFERROR((TABLA_AVANCE_METAS[[#This Row],[DIFERENCIA ABSOLUTA ANUAL]]/TABLA_AVANCE_METAS[[#This Row],[PROGRAMADO ANUAL]])*100,"N/A")</f>
        <v>-23.859649122807017</v>
      </c>
      <c r="AQ166" s="48" t="s">
        <v>533</v>
      </c>
      <c r="AR166" s="49"/>
      <c r="AS166" s="50"/>
      <c r="AT166" s="50"/>
      <c r="AU166" s="88" t="b">
        <f>TABLA_AVANCE_METAS[[#This Row],[PROGRAMADO ANUAL]]=SUM(TABLA_AVANCE_METAS[[#This Row],[PROGR. 1° TRIM]],TABLA_AVANCE_METAS[[#This Row],[PROGR. 2° TRIM]],TABLA_AVANCE_METAS[[#This Row],[PROGR. 3° TRIM]],TABLA_AVANCE_METAS[[#This Row],[PROGR. 4° TRIM]])</f>
        <v>1</v>
      </c>
      <c r="AV166" s="52"/>
    </row>
    <row r="167" spans="1:48" ht="75" hidden="1" customHeight="1" x14ac:dyDescent="0.3">
      <c r="A167" s="65" t="str">
        <f>CONCATENATE(TABLA_AVANCE_METAS[[#This Row],[ESTRUCTURA]],TABLA_AVANCE_METAS[[#This Row],['#]])</f>
        <v>C0021902020301102</v>
      </c>
      <c r="B167" s="66" t="s">
        <v>525</v>
      </c>
      <c r="C167" s="79" t="s">
        <v>445</v>
      </c>
      <c r="D167" s="85" t="s">
        <v>446</v>
      </c>
      <c r="E167" s="66" t="s">
        <v>526</v>
      </c>
      <c r="F167" s="85" t="s">
        <v>527</v>
      </c>
      <c r="G167" s="86" t="s">
        <v>528</v>
      </c>
      <c r="H167" s="85" t="s">
        <v>177</v>
      </c>
      <c r="I167" s="85" t="s">
        <v>178</v>
      </c>
      <c r="J167" s="85" t="s">
        <v>529</v>
      </c>
      <c r="K167" s="85" t="s">
        <v>530</v>
      </c>
      <c r="L167" s="79">
        <v>2</v>
      </c>
      <c r="M167" s="87" t="s">
        <v>534</v>
      </c>
      <c r="N167" s="86" t="s">
        <v>513</v>
      </c>
      <c r="O167" s="70">
        <v>100</v>
      </c>
      <c r="P167" s="36">
        <v>100</v>
      </c>
      <c r="Q167" s="37">
        <v>73</v>
      </c>
      <c r="R167" s="38">
        <f>IFERROR((TABLA_AVANCE_METAS[[#This Row],[AVANCE 1°. TRIM]]/TABLA_AVANCE_METAS[[#This Row],[PROGR. 1° TRIM]])*100,"0")</f>
        <v>73</v>
      </c>
      <c r="S167"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REGULAR</v>
      </c>
      <c r="T167" s="36">
        <v>0</v>
      </c>
      <c r="U167" s="37">
        <v>0</v>
      </c>
      <c r="V167" s="40" t="str">
        <f t="shared" si="7"/>
        <v>0</v>
      </c>
      <c r="W167" s="39"/>
      <c r="X167" s="36">
        <v>0</v>
      </c>
      <c r="Y167" s="37">
        <v>0</v>
      </c>
      <c r="Z167" s="73" t="s">
        <v>72</v>
      </c>
      <c r="AA167" s="72" t="s">
        <v>73</v>
      </c>
      <c r="AB167" s="36">
        <v>0</v>
      </c>
      <c r="AC167" s="41">
        <v>0</v>
      </c>
      <c r="AD167" s="73" t="str">
        <f>IFERROR((TABLA_AVANCE_METAS[[#This Row],[AVANCE 4°. TRIM]]/TABLA_AVANCE_METAS[[#This Row],[PROGR. 4° TRIM]])*100,"0")</f>
        <v>0</v>
      </c>
      <c r="AE167" s="74"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NO PROG.</v>
      </c>
      <c r="AF167" s="43" cm="1">
        <f t="array" ref="AF167">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100</v>
      </c>
      <c r="AG167" s="44" cm="1">
        <f t="array" ref="AG167">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73</v>
      </c>
      <c r="AH167" s="40">
        <f>IFERROR((TABLA_AVANCE_METAS[[#This Row],[AVANCE ACUM. TRIM.]]/TABLA_AVANCE_METAS[[#This Row],[PROG. ACUM]])*100,"N/A")</f>
        <v>73</v>
      </c>
      <c r="AI167"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REGULAR</v>
      </c>
      <c r="AJ167" s="45">
        <f>TABLA_AVANCE_METAS[[#This Row],[AVANCE ACUM. TRIM.]]-TABLA_AVANCE_METAS[[#This Row],[PROG. ACUM]]</f>
        <v>-27</v>
      </c>
      <c r="AK167" s="46">
        <f>IFERROR((TABLA_AVANCE_METAS[[#This Row],[DIFERENCIA ABSOLUTA SEMESTRAL]]/TABLA_AVANCE_METAS[[#This Row],[PROG. ACUM]])*100,"N/A")</f>
        <v>-27</v>
      </c>
      <c r="AL167" s="44">
        <f>TABLA_AVANCE_METAS[[#This Row],[AVANCE 1°. TRIM]]+TABLA_AVANCE_METAS[[#This Row],[AVANCE 2°. TRIM]]+TABLA_AVANCE_METAS[[#This Row],[AVANCE 3°. TRIM]]+TABLA_AVANCE_METAS[[#This Row],[AVANCE 4°. TRIM]]</f>
        <v>73</v>
      </c>
      <c r="AM167" s="40">
        <f>IFERROR((TABLA_AVANCE_METAS[[#This Row],[AVANCE ACUM. ANUAL]]/TABLA_AVANCE_METAS[[#This Row],[PROGRAMADO ANUAL]])*100,"N/A")</f>
        <v>73</v>
      </c>
      <c r="AN167"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REGULAR</v>
      </c>
      <c r="AO167" s="45">
        <f>TABLA_AVANCE_METAS[[#This Row],[AVANCE ACUM. ANUAL]]-TABLA_AVANCE_METAS[[#This Row],[PROGRAMADO ANUAL]]</f>
        <v>-27</v>
      </c>
      <c r="AP167" s="47">
        <f>IFERROR((TABLA_AVANCE_METAS[[#This Row],[DIFERENCIA ABSOLUTA ANUAL]]/TABLA_AVANCE_METAS[[#This Row],[PROGRAMADO ANUAL]])*100,"N/A")</f>
        <v>-27</v>
      </c>
      <c r="AQ167" s="48" t="s">
        <v>535</v>
      </c>
      <c r="AR167" s="49"/>
      <c r="AS167" s="50"/>
      <c r="AT167" s="50"/>
      <c r="AU167" s="88" t="b">
        <f>TABLA_AVANCE_METAS[[#This Row],[PROGRAMADO ANUAL]]=SUM(TABLA_AVANCE_METAS[[#This Row],[PROGR. 1° TRIM]],TABLA_AVANCE_METAS[[#This Row],[PROGR. 2° TRIM]],TABLA_AVANCE_METAS[[#This Row],[PROGR. 3° TRIM]],TABLA_AVANCE_METAS[[#This Row],[PROGR. 4° TRIM]])</f>
        <v>1</v>
      </c>
      <c r="AV167" s="52"/>
    </row>
    <row r="168" spans="1:48" ht="75" hidden="1" customHeight="1" x14ac:dyDescent="0.3">
      <c r="A168" s="65" t="str">
        <f>CONCATENATE(TABLA_AVANCE_METAS[[#This Row],[ESTRUCTURA]],TABLA_AVANCE_METAS[[#This Row],['#]])</f>
        <v>C0021902020301103</v>
      </c>
      <c r="B168" s="66" t="s">
        <v>525</v>
      </c>
      <c r="C168" s="79" t="s">
        <v>445</v>
      </c>
      <c r="D168" s="85" t="s">
        <v>446</v>
      </c>
      <c r="E168" s="66" t="s">
        <v>526</v>
      </c>
      <c r="F168" s="85" t="s">
        <v>527</v>
      </c>
      <c r="G168" s="86" t="s">
        <v>528</v>
      </c>
      <c r="H168" s="85" t="s">
        <v>177</v>
      </c>
      <c r="I168" s="85" t="s">
        <v>178</v>
      </c>
      <c r="J168" s="85" t="s">
        <v>529</v>
      </c>
      <c r="K168" s="85" t="s">
        <v>530</v>
      </c>
      <c r="L168" s="79">
        <v>3</v>
      </c>
      <c r="M168" s="87" t="s">
        <v>536</v>
      </c>
      <c r="N168" s="86" t="s">
        <v>489</v>
      </c>
      <c r="O168" s="70">
        <v>19</v>
      </c>
      <c r="P168" s="36">
        <v>19</v>
      </c>
      <c r="Q168" s="37">
        <v>19</v>
      </c>
      <c r="R168" s="38">
        <f>IFERROR((TABLA_AVANCE_METAS[[#This Row],[AVANCE 1°. TRIM]]/TABLA_AVANCE_METAS[[#This Row],[PROGR. 1° TRIM]])*100,"0")</f>
        <v>100</v>
      </c>
      <c r="S168"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168" s="36">
        <v>0</v>
      </c>
      <c r="U168" s="37">
        <v>0</v>
      </c>
      <c r="V168" s="40" t="str">
        <f t="shared" si="7"/>
        <v>0</v>
      </c>
      <c r="W168" s="39"/>
      <c r="X168" s="36">
        <v>0</v>
      </c>
      <c r="Y168" s="37">
        <v>0</v>
      </c>
      <c r="Z168" s="73" t="s">
        <v>72</v>
      </c>
      <c r="AA168" s="72" t="s">
        <v>73</v>
      </c>
      <c r="AB168" s="36">
        <v>0</v>
      </c>
      <c r="AC168" s="41">
        <v>0</v>
      </c>
      <c r="AD168" s="73" t="str">
        <f>IFERROR((TABLA_AVANCE_METAS[[#This Row],[AVANCE 4°. TRIM]]/TABLA_AVANCE_METAS[[#This Row],[PROGR. 4° TRIM]])*100,"0")</f>
        <v>0</v>
      </c>
      <c r="AE168" s="74"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NO PROG.</v>
      </c>
      <c r="AF168" s="43" cm="1">
        <f t="array" ref="AF168">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19</v>
      </c>
      <c r="AG168" s="44" cm="1">
        <f t="array" ref="AG168">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19</v>
      </c>
      <c r="AH168" s="40">
        <f>IFERROR((TABLA_AVANCE_METAS[[#This Row],[AVANCE ACUM. TRIM.]]/TABLA_AVANCE_METAS[[#This Row],[PROG. ACUM]])*100,"N/A")</f>
        <v>100</v>
      </c>
      <c r="AI168"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168" s="45">
        <f>TABLA_AVANCE_METAS[[#This Row],[AVANCE ACUM. TRIM.]]-TABLA_AVANCE_METAS[[#This Row],[PROG. ACUM]]</f>
        <v>0</v>
      </c>
      <c r="AK168" s="46">
        <f>IFERROR((TABLA_AVANCE_METAS[[#This Row],[DIFERENCIA ABSOLUTA SEMESTRAL]]/TABLA_AVANCE_METAS[[#This Row],[PROG. ACUM]])*100,"N/A")</f>
        <v>0</v>
      </c>
      <c r="AL168" s="44">
        <f>TABLA_AVANCE_METAS[[#This Row],[AVANCE 1°. TRIM]]+TABLA_AVANCE_METAS[[#This Row],[AVANCE 2°. TRIM]]+TABLA_AVANCE_METAS[[#This Row],[AVANCE 3°. TRIM]]+TABLA_AVANCE_METAS[[#This Row],[AVANCE 4°. TRIM]]</f>
        <v>19</v>
      </c>
      <c r="AM168" s="40">
        <f>IFERROR((TABLA_AVANCE_METAS[[#This Row],[AVANCE ACUM. ANUAL]]/TABLA_AVANCE_METAS[[#This Row],[PROGRAMADO ANUAL]])*100,"N/A")</f>
        <v>100</v>
      </c>
      <c r="AN168"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ADECUADO</v>
      </c>
      <c r="AO168" s="45">
        <f>TABLA_AVANCE_METAS[[#This Row],[AVANCE ACUM. ANUAL]]-TABLA_AVANCE_METAS[[#This Row],[PROGRAMADO ANUAL]]</f>
        <v>0</v>
      </c>
      <c r="AP168" s="47">
        <f>IFERROR((TABLA_AVANCE_METAS[[#This Row],[DIFERENCIA ABSOLUTA ANUAL]]/TABLA_AVANCE_METAS[[#This Row],[PROGRAMADO ANUAL]])*100,"N/A")</f>
        <v>0</v>
      </c>
      <c r="AQ168" s="48" t="s">
        <v>63</v>
      </c>
      <c r="AR168" s="49"/>
      <c r="AS168" s="50"/>
      <c r="AT168" s="50"/>
      <c r="AU168" s="88" t="b">
        <f>TABLA_AVANCE_METAS[[#This Row],[PROGRAMADO ANUAL]]=SUM(TABLA_AVANCE_METAS[[#This Row],[PROGR. 1° TRIM]],TABLA_AVANCE_METAS[[#This Row],[PROGR. 2° TRIM]],TABLA_AVANCE_METAS[[#This Row],[PROGR. 3° TRIM]],TABLA_AVANCE_METAS[[#This Row],[PROGR. 4° TRIM]])</f>
        <v>1</v>
      </c>
      <c r="AV168" s="52"/>
    </row>
    <row r="169" spans="1:48" ht="75" hidden="1" customHeight="1" x14ac:dyDescent="0.3">
      <c r="A169" s="65" t="str">
        <f>CONCATENATE(TABLA_AVANCE_METAS[[#This Row],[ESTRUCTURA]],TABLA_AVANCE_METAS[[#This Row],['#]])</f>
        <v>C0021902020301104</v>
      </c>
      <c r="B169" s="66" t="s">
        <v>525</v>
      </c>
      <c r="C169" s="79" t="s">
        <v>445</v>
      </c>
      <c r="D169" s="85" t="s">
        <v>446</v>
      </c>
      <c r="E169" s="66" t="s">
        <v>526</v>
      </c>
      <c r="F169" s="85" t="s">
        <v>527</v>
      </c>
      <c r="G169" s="86" t="s">
        <v>528</v>
      </c>
      <c r="H169" s="85" t="s">
        <v>177</v>
      </c>
      <c r="I169" s="85" t="s">
        <v>178</v>
      </c>
      <c r="J169" s="85" t="s">
        <v>529</v>
      </c>
      <c r="K169" s="85" t="s">
        <v>530</v>
      </c>
      <c r="L169" s="79">
        <v>4</v>
      </c>
      <c r="M169" s="87" t="s">
        <v>537</v>
      </c>
      <c r="N169" s="86" t="s">
        <v>538</v>
      </c>
      <c r="O169" s="70">
        <v>160</v>
      </c>
      <c r="P169" s="36">
        <v>160</v>
      </c>
      <c r="Q169" s="37">
        <v>228</v>
      </c>
      <c r="R169" s="38">
        <f>IFERROR((TABLA_AVANCE_METAS[[#This Row],[AVANCE 1°. TRIM]]/TABLA_AVANCE_METAS[[#This Row],[PROGR. 1° TRIM]])*100,"0")</f>
        <v>142.5</v>
      </c>
      <c r="S169"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SOBREPASADO</v>
      </c>
      <c r="T169" s="36">
        <v>0</v>
      </c>
      <c r="U169" s="37">
        <v>0</v>
      </c>
      <c r="V169" s="40" t="str">
        <f t="shared" si="7"/>
        <v>0</v>
      </c>
      <c r="W169" s="39"/>
      <c r="X169" s="36">
        <v>0</v>
      </c>
      <c r="Y169" s="37">
        <v>0</v>
      </c>
      <c r="Z169" s="73" t="s">
        <v>72</v>
      </c>
      <c r="AA169" s="72" t="s">
        <v>73</v>
      </c>
      <c r="AB169" s="36">
        <v>0</v>
      </c>
      <c r="AC169" s="41">
        <v>0</v>
      </c>
      <c r="AD169" s="73" t="str">
        <f>IFERROR((TABLA_AVANCE_METAS[[#This Row],[AVANCE 4°. TRIM]]/TABLA_AVANCE_METAS[[#This Row],[PROGR. 4° TRIM]])*100,"0")</f>
        <v>0</v>
      </c>
      <c r="AE169" s="74"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NO PROG.</v>
      </c>
      <c r="AF169" s="43" cm="1">
        <f t="array" ref="AF169">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160</v>
      </c>
      <c r="AG169" s="44" cm="1">
        <f t="array" ref="AG169">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228</v>
      </c>
      <c r="AH169" s="40">
        <f>IFERROR((TABLA_AVANCE_METAS[[#This Row],[AVANCE ACUM. TRIM.]]/TABLA_AVANCE_METAS[[#This Row],[PROG. ACUM]])*100,"N/A")</f>
        <v>142.5</v>
      </c>
      <c r="AI169"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SOBREPASADO</v>
      </c>
      <c r="AJ169" s="45">
        <f>TABLA_AVANCE_METAS[[#This Row],[AVANCE ACUM. TRIM.]]-TABLA_AVANCE_METAS[[#This Row],[PROG. ACUM]]</f>
        <v>68</v>
      </c>
      <c r="AK169" s="46">
        <f>IFERROR((TABLA_AVANCE_METAS[[#This Row],[DIFERENCIA ABSOLUTA SEMESTRAL]]/TABLA_AVANCE_METAS[[#This Row],[PROG. ACUM]])*100,"N/A")</f>
        <v>42.5</v>
      </c>
      <c r="AL169" s="44">
        <f>TABLA_AVANCE_METAS[[#This Row],[AVANCE 1°. TRIM]]+TABLA_AVANCE_METAS[[#This Row],[AVANCE 2°. TRIM]]+TABLA_AVANCE_METAS[[#This Row],[AVANCE 3°. TRIM]]+TABLA_AVANCE_METAS[[#This Row],[AVANCE 4°. TRIM]]</f>
        <v>228</v>
      </c>
      <c r="AM169" s="40">
        <f>IFERROR((TABLA_AVANCE_METAS[[#This Row],[AVANCE ACUM. ANUAL]]/TABLA_AVANCE_METAS[[#This Row],[PROGRAMADO ANUAL]])*100,"N/A")</f>
        <v>142.5</v>
      </c>
      <c r="AN169"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SOBREPASADO</v>
      </c>
      <c r="AO169" s="45">
        <f>TABLA_AVANCE_METAS[[#This Row],[AVANCE ACUM. ANUAL]]-TABLA_AVANCE_METAS[[#This Row],[PROGRAMADO ANUAL]]</f>
        <v>68</v>
      </c>
      <c r="AP169" s="47">
        <f>IFERROR((TABLA_AVANCE_METAS[[#This Row],[DIFERENCIA ABSOLUTA ANUAL]]/TABLA_AVANCE_METAS[[#This Row],[PROGRAMADO ANUAL]])*100,"N/A")</f>
        <v>42.5</v>
      </c>
      <c r="AQ169" s="48" t="s">
        <v>539</v>
      </c>
      <c r="AR169" s="49"/>
      <c r="AS169" s="50"/>
      <c r="AT169" s="50"/>
      <c r="AU169" s="88" t="b">
        <f>TABLA_AVANCE_METAS[[#This Row],[PROGRAMADO ANUAL]]=SUM(TABLA_AVANCE_METAS[[#This Row],[PROGR. 1° TRIM]],TABLA_AVANCE_METAS[[#This Row],[PROGR. 2° TRIM]],TABLA_AVANCE_METAS[[#This Row],[PROGR. 3° TRIM]],TABLA_AVANCE_METAS[[#This Row],[PROGR. 4° TRIM]])</f>
        <v>1</v>
      </c>
      <c r="AV169" s="52"/>
    </row>
    <row r="170" spans="1:48" ht="75" hidden="1" customHeight="1" x14ac:dyDescent="0.3">
      <c r="A170" s="65" t="str">
        <f>CONCATENATE(TABLA_AVANCE_METAS[[#This Row],[ESTRUCTURA]],TABLA_AVANCE_METAS[[#This Row],['#]])</f>
        <v>C0021902020301105</v>
      </c>
      <c r="B170" s="66" t="s">
        <v>525</v>
      </c>
      <c r="C170" s="79" t="s">
        <v>445</v>
      </c>
      <c r="D170" s="85" t="s">
        <v>446</v>
      </c>
      <c r="E170" s="66" t="s">
        <v>526</v>
      </c>
      <c r="F170" s="85" t="s">
        <v>527</v>
      </c>
      <c r="G170" s="86" t="s">
        <v>528</v>
      </c>
      <c r="H170" s="85" t="s">
        <v>177</v>
      </c>
      <c r="I170" s="85" t="s">
        <v>178</v>
      </c>
      <c r="J170" s="85" t="s">
        <v>529</v>
      </c>
      <c r="K170" s="85" t="s">
        <v>530</v>
      </c>
      <c r="L170" s="79">
        <v>5</v>
      </c>
      <c r="M170" s="87" t="s">
        <v>540</v>
      </c>
      <c r="N170" s="86" t="s">
        <v>541</v>
      </c>
      <c r="O170" s="70">
        <v>17</v>
      </c>
      <c r="P170" s="36">
        <v>17</v>
      </c>
      <c r="Q170" s="37">
        <v>19</v>
      </c>
      <c r="R170" s="38">
        <f>IFERROR((TABLA_AVANCE_METAS[[#This Row],[AVANCE 1°. TRIM]]/TABLA_AVANCE_METAS[[#This Row],[PROGR. 1° TRIM]])*100,"0")</f>
        <v>111.76470588235294</v>
      </c>
      <c r="S170"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SOBREPASADO</v>
      </c>
      <c r="T170" s="36">
        <v>0</v>
      </c>
      <c r="U170" s="37">
        <v>0</v>
      </c>
      <c r="V170" s="40" t="str">
        <f t="shared" si="7"/>
        <v>0</v>
      </c>
      <c r="W170" s="39"/>
      <c r="X170" s="36">
        <v>0</v>
      </c>
      <c r="Y170" s="37">
        <v>0</v>
      </c>
      <c r="Z170" s="73" t="s">
        <v>72</v>
      </c>
      <c r="AA170" s="72" t="s">
        <v>73</v>
      </c>
      <c r="AB170" s="36">
        <v>0</v>
      </c>
      <c r="AC170" s="41">
        <v>0</v>
      </c>
      <c r="AD170" s="73" t="str">
        <f>IFERROR((TABLA_AVANCE_METAS[[#This Row],[AVANCE 4°. TRIM]]/TABLA_AVANCE_METAS[[#This Row],[PROGR. 4° TRIM]])*100,"0")</f>
        <v>0</v>
      </c>
      <c r="AE170" s="74"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NO PROG.</v>
      </c>
      <c r="AF170" s="43" cm="1">
        <f t="array" ref="AF170">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17</v>
      </c>
      <c r="AG170" s="44" cm="1">
        <f t="array" ref="AG170">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19</v>
      </c>
      <c r="AH170" s="40">
        <f>IFERROR((TABLA_AVANCE_METAS[[#This Row],[AVANCE ACUM. TRIM.]]/TABLA_AVANCE_METAS[[#This Row],[PROG. ACUM]])*100,"N/A")</f>
        <v>111.76470588235294</v>
      </c>
      <c r="AI170"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SOBREPASADO</v>
      </c>
      <c r="AJ170" s="45">
        <f>TABLA_AVANCE_METAS[[#This Row],[AVANCE ACUM. TRIM.]]-TABLA_AVANCE_METAS[[#This Row],[PROG. ACUM]]</f>
        <v>2</v>
      </c>
      <c r="AK170" s="46">
        <f>IFERROR((TABLA_AVANCE_METAS[[#This Row],[DIFERENCIA ABSOLUTA SEMESTRAL]]/TABLA_AVANCE_METAS[[#This Row],[PROG. ACUM]])*100,"N/A")</f>
        <v>11.76470588235294</v>
      </c>
      <c r="AL170" s="44">
        <f>TABLA_AVANCE_METAS[[#This Row],[AVANCE 1°. TRIM]]+TABLA_AVANCE_METAS[[#This Row],[AVANCE 2°. TRIM]]+TABLA_AVANCE_METAS[[#This Row],[AVANCE 3°. TRIM]]+TABLA_AVANCE_METAS[[#This Row],[AVANCE 4°. TRIM]]</f>
        <v>19</v>
      </c>
      <c r="AM170" s="40">
        <f>IFERROR((TABLA_AVANCE_METAS[[#This Row],[AVANCE ACUM. ANUAL]]/TABLA_AVANCE_METAS[[#This Row],[PROGRAMADO ANUAL]])*100,"N/A")</f>
        <v>111.76470588235294</v>
      </c>
      <c r="AN170"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SOBREPASADO</v>
      </c>
      <c r="AO170" s="45">
        <f>TABLA_AVANCE_METAS[[#This Row],[AVANCE ACUM. ANUAL]]-TABLA_AVANCE_METAS[[#This Row],[PROGRAMADO ANUAL]]</f>
        <v>2</v>
      </c>
      <c r="AP170" s="47">
        <f>IFERROR((TABLA_AVANCE_METAS[[#This Row],[DIFERENCIA ABSOLUTA ANUAL]]/TABLA_AVANCE_METAS[[#This Row],[PROGRAMADO ANUAL]])*100,"N/A")</f>
        <v>11.76470588235294</v>
      </c>
      <c r="AQ170" s="48" t="s">
        <v>63</v>
      </c>
      <c r="AR170" s="49"/>
      <c r="AS170" s="50"/>
      <c r="AT170" s="50"/>
      <c r="AU170" s="88" t="b">
        <f>TABLA_AVANCE_METAS[[#This Row],[PROGRAMADO ANUAL]]=SUM(TABLA_AVANCE_METAS[[#This Row],[PROGR. 1° TRIM]],TABLA_AVANCE_METAS[[#This Row],[PROGR. 2° TRIM]],TABLA_AVANCE_METAS[[#This Row],[PROGR. 3° TRIM]],TABLA_AVANCE_METAS[[#This Row],[PROGR. 4° TRIM]])</f>
        <v>1</v>
      </c>
      <c r="AV170" s="52"/>
    </row>
    <row r="171" spans="1:48" ht="75" hidden="1" customHeight="1" x14ac:dyDescent="0.3">
      <c r="A171" s="65" t="str">
        <f>CONCATENATE(TABLA_AVANCE_METAS[[#This Row],[ESTRUCTURA]],TABLA_AVANCE_METAS[[#This Row],['#]])</f>
        <v>C0021902020301106</v>
      </c>
      <c r="B171" s="66" t="s">
        <v>525</v>
      </c>
      <c r="C171" s="79" t="s">
        <v>445</v>
      </c>
      <c r="D171" s="85" t="s">
        <v>446</v>
      </c>
      <c r="E171" s="66" t="s">
        <v>526</v>
      </c>
      <c r="F171" s="85" t="s">
        <v>527</v>
      </c>
      <c r="G171" s="86" t="s">
        <v>528</v>
      </c>
      <c r="H171" s="85" t="s">
        <v>177</v>
      </c>
      <c r="I171" s="85" t="s">
        <v>178</v>
      </c>
      <c r="J171" s="85" t="s">
        <v>529</v>
      </c>
      <c r="K171" s="85" t="s">
        <v>530</v>
      </c>
      <c r="L171" s="79">
        <v>6</v>
      </c>
      <c r="M171" s="87" t="s">
        <v>542</v>
      </c>
      <c r="N171" s="86" t="s">
        <v>543</v>
      </c>
      <c r="O171" s="70">
        <v>0</v>
      </c>
      <c r="P171" s="70">
        <v>0</v>
      </c>
      <c r="Q171" s="37">
        <v>0</v>
      </c>
      <c r="R171" s="71" t="str">
        <f>IFERROR((TABLA_AVANCE_METAS[[#This Row],[AVANCE 1°. TRIM]]/TABLA_AVANCE_METAS[[#This Row],[PROGR. 1° TRIM]])*100,"0")</f>
        <v>0</v>
      </c>
      <c r="S171" s="72"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NO PROG.</v>
      </c>
      <c r="T171" s="70">
        <v>0</v>
      </c>
      <c r="U171" s="37">
        <v>0</v>
      </c>
      <c r="V171" s="73" t="str">
        <f t="shared" si="7"/>
        <v>0</v>
      </c>
      <c r="W171" s="72"/>
      <c r="X171" s="70">
        <v>0</v>
      </c>
      <c r="Y171" s="37">
        <v>0</v>
      </c>
      <c r="Z171" s="73" t="s">
        <v>72</v>
      </c>
      <c r="AA171" s="72" t="s">
        <v>73</v>
      </c>
      <c r="AB171" s="70">
        <v>0</v>
      </c>
      <c r="AC171" s="41">
        <v>0</v>
      </c>
      <c r="AD171" s="73" t="str">
        <f>IFERROR((TABLA_AVANCE_METAS[[#This Row],[AVANCE 4°. TRIM]]/TABLA_AVANCE_METAS[[#This Row],[PROGR. 4° TRIM]])*100,"0")</f>
        <v>0</v>
      </c>
      <c r="AE171" s="74"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NO PROG.</v>
      </c>
      <c r="AF171" s="89" cm="1">
        <f t="array" ref="AF171">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0</v>
      </c>
      <c r="AG171" s="77" cm="1">
        <f t="array" ref="AG171">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0</v>
      </c>
      <c r="AH171" s="73" t="str">
        <f>IFERROR((TABLA_AVANCE_METAS[[#This Row],[AVANCE ACUM. TRIM.]]/TABLA_AVANCE_METAS[[#This Row],[PROG. ACUM]])*100,"N/A")</f>
        <v>N/A</v>
      </c>
      <c r="AI171" s="72"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NO PROG.</v>
      </c>
      <c r="AJ171" s="75">
        <f>TABLA_AVANCE_METAS[[#This Row],[AVANCE ACUM. TRIM.]]-TABLA_AVANCE_METAS[[#This Row],[PROG. ACUM]]</f>
        <v>0</v>
      </c>
      <c r="AK171" s="76" t="str">
        <f>IFERROR((TABLA_AVANCE_METAS[[#This Row],[DIFERENCIA ABSOLUTA SEMESTRAL]]/TABLA_AVANCE_METAS[[#This Row],[PROG. ACUM]])*100,"N/A")</f>
        <v>N/A</v>
      </c>
      <c r="AL171" s="77">
        <f>TABLA_AVANCE_METAS[[#This Row],[AVANCE 1°. TRIM]]+TABLA_AVANCE_METAS[[#This Row],[AVANCE 2°. TRIM]]+TABLA_AVANCE_METAS[[#This Row],[AVANCE 3°. TRIM]]+TABLA_AVANCE_METAS[[#This Row],[AVANCE 4°. TRIM]]</f>
        <v>0</v>
      </c>
      <c r="AM171" s="73" t="str">
        <f>IFERROR((TABLA_AVANCE_METAS[[#This Row],[AVANCE ACUM. ANUAL]]/TABLA_AVANCE_METAS[[#This Row],[PROGRAMADO ANUAL]])*100,"N/A")</f>
        <v>N/A</v>
      </c>
      <c r="AN171" s="72"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NO PROG.</v>
      </c>
      <c r="AO171" s="75">
        <f>TABLA_AVANCE_METAS[[#This Row],[AVANCE ACUM. ANUAL]]-TABLA_AVANCE_METAS[[#This Row],[PROGRAMADO ANUAL]]</f>
        <v>0</v>
      </c>
      <c r="AP171" s="78" t="str">
        <f>IFERROR((TABLA_AVANCE_METAS[[#This Row],[DIFERENCIA ABSOLUTA ANUAL]]/TABLA_AVANCE_METAS[[#This Row],[PROGRAMADO ANUAL]])*100,"N/A")</f>
        <v>N/A</v>
      </c>
      <c r="AQ171" s="48" t="s">
        <v>544</v>
      </c>
      <c r="AR171" s="80"/>
      <c r="AS171" s="50"/>
      <c r="AT171" s="50"/>
      <c r="AU171" s="81" t="b">
        <f>TABLA_AVANCE_METAS[[#This Row],[PROGRAMADO ANUAL]]=SUM(TABLA_AVANCE_METAS[[#This Row],[PROGR. 1° TRIM]],TABLA_AVANCE_METAS[[#This Row],[PROGR. 2° TRIM]],TABLA_AVANCE_METAS[[#This Row],[PROGR. 3° TRIM]],TABLA_AVANCE_METAS[[#This Row],[PROGR. 4° TRIM]])</f>
        <v>1</v>
      </c>
      <c r="AV171" s="52"/>
    </row>
    <row r="172" spans="1:48" ht="75" hidden="1" customHeight="1" x14ac:dyDescent="0.3">
      <c r="A172" s="31" t="str">
        <f>CONCATENATE(TABLA_AVANCE_METAS[[#This Row],[ESTRUCTURA]],TABLA_AVANCE_METAS[[#This Row],['#]])</f>
        <v>C0021702020301071</v>
      </c>
      <c r="B172" s="32" t="s">
        <v>545</v>
      </c>
      <c r="C172" s="55" t="s">
        <v>445</v>
      </c>
      <c r="D172" s="54" t="s">
        <v>446</v>
      </c>
      <c r="E172" s="32" t="s">
        <v>546</v>
      </c>
      <c r="F172" s="54" t="s">
        <v>547</v>
      </c>
      <c r="G172" s="56" t="s">
        <v>548</v>
      </c>
      <c r="H172" s="54" t="s">
        <v>177</v>
      </c>
      <c r="I172" s="54" t="s">
        <v>178</v>
      </c>
      <c r="J172" s="54" t="s">
        <v>518</v>
      </c>
      <c r="K172" s="54" t="s">
        <v>519</v>
      </c>
      <c r="L172" s="55">
        <v>1</v>
      </c>
      <c r="M172" s="90" t="s">
        <v>549</v>
      </c>
      <c r="N172" s="56" t="s">
        <v>550</v>
      </c>
      <c r="O172" s="36">
        <v>11350</v>
      </c>
      <c r="P172" s="36">
        <v>3650</v>
      </c>
      <c r="Q172" s="37">
        <v>2769</v>
      </c>
      <c r="R172" s="38">
        <f>IFERROR((TABLA_AVANCE_METAS[[#This Row],[AVANCE 1°. TRIM]]/TABLA_AVANCE_METAS[[#This Row],[PROGR. 1° TRIM]])*100,"0")</f>
        <v>75.863013698630127</v>
      </c>
      <c r="S172"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REGULAR</v>
      </c>
      <c r="T172" s="36">
        <v>3000</v>
      </c>
      <c r="U172" s="37">
        <v>2921</v>
      </c>
      <c r="V172" s="40">
        <f t="shared" si="7"/>
        <v>97.366666666666674</v>
      </c>
      <c r="W172" s="39" t="str">
        <f t="shared" ref="W172:W235" si="8">IF(AND(V172&gt;=0,V172&lt;=49.9999999999999),"CRÍTICO",IF(AND(V172&gt;=50,V172&lt;=69.9999999999999),"DEFICIENTE",IF(AND(V172&gt;=70,V172&lt;=89.9999999999999),"REGULAR",IF(AND(V172&gt;=90,V172&lt;=110.999999999999),"ADECUADO",IF(AND(V172&gt;=111,V172&lt;=999999),"SOBREPASADO","NO PROG.")))))</f>
        <v>ADECUADO</v>
      </c>
      <c r="X172" s="36">
        <v>2350</v>
      </c>
      <c r="Y172" s="37">
        <v>0</v>
      </c>
      <c r="Z172" s="40">
        <v>0</v>
      </c>
      <c r="AA172" s="39" t="s">
        <v>62</v>
      </c>
      <c r="AB172" s="36">
        <v>2350</v>
      </c>
      <c r="AC172" s="41">
        <v>0</v>
      </c>
      <c r="AD172" s="40">
        <f>IFERROR((TABLA_AVANCE_METAS[[#This Row],[AVANCE 4°. TRIM]]/TABLA_AVANCE_METAS[[#This Row],[PROGR. 4° TRIM]])*100,"0")</f>
        <v>0</v>
      </c>
      <c r="AE172"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72" s="43" cm="1">
        <f t="array" ref="AF172">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6650</v>
      </c>
      <c r="AG172" s="44" cm="1">
        <f t="array" ref="AG172">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5690</v>
      </c>
      <c r="AH172" s="40">
        <f>IFERROR((TABLA_AVANCE_METAS[[#This Row],[AVANCE ACUM. TRIM.]]/TABLA_AVANCE_METAS[[#This Row],[PROG. ACUM]])*100,"N/A")</f>
        <v>85.563909774436084</v>
      </c>
      <c r="AI172"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REGULAR</v>
      </c>
      <c r="AJ172" s="45">
        <f>TABLA_AVANCE_METAS[[#This Row],[AVANCE ACUM. TRIM.]]-TABLA_AVANCE_METAS[[#This Row],[PROG. ACUM]]</f>
        <v>-960</v>
      </c>
      <c r="AK172" s="46">
        <f>IFERROR((TABLA_AVANCE_METAS[[#This Row],[DIFERENCIA ABSOLUTA SEMESTRAL]]/TABLA_AVANCE_METAS[[#This Row],[PROG. ACUM]])*100,"N/A")</f>
        <v>-14.436090225563911</v>
      </c>
      <c r="AL172" s="44">
        <f>TABLA_AVANCE_METAS[[#This Row],[AVANCE 1°. TRIM]]+TABLA_AVANCE_METAS[[#This Row],[AVANCE 2°. TRIM]]+TABLA_AVANCE_METAS[[#This Row],[AVANCE 3°. TRIM]]+TABLA_AVANCE_METAS[[#This Row],[AVANCE 4°. TRIM]]</f>
        <v>5690</v>
      </c>
      <c r="AM172" s="40">
        <f>IFERROR((TABLA_AVANCE_METAS[[#This Row],[AVANCE ACUM. ANUAL]]/TABLA_AVANCE_METAS[[#This Row],[PROGRAMADO ANUAL]])*100,"N/A")</f>
        <v>50.132158590308372</v>
      </c>
      <c r="AN172"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172" s="45">
        <f>TABLA_AVANCE_METAS[[#This Row],[AVANCE ACUM. ANUAL]]-TABLA_AVANCE_METAS[[#This Row],[PROGRAMADO ANUAL]]</f>
        <v>-5660</v>
      </c>
      <c r="AP172" s="47">
        <f>IFERROR((TABLA_AVANCE_METAS[[#This Row],[DIFERENCIA ABSOLUTA ANUAL]]/TABLA_AVANCE_METAS[[#This Row],[PROGRAMADO ANUAL]])*100,"N/A")</f>
        <v>-49.867841409691636</v>
      </c>
      <c r="AQ172" s="48" t="s">
        <v>551</v>
      </c>
      <c r="AR172" s="49"/>
      <c r="AS172" s="50"/>
      <c r="AT172" s="50"/>
      <c r="AU172" s="83" t="b">
        <f>TABLA_AVANCE_METAS[[#This Row],[PROGRAMADO ANUAL]]=SUM(TABLA_AVANCE_METAS[[#This Row],[PROGR. 1° TRIM]],TABLA_AVANCE_METAS[[#This Row],[PROGR. 2° TRIM]],TABLA_AVANCE_METAS[[#This Row],[PROGR. 3° TRIM]],TABLA_AVANCE_METAS[[#This Row],[PROGR. 4° TRIM]])</f>
        <v>1</v>
      </c>
      <c r="AV172" s="52"/>
    </row>
    <row r="173" spans="1:48" ht="75" hidden="1" customHeight="1" x14ac:dyDescent="0.3">
      <c r="A173" s="31" t="str">
        <f>CONCATENATE(TABLA_AVANCE_METAS[[#This Row],[ESTRUCTURA]],TABLA_AVANCE_METAS[[#This Row],['#]])</f>
        <v>C0021702020301072</v>
      </c>
      <c r="B173" s="32" t="s">
        <v>545</v>
      </c>
      <c r="C173" s="55" t="s">
        <v>445</v>
      </c>
      <c r="D173" s="54" t="s">
        <v>446</v>
      </c>
      <c r="E173" s="32" t="s">
        <v>546</v>
      </c>
      <c r="F173" s="54" t="s">
        <v>547</v>
      </c>
      <c r="G173" s="56" t="s">
        <v>548</v>
      </c>
      <c r="H173" s="54" t="s">
        <v>177</v>
      </c>
      <c r="I173" s="54" t="s">
        <v>178</v>
      </c>
      <c r="J173" s="54" t="s">
        <v>518</v>
      </c>
      <c r="K173" s="54" t="s">
        <v>519</v>
      </c>
      <c r="L173" s="55">
        <v>2</v>
      </c>
      <c r="M173" s="90" t="s">
        <v>552</v>
      </c>
      <c r="N173" s="56" t="s">
        <v>504</v>
      </c>
      <c r="O173" s="36">
        <v>7100</v>
      </c>
      <c r="P173" s="36">
        <v>2300</v>
      </c>
      <c r="Q173" s="37">
        <v>1850</v>
      </c>
      <c r="R173" s="38">
        <f>IFERROR((TABLA_AVANCE_METAS[[#This Row],[AVANCE 1°. TRIM]]/TABLA_AVANCE_METAS[[#This Row],[PROGR. 1° TRIM]])*100,"0")</f>
        <v>80.434782608695656</v>
      </c>
      <c r="S173"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REGULAR</v>
      </c>
      <c r="T173" s="36">
        <v>1800</v>
      </c>
      <c r="U173" s="37">
        <v>1813</v>
      </c>
      <c r="V173" s="40">
        <f t="shared" si="7"/>
        <v>100.72222222222223</v>
      </c>
      <c r="W173" s="39" t="str">
        <f t="shared" si="8"/>
        <v>ADECUADO</v>
      </c>
      <c r="X173" s="36">
        <v>1500</v>
      </c>
      <c r="Y173" s="37">
        <v>0</v>
      </c>
      <c r="Z173" s="40">
        <v>0</v>
      </c>
      <c r="AA173" s="39" t="s">
        <v>62</v>
      </c>
      <c r="AB173" s="36">
        <v>1500</v>
      </c>
      <c r="AC173" s="41">
        <v>0</v>
      </c>
      <c r="AD173" s="40">
        <f>IFERROR((TABLA_AVANCE_METAS[[#This Row],[AVANCE 4°. TRIM]]/TABLA_AVANCE_METAS[[#This Row],[PROGR. 4° TRIM]])*100,"0")</f>
        <v>0</v>
      </c>
      <c r="AE173"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73" s="43" cm="1">
        <f t="array" ref="AF173">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4100</v>
      </c>
      <c r="AG173" s="44" cm="1">
        <f t="array" ref="AG173">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3663</v>
      </c>
      <c r="AH173" s="40">
        <f>IFERROR((TABLA_AVANCE_METAS[[#This Row],[AVANCE ACUM. TRIM.]]/TABLA_AVANCE_METAS[[#This Row],[PROG. ACUM]])*100,"N/A")</f>
        <v>89.341463414634148</v>
      </c>
      <c r="AI173"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REGULAR</v>
      </c>
      <c r="AJ173" s="45">
        <f>TABLA_AVANCE_METAS[[#This Row],[AVANCE ACUM. TRIM.]]-TABLA_AVANCE_METAS[[#This Row],[PROG. ACUM]]</f>
        <v>-437</v>
      </c>
      <c r="AK173" s="46">
        <f>IFERROR((TABLA_AVANCE_METAS[[#This Row],[DIFERENCIA ABSOLUTA SEMESTRAL]]/TABLA_AVANCE_METAS[[#This Row],[PROG. ACUM]])*100,"N/A")</f>
        <v>-10.658536585365853</v>
      </c>
      <c r="AL173" s="44">
        <f>TABLA_AVANCE_METAS[[#This Row],[AVANCE 1°. TRIM]]+TABLA_AVANCE_METAS[[#This Row],[AVANCE 2°. TRIM]]+TABLA_AVANCE_METAS[[#This Row],[AVANCE 3°. TRIM]]+TABLA_AVANCE_METAS[[#This Row],[AVANCE 4°. TRIM]]</f>
        <v>3663</v>
      </c>
      <c r="AM173" s="40">
        <f>IFERROR((TABLA_AVANCE_METAS[[#This Row],[AVANCE ACUM. ANUAL]]/TABLA_AVANCE_METAS[[#This Row],[PROGRAMADO ANUAL]])*100,"N/A")</f>
        <v>51.591549295774655</v>
      </c>
      <c r="AN173"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173" s="45">
        <f>TABLA_AVANCE_METAS[[#This Row],[AVANCE ACUM. ANUAL]]-TABLA_AVANCE_METAS[[#This Row],[PROGRAMADO ANUAL]]</f>
        <v>-3437</v>
      </c>
      <c r="AP173" s="47">
        <f>IFERROR((TABLA_AVANCE_METAS[[#This Row],[DIFERENCIA ABSOLUTA ANUAL]]/TABLA_AVANCE_METAS[[#This Row],[PROGRAMADO ANUAL]])*100,"N/A")</f>
        <v>-48.408450704225352</v>
      </c>
      <c r="AQ173" s="48" t="s">
        <v>553</v>
      </c>
      <c r="AR173" s="49"/>
      <c r="AS173" s="50"/>
      <c r="AT173" s="50"/>
      <c r="AU173" s="83" t="b">
        <f>TABLA_AVANCE_METAS[[#This Row],[PROGRAMADO ANUAL]]=SUM(TABLA_AVANCE_METAS[[#This Row],[PROGR. 1° TRIM]],TABLA_AVANCE_METAS[[#This Row],[PROGR. 2° TRIM]],TABLA_AVANCE_METAS[[#This Row],[PROGR. 3° TRIM]],TABLA_AVANCE_METAS[[#This Row],[PROGR. 4° TRIM]])</f>
        <v>1</v>
      </c>
      <c r="AV173" s="52"/>
    </row>
    <row r="174" spans="1:48" ht="75" hidden="1" customHeight="1" x14ac:dyDescent="0.3">
      <c r="A174" s="31" t="str">
        <f>CONCATENATE(TABLA_AVANCE_METAS[[#This Row],[ESTRUCTURA]],TABLA_AVANCE_METAS[[#This Row],['#]])</f>
        <v>C0021702020301073</v>
      </c>
      <c r="B174" s="32" t="s">
        <v>545</v>
      </c>
      <c r="C174" s="55" t="s">
        <v>445</v>
      </c>
      <c r="D174" s="54" t="s">
        <v>446</v>
      </c>
      <c r="E174" s="32" t="s">
        <v>546</v>
      </c>
      <c r="F174" s="54" t="s">
        <v>547</v>
      </c>
      <c r="G174" s="56" t="s">
        <v>548</v>
      </c>
      <c r="H174" s="54" t="s">
        <v>177</v>
      </c>
      <c r="I174" s="54" t="s">
        <v>178</v>
      </c>
      <c r="J174" s="54" t="s">
        <v>518</v>
      </c>
      <c r="K174" s="54" t="s">
        <v>519</v>
      </c>
      <c r="L174" s="55">
        <v>3</v>
      </c>
      <c r="M174" s="90" t="s">
        <v>554</v>
      </c>
      <c r="N174" s="56" t="s">
        <v>504</v>
      </c>
      <c r="O174" s="36">
        <v>4350</v>
      </c>
      <c r="P174" s="36">
        <v>1350</v>
      </c>
      <c r="Q174" s="37">
        <v>919</v>
      </c>
      <c r="R174" s="38">
        <f>IFERROR((TABLA_AVANCE_METAS[[#This Row],[AVANCE 1°. TRIM]]/TABLA_AVANCE_METAS[[#This Row],[PROGR. 1° TRIM]])*100,"0")</f>
        <v>68.074074074074076</v>
      </c>
      <c r="S174"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DEFICIENTE</v>
      </c>
      <c r="T174" s="36">
        <v>1100</v>
      </c>
      <c r="U174" s="37">
        <v>1108</v>
      </c>
      <c r="V174" s="40">
        <f t="shared" si="7"/>
        <v>100.72727272727273</v>
      </c>
      <c r="W174" s="39" t="str">
        <f t="shared" si="8"/>
        <v>ADECUADO</v>
      </c>
      <c r="X174" s="36">
        <v>1050</v>
      </c>
      <c r="Y174" s="37">
        <v>0</v>
      </c>
      <c r="Z174" s="40">
        <v>0</v>
      </c>
      <c r="AA174" s="39" t="s">
        <v>62</v>
      </c>
      <c r="AB174" s="36">
        <v>850</v>
      </c>
      <c r="AC174" s="41">
        <v>0</v>
      </c>
      <c r="AD174" s="40">
        <f>IFERROR((TABLA_AVANCE_METAS[[#This Row],[AVANCE 4°. TRIM]]/TABLA_AVANCE_METAS[[#This Row],[PROGR. 4° TRIM]])*100,"0")</f>
        <v>0</v>
      </c>
      <c r="AE174"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74" s="43" cm="1">
        <f t="array" ref="AF174">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2450</v>
      </c>
      <c r="AG174" s="44" cm="1">
        <f t="array" ref="AG174">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2027</v>
      </c>
      <c r="AH174" s="40">
        <f>IFERROR((TABLA_AVANCE_METAS[[#This Row],[AVANCE ACUM. TRIM.]]/TABLA_AVANCE_METAS[[#This Row],[PROG. ACUM]])*100,"N/A")</f>
        <v>82.734693877551024</v>
      </c>
      <c r="AI174"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REGULAR</v>
      </c>
      <c r="AJ174" s="45">
        <f>TABLA_AVANCE_METAS[[#This Row],[AVANCE ACUM. TRIM.]]-TABLA_AVANCE_METAS[[#This Row],[PROG. ACUM]]</f>
        <v>-423</v>
      </c>
      <c r="AK174" s="46">
        <f>IFERROR((TABLA_AVANCE_METAS[[#This Row],[DIFERENCIA ABSOLUTA SEMESTRAL]]/TABLA_AVANCE_METAS[[#This Row],[PROG. ACUM]])*100,"N/A")</f>
        <v>-17.26530612244898</v>
      </c>
      <c r="AL174" s="44">
        <f>TABLA_AVANCE_METAS[[#This Row],[AVANCE 1°. TRIM]]+TABLA_AVANCE_METAS[[#This Row],[AVANCE 2°. TRIM]]+TABLA_AVANCE_METAS[[#This Row],[AVANCE 3°. TRIM]]+TABLA_AVANCE_METAS[[#This Row],[AVANCE 4°. TRIM]]</f>
        <v>2027</v>
      </c>
      <c r="AM174" s="40">
        <f>IFERROR((TABLA_AVANCE_METAS[[#This Row],[AVANCE ACUM. ANUAL]]/TABLA_AVANCE_METAS[[#This Row],[PROGRAMADO ANUAL]])*100,"N/A")</f>
        <v>46.597701149425284</v>
      </c>
      <c r="AN174"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174" s="45">
        <f>TABLA_AVANCE_METAS[[#This Row],[AVANCE ACUM. ANUAL]]-TABLA_AVANCE_METAS[[#This Row],[PROGRAMADO ANUAL]]</f>
        <v>-2323</v>
      </c>
      <c r="AP174" s="47">
        <f>IFERROR((TABLA_AVANCE_METAS[[#This Row],[DIFERENCIA ABSOLUTA ANUAL]]/TABLA_AVANCE_METAS[[#This Row],[PROGRAMADO ANUAL]])*100,"N/A")</f>
        <v>-53.402298850574716</v>
      </c>
      <c r="AQ174" s="48" t="s">
        <v>555</v>
      </c>
      <c r="AR174" s="49"/>
      <c r="AS174" s="50"/>
      <c r="AT174" s="50"/>
      <c r="AU174" s="83" t="b">
        <f>TABLA_AVANCE_METAS[[#This Row],[PROGRAMADO ANUAL]]=SUM(TABLA_AVANCE_METAS[[#This Row],[PROGR. 1° TRIM]],TABLA_AVANCE_METAS[[#This Row],[PROGR. 2° TRIM]],TABLA_AVANCE_METAS[[#This Row],[PROGR. 3° TRIM]],TABLA_AVANCE_METAS[[#This Row],[PROGR. 4° TRIM]])</f>
        <v>1</v>
      </c>
      <c r="AV174" s="52"/>
    </row>
    <row r="175" spans="1:48" ht="75" hidden="1" customHeight="1" x14ac:dyDescent="0.3">
      <c r="A175" s="31" t="str">
        <f>CONCATENATE(TABLA_AVANCE_METAS[[#This Row],[ESTRUCTURA]],TABLA_AVANCE_METAS[[#This Row],['#]])</f>
        <v>C0022602020301071</v>
      </c>
      <c r="B175" s="32" t="s">
        <v>556</v>
      </c>
      <c r="C175" s="55" t="s">
        <v>445</v>
      </c>
      <c r="D175" s="54" t="s">
        <v>446</v>
      </c>
      <c r="E175" s="32" t="s">
        <v>557</v>
      </c>
      <c r="F175" s="54" t="s">
        <v>558</v>
      </c>
      <c r="G175" s="56" t="s">
        <v>559</v>
      </c>
      <c r="H175" s="54" t="s">
        <v>177</v>
      </c>
      <c r="I175" s="54" t="s">
        <v>178</v>
      </c>
      <c r="J175" s="54" t="s">
        <v>518</v>
      </c>
      <c r="K175" s="54" t="s">
        <v>519</v>
      </c>
      <c r="L175" s="55">
        <v>1</v>
      </c>
      <c r="M175" s="57" t="s">
        <v>560</v>
      </c>
      <c r="N175" s="56" t="s">
        <v>561</v>
      </c>
      <c r="O175" s="36">
        <v>1100</v>
      </c>
      <c r="P175" s="36">
        <v>273</v>
      </c>
      <c r="Q175" s="37">
        <v>293</v>
      </c>
      <c r="R175" s="38">
        <f>IFERROR((TABLA_AVANCE_METAS[[#This Row],[AVANCE 1°. TRIM]]/TABLA_AVANCE_METAS[[#This Row],[PROGR. 1° TRIM]])*100,"0")</f>
        <v>107.32600732600733</v>
      </c>
      <c r="S175"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175" s="36">
        <v>275</v>
      </c>
      <c r="U175" s="37">
        <v>305</v>
      </c>
      <c r="V175" s="40">
        <f t="shared" si="7"/>
        <v>110.90909090909091</v>
      </c>
      <c r="W175" s="39" t="str">
        <f t="shared" si="8"/>
        <v>ADECUADO</v>
      </c>
      <c r="X175" s="36">
        <v>276</v>
      </c>
      <c r="Y175" s="37">
        <v>0</v>
      </c>
      <c r="Z175" s="40">
        <v>0</v>
      </c>
      <c r="AA175" s="39" t="s">
        <v>62</v>
      </c>
      <c r="AB175" s="36">
        <v>276</v>
      </c>
      <c r="AC175" s="41">
        <v>0</v>
      </c>
      <c r="AD175" s="40">
        <f>IFERROR((TABLA_AVANCE_METAS[[#This Row],[AVANCE 4°. TRIM]]/TABLA_AVANCE_METAS[[#This Row],[PROGR. 4° TRIM]])*100,"0")</f>
        <v>0</v>
      </c>
      <c r="AE175"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75" s="43" cm="1">
        <f t="array" ref="AF175">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548</v>
      </c>
      <c r="AG175" s="44" cm="1">
        <f t="array" ref="AG175">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598</v>
      </c>
      <c r="AH175" s="40">
        <f>IFERROR((TABLA_AVANCE_METAS[[#This Row],[AVANCE ACUM. TRIM.]]/TABLA_AVANCE_METAS[[#This Row],[PROG. ACUM]])*100,"N/A")</f>
        <v>109.12408759124088</v>
      </c>
      <c r="AI175"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175" s="45">
        <f>TABLA_AVANCE_METAS[[#This Row],[AVANCE ACUM. TRIM.]]-TABLA_AVANCE_METAS[[#This Row],[PROG. ACUM]]</f>
        <v>50</v>
      </c>
      <c r="AK175" s="46">
        <f>IFERROR((TABLA_AVANCE_METAS[[#This Row],[DIFERENCIA ABSOLUTA SEMESTRAL]]/TABLA_AVANCE_METAS[[#This Row],[PROG. ACUM]])*100,"N/A")</f>
        <v>9.1240875912408761</v>
      </c>
      <c r="AL175" s="44">
        <f>TABLA_AVANCE_METAS[[#This Row],[AVANCE 1°. TRIM]]+TABLA_AVANCE_METAS[[#This Row],[AVANCE 2°. TRIM]]+TABLA_AVANCE_METAS[[#This Row],[AVANCE 3°. TRIM]]+TABLA_AVANCE_METAS[[#This Row],[AVANCE 4°. TRIM]]</f>
        <v>598</v>
      </c>
      <c r="AM175" s="40">
        <f>IFERROR((TABLA_AVANCE_METAS[[#This Row],[AVANCE ACUM. ANUAL]]/TABLA_AVANCE_METAS[[#This Row],[PROGRAMADO ANUAL]])*100,"N/A")</f>
        <v>54.36363636363636</v>
      </c>
      <c r="AN175"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175" s="45">
        <f>TABLA_AVANCE_METAS[[#This Row],[AVANCE ACUM. ANUAL]]-TABLA_AVANCE_METAS[[#This Row],[PROGRAMADO ANUAL]]</f>
        <v>-502</v>
      </c>
      <c r="AP175" s="47">
        <f>IFERROR((TABLA_AVANCE_METAS[[#This Row],[DIFERENCIA ABSOLUTA ANUAL]]/TABLA_AVANCE_METAS[[#This Row],[PROGRAMADO ANUAL]])*100,"N/A")</f>
        <v>-45.636363636363633</v>
      </c>
      <c r="AQ175" s="48" t="s">
        <v>63</v>
      </c>
      <c r="AR175" s="49"/>
      <c r="AS175" s="50"/>
      <c r="AT175" s="50"/>
      <c r="AU175" s="83" t="b">
        <f>TABLA_AVANCE_METAS[[#This Row],[PROGRAMADO ANUAL]]=SUM(TABLA_AVANCE_METAS[[#This Row],[PROGR. 1° TRIM]],TABLA_AVANCE_METAS[[#This Row],[PROGR. 2° TRIM]],TABLA_AVANCE_METAS[[#This Row],[PROGR. 3° TRIM]],TABLA_AVANCE_METAS[[#This Row],[PROGR. 4° TRIM]])</f>
        <v>1</v>
      </c>
      <c r="AV175" s="52"/>
    </row>
    <row r="176" spans="1:48" ht="75" hidden="1" customHeight="1" x14ac:dyDescent="0.3">
      <c r="A176" s="31" t="str">
        <f>CONCATENATE(TABLA_AVANCE_METAS[[#This Row],[ESTRUCTURA]],TABLA_AVANCE_METAS[[#This Row],['#]])</f>
        <v>C0022602020301072</v>
      </c>
      <c r="B176" s="32" t="s">
        <v>556</v>
      </c>
      <c r="C176" s="55" t="s">
        <v>445</v>
      </c>
      <c r="D176" s="54" t="s">
        <v>446</v>
      </c>
      <c r="E176" s="32" t="s">
        <v>557</v>
      </c>
      <c r="F176" s="54" t="s">
        <v>558</v>
      </c>
      <c r="G176" s="56" t="s">
        <v>559</v>
      </c>
      <c r="H176" s="54" t="s">
        <v>177</v>
      </c>
      <c r="I176" s="54" t="s">
        <v>178</v>
      </c>
      <c r="J176" s="54" t="s">
        <v>518</v>
      </c>
      <c r="K176" s="54" t="s">
        <v>519</v>
      </c>
      <c r="L176" s="55">
        <v>2</v>
      </c>
      <c r="M176" s="90" t="s">
        <v>562</v>
      </c>
      <c r="N176" s="56" t="s">
        <v>501</v>
      </c>
      <c r="O176" s="36">
        <v>20</v>
      </c>
      <c r="P176" s="36">
        <v>0</v>
      </c>
      <c r="Q176" s="37">
        <v>9</v>
      </c>
      <c r="R176" s="38" t="str">
        <f>IFERROR((TABLA_AVANCE_METAS[[#This Row],[AVANCE 1°. TRIM]]/TABLA_AVANCE_METAS[[#This Row],[PROGR. 1° TRIM]])*100,"0")</f>
        <v>0</v>
      </c>
      <c r="S176"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NO PROG.</v>
      </c>
      <c r="T176" s="36">
        <v>0</v>
      </c>
      <c r="U176" s="37">
        <v>0</v>
      </c>
      <c r="V176" s="40" t="str">
        <f t="shared" si="7"/>
        <v>0</v>
      </c>
      <c r="W176" s="39" t="str">
        <f t="shared" si="8"/>
        <v>NO PROG.</v>
      </c>
      <c r="X176" s="36">
        <v>10</v>
      </c>
      <c r="Y176" s="37">
        <v>0</v>
      </c>
      <c r="Z176" s="40">
        <v>0</v>
      </c>
      <c r="AA176" s="39" t="s">
        <v>62</v>
      </c>
      <c r="AB176" s="36">
        <v>10</v>
      </c>
      <c r="AC176" s="41">
        <v>0</v>
      </c>
      <c r="AD176" s="40">
        <f>IFERROR((TABLA_AVANCE_METAS[[#This Row],[AVANCE 4°. TRIM]]/TABLA_AVANCE_METAS[[#This Row],[PROGR. 4° TRIM]])*100,"0")</f>
        <v>0</v>
      </c>
      <c r="AE176"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76" s="43" cm="1">
        <f t="array" ref="AF176">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0</v>
      </c>
      <c r="AG176" s="44" cm="1">
        <f t="array" ref="AG176">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9</v>
      </c>
      <c r="AH176" s="40" t="str">
        <f>IFERROR((TABLA_AVANCE_METAS[[#This Row],[AVANCE ACUM. TRIM.]]/TABLA_AVANCE_METAS[[#This Row],[PROG. ACUM]])*100,"N/A")</f>
        <v>N/A</v>
      </c>
      <c r="AI176"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NO PROG.</v>
      </c>
      <c r="AJ176" s="45">
        <f>TABLA_AVANCE_METAS[[#This Row],[AVANCE ACUM. TRIM.]]-TABLA_AVANCE_METAS[[#This Row],[PROG. ACUM]]</f>
        <v>9</v>
      </c>
      <c r="AK176" s="46" t="str">
        <f>IFERROR((TABLA_AVANCE_METAS[[#This Row],[DIFERENCIA ABSOLUTA SEMESTRAL]]/TABLA_AVANCE_METAS[[#This Row],[PROG. ACUM]])*100,"N/A")</f>
        <v>N/A</v>
      </c>
      <c r="AL176" s="44">
        <f>TABLA_AVANCE_METAS[[#This Row],[AVANCE 1°. TRIM]]+TABLA_AVANCE_METAS[[#This Row],[AVANCE 2°. TRIM]]+TABLA_AVANCE_METAS[[#This Row],[AVANCE 3°. TRIM]]+TABLA_AVANCE_METAS[[#This Row],[AVANCE 4°. TRIM]]</f>
        <v>9</v>
      </c>
      <c r="AM176" s="40">
        <f>IFERROR((TABLA_AVANCE_METAS[[#This Row],[AVANCE ACUM. ANUAL]]/TABLA_AVANCE_METAS[[#This Row],[PROGRAMADO ANUAL]])*100,"N/A")</f>
        <v>45</v>
      </c>
      <c r="AN176"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176" s="45">
        <f>TABLA_AVANCE_METAS[[#This Row],[AVANCE ACUM. ANUAL]]-TABLA_AVANCE_METAS[[#This Row],[PROGRAMADO ANUAL]]</f>
        <v>-11</v>
      </c>
      <c r="AP176" s="47">
        <f>IFERROR((TABLA_AVANCE_METAS[[#This Row],[DIFERENCIA ABSOLUTA ANUAL]]/TABLA_AVANCE_METAS[[#This Row],[PROGRAMADO ANUAL]])*100,"N/A")</f>
        <v>-55.000000000000007</v>
      </c>
      <c r="AQ176" s="48" t="s">
        <v>563</v>
      </c>
      <c r="AR176" s="49"/>
      <c r="AS176" s="50"/>
      <c r="AT176" s="50"/>
      <c r="AU176" s="83" t="b">
        <f>TABLA_AVANCE_METAS[[#This Row],[PROGRAMADO ANUAL]]=SUM(TABLA_AVANCE_METAS[[#This Row],[PROGR. 1° TRIM]],TABLA_AVANCE_METAS[[#This Row],[PROGR. 2° TRIM]],TABLA_AVANCE_METAS[[#This Row],[PROGR. 3° TRIM]],TABLA_AVANCE_METAS[[#This Row],[PROGR. 4° TRIM]])</f>
        <v>1</v>
      </c>
      <c r="AV176" s="52"/>
    </row>
    <row r="177" spans="1:48" ht="75" hidden="1" customHeight="1" x14ac:dyDescent="0.3">
      <c r="A177" s="31" t="str">
        <f>CONCATENATE(TABLA_AVANCE_METAS[[#This Row],[ESTRUCTURA]],TABLA_AVANCE_METAS[[#This Row],['#]])</f>
        <v>C0022602020301073</v>
      </c>
      <c r="B177" s="32" t="s">
        <v>556</v>
      </c>
      <c r="C177" s="55" t="s">
        <v>445</v>
      </c>
      <c r="D177" s="54" t="s">
        <v>446</v>
      </c>
      <c r="E177" s="32" t="s">
        <v>557</v>
      </c>
      <c r="F177" s="54" t="s">
        <v>558</v>
      </c>
      <c r="G177" s="56" t="s">
        <v>559</v>
      </c>
      <c r="H177" s="54" t="s">
        <v>177</v>
      </c>
      <c r="I177" s="54" t="s">
        <v>178</v>
      </c>
      <c r="J177" s="54" t="s">
        <v>518</v>
      </c>
      <c r="K177" s="54" t="s">
        <v>519</v>
      </c>
      <c r="L177" s="55">
        <v>3</v>
      </c>
      <c r="M177" s="57" t="s">
        <v>564</v>
      </c>
      <c r="N177" s="56" t="s">
        <v>511</v>
      </c>
      <c r="O177" s="36">
        <v>52912215.799999997</v>
      </c>
      <c r="P177" s="36">
        <v>12937327.49</v>
      </c>
      <c r="Q177" s="37">
        <v>11682016.84</v>
      </c>
      <c r="R177" s="38">
        <f>IFERROR((TABLA_AVANCE_METAS[[#This Row],[AVANCE 1°. TRIM]]/TABLA_AVANCE_METAS[[#This Row],[PROGR. 1° TRIM]])*100,"0")</f>
        <v>90.296986367777251</v>
      </c>
      <c r="S177"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177" s="36">
        <v>13228053.949999999</v>
      </c>
      <c r="U177" s="37">
        <v>12593069.039999999</v>
      </c>
      <c r="V177" s="40">
        <f t="shared" si="7"/>
        <v>95.199710309618141</v>
      </c>
      <c r="W177" s="39" t="str">
        <f t="shared" si="8"/>
        <v>ADECUADO</v>
      </c>
      <c r="X177" s="36">
        <v>13373417.18</v>
      </c>
      <c r="Y177" s="37">
        <v>0</v>
      </c>
      <c r="Z177" s="40">
        <v>0</v>
      </c>
      <c r="AA177" s="39" t="s">
        <v>62</v>
      </c>
      <c r="AB177" s="36">
        <v>13373417.18</v>
      </c>
      <c r="AC177" s="41">
        <v>0</v>
      </c>
      <c r="AD177" s="40">
        <f>IFERROR((TABLA_AVANCE_METAS[[#This Row],[AVANCE 4°. TRIM]]/TABLA_AVANCE_METAS[[#This Row],[PROGR. 4° TRIM]])*100,"0")</f>
        <v>0</v>
      </c>
      <c r="AE177"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77" s="43" cm="1">
        <f t="array" ref="AF177">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26165381.439999998</v>
      </c>
      <c r="AG177" s="44" cm="1">
        <f t="array" ref="AG177">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24275085.879999999</v>
      </c>
      <c r="AH177" s="40">
        <f>IFERROR((TABLA_AVANCE_METAS[[#This Row],[AVANCE ACUM. TRIM.]]/TABLA_AVANCE_METAS[[#This Row],[PROG. ACUM]])*100,"N/A")</f>
        <v>92.775585693888516</v>
      </c>
      <c r="AI177"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177" s="45">
        <f>TABLA_AVANCE_METAS[[#This Row],[AVANCE ACUM. TRIM.]]-TABLA_AVANCE_METAS[[#This Row],[PROG. ACUM]]</f>
        <v>-1890295.5599999987</v>
      </c>
      <c r="AK177" s="46">
        <f>IFERROR((TABLA_AVANCE_METAS[[#This Row],[DIFERENCIA ABSOLUTA SEMESTRAL]]/TABLA_AVANCE_METAS[[#This Row],[PROG. ACUM]])*100,"N/A")</f>
        <v>-7.2244143061114832</v>
      </c>
      <c r="AL177" s="44">
        <f>TABLA_AVANCE_METAS[[#This Row],[AVANCE 1°. TRIM]]+TABLA_AVANCE_METAS[[#This Row],[AVANCE 2°. TRIM]]+TABLA_AVANCE_METAS[[#This Row],[AVANCE 3°. TRIM]]+TABLA_AVANCE_METAS[[#This Row],[AVANCE 4°. TRIM]]</f>
        <v>24275085.879999999</v>
      </c>
      <c r="AM177" s="40">
        <f>IFERROR((TABLA_AVANCE_METAS[[#This Row],[AVANCE ACUM. ANUAL]]/TABLA_AVANCE_METAS[[#This Row],[PROGRAMADO ANUAL]])*100,"N/A")</f>
        <v>45.878036882363944</v>
      </c>
      <c r="AN177"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177" s="45">
        <f>TABLA_AVANCE_METAS[[#This Row],[AVANCE ACUM. ANUAL]]-TABLA_AVANCE_METAS[[#This Row],[PROGRAMADO ANUAL]]</f>
        <v>-28637129.919999998</v>
      </c>
      <c r="AP177" s="47">
        <f>IFERROR((TABLA_AVANCE_METAS[[#This Row],[DIFERENCIA ABSOLUTA ANUAL]]/TABLA_AVANCE_METAS[[#This Row],[PROGRAMADO ANUAL]])*100,"N/A")</f>
        <v>-54.121963117636064</v>
      </c>
      <c r="AQ177" s="48" t="s">
        <v>63</v>
      </c>
      <c r="AR177" s="49"/>
      <c r="AS177" s="50"/>
      <c r="AT177" s="50"/>
      <c r="AU177" s="51" t="b">
        <f>TABLA_AVANCE_METAS[[#This Row],[PROGRAMADO ANUAL]]=SUM(TABLA_AVANCE_METAS[[#This Row],[PROGR. 1° TRIM]],TABLA_AVANCE_METAS[[#This Row],[PROGR. 2° TRIM]],TABLA_AVANCE_METAS[[#This Row],[PROGR. 3° TRIM]],TABLA_AVANCE_METAS[[#This Row],[PROGR. 4° TRIM]])</f>
        <v>1</v>
      </c>
      <c r="AV177" s="52"/>
    </row>
    <row r="178" spans="1:48" ht="75" hidden="1" customHeight="1" x14ac:dyDescent="0.3">
      <c r="A178" s="31" t="str">
        <f>CONCATENATE(TABLA_AVANCE_METAS[[#This Row],[ESTRUCTURA]],TABLA_AVANCE_METAS[[#This Row],['#]])</f>
        <v>C0022602020301074</v>
      </c>
      <c r="B178" s="32" t="s">
        <v>556</v>
      </c>
      <c r="C178" s="55" t="s">
        <v>445</v>
      </c>
      <c r="D178" s="54" t="s">
        <v>446</v>
      </c>
      <c r="E178" s="32" t="s">
        <v>557</v>
      </c>
      <c r="F178" s="54" t="s">
        <v>558</v>
      </c>
      <c r="G178" s="56" t="s">
        <v>559</v>
      </c>
      <c r="H178" s="54" t="s">
        <v>177</v>
      </c>
      <c r="I178" s="54" t="s">
        <v>178</v>
      </c>
      <c r="J178" s="54" t="s">
        <v>518</v>
      </c>
      <c r="K178" s="54" t="s">
        <v>519</v>
      </c>
      <c r="L178" s="55">
        <v>4</v>
      </c>
      <c r="M178" s="57" t="s">
        <v>565</v>
      </c>
      <c r="N178" s="56" t="s">
        <v>506</v>
      </c>
      <c r="O178" s="36">
        <v>20</v>
      </c>
      <c r="P178" s="36">
        <v>5</v>
      </c>
      <c r="Q178" s="37">
        <v>5</v>
      </c>
      <c r="R178" s="38">
        <f>IFERROR((TABLA_AVANCE_METAS[[#This Row],[AVANCE 1°. TRIM]]/TABLA_AVANCE_METAS[[#This Row],[PROGR. 1° TRIM]])*100,"0")</f>
        <v>100</v>
      </c>
      <c r="S178"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178" s="36">
        <v>5</v>
      </c>
      <c r="U178" s="37">
        <v>5</v>
      </c>
      <c r="V178" s="40">
        <f t="shared" si="7"/>
        <v>100</v>
      </c>
      <c r="W178" s="39" t="str">
        <f t="shared" si="8"/>
        <v>ADECUADO</v>
      </c>
      <c r="X178" s="36">
        <v>5</v>
      </c>
      <c r="Y178" s="37">
        <v>0</v>
      </c>
      <c r="Z178" s="40">
        <v>0</v>
      </c>
      <c r="AA178" s="39" t="s">
        <v>62</v>
      </c>
      <c r="AB178" s="36">
        <v>5</v>
      </c>
      <c r="AC178" s="41">
        <v>0</v>
      </c>
      <c r="AD178" s="40">
        <f>IFERROR((TABLA_AVANCE_METAS[[#This Row],[AVANCE 4°. TRIM]]/TABLA_AVANCE_METAS[[#This Row],[PROGR. 4° TRIM]])*100,"0")</f>
        <v>0</v>
      </c>
      <c r="AE178"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78" s="43" cm="1">
        <f t="array" ref="AF178">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10</v>
      </c>
      <c r="AG178" s="44" cm="1">
        <f t="array" ref="AG178">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10</v>
      </c>
      <c r="AH178" s="40">
        <f>IFERROR((TABLA_AVANCE_METAS[[#This Row],[AVANCE ACUM. TRIM.]]/TABLA_AVANCE_METAS[[#This Row],[PROG. ACUM]])*100,"N/A")</f>
        <v>100</v>
      </c>
      <c r="AI178"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178" s="45">
        <f>TABLA_AVANCE_METAS[[#This Row],[AVANCE ACUM. TRIM.]]-TABLA_AVANCE_METAS[[#This Row],[PROG. ACUM]]</f>
        <v>0</v>
      </c>
      <c r="AK178" s="46">
        <f>IFERROR((TABLA_AVANCE_METAS[[#This Row],[DIFERENCIA ABSOLUTA SEMESTRAL]]/TABLA_AVANCE_METAS[[#This Row],[PROG. ACUM]])*100,"N/A")</f>
        <v>0</v>
      </c>
      <c r="AL178" s="44">
        <f>TABLA_AVANCE_METAS[[#This Row],[AVANCE 1°. TRIM]]+TABLA_AVANCE_METAS[[#This Row],[AVANCE 2°. TRIM]]+TABLA_AVANCE_METAS[[#This Row],[AVANCE 3°. TRIM]]+TABLA_AVANCE_METAS[[#This Row],[AVANCE 4°. TRIM]]</f>
        <v>10</v>
      </c>
      <c r="AM178" s="40">
        <f>IFERROR((TABLA_AVANCE_METAS[[#This Row],[AVANCE ACUM. ANUAL]]/TABLA_AVANCE_METAS[[#This Row],[PROGRAMADO ANUAL]])*100,"N/A")</f>
        <v>50</v>
      </c>
      <c r="AN178"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178" s="45">
        <f>TABLA_AVANCE_METAS[[#This Row],[AVANCE ACUM. ANUAL]]-TABLA_AVANCE_METAS[[#This Row],[PROGRAMADO ANUAL]]</f>
        <v>-10</v>
      </c>
      <c r="AP178" s="47">
        <f>IFERROR((TABLA_AVANCE_METAS[[#This Row],[DIFERENCIA ABSOLUTA ANUAL]]/TABLA_AVANCE_METAS[[#This Row],[PROGRAMADO ANUAL]])*100,"N/A")</f>
        <v>-50</v>
      </c>
      <c r="AQ178" s="48" t="s">
        <v>63</v>
      </c>
      <c r="AR178" s="49"/>
      <c r="AS178" s="50"/>
      <c r="AT178" s="50"/>
      <c r="AU178" s="51" t="b">
        <f>TABLA_AVANCE_METAS[[#This Row],[PROGRAMADO ANUAL]]=SUM(TABLA_AVANCE_METAS[[#This Row],[PROGR. 1° TRIM]],TABLA_AVANCE_METAS[[#This Row],[PROGR. 2° TRIM]],TABLA_AVANCE_METAS[[#This Row],[PROGR. 3° TRIM]],TABLA_AVANCE_METAS[[#This Row],[PROGR. 4° TRIM]])</f>
        <v>1</v>
      </c>
      <c r="AV178" s="52"/>
    </row>
    <row r="179" spans="1:48" ht="75" hidden="1" customHeight="1" x14ac:dyDescent="0.3">
      <c r="A179" s="31" t="str">
        <f>CONCATENATE(TABLA_AVANCE_METAS[[#This Row],[ESTRUCTURA]],TABLA_AVANCE_METAS[[#This Row],['#]])</f>
        <v>C0023302020301051</v>
      </c>
      <c r="B179" s="32" t="s">
        <v>566</v>
      </c>
      <c r="C179" s="55" t="s">
        <v>445</v>
      </c>
      <c r="D179" s="54" t="s">
        <v>446</v>
      </c>
      <c r="E179" s="32" t="s">
        <v>454</v>
      </c>
      <c r="F179" s="54" t="s">
        <v>455</v>
      </c>
      <c r="G179" s="56" t="s">
        <v>567</v>
      </c>
      <c r="H179" s="54" t="s">
        <v>177</v>
      </c>
      <c r="I179" s="54" t="s">
        <v>178</v>
      </c>
      <c r="J179" s="54" t="s">
        <v>568</v>
      </c>
      <c r="K179" s="54" t="s">
        <v>569</v>
      </c>
      <c r="L179" s="55">
        <v>1</v>
      </c>
      <c r="M179" s="57" t="s">
        <v>570</v>
      </c>
      <c r="N179" s="56" t="s">
        <v>247</v>
      </c>
      <c r="O179" s="36">
        <v>1</v>
      </c>
      <c r="P179" s="36">
        <v>0</v>
      </c>
      <c r="Q179" s="37">
        <v>0</v>
      </c>
      <c r="R179" s="38" t="str">
        <f>IFERROR((TABLA_AVANCE_METAS[[#This Row],[AVANCE 1°. TRIM]]/TABLA_AVANCE_METAS[[#This Row],[PROGR. 1° TRIM]])*100,"0")</f>
        <v>0</v>
      </c>
      <c r="S179"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NO PROG.</v>
      </c>
      <c r="T179" s="36">
        <v>1</v>
      </c>
      <c r="U179" s="37">
        <v>1</v>
      </c>
      <c r="V179" s="40">
        <f t="shared" si="7"/>
        <v>100</v>
      </c>
      <c r="W179" s="39" t="str">
        <f t="shared" si="8"/>
        <v>ADECUADO</v>
      </c>
      <c r="X179" s="36">
        <v>0</v>
      </c>
      <c r="Y179" s="37">
        <v>0</v>
      </c>
      <c r="Z179" s="40" t="s">
        <v>72</v>
      </c>
      <c r="AA179" s="39" t="s">
        <v>73</v>
      </c>
      <c r="AB179" s="36">
        <v>0</v>
      </c>
      <c r="AC179" s="41">
        <v>0</v>
      </c>
      <c r="AD179" s="40" t="str">
        <f>IFERROR((TABLA_AVANCE_METAS[[#This Row],[AVANCE 4°. TRIM]]/TABLA_AVANCE_METAS[[#This Row],[PROGR. 4° TRIM]])*100,"0")</f>
        <v>0</v>
      </c>
      <c r="AE179"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NO PROG.</v>
      </c>
      <c r="AF179" s="43" cm="1">
        <f t="array" ref="AF179">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v>
      </c>
      <c r="AG179" s="44" cm="1">
        <f t="array" ref="AG179">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1</v>
      </c>
      <c r="AH179" s="40">
        <f>IFERROR((TABLA_AVANCE_METAS[[#This Row],[AVANCE ACUM. TRIM.]]/TABLA_AVANCE_METAS[[#This Row],[PROG. ACUM]])*100,"N/A")</f>
        <v>100</v>
      </c>
      <c r="AI179"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179" s="45">
        <f>TABLA_AVANCE_METAS[[#This Row],[AVANCE ACUM. TRIM.]]-TABLA_AVANCE_METAS[[#This Row],[PROG. ACUM]]</f>
        <v>0</v>
      </c>
      <c r="AK179" s="46">
        <f>IFERROR((TABLA_AVANCE_METAS[[#This Row],[DIFERENCIA ABSOLUTA SEMESTRAL]]/TABLA_AVANCE_METAS[[#This Row],[PROG. ACUM]])*100,"N/A")</f>
        <v>0</v>
      </c>
      <c r="AL179" s="44">
        <f>TABLA_AVANCE_METAS[[#This Row],[AVANCE 1°. TRIM]]+TABLA_AVANCE_METAS[[#This Row],[AVANCE 2°. TRIM]]+TABLA_AVANCE_METAS[[#This Row],[AVANCE 3°. TRIM]]+TABLA_AVANCE_METAS[[#This Row],[AVANCE 4°. TRIM]]</f>
        <v>1</v>
      </c>
      <c r="AM179" s="40">
        <f>IFERROR((TABLA_AVANCE_METAS[[#This Row],[AVANCE ACUM. ANUAL]]/TABLA_AVANCE_METAS[[#This Row],[PROGRAMADO ANUAL]])*100,"N/A")</f>
        <v>100</v>
      </c>
      <c r="AN179"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ADECUADO</v>
      </c>
      <c r="AO179" s="45">
        <f>TABLA_AVANCE_METAS[[#This Row],[AVANCE ACUM. ANUAL]]-TABLA_AVANCE_METAS[[#This Row],[PROGRAMADO ANUAL]]</f>
        <v>0</v>
      </c>
      <c r="AP179" s="47">
        <f>IFERROR((TABLA_AVANCE_METAS[[#This Row],[DIFERENCIA ABSOLUTA ANUAL]]/TABLA_AVANCE_METAS[[#This Row],[PROGRAMADO ANUAL]])*100,"N/A")</f>
        <v>0</v>
      </c>
      <c r="AQ179" s="48" t="s">
        <v>63</v>
      </c>
      <c r="AR179" s="49"/>
      <c r="AS179" s="50"/>
      <c r="AT179" s="50"/>
      <c r="AU179" s="51" t="b">
        <f>TABLA_AVANCE_METAS[[#This Row],[PROGRAMADO ANUAL]]=SUM(TABLA_AVANCE_METAS[[#This Row],[PROGR. 1° TRIM]],TABLA_AVANCE_METAS[[#This Row],[PROGR. 2° TRIM]],TABLA_AVANCE_METAS[[#This Row],[PROGR. 3° TRIM]],TABLA_AVANCE_METAS[[#This Row],[PROGR. 4° TRIM]])</f>
        <v>1</v>
      </c>
      <c r="AV179" s="52"/>
    </row>
    <row r="180" spans="1:48" ht="75" hidden="1" customHeight="1" x14ac:dyDescent="0.3">
      <c r="A180" s="31" t="str">
        <f>CONCATENATE(TABLA_AVANCE_METAS[[#This Row],[ESTRUCTURA]],TABLA_AVANCE_METAS[[#This Row],['#]])</f>
        <v>C0023302020301052</v>
      </c>
      <c r="B180" s="32" t="s">
        <v>566</v>
      </c>
      <c r="C180" s="55" t="s">
        <v>445</v>
      </c>
      <c r="D180" s="54" t="s">
        <v>446</v>
      </c>
      <c r="E180" s="32" t="s">
        <v>454</v>
      </c>
      <c r="F180" s="54" t="s">
        <v>455</v>
      </c>
      <c r="G180" s="56" t="s">
        <v>567</v>
      </c>
      <c r="H180" s="54" t="s">
        <v>177</v>
      </c>
      <c r="I180" s="54" t="s">
        <v>178</v>
      </c>
      <c r="J180" s="54" t="s">
        <v>568</v>
      </c>
      <c r="K180" s="54" t="s">
        <v>569</v>
      </c>
      <c r="L180" s="55">
        <v>2</v>
      </c>
      <c r="M180" s="91" t="s">
        <v>571</v>
      </c>
      <c r="N180" s="56" t="s">
        <v>302</v>
      </c>
      <c r="O180" s="36">
        <v>45</v>
      </c>
      <c r="P180" s="36">
        <v>6</v>
      </c>
      <c r="Q180" s="37">
        <v>13</v>
      </c>
      <c r="R180" s="38">
        <f>IFERROR((TABLA_AVANCE_METAS[[#This Row],[AVANCE 1°. TRIM]]/TABLA_AVANCE_METAS[[#This Row],[PROGR. 1° TRIM]])*100,"0")</f>
        <v>216.66666666666666</v>
      </c>
      <c r="S180"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SOBREPASADO</v>
      </c>
      <c r="T180" s="36">
        <v>13</v>
      </c>
      <c r="U180" s="37">
        <v>11</v>
      </c>
      <c r="V180" s="40">
        <f t="shared" si="7"/>
        <v>84.615384615384613</v>
      </c>
      <c r="W180" s="39" t="str">
        <f t="shared" si="8"/>
        <v>REGULAR</v>
      </c>
      <c r="X180" s="36">
        <v>13</v>
      </c>
      <c r="Y180" s="37">
        <v>0</v>
      </c>
      <c r="Z180" s="40">
        <v>0</v>
      </c>
      <c r="AA180" s="39" t="s">
        <v>62</v>
      </c>
      <c r="AB180" s="36">
        <v>13</v>
      </c>
      <c r="AC180" s="41">
        <v>0</v>
      </c>
      <c r="AD180" s="40">
        <f>IFERROR((TABLA_AVANCE_METAS[[#This Row],[AVANCE 4°. TRIM]]/TABLA_AVANCE_METAS[[#This Row],[PROGR. 4° TRIM]])*100,"0")</f>
        <v>0</v>
      </c>
      <c r="AE180"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80" s="43" cm="1">
        <f t="array" ref="AF180">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19</v>
      </c>
      <c r="AG180" s="44" cm="1">
        <f t="array" ref="AG180">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24</v>
      </c>
      <c r="AH180" s="40">
        <f>IFERROR((TABLA_AVANCE_METAS[[#This Row],[AVANCE ACUM. TRIM.]]/TABLA_AVANCE_METAS[[#This Row],[PROG. ACUM]])*100,"N/A")</f>
        <v>126.31578947368421</v>
      </c>
      <c r="AI180"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SOBREPASADO</v>
      </c>
      <c r="AJ180" s="45">
        <f>TABLA_AVANCE_METAS[[#This Row],[AVANCE ACUM. TRIM.]]-TABLA_AVANCE_METAS[[#This Row],[PROG. ACUM]]</f>
        <v>5</v>
      </c>
      <c r="AK180" s="46">
        <f>IFERROR((TABLA_AVANCE_METAS[[#This Row],[DIFERENCIA ABSOLUTA SEMESTRAL]]/TABLA_AVANCE_METAS[[#This Row],[PROG. ACUM]])*100,"N/A")</f>
        <v>26.315789473684209</v>
      </c>
      <c r="AL180" s="44">
        <f>TABLA_AVANCE_METAS[[#This Row],[AVANCE 1°. TRIM]]+TABLA_AVANCE_METAS[[#This Row],[AVANCE 2°. TRIM]]+TABLA_AVANCE_METAS[[#This Row],[AVANCE 3°. TRIM]]+TABLA_AVANCE_METAS[[#This Row],[AVANCE 4°. TRIM]]</f>
        <v>24</v>
      </c>
      <c r="AM180" s="40">
        <f>IFERROR((TABLA_AVANCE_METAS[[#This Row],[AVANCE ACUM. ANUAL]]/TABLA_AVANCE_METAS[[#This Row],[PROGRAMADO ANUAL]])*100,"N/A")</f>
        <v>53.333333333333336</v>
      </c>
      <c r="AN180"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180" s="45">
        <f>TABLA_AVANCE_METAS[[#This Row],[AVANCE ACUM. ANUAL]]-TABLA_AVANCE_METAS[[#This Row],[PROGRAMADO ANUAL]]</f>
        <v>-21</v>
      </c>
      <c r="AP180" s="47">
        <f>IFERROR((TABLA_AVANCE_METAS[[#This Row],[DIFERENCIA ABSOLUTA ANUAL]]/TABLA_AVANCE_METAS[[#This Row],[PROGRAMADO ANUAL]])*100,"N/A")</f>
        <v>-46.666666666666664</v>
      </c>
      <c r="AQ180" s="48" t="s">
        <v>572</v>
      </c>
      <c r="AR180" s="49"/>
      <c r="AS180" s="50"/>
      <c r="AT180" s="50"/>
      <c r="AU180" s="83" t="b">
        <f>TABLA_AVANCE_METAS[[#This Row],[PROGRAMADO ANUAL]]=SUM(TABLA_AVANCE_METAS[[#This Row],[PROGR. 1° TRIM]],TABLA_AVANCE_METAS[[#This Row],[PROGR. 2° TRIM]],TABLA_AVANCE_METAS[[#This Row],[PROGR. 3° TRIM]],TABLA_AVANCE_METAS[[#This Row],[PROGR. 4° TRIM]])</f>
        <v>1</v>
      </c>
      <c r="AV180" s="52"/>
    </row>
    <row r="181" spans="1:48" ht="75" hidden="1" customHeight="1" x14ac:dyDescent="0.3">
      <c r="A181" s="31" t="str">
        <f>CONCATENATE(TABLA_AVANCE_METAS[[#This Row],[ESTRUCTURA]],TABLA_AVANCE_METAS[[#This Row],['#]])</f>
        <v>C0023302020301053</v>
      </c>
      <c r="B181" s="32" t="s">
        <v>566</v>
      </c>
      <c r="C181" s="55" t="s">
        <v>445</v>
      </c>
      <c r="D181" s="54" t="s">
        <v>446</v>
      </c>
      <c r="E181" s="32" t="s">
        <v>454</v>
      </c>
      <c r="F181" s="54" t="s">
        <v>455</v>
      </c>
      <c r="G181" s="56" t="s">
        <v>567</v>
      </c>
      <c r="H181" s="54" t="s">
        <v>177</v>
      </c>
      <c r="I181" s="54" t="s">
        <v>178</v>
      </c>
      <c r="J181" s="54" t="s">
        <v>568</v>
      </c>
      <c r="K181" s="54" t="s">
        <v>569</v>
      </c>
      <c r="L181" s="55">
        <v>3</v>
      </c>
      <c r="M181" s="91" t="s">
        <v>573</v>
      </c>
      <c r="N181" s="56" t="s">
        <v>574</v>
      </c>
      <c r="O181" s="36">
        <v>3</v>
      </c>
      <c r="P181" s="36">
        <v>0</v>
      </c>
      <c r="Q181" s="37">
        <v>0</v>
      </c>
      <c r="R181" s="38" t="str">
        <f>IFERROR((TABLA_AVANCE_METAS[[#This Row],[AVANCE 1°. TRIM]]/TABLA_AVANCE_METAS[[#This Row],[PROGR. 1° TRIM]])*100,"0")</f>
        <v>0</v>
      </c>
      <c r="S181"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NO PROG.</v>
      </c>
      <c r="T181" s="36">
        <v>3</v>
      </c>
      <c r="U181" s="37">
        <v>3</v>
      </c>
      <c r="V181" s="40">
        <f t="shared" si="7"/>
        <v>100</v>
      </c>
      <c r="W181" s="39" t="str">
        <f t="shared" si="8"/>
        <v>ADECUADO</v>
      </c>
      <c r="X181" s="36">
        <v>0</v>
      </c>
      <c r="Y181" s="37">
        <v>0</v>
      </c>
      <c r="Z181" s="40" t="s">
        <v>72</v>
      </c>
      <c r="AA181" s="39" t="s">
        <v>73</v>
      </c>
      <c r="AB181" s="36">
        <v>0</v>
      </c>
      <c r="AC181" s="41">
        <v>0</v>
      </c>
      <c r="AD181" s="40" t="str">
        <f>IFERROR((TABLA_AVANCE_METAS[[#This Row],[AVANCE 4°. TRIM]]/TABLA_AVANCE_METAS[[#This Row],[PROGR. 4° TRIM]])*100,"0")</f>
        <v>0</v>
      </c>
      <c r="AE181"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NO PROG.</v>
      </c>
      <c r="AF181" s="43" cm="1">
        <f t="array" ref="AF181">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3</v>
      </c>
      <c r="AG181" s="44" cm="1">
        <f t="array" ref="AG181">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3</v>
      </c>
      <c r="AH181" s="40">
        <f>IFERROR((TABLA_AVANCE_METAS[[#This Row],[AVANCE ACUM. TRIM.]]/TABLA_AVANCE_METAS[[#This Row],[PROG. ACUM]])*100,"N/A")</f>
        <v>100</v>
      </c>
      <c r="AI181"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181" s="45">
        <f>TABLA_AVANCE_METAS[[#This Row],[AVANCE ACUM. TRIM.]]-TABLA_AVANCE_METAS[[#This Row],[PROG. ACUM]]</f>
        <v>0</v>
      </c>
      <c r="AK181" s="46">
        <f>IFERROR((TABLA_AVANCE_METAS[[#This Row],[DIFERENCIA ABSOLUTA SEMESTRAL]]/TABLA_AVANCE_METAS[[#This Row],[PROG. ACUM]])*100,"N/A")</f>
        <v>0</v>
      </c>
      <c r="AL181" s="44">
        <f>TABLA_AVANCE_METAS[[#This Row],[AVANCE 1°. TRIM]]+TABLA_AVANCE_METAS[[#This Row],[AVANCE 2°. TRIM]]+TABLA_AVANCE_METAS[[#This Row],[AVANCE 3°. TRIM]]+TABLA_AVANCE_METAS[[#This Row],[AVANCE 4°. TRIM]]</f>
        <v>3</v>
      </c>
      <c r="AM181" s="40">
        <f>IFERROR((TABLA_AVANCE_METAS[[#This Row],[AVANCE ACUM. ANUAL]]/TABLA_AVANCE_METAS[[#This Row],[PROGRAMADO ANUAL]])*100,"N/A")</f>
        <v>100</v>
      </c>
      <c r="AN181"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ADECUADO</v>
      </c>
      <c r="AO181" s="45">
        <f>TABLA_AVANCE_METAS[[#This Row],[AVANCE ACUM. ANUAL]]-TABLA_AVANCE_METAS[[#This Row],[PROGRAMADO ANUAL]]</f>
        <v>0</v>
      </c>
      <c r="AP181" s="47">
        <f>IFERROR((TABLA_AVANCE_METAS[[#This Row],[DIFERENCIA ABSOLUTA ANUAL]]/TABLA_AVANCE_METAS[[#This Row],[PROGRAMADO ANUAL]])*100,"N/A")</f>
        <v>0</v>
      </c>
      <c r="AQ181" s="48" t="s">
        <v>63</v>
      </c>
      <c r="AR181" s="49"/>
      <c r="AS181" s="50"/>
      <c r="AT181" s="50"/>
      <c r="AU181" s="83" t="b">
        <f>TABLA_AVANCE_METAS[[#This Row],[PROGRAMADO ANUAL]]=SUM(TABLA_AVANCE_METAS[[#This Row],[PROGR. 1° TRIM]],TABLA_AVANCE_METAS[[#This Row],[PROGR. 2° TRIM]],TABLA_AVANCE_METAS[[#This Row],[PROGR. 3° TRIM]],TABLA_AVANCE_METAS[[#This Row],[PROGR. 4° TRIM]])</f>
        <v>1</v>
      </c>
      <c r="AV181" s="52"/>
    </row>
    <row r="182" spans="1:48" ht="75" hidden="1" customHeight="1" x14ac:dyDescent="0.3">
      <c r="A182" s="31" t="str">
        <f>CONCATENATE(TABLA_AVANCE_METAS[[#This Row],[ESTRUCTURA]],TABLA_AVANCE_METAS[[#This Row],['#]])</f>
        <v>C0021802020301051</v>
      </c>
      <c r="B182" s="32" t="s">
        <v>575</v>
      </c>
      <c r="C182" s="55" t="s">
        <v>445</v>
      </c>
      <c r="D182" s="54" t="s">
        <v>446</v>
      </c>
      <c r="E182" s="32" t="s">
        <v>576</v>
      </c>
      <c r="F182" s="54" t="s">
        <v>577</v>
      </c>
      <c r="G182" s="56" t="s">
        <v>578</v>
      </c>
      <c r="H182" s="54" t="s">
        <v>177</v>
      </c>
      <c r="I182" s="54" t="s">
        <v>178</v>
      </c>
      <c r="J182" s="54" t="s">
        <v>568</v>
      </c>
      <c r="K182" s="54" t="s">
        <v>569</v>
      </c>
      <c r="L182" s="55">
        <v>1</v>
      </c>
      <c r="M182" s="57" t="s">
        <v>579</v>
      </c>
      <c r="N182" s="56" t="s">
        <v>85</v>
      </c>
      <c r="O182" s="36">
        <v>4</v>
      </c>
      <c r="P182" s="36">
        <v>1</v>
      </c>
      <c r="Q182" s="37">
        <v>1</v>
      </c>
      <c r="R182" s="38">
        <f>IFERROR((TABLA_AVANCE_METAS[[#This Row],[AVANCE 1°. TRIM]]/TABLA_AVANCE_METAS[[#This Row],[PROGR. 1° TRIM]])*100,"0")</f>
        <v>100</v>
      </c>
      <c r="S182"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182" s="36">
        <v>1</v>
      </c>
      <c r="U182" s="37">
        <v>1</v>
      </c>
      <c r="V182" s="40">
        <f t="shared" si="7"/>
        <v>100</v>
      </c>
      <c r="W182" s="39" t="str">
        <f t="shared" si="8"/>
        <v>ADECUADO</v>
      </c>
      <c r="X182" s="36">
        <v>1</v>
      </c>
      <c r="Y182" s="37">
        <v>0</v>
      </c>
      <c r="Z182" s="40">
        <v>0</v>
      </c>
      <c r="AA182" s="39" t="s">
        <v>62</v>
      </c>
      <c r="AB182" s="36">
        <v>1</v>
      </c>
      <c r="AC182" s="41">
        <v>0</v>
      </c>
      <c r="AD182" s="40">
        <f>IFERROR((TABLA_AVANCE_METAS[[#This Row],[AVANCE 4°. TRIM]]/TABLA_AVANCE_METAS[[#This Row],[PROGR. 4° TRIM]])*100,"0")</f>
        <v>0</v>
      </c>
      <c r="AE182"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82" s="43" cm="1">
        <f t="array" ref="AF182">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2</v>
      </c>
      <c r="AG182" s="44" cm="1">
        <f t="array" ref="AG182">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2</v>
      </c>
      <c r="AH182" s="40">
        <f>IFERROR((TABLA_AVANCE_METAS[[#This Row],[AVANCE ACUM. TRIM.]]/TABLA_AVANCE_METAS[[#This Row],[PROG. ACUM]])*100,"N/A")</f>
        <v>100</v>
      </c>
      <c r="AI182"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182" s="45">
        <f>TABLA_AVANCE_METAS[[#This Row],[AVANCE ACUM. TRIM.]]-TABLA_AVANCE_METAS[[#This Row],[PROG. ACUM]]</f>
        <v>0</v>
      </c>
      <c r="AK182" s="46">
        <f>IFERROR((TABLA_AVANCE_METAS[[#This Row],[DIFERENCIA ABSOLUTA SEMESTRAL]]/TABLA_AVANCE_METAS[[#This Row],[PROG. ACUM]])*100,"N/A")</f>
        <v>0</v>
      </c>
      <c r="AL182" s="44">
        <f>TABLA_AVANCE_METAS[[#This Row],[AVANCE 1°. TRIM]]+TABLA_AVANCE_METAS[[#This Row],[AVANCE 2°. TRIM]]+TABLA_AVANCE_METAS[[#This Row],[AVANCE 3°. TRIM]]+TABLA_AVANCE_METAS[[#This Row],[AVANCE 4°. TRIM]]</f>
        <v>2</v>
      </c>
      <c r="AM182" s="40">
        <f>IFERROR((TABLA_AVANCE_METAS[[#This Row],[AVANCE ACUM. ANUAL]]/TABLA_AVANCE_METAS[[#This Row],[PROGRAMADO ANUAL]])*100,"N/A")</f>
        <v>50</v>
      </c>
      <c r="AN182"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182" s="45">
        <f>TABLA_AVANCE_METAS[[#This Row],[AVANCE ACUM. ANUAL]]-TABLA_AVANCE_METAS[[#This Row],[PROGRAMADO ANUAL]]</f>
        <v>-2</v>
      </c>
      <c r="AP182" s="47">
        <f>IFERROR((TABLA_AVANCE_METAS[[#This Row],[DIFERENCIA ABSOLUTA ANUAL]]/TABLA_AVANCE_METAS[[#This Row],[PROGRAMADO ANUAL]])*100,"N/A")</f>
        <v>-50</v>
      </c>
      <c r="AQ182" s="48" t="s">
        <v>63</v>
      </c>
      <c r="AR182" s="49"/>
      <c r="AS182" s="50"/>
      <c r="AT182" s="50"/>
      <c r="AU182" s="51" t="b">
        <f>TABLA_AVANCE_METAS[[#This Row],[PROGRAMADO ANUAL]]=SUM(TABLA_AVANCE_METAS[[#This Row],[PROGR. 1° TRIM]],TABLA_AVANCE_METAS[[#This Row],[PROGR. 2° TRIM]],TABLA_AVANCE_METAS[[#This Row],[PROGR. 3° TRIM]],TABLA_AVANCE_METAS[[#This Row],[PROGR. 4° TRIM]])</f>
        <v>1</v>
      </c>
      <c r="AV182" s="52"/>
    </row>
    <row r="183" spans="1:48" ht="75" hidden="1" customHeight="1" x14ac:dyDescent="0.3">
      <c r="A183" s="31" t="str">
        <f>CONCATENATE(TABLA_AVANCE_METAS[[#This Row],[ESTRUCTURA]],TABLA_AVANCE_METAS[[#This Row],['#]])</f>
        <v>C0021802020301052</v>
      </c>
      <c r="B183" s="32" t="s">
        <v>575</v>
      </c>
      <c r="C183" s="55" t="s">
        <v>445</v>
      </c>
      <c r="D183" s="54" t="s">
        <v>446</v>
      </c>
      <c r="E183" s="32" t="s">
        <v>576</v>
      </c>
      <c r="F183" s="54" t="s">
        <v>577</v>
      </c>
      <c r="G183" s="56" t="s">
        <v>578</v>
      </c>
      <c r="H183" s="54" t="s">
        <v>177</v>
      </c>
      <c r="I183" s="54" t="s">
        <v>178</v>
      </c>
      <c r="J183" s="54" t="s">
        <v>568</v>
      </c>
      <c r="K183" s="54" t="s">
        <v>569</v>
      </c>
      <c r="L183" s="55">
        <v>2</v>
      </c>
      <c r="M183" s="57" t="s">
        <v>580</v>
      </c>
      <c r="N183" s="56" t="s">
        <v>85</v>
      </c>
      <c r="O183" s="36">
        <v>4</v>
      </c>
      <c r="P183" s="36">
        <v>1</v>
      </c>
      <c r="Q183" s="37">
        <v>1</v>
      </c>
      <c r="R183" s="38">
        <f>IFERROR((TABLA_AVANCE_METAS[[#This Row],[AVANCE 1°. TRIM]]/TABLA_AVANCE_METAS[[#This Row],[PROGR. 1° TRIM]])*100,"0")</f>
        <v>100</v>
      </c>
      <c r="S183"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183" s="36">
        <v>1</v>
      </c>
      <c r="U183" s="37">
        <v>1</v>
      </c>
      <c r="V183" s="40">
        <f t="shared" si="7"/>
        <v>100</v>
      </c>
      <c r="W183" s="39" t="str">
        <f t="shared" si="8"/>
        <v>ADECUADO</v>
      </c>
      <c r="X183" s="36">
        <v>1</v>
      </c>
      <c r="Y183" s="37">
        <v>0</v>
      </c>
      <c r="Z183" s="40">
        <v>0</v>
      </c>
      <c r="AA183" s="39" t="s">
        <v>62</v>
      </c>
      <c r="AB183" s="36">
        <v>1</v>
      </c>
      <c r="AC183" s="41">
        <v>0</v>
      </c>
      <c r="AD183" s="40">
        <f>IFERROR((TABLA_AVANCE_METAS[[#This Row],[AVANCE 4°. TRIM]]/TABLA_AVANCE_METAS[[#This Row],[PROGR. 4° TRIM]])*100,"0")</f>
        <v>0</v>
      </c>
      <c r="AE183"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83" s="43" cm="1">
        <f t="array" ref="AF183">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2</v>
      </c>
      <c r="AG183" s="44" cm="1">
        <f t="array" ref="AG183">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2</v>
      </c>
      <c r="AH183" s="40">
        <f>IFERROR((TABLA_AVANCE_METAS[[#This Row],[AVANCE ACUM. TRIM.]]/TABLA_AVANCE_METAS[[#This Row],[PROG. ACUM]])*100,"N/A")</f>
        <v>100</v>
      </c>
      <c r="AI183"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183" s="45">
        <f>TABLA_AVANCE_METAS[[#This Row],[AVANCE ACUM. TRIM.]]-TABLA_AVANCE_METAS[[#This Row],[PROG. ACUM]]</f>
        <v>0</v>
      </c>
      <c r="AK183" s="46">
        <f>IFERROR((TABLA_AVANCE_METAS[[#This Row],[DIFERENCIA ABSOLUTA SEMESTRAL]]/TABLA_AVANCE_METAS[[#This Row],[PROG. ACUM]])*100,"N/A")</f>
        <v>0</v>
      </c>
      <c r="AL183" s="44">
        <f>TABLA_AVANCE_METAS[[#This Row],[AVANCE 1°. TRIM]]+TABLA_AVANCE_METAS[[#This Row],[AVANCE 2°. TRIM]]+TABLA_AVANCE_METAS[[#This Row],[AVANCE 3°. TRIM]]+TABLA_AVANCE_METAS[[#This Row],[AVANCE 4°. TRIM]]</f>
        <v>2</v>
      </c>
      <c r="AM183" s="40">
        <f>IFERROR((TABLA_AVANCE_METAS[[#This Row],[AVANCE ACUM. ANUAL]]/TABLA_AVANCE_METAS[[#This Row],[PROGRAMADO ANUAL]])*100,"N/A")</f>
        <v>50</v>
      </c>
      <c r="AN183"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183" s="45">
        <f>TABLA_AVANCE_METAS[[#This Row],[AVANCE ACUM. ANUAL]]-TABLA_AVANCE_METAS[[#This Row],[PROGRAMADO ANUAL]]</f>
        <v>-2</v>
      </c>
      <c r="AP183" s="47">
        <f>IFERROR((TABLA_AVANCE_METAS[[#This Row],[DIFERENCIA ABSOLUTA ANUAL]]/TABLA_AVANCE_METAS[[#This Row],[PROGRAMADO ANUAL]])*100,"N/A")</f>
        <v>-50</v>
      </c>
      <c r="AQ183" s="48" t="s">
        <v>63</v>
      </c>
      <c r="AR183" s="49"/>
      <c r="AS183" s="50"/>
      <c r="AT183" s="50"/>
      <c r="AU183" s="51" t="b">
        <f>TABLA_AVANCE_METAS[[#This Row],[PROGRAMADO ANUAL]]=SUM(TABLA_AVANCE_METAS[[#This Row],[PROGR. 1° TRIM]],TABLA_AVANCE_METAS[[#This Row],[PROGR. 2° TRIM]],TABLA_AVANCE_METAS[[#This Row],[PROGR. 3° TRIM]],TABLA_AVANCE_METAS[[#This Row],[PROGR. 4° TRIM]])</f>
        <v>1</v>
      </c>
      <c r="AV183" s="52"/>
    </row>
    <row r="184" spans="1:48" ht="75" hidden="1" customHeight="1" x14ac:dyDescent="0.3">
      <c r="A184" s="31" t="str">
        <f>CONCATENATE(TABLA_AVANCE_METAS[[#This Row],[ESTRUCTURA]],TABLA_AVANCE_METAS[[#This Row],['#]])</f>
        <v>C0021802020301053</v>
      </c>
      <c r="B184" s="32" t="s">
        <v>575</v>
      </c>
      <c r="C184" s="55" t="s">
        <v>445</v>
      </c>
      <c r="D184" s="54" t="s">
        <v>446</v>
      </c>
      <c r="E184" s="32" t="s">
        <v>576</v>
      </c>
      <c r="F184" s="54" t="s">
        <v>577</v>
      </c>
      <c r="G184" s="56" t="s">
        <v>578</v>
      </c>
      <c r="H184" s="54" t="s">
        <v>177</v>
      </c>
      <c r="I184" s="54" t="s">
        <v>178</v>
      </c>
      <c r="J184" s="54" t="s">
        <v>568</v>
      </c>
      <c r="K184" s="54" t="s">
        <v>569</v>
      </c>
      <c r="L184" s="55">
        <v>3</v>
      </c>
      <c r="M184" s="57" t="s">
        <v>581</v>
      </c>
      <c r="N184" s="56" t="s">
        <v>85</v>
      </c>
      <c r="O184" s="36">
        <v>12</v>
      </c>
      <c r="P184" s="36">
        <v>3</v>
      </c>
      <c r="Q184" s="37">
        <v>1</v>
      </c>
      <c r="R184" s="38">
        <f>IFERROR((TABLA_AVANCE_METAS[[#This Row],[AVANCE 1°. TRIM]]/TABLA_AVANCE_METAS[[#This Row],[PROGR. 1° TRIM]])*100,"0")</f>
        <v>33.333333333333329</v>
      </c>
      <c r="S184"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CRÍTICO</v>
      </c>
      <c r="T184" s="36">
        <v>3</v>
      </c>
      <c r="U184" s="37">
        <v>5</v>
      </c>
      <c r="V184" s="40">
        <f t="shared" si="7"/>
        <v>166.66666666666669</v>
      </c>
      <c r="W184" s="39" t="str">
        <f t="shared" si="8"/>
        <v>SOBREPASADO</v>
      </c>
      <c r="X184" s="36">
        <v>3</v>
      </c>
      <c r="Y184" s="37">
        <v>0</v>
      </c>
      <c r="Z184" s="40">
        <v>0</v>
      </c>
      <c r="AA184" s="39" t="s">
        <v>62</v>
      </c>
      <c r="AB184" s="36">
        <v>3</v>
      </c>
      <c r="AC184" s="41">
        <v>0</v>
      </c>
      <c r="AD184" s="40">
        <f>IFERROR((TABLA_AVANCE_METAS[[#This Row],[AVANCE 4°. TRIM]]/TABLA_AVANCE_METAS[[#This Row],[PROGR. 4° TRIM]])*100,"0")</f>
        <v>0</v>
      </c>
      <c r="AE184"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84" s="43" cm="1">
        <f t="array" ref="AF184">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6</v>
      </c>
      <c r="AG184" s="44" cm="1">
        <f t="array" ref="AG184">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6</v>
      </c>
      <c r="AH184" s="40">
        <f>IFERROR((TABLA_AVANCE_METAS[[#This Row],[AVANCE ACUM. TRIM.]]/TABLA_AVANCE_METAS[[#This Row],[PROG. ACUM]])*100,"N/A")</f>
        <v>100</v>
      </c>
      <c r="AI184"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184" s="45">
        <f>TABLA_AVANCE_METAS[[#This Row],[AVANCE ACUM. TRIM.]]-TABLA_AVANCE_METAS[[#This Row],[PROG. ACUM]]</f>
        <v>0</v>
      </c>
      <c r="AK184" s="46">
        <f>IFERROR((TABLA_AVANCE_METAS[[#This Row],[DIFERENCIA ABSOLUTA SEMESTRAL]]/TABLA_AVANCE_METAS[[#This Row],[PROG. ACUM]])*100,"N/A")</f>
        <v>0</v>
      </c>
      <c r="AL184" s="44">
        <f>TABLA_AVANCE_METAS[[#This Row],[AVANCE 1°. TRIM]]+TABLA_AVANCE_METAS[[#This Row],[AVANCE 2°. TRIM]]+TABLA_AVANCE_METAS[[#This Row],[AVANCE 3°. TRIM]]+TABLA_AVANCE_METAS[[#This Row],[AVANCE 4°. TRIM]]</f>
        <v>6</v>
      </c>
      <c r="AM184" s="40">
        <f>IFERROR((TABLA_AVANCE_METAS[[#This Row],[AVANCE ACUM. ANUAL]]/TABLA_AVANCE_METAS[[#This Row],[PROGRAMADO ANUAL]])*100,"N/A")</f>
        <v>50</v>
      </c>
      <c r="AN184"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184" s="45">
        <f>TABLA_AVANCE_METAS[[#This Row],[AVANCE ACUM. ANUAL]]-TABLA_AVANCE_METAS[[#This Row],[PROGRAMADO ANUAL]]</f>
        <v>-6</v>
      </c>
      <c r="AP184" s="47">
        <f>IFERROR((TABLA_AVANCE_METAS[[#This Row],[DIFERENCIA ABSOLUTA ANUAL]]/TABLA_AVANCE_METAS[[#This Row],[PROGRAMADO ANUAL]])*100,"N/A")</f>
        <v>-50</v>
      </c>
      <c r="AQ184" s="48" t="s">
        <v>582</v>
      </c>
      <c r="AR184" s="49"/>
      <c r="AS184" s="50"/>
      <c r="AT184" s="50"/>
      <c r="AU184" s="83" t="b">
        <f>TABLA_AVANCE_METAS[[#This Row],[PROGRAMADO ANUAL]]=SUM(TABLA_AVANCE_METAS[[#This Row],[PROGR. 1° TRIM]],TABLA_AVANCE_METAS[[#This Row],[PROGR. 2° TRIM]],TABLA_AVANCE_METAS[[#This Row],[PROGR. 3° TRIM]],TABLA_AVANCE_METAS[[#This Row],[PROGR. 4° TRIM]])</f>
        <v>1</v>
      </c>
      <c r="AV184" s="52"/>
    </row>
    <row r="185" spans="1:48" ht="75" hidden="1" customHeight="1" x14ac:dyDescent="0.3">
      <c r="A185" s="31" t="str">
        <f>CONCATENATE(TABLA_AVANCE_METAS[[#This Row],[ESTRUCTURA]],TABLA_AVANCE_METAS[[#This Row],['#]])</f>
        <v>C0021802020301054</v>
      </c>
      <c r="B185" s="32" t="s">
        <v>575</v>
      </c>
      <c r="C185" s="55" t="s">
        <v>445</v>
      </c>
      <c r="D185" s="54" t="s">
        <v>446</v>
      </c>
      <c r="E185" s="32" t="s">
        <v>576</v>
      </c>
      <c r="F185" s="54" t="s">
        <v>577</v>
      </c>
      <c r="G185" s="56" t="s">
        <v>578</v>
      </c>
      <c r="H185" s="54" t="s">
        <v>177</v>
      </c>
      <c r="I185" s="54" t="s">
        <v>178</v>
      </c>
      <c r="J185" s="54" t="s">
        <v>568</v>
      </c>
      <c r="K185" s="54" t="s">
        <v>569</v>
      </c>
      <c r="L185" s="55">
        <v>4</v>
      </c>
      <c r="M185" s="57" t="s">
        <v>583</v>
      </c>
      <c r="N185" s="56" t="s">
        <v>85</v>
      </c>
      <c r="O185" s="36">
        <v>12</v>
      </c>
      <c r="P185" s="36">
        <v>3</v>
      </c>
      <c r="Q185" s="37">
        <v>1</v>
      </c>
      <c r="R185" s="38">
        <f>IFERROR((TABLA_AVANCE_METAS[[#This Row],[AVANCE 1°. TRIM]]/TABLA_AVANCE_METAS[[#This Row],[PROGR. 1° TRIM]])*100,"0")</f>
        <v>33.333333333333329</v>
      </c>
      <c r="S185"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CRÍTICO</v>
      </c>
      <c r="T185" s="36">
        <v>3</v>
      </c>
      <c r="U185" s="37">
        <v>5</v>
      </c>
      <c r="V185" s="40">
        <f t="shared" si="7"/>
        <v>166.66666666666669</v>
      </c>
      <c r="W185" s="39" t="str">
        <f t="shared" si="8"/>
        <v>SOBREPASADO</v>
      </c>
      <c r="X185" s="36">
        <v>3</v>
      </c>
      <c r="Y185" s="37">
        <v>0</v>
      </c>
      <c r="Z185" s="40">
        <v>0</v>
      </c>
      <c r="AA185" s="39" t="s">
        <v>62</v>
      </c>
      <c r="AB185" s="36">
        <v>3</v>
      </c>
      <c r="AC185" s="41">
        <v>0</v>
      </c>
      <c r="AD185" s="40">
        <f>IFERROR((TABLA_AVANCE_METAS[[#This Row],[AVANCE 4°. TRIM]]/TABLA_AVANCE_METAS[[#This Row],[PROGR. 4° TRIM]])*100,"0")</f>
        <v>0</v>
      </c>
      <c r="AE185"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85" s="43" cm="1">
        <f t="array" ref="AF185">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6</v>
      </c>
      <c r="AG185" s="44" cm="1">
        <f t="array" ref="AG185">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6</v>
      </c>
      <c r="AH185" s="40">
        <f>IFERROR((TABLA_AVANCE_METAS[[#This Row],[AVANCE ACUM. TRIM.]]/TABLA_AVANCE_METAS[[#This Row],[PROG. ACUM]])*100,"N/A")</f>
        <v>100</v>
      </c>
      <c r="AI185"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185" s="45">
        <f>TABLA_AVANCE_METAS[[#This Row],[AVANCE ACUM. TRIM.]]-TABLA_AVANCE_METAS[[#This Row],[PROG. ACUM]]</f>
        <v>0</v>
      </c>
      <c r="AK185" s="46">
        <f>IFERROR((TABLA_AVANCE_METAS[[#This Row],[DIFERENCIA ABSOLUTA SEMESTRAL]]/TABLA_AVANCE_METAS[[#This Row],[PROG. ACUM]])*100,"N/A")</f>
        <v>0</v>
      </c>
      <c r="AL185" s="44">
        <f>TABLA_AVANCE_METAS[[#This Row],[AVANCE 1°. TRIM]]+TABLA_AVANCE_METAS[[#This Row],[AVANCE 2°. TRIM]]+TABLA_AVANCE_METAS[[#This Row],[AVANCE 3°. TRIM]]+TABLA_AVANCE_METAS[[#This Row],[AVANCE 4°. TRIM]]</f>
        <v>6</v>
      </c>
      <c r="AM185" s="40">
        <f>IFERROR((TABLA_AVANCE_METAS[[#This Row],[AVANCE ACUM. ANUAL]]/TABLA_AVANCE_METAS[[#This Row],[PROGRAMADO ANUAL]])*100,"N/A")</f>
        <v>50</v>
      </c>
      <c r="AN185"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185" s="45">
        <f>TABLA_AVANCE_METAS[[#This Row],[AVANCE ACUM. ANUAL]]-TABLA_AVANCE_METAS[[#This Row],[PROGRAMADO ANUAL]]</f>
        <v>-6</v>
      </c>
      <c r="AP185" s="47">
        <f>IFERROR((TABLA_AVANCE_METAS[[#This Row],[DIFERENCIA ABSOLUTA ANUAL]]/TABLA_AVANCE_METAS[[#This Row],[PROGRAMADO ANUAL]])*100,"N/A")</f>
        <v>-50</v>
      </c>
      <c r="AQ185" s="48" t="s">
        <v>582</v>
      </c>
      <c r="AR185" s="49"/>
      <c r="AS185" s="50"/>
      <c r="AT185" s="50"/>
      <c r="AU185" s="83" t="b">
        <f>TABLA_AVANCE_METAS[[#This Row],[PROGRAMADO ANUAL]]=SUM(TABLA_AVANCE_METAS[[#This Row],[PROGR. 1° TRIM]],TABLA_AVANCE_METAS[[#This Row],[PROGR. 2° TRIM]],TABLA_AVANCE_METAS[[#This Row],[PROGR. 3° TRIM]],TABLA_AVANCE_METAS[[#This Row],[PROGR. 4° TRIM]])</f>
        <v>1</v>
      </c>
      <c r="AV185" s="52"/>
    </row>
    <row r="186" spans="1:48" ht="75" hidden="1" customHeight="1" x14ac:dyDescent="0.3">
      <c r="A186" s="31" t="str">
        <f>CONCATENATE(TABLA_AVANCE_METAS[[#This Row],[ESTRUCTURA]],TABLA_AVANCE_METAS[[#This Row],['#]])</f>
        <v>C0021802020301055</v>
      </c>
      <c r="B186" s="32" t="s">
        <v>575</v>
      </c>
      <c r="C186" s="55" t="s">
        <v>445</v>
      </c>
      <c r="D186" s="54" t="s">
        <v>446</v>
      </c>
      <c r="E186" s="32" t="s">
        <v>576</v>
      </c>
      <c r="F186" s="54" t="s">
        <v>577</v>
      </c>
      <c r="G186" s="56" t="s">
        <v>578</v>
      </c>
      <c r="H186" s="54" t="s">
        <v>177</v>
      </c>
      <c r="I186" s="54" t="s">
        <v>178</v>
      </c>
      <c r="J186" s="54" t="s">
        <v>568</v>
      </c>
      <c r="K186" s="54" t="s">
        <v>569</v>
      </c>
      <c r="L186" s="55">
        <v>5</v>
      </c>
      <c r="M186" s="57" t="s">
        <v>584</v>
      </c>
      <c r="N186" s="56" t="s">
        <v>306</v>
      </c>
      <c r="O186" s="36">
        <v>4</v>
      </c>
      <c r="P186" s="36">
        <v>1</v>
      </c>
      <c r="Q186" s="37">
        <v>1</v>
      </c>
      <c r="R186" s="38">
        <f>IFERROR((TABLA_AVANCE_METAS[[#This Row],[AVANCE 1°. TRIM]]/TABLA_AVANCE_METAS[[#This Row],[PROGR. 1° TRIM]])*100,"0")</f>
        <v>100</v>
      </c>
      <c r="S186"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186" s="36">
        <v>1</v>
      </c>
      <c r="U186" s="37">
        <v>1</v>
      </c>
      <c r="V186" s="40">
        <f t="shared" si="7"/>
        <v>100</v>
      </c>
      <c r="W186" s="39" t="str">
        <f t="shared" si="8"/>
        <v>ADECUADO</v>
      </c>
      <c r="X186" s="36">
        <v>1</v>
      </c>
      <c r="Y186" s="37">
        <v>0</v>
      </c>
      <c r="Z186" s="40">
        <v>0</v>
      </c>
      <c r="AA186" s="39" t="s">
        <v>62</v>
      </c>
      <c r="AB186" s="36">
        <v>1</v>
      </c>
      <c r="AC186" s="41">
        <v>0</v>
      </c>
      <c r="AD186" s="40">
        <f>IFERROR((TABLA_AVANCE_METAS[[#This Row],[AVANCE 4°. TRIM]]/TABLA_AVANCE_METAS[[#This Row],[PROGR. 4° TRIM]])*100,"0")</f>
        <v>0</v>
      </c>
      <c r="AE186"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86" s="43" cm="1">
        <f t="array" ref="AF186">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2</v>
      </c>
      <c r="AG186" s="44" cm="1">
        <f t="array" ref="AG186">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2</v>
      </c>
      <c r="AH186" s="40">
        <f>IFERROR((TABLA_AVANCE_METAS[[#This Row],[AVANCE ACUM. TRIM.]]/TABLA_AVANCE_METAS[[#This Row],[PROG. ACUM]])*100,"N/A")</f>
        <v>100</v>
      </c>
      <c r="AI186"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186" s="45">
        <f>TABLA_AVANCE_METAS[[#This Row],[AVANCE ACUM. TRIM.]]-TABLA_AVANCE_METAS[[#This Row],[PROG. ACUM]]</f>
        <v>0</v>
      </c>
      <c r="AK186" s="46">
        <f>IFERROR((TABLA_AVANCE_METAS[[#This Row],[DIFERENCIA ABSOLUTA SEMESTRAL]]/TABLA_AVANCE_METAS[[#This Row],[PROG. ACUM]])*100,"N/A")</f>
        <v>0</v>
      </c>
      <c r="AL186" s="44">
        <f>TABLA_AVANCE_METAS[[#This Row],[AVANCE 1°. TRIM]]+TABLA_AVANCE_METAS[[#This Row],[AVANCE 2°. TRIM]]+TABLA_AVANCE_METAS[[#This Row],[AVANCE 3°. TRIM]]+TABLA_AVANCE_METAS[[#This Row],[AVANCE 4°. TRIM]]</f>
        <v>2</v>
      </c>
      <c r="AM186" s="40">
        <f>IFERROR((TABLA_AVANCE_METAS[[#This Row],[AVANCE ACUM. ANUAL]]/TABLA_AVANCE_METAS[[#This Row],[PROGRAMADO ANUAL]])*100,"N/A")</f>
        <v>50</v>
      </c>
      <c r="AN186"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186" s="45">
        <f>TABLA_AVANCE_METAS[[#This Row],[AVANCE ACUM. ANUAL]]-TABLA_AVANCE_METAS[[#This Row],[PROGRAMADO ANUAL]]</f>
        <v>-2</v>
      </c>
      <c r="AP186" s="47">
        <f>IFERROR((TABLA_AVANCE_METAS[[#This Row],[DIFERENCIA ABSOLUTA ANUAL]]/TABLA_AVANCE_METAS[[#This Row],[PROGRAMADO ANUAL]])*100,"N/A")</f>
        <v>-50</v>
      </c>
      <c r="AQ186" s="48" t="s">
        <v>63</v>
      </c>
      <c r="AR186" s="49"/>
      <c r="AS186" s="50"/>
      <c r="AT186" s="50"/>
      <c r="AU186" s="51" t="b">
        <f>TABLA_AVANCE_METAS[[#This Row],[PROGRAMADO ANUAL]]=SUM(TABLA_AVANCE_METAS[[#This Row],[PROGR. 1° TRIM]],TABLA_AVANCE_METAS[[#This Row],[PROGR. 2° TRIM]],TABLA_AVANCE_METAS[[#This Row],[PROGR. 3° TRIM]],TABLA_AVANCE_METAS[[#This Row],[PROGR. 4° TRIM]])</f>
        <v>1</v>
      </c>
      <c r="AV186" s="52"/>
    </row>
    <row r="187" spans="1:48" ht="75" hidden="1" customHeight="1" x14ac:dyDescent="0.3">
      <c r="A187" s="31" t="str">
        <f>CONCATENATE(TABLA_AVANCE_METAS[[#This Row],[ESTRUCTURA]],TABLA_AVANCE_METAS[[#This Row],['#]])</f>
        <v>C0021802020301056</v>
      </c>
      <c r="B187" s="32" t="s">
        <v>575</v>
      </c>
      <c r="C187" s="55" t="s">
        <v>445</v>
      </c>
      <c r="D187" s="54" t="s">
        <v>446</v>
      </c>
      <c r="E187" s="32" t="s">
        <v>576</v>
      </c>
      <c r="F187" s="54" t="s">
        <v>577</v>
      </c>
      <c r="G187" s="56" t="s">
        <v>578</v>
      </c>
      <c r="H187" s="54" t="s">
        <v>177</v>
      </c>
      <c r="I187" s="54" t="s">
        <v>178</v>
      </c>
      <c r="J187" s="54" t="s">
        <v>568</v>
      </c>
      <c r="K187" s="54" t="s">
        <v>569</v>
      </c>
      <c r="L187" s="55">
        <v>6</v>
      </c>
      <c r="M187" s="57" t="s">
        <v>585</v>
      </c>
      <c r="N187" s="56" t="s">
        <v>586</v>
      </c>
      <c r="O187" s="36">
        <v>4</v>
      </c>
      <c r="P187" s="36">
        <v>1</v>
      </c>
      <c r="Q187" s="37">
        <v>1</v>
      </c>
      <c r="R187" s="38">
        <f>IFERROR((TABLA_AVANCE_METAS[[#This Row],[AVANCE 1°. TRIM]]/TABLA_AVANCE_METAS[[#This Row],[PROGR. 1° TRIM]])*100,"0")</f>
        <v>100</v>
      </c>
      <c r="S187"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187" s="36">
        <v>1</v>
      </c>
      <c r="U187" s="37">
        <v>1</v>
      </c>
      <c r="V187" s="40">
        <f t="shared" si="7"/>
        <v>100</v>
      </c>
      <c r="W187" s="39" t="str">
        <f t="shared" si="8"/>
        <v>ADECUADO</v>
      </c>
      <c r="X187" s="36">
        <v>1</v>
      </c>
      <c r="Y187" s="37">
        <v>0</v>
      </c>
      <c r="Z187" s="40">
        <v>0</v>
      </c>
      <c r="AA187" s="39" t="s">
        <v>62</v>
      </c>
      <c r="AB187" s="36">
        <v>1</v>
      </c>
      <c r="AC187" s="41">
        <v>0</v>
      </c>
      <c r="AD187" s="40">
        <f>IFERROR((TABLA_AVANCE_METAS[[#This Row],[AVANCE 4°. TRIM]]/TABLA_AVANCE_METAS[[#This Row],[PROGR. 4° TRIM]])*100,"0")</f>
        <v>0</v>
      </c>
      <c r="AE187"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87" s="43" cm="1">
        <f t="array" ref="AF187">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2</v>
      </c>
      <c r="AG187" s="44" cm="1">
        <f t="array" ref="AG187">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2</v>
      </c>
      <c r="AH187" s="40">
        <f>IFERROR((TABLA_AVANCE_METAS[[#This Row],[AVANCE ACUM. TRIM.]]/TABLA_AVANCE_METAS[[#This Row],[PROG. ACUM]])*100,"N/A")</f>
        <v>100</v>
      </c>
      <c r="AI187"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187" s="45">
        <f>TABLA_AVANCE_METAS[[#This Row],[AVANCE ACUM. TRIM.]]-TABLA_AVANCE_METAS[[#This Row],[PROG. ACUM]]</f>
        <v>0</v>
      </c>
      <c r="AK187" s="46">
        <f>IFERROR((TABLA_AVANCE_METAS[[#This Row],[DIFERENCIA ABSOLUTA SEMESTRAL]]/TABLA_AVANCE_METAS[[#This Row],[PROG. ACUM]])*100,"N/A")</f>
        <v>0</v>
      </c>
      <c r="AL187" s="44">
        <f>TABLA_AVANCE_METAS[[#This Row],[AVANCE 1°. TRIM]]+TABLA_AVANCE_METAS[[#This Row],[AVANCE 2°. TRIM]]+TABLA_AVANCE_METAS[[#This Row],[AVANCE 3°. TRIM]]+TABLA_AVANCE_METAS[[#This Row],[AVANCE 4°. TRIM]]</f>
        <v>2</v>
      </c>
      <c r="AM187" s="40">
        <f>IFERROR((TABLA_AVANCE_METAS[[#This Row],[AVANCE ACUM. ANUAL]]/TABLA_AVANCE_METAS[[#This Row],[PROGRAMADO ANUAL]])*100,"N/A")</f>
        <v>50</v>
      </c>
      <c r="AN187"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187" s="45">
        <f>TABLA_AVANCE_METAS[[#This Row],[AVANCE ACUM. ANUAL]]-TABLA_AVANCE_METAS[[#This Row],[PROGRAMADO ANUAL]]</f>
        <v>-2</v>
      </c>
      <c r="AP187" s="47">
        <f>IFERROR((TABLA_AVANCE_METAS[[#This Row],[DIFERENCIA ABSOLUTA ANUAL]]/TABLA_AVANCE_METAS[[#This Row],[PROGRAMADO ANUAL]])*100,"N/A")</f>
        <v>-50</v>
      </c>
      <c r="AQ187" s="48" t="s">
        <v>63</v>
      </c>
      <c r="AR187" s="49"/>
      <c r="AS187" s="50"/>
      <c r="AT187" s="50"/>
      <c r="AU187" s="51" t="b">
        <f>TABLA_AVANCE_METAS[[#This Row],[PROGRAMADO ANUAL]]=SUM(TABLA_AVANCE_METAS[[#This Row],[PROGR. 1° TRIM]],TABLA_AVANCE_METAS[[#This Row],[PROGR. 2° TRIM]],TABLA_AVANCE_METAS[[#This Row],[PROGR. 3° TRIM]],TABLA_AVANCE_METAS[[#This Row],[PROGR. 4° TRIM]])</f>
        <v>1</v>
      </c>
      <c r="AV187" s="52"/>
    </row>
    <row r="188" spans="1:48" ht="75" hidden="1" customHeight="1" x14ac:dyDescent="0.3">
      <c r="A188" s="31" t="str">
        <f>CONCATENATE(TABLA_AVANCE_METAS[[#This Row],[ESTRUCTURA]],TABLA_AVANCE_METAS[[#This Row],['#]])</f>
        <v>C0021802020301057</v>
      </c>
      <c r="B188" s="32" t="s">
        <v>575</v>
      </c>
      <c r="C188" s="62" t="s">
        <v>445</v>
      </c>
      <c r="D188" s="61" t="s">
        <v>446</v>
      </c>
      <c r="E188" s="32" t="s">
        <v>576</v>
      </c>
      <c r="F188" s="61" t="s">
        <v>577</v>
      </c>
      <c r="G188" s="34" t="s">
        <v>578</v>
      </c>
      <c r="H188" s="61" t="s">
        <v>177</v>
      </c>
      <c r="I188" s="92" t="s">
        <v>178</v>
      </c>
      <c r="J188" s="61" t="s">
        <v>568</v>
      </c>
      <c r="K188" s="61" t="s">
        <v>569</v>
      </c>
      <c r="L188" s="33">
        <v>7</v>
      </c>
      <c r="M188" s="57" t="s">
        <v>587</v>
      </c>
      <c r="N188" s="34" t="s">
        <v>206</v>
      </c>
      <c r="O188" s="36">
        <v>12</v>
      </c>
      <c r="P188" s="36">
        <v>3</v>
      </c>
      <c r="Q188" s="37">
        <v>1</v>
      </c>
      <c r="R188" s="38">
        <f>IFERROR((TABLA_AVANCE_METAS[[#This Row],[AVANCE 1°. TRIM]]/TABLA_AVANCE_METAS[[#This Row],[PROGR. 1° TRIM]])*100,"0")</f>
        <v>33.333333333333329</v>
      </c>
      <c r="S188"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CRÍTICO</v>
      </c>
      <c r="T188" s="36">
        <v>3</v>
      </c>
      <c r="U188" s="37">
        <v>3</v>
      </c>
      <c r="V188" s="40">
        <f t="shared" si="7"/>
        <v>100</v>
      </c>
      <c r="W188" s="39" t="str">
        <f t="shared" si="8"/>
        <v>ADECUADO</v>
      </c>
      <c r="X188" s="36">
        <v>3</v>
      </c>
      <c r="Y188" s="37">
        <v>0</v>
      </c>
      <c r="Z188" s="40">
        <v>0</v>
      </c>
      <c r="AA188" s="39" t="s">
        <v>62</v>
      </c>
      <c r="AB188" s="36">
        <v>3</v>
      </c>
      <c r="AC188" s="41">
        <v>0</v>
      </c>
      <c r="AD188" s="40">
        <f>IFERROR((TABLA_AVANCE_METAS[[#This Row],[AVANCE 4°. TRIM]]/TABLA_AVANCE_METAS[[#This Row],[PROGR. 4° TRIM]])*100,"0")</f>
        <v>0</v>
      </c>
      <c r="AE188"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88" s="43" cm="1">
        <f t="array" ref="AF188">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6</v>
      </c>
      <c r="AG188" s="44" cm="1">
        <f t="array" ref="AG188">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4</v>
      </c>
      <c r="AH188" s="40">
        <f>IFERROR((TABLA_AVANCE_METAS[[#This Row],[AVANCE ACUM. TRIM.]]/TABLA_AVANCE_METAS[[#This Row],[PROG. ACUM]])*100,"N/A")</f>
        <v>66.666666666666657</v>
      </c>
      <c r="AI188"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DEFICIENTE</v>
      </c>
      <c r="AJ188" s="45">
        <f>TABLA_AVANCE_METAS[[#This Row],[AVANCE ACUM. TRIM.]]-TABLA_AVANCE_METAS[[#This Row],[PROG. ACUM]]</f>
        <v>-2</v>
      </c>
      <c r="AK188" s="46">
        <f>IFERROR((TABLA_AVANCE_METAS[[#This Row],[DIFERENCIA ABSOLUTA SEMESTRAL]]/TABLA_AVANCE_METAS[[#This Row],[PROG. ACUM]])*100,"N/A")</f>
        <v>-33.333333333333329</v>
      </c>
      <c r="AL188" s="44">
        <f>TABLA_AVANCE_METAS[[#This Row],[AVANCE 1°. TRIM]]+TABLA_AVANCE_METAS[[#This Row],[AVANCE 2°. TRIM]]+TABLA_AVANCE_METAS[[#This Row],[AVANCE 3°. TRIM]]+TABLA_AVANCE_METAS[[#This Row],[AVANCE 4°. TRIM]]</f>
        <v>4</v>
      </c>
      <c r="AM188" s="40">
        <f>IFERROR((TABLA_AVANCE_METAS[[#This Row],[AVANCE ACUM. ANUAL]]/TABLA_AVANCE_METAS[[#This Row],[PROGRAMADO ANUAL]])*100,"N/A")</f>
        <v>33.333333333333329</v>
      </c>
      <c r="AN188"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188" s="45">
        <f>TABLA_AVANCE_METAS[[#This Row],[AVANCE ACUM. ANUAL]]-TABLA_AVANCE_METAS[[#This Row],[PROGRAMADO ANUAL]]</f>
        <v>-8</v>
      </c>
      <c r="AP188" s="47">
        <f>IFERROR((TABLA_AVANCE_METAS[[#This Row],[DIFERENCIA ABSOLUTA ANUAL]]/TABLA_AVANCE_METAS[[#This Row],[PROGRAMADO ANUAL]])*100,"N/A")</f>
        <v>-66.666666666666657</v>
      </c>
      <c r="AQ188" s="48" t="s">
        <v>588</v>
      </c>
      <c r="AR188" s="49"/>
      <c r="AS188" s="50"/>
      <c r="AT188" s="50"/>
      <c r="AU188" s="83" t="b">
        <f>TABLA_AVANCE_METAS[[#This Row],[PROGRAMADO ANUAL]]=SUM(TABLA_AVANCE_METAS[[#This Row],[PROGR. 1° TRIM]],TABLA_AVANCE_METAS[[#This Row],[PROGR. 2° TRIM]],TABLA_AVANCE_METAS[[#This Row],[PROGR. 3° TRIM]],TABLA_AVANCE_METAS[[#This Row],[PROGR. 4° TRIM]])</f>
        <v>1</v>
      </c>
      <c r="AV188" s="52"/>
    </row>
    <row r="189" spans="1:48" ht="75" hidden="1" customHeight="1" x14ac:dyDescent="0.3">
      <c r="A189" s="31" t="str">
        <f>CONCATENATE(TABLA_AVANCE_METAS[[#This Row],[ESTRUCTURA]],TABLA_AVANCE_METAS[[#This Row],['#]])</f>
        <v>C0021802020301058</v>
      </c>
      <c r="B189" s="32" t="s">
        <v>575</v>
      </c>
      <c r="C189" s="55" t="s">
        <v>445</v>
      </c>
      <c r="D189" s="54" t="s">
        <v>446</v>
      </c>
      <c r="E189" s="32" t="s">
        <v>576</v>
      </c>
      <c r="F189" s="54" t="s">
        <v>577</v>
      </c>
      <c r="G189" s="56" t="s">
        <v>578</v>
      </c>
      <c r="H189" s="54" t="s">
        <v>177</v>
      </c>
      <c r="I189" s="54" t="s">
        <v>178</v>
      </c>
      <c r="J189" s="54" t="s">
        <v>568</v>
      </c>
      <c r="K189" s="54" t="s">
        <v>569</v>
      </c>
      <c r="L189" s="55">
        <v>8</v>
      </c>
      <c r="M189" s="90" t="s">
        <v>589</v>
      </c>
      <c r="N189" s="56" t="s">
        <v>240</v>
      </c>
      <c r="O189" s="36">
        <v>2</v>
      </c>
      <c r="P189" s="36">
        <v>0</v>
      </c>
      <c r="Q189" s="37">
        <v>0</v>
      </c>
      <c r="R189" s="38" t="str">
        <f>IFERROR((TABLA_AVANCE_METAS[[#This Row],[AVANCE 1°. TRIM]]/TABLA_AVANCE_METAS[[#This Row],[PROGR. 1° TRIM]])*100,"0")</f>
        <v>0</v>
      </c>
      <c r="S189"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NO PROG.</v>
      </c>
      <c r="T189" s="36">
        <v>0</v>
      </c>
      <c r="U189" s="37">
        <v>0</v>
      </c>
      <c r="V189" s="40" t="str">
        <f t="shared" si="7"/>
        <v>0</v>
      </c>
      <c r="W189" s="39" t="str">
        <f t="shared" si="8"/>
        <v>NO PROG.</v>
      </c>
      <c r="X189" s="36">
        <v>1</v>
      </c>
      <c r="Y189" s="37">
        <v>0</v>
      </c>
      <c r="Z189" s="40">
        <v>0</v>
      </c>
      <c r="AA189" s="39" t="s">
        <v>62</v>
      </c>
      <c r="AB189" s="36">
        <v>1</v>
      </c>
      <c r="AC189" s="41">
        <v>0</v>
      </c>
      <c r="AD189" s="40">
        <f>IFERROR((TABLA_AVANCE_METAS[[#This Row],[AVANCE 4°. TRIM]]/TABLA_AVANCE_METAS[[#This Row],[PROGR. 4° TRIM]])*100,"0")</f>
        <v>0</v>
      </c>
      <c r="AE189"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89" s="43" cm="1">
        <f t="array" ref="AF189">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0</v>
      </c>
      <c r="AG189" s="44" cm="1">
        <f t="array" ref="AG189">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0</v>
      </c>
      <c r="AH189" s="40" t="str">
        <f>IFERROR((TABLA_AVANCE_METAS[[#This Row],[AVANCE ACUM. TRIM.]]/TABLA_AVANCE_METAS[[#This Row],[PROG. ACUM]])*100,"N/A")</f>
        <v>N/A</v>
      </c>
      <c r="AI189"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NO PROG.</v>
      </c>
      <c r="AJ189" s="45">
        <f>TABLA_AVANCE_METAS[[#This Row],[AVANCE ACUM. TRIM.]]-TABLA_AVANCE_METAS[[#This Row],[PROG. ACUM]]</f>
        <v>0</v>
      </c>
      <c r="AK189" s="46" t="str">
        <f>IFERROR((TABLA_AVANCE_METAS[[#This Row],[DIFERENCIA ABSOLUTA SEMESTRAL]]/TABLA_AVANCE_METAS[[#This Row],[PROG. ACUM]])*100,"N/A")</f>
        <v>N/A</v>
      </c>
      <c r="AL189" s="44">
        <f>TABLA_AVANCE_METAS[[#This Row],[AVANCE 1°. TRIM]]+TABLA_AVANCE_METAS[[#This Row],[AVANCE 2°. TRIM]]+TABLA_AVANCE_METAS[[#This Row],[AVANCE 3°. TRIM]]+TABLA_AVANCE_METAS[[#This Row],[AVANCE 4°. TRIM]]</f>
        <v>0</v>
      </c>
      <c r="AM189" s="40">
        <f>IFERROR((TABLA_AVANCE_METAS[[#This Row],[AVANCE ACUM. ANUAL]]/TABLA_AVANCE_METAS[[#This Row],[PROGRAMADO ANUAL]])*100,"N/A")</f>
        <v>0</v>
      </c>
      <c r="AN189"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189" s="45">
        <f>TABLA_AVANCE_METAS[[#This Row],[AVANCE ACUM. ANUAL]]-TABLA_AVANCE_METAS[[#This Row],[PROGRAMADO ANUAL]]</f>
        <v>-2</v>
      </c>
      <c r="AP189" s="47">
        <f>IFERROR((TABLA_AVANCE_METAS[[#This Row],[DIFERENCIA ABSOLUTA ANUAL]]/TABLA_AVANCE_METAS[[#This Row],[PROGRAMADO ANUAL]])*100,"N/A")</f>
        <v>-100</v>
      </c>
      <c r="AQ189" s="48" t="s">
        <v>63</v>
      </c>
      <c r="AR189" s="49"/>
      <c r="AS189" s="50"/>
      <c r="AT189" s="50"/>
      <c r="AU189" s="51" t="b">
        <f>TABLA_AVANCE_METAS[[#This Row],[PROGRAMADO ANUAL]]=SUM(TABLA_AVANCE_METAS[[#This Row],[PROGR. 1° TRIM]],TABLA_AVANCE_METAS[[#This Row],[PROGR. 2° TRIM]],TABLA_AVANCE_METAS[[#This Row],[PROGR. 3° TRIM]],TABLA_AVANCE_METAS[[#This Row],[PROGR. 4° TRIM]])</f>
        <v>1</v>
      </c>
      <c r="AV189" s="52"/>
    </row>
    <row r="190" spans="1:48" ht="75" hidden="1" customHeight="1" x14ac:dyDescent="0.3">
      <c r="A190" s="31" t="str">
        <f>CONCATENATE(TABLA_AVANCE_METAS[[#This Row],[ESTRUCTURA]],TABLA_AVANCE_METAS[[#This Row],['#]])</f>
        <v>C0021802020301059</v>
      </c>
      <c r="B190" s="32" t="s">
        <v>575</v>
      </c>
      <c r="C190" s="55" t="s">
        <v>445</v>
      </c>
      <c r="D190" s="54" t="s">
        <v>446</v>
      </c>
      <c r="E190" s="32" t="s">
        <v>576</v>
      </c>
      <c r="F190" s="54" t="s">
        <v>577</v>
      </c>
      <c r="G190" s="56" t="s">
        <v>578</v>
      </c>
      <c r="H190" s="54" t="s">
        <v>177</v>
      </c>
      <c r="I190" s="54" t="s">
        <v>178</v>
      </c>
      <c r="J190" s="54" t="s">
        <v>568</v>
      </c>
      <c r="K190" s="54" t="s">
        <v>569</v>
      </c>
      <c r="L190" s="55">
        <v>9</v>
      </c>
      <c r="M190" s="57" t="s">
        <v>590</v>
      </c>
      <c r="N190" s="56" t="s">
        <v>85</v>
      </c>
      <c r="O190" s="36">
        <v>12</v>
      </c>
      <c r="P190" s="36">
        <v>3</v>
      </c>
      <c r="Q190" s="37">
        <v>0</v>
      </c>
      <c r="R190" s="38">
        <f>IFERROR((TABLA_AVANCE_METAS[[#This Row],[AVANCE 1°. TRIM]]/TABLA_AVANCE_METAS[[#This Row],[PROGR. 1° TRIM]])*100,"0")</f>
        <v>0</v>
      </c>
      <c r="S190"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CRÍTICO</v>
      </c>
      <c r="T190" s="36">
        <v>3</v>
      </c>
      <c r="U190" s="37">
        <v>6</v>
      </c>
      <c r="V190" s="40">
        <f t="shared" si="7"/>
        <v>200</v>
      </c>
      <c r="W190" s="39" t="str">
        <f t="shared" si="8"/>
        <v>SOBREPASADO</v>
      </c>
      <c r="X190" s="36">
        <v>3</v>
      </c>
      <c r="Y190" s="37">
        <v>0</v>
      </c>
      <c r="Z190" s="40">
        <v>0</v>
      </c>
      <c r="AA190" s="39" t="s">
        <v>62</v>
      </c>
      <c r="AB190" s="36">
        <v>3</v>
      </c>
      <c r="AC190" s="41">
        <v>0</v>
      </c>
      <c r="AD190" s="40">
        <f>IFERROR((TABLA_AVANCE_METAS[[#This Row],[AVANCE 4°. TRIM]]/TABLA_AVANCE_METAS[[#This Row],[PROGR. 4° TRIM]])*100,"0")</f>
        <v>0</v>
      </c>
      <c r="AE190"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90" s="43" cm="1">
        <f t="array" ref="AF190">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6</v>
      </c>
      <c r="AG190" s="44" cm="1">
        <f t="array" ref="AG190">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6</v>
      </c>
      <c r="AH190" s="40">
        <f>IFERROR((TABLA_AVANCE_METAS[[#This Row],[AVANCE ACUM. TRIM.]]/TABLA_AVANCE_METAS[[#This Row],[PROG. ACUM]])*100,"N/A")</f>
        <v>100</v>
      </c>
      <c r="AI190"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190" s="45">
        <f>TABLA_AVANCE_METAS[[#This Row],[AVANCE ACUM. TRIM.]]-TABLA_AVANCE_METAS[[#This Row],[PROG. ACUM]]</f>
        <v>0</v>
      </c>
      <c r="AK190" s="46">
        <f>IFERROR((TABLA_AVANCE_METAS[[#This Row],[DIFERENCIA ABSOLUTA SEMESTRAL]]/TABLA_AVANCE_METAS[[#This Row],[PROG. ACUM]])*100,"N/A")</f>
        <v>0</v>
      </c>
      <c r="AL190" s="44">
        <f>TABLA_AVANCE_METAS[[#This Row],[AVANCE 1°. TRIM]]+TABLA_AVANCE_METAS[[#This Row],[AVANCE 2°. TRIM]]+TABLA_AVANCE_METAS[[#This Row],[AVANCE 3°. TRIM]]+TABLA_AVANCE_METAS[[#This Row],[AVANCE 4°. TRIM]]</f>
        <v>6</v>
      </c>
      <c r="AM190" s="40">
        <f>IFERROR((TABLA_AVANCE_METAS[[#This Row],[AVANCE ACUM. ANUAL]]/TABLA_AVANCE_METAS[[#This Row],[PROGRAMADO ANUAL]])*100,"N/A")</f>
        <v>50</v>
      </c>
      <c r="AN190"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190" s="45">
        <f>TABLA_AVANCE_METAS[[#This Row],[AVANCE ACUM. ANUAL]]-TABLA_AVANCE_METAS[[#This Row],[PROGRAMADO ANUAL]]</f>
        <v>-6</v>
      </c>
      <c r="AP190" s="47">
        <f>IFERROR((TABLA_AVANCE_METAS[[#This Row],[DIFERENCIA ABSOLUTA ANUAL]]/TABLA_AVANCE_METAS[[#This Row],[PROGRAMADO ANUAL]])*100,"N/A")</f>
        <v>-50</v>
      </c>
      <c r="AQ190" s="48" t="s">
        <v>588</v>
      </c>
      <c r="AR190" s="49"/>
      <c r="AS190" s="50"/>
      <c r="AT190" s="50"/>
      <c r="AU190" s="51" t="b">
        <f>TABLA_AVANCE_METAS[[#This Row],[PROGRAMADO ANUAL]]=SUM(TABLA_AVANCE_METAS[[#This Row],[PROGR. 1° TRIM]],TABLA_AVANCE_METAS[[#This Row],[PROGR. 2° TRIM]],TABLA_AVANCE_METAS[[#This Row],[PROGR. 3° TRIM]],TABLA_AVANCE_METAS[[#This Row],[PROGR. 4° TRIM]])</f>
        <v>1</v>
      </c>
      <c r="AV190" s="52"/>
    </row>
    <row r="191" spans="1:48" ht="75" hidden="1" customHeight="1" x14ac:dyDescent="0.3">
      <c r="A191" s="31" t="str">
        <f>CONCATENATE(TABLA_AVANCE_METAS[[#This Row],[ESTRUCTURA]],TABLA_AVANCE_METAS[[#This Row],['#]])</f>
        <v>C0022502020301101</v>
      </c>
      <c r="B191" s="32" t="s">
        <v>494</v>
      </c>
      <c r="C191" s="55" t="s">
        <v>445</v>
      </c>
      <c r="D191" s="54" t="s">
        <v>446</v>
      </c>
      <c r="E191" s="32" t="s">
        <v>495</v>
      </c>
      <c r="F191" s="54" t="s">
        <v>496</v>
      </c>
      <c r="G191" s="56" t="s">
        <v>591</v>
      </c>
      <c r="H191" s="54" t="s">
        <v>177</v>
      </c>
      <c r="I191" s="54" t="s">
        <v>178</v>
      </c>
      <c r="J191" s="54" t="s">
        <v>529</v>
      </c>
      <c r="K191" s="54" t="s">
        <v>530</v>
      </c>
      <c r="L191" s="55">
        <v>1</v>
      </c>
      <c r="M191" s="90" t="s">
        <v>592</v>
      </c>
      <c r="N191" s="56" t="s">
        <v>506</v>
      </c>
      <c r="O191" s="36">
        <v>520</v>
      </c>
      <c r="P191" s="36">
        <v>165</v>
      </c>
      <c r="Q191" s="37">
        <v>117</v>
      </c>
      <c r="R191" s="38">
        <f>IFERROR((TABLA_AVANCE_METAS[[#This Row],[AVANCE 1°. TRIM]]/TABLA_AVANCE_METAS[[#This Row],[PROGR. 1° TRIM]])*100,"0")</f>
        <v>70.909090909090907</v>
      </c>
      <c r="S191"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REGULAR</v>
      </c>
      <c r="T191" s="36">
        <v>95</v>
      </c>
      <c r="U191" s="37">
        <v>91</v>
      </c>
      <c r="V191" s="40">
        <f t="shared" si="7"/>
        <v>95.78947368421052</v>
      </c>
      <c r="W191" s="39" t="str">
        <f t="shared" si="8"/>
        <v>ADECUADO</v>
      </c>
      <c r="X191" s="36">
        <v>100</v>
      </c>
      <c r="Y191" s="37">
        <v>0</v>
      </c>
      <c r="Z191" s="40">
        <v>0</v>
      </c>
      <c r="AA191" s="39" t="s">
        <v>62</v>
      </c>
      <c r="AB191" s="36">
        <v>160</v>
      </c>
      <c r="AC191" s="41">
        <v>0</v>
      </c>
      <c r="AD191" s="40">
        <f>IFERROR((TABLA_AVANCE_METAS[[#This Row],[AVANCE 4°. TRIM]]/TABLA_AVANCE_METAS[[#This Row],[PROGR. 4° TRIM]])*100,"0")</f>
        <v>0</v>
      </c>
      <c r="AE191"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91" s="43" cm="1">
        <f t="array" ref="AF191">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260</v>
      </c>
      <c r="AG191" s="44" cm="1">
        <f t="array" ref="AG191">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208</v>
      </c>
      <c r="AH191" s="40">
        <f>IFERROR((TABLA_AVANCE_METAS[[#This Row],[AVANCE ACUM. TRIM.]]/TABLA_AVANCE_METAS[[#This Row],[PROG. ACUM]])*100,"N/A")</f>
        <v>80</v>
      </c>
      <c r="AI191"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REGULAR</v>
      </c>
      <c r="AJ191" s="45">
        <f>TABLA_AVANCE_METAS[[#This Row],[AVANCE ACUM. TRIM.]]-TABLA_AVANCE_METAS[[#This Row],[PROG. ACUM]]</f>
        <v>-52</v>
      </c>
      <c r="AK191" s="46">
        <f>IFERROR((TABLA_AVANCE_METAS[[#This Row],[DIFERENCIA ABSOLUTA SEMESTRAL]]/TABLA_AVANCE_METAS[[#This Row],[PROG. ACUM]])*100,"N/A")</f>
        <v>-20</v>
      </c>
      <c r="AL191" s="44">
        <f>TABLA_AVANCE_METAS[[#This Row],[AVANCE 1°. TRIM]]+TABLA_AVANCE_METAS[[#This Row],[AVANCE 2°. TRIM]]+TABLA_AVANCE_METAS[[#This Row],[AVANCE 3°. TRIM]]+TABLA_AVANCE_METAS[[#This Row],[AVANCE 4°. TRIM]]</f>
        <v>208</v>
      </c>
      <c r="AM191" s="40">
        <f>IFERROR((TABLA_AVANCE_METAS[[#This Row],[AVANCE ACUM. ANUAL]]/TABLA_AVANCE_METAS[[#This Row],[PROGRAMADO ANUAL]])*100,"N/A")</f>
        <v>40</v>
      </c>
      <c r="AN191"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191" s="45">
        <f>TABLA_AVANCE_METAS[[#This Row],[AVANCE ACUM. ANUAL]]-TABLA_AVANCE_METAS[[#This Row],[PROGRAMADO ANUAL]]</f>
        <v>-312</v>
      </c>
      <c r="AP191" s="47">
        <f>IFERROR((TABLA_AVANCE_METAS[[#This Row],[DIFERENCIA ABSOLUTA ANUAL]]/TABLA_AVANCE_METAS[[#This Row],[PROGRAMADO ANUAL]])*100,"N/A")</f>
        <v>-60</v>
      </c>
      <c r="AQ191" s="48" t="s">
        <v>593</v>
      </c>
      <c r="AR191" s="49"/>
      <c r="AS191" s="50"/>
      <c r="AT191" s="50"/>
      <c r="AU191" s="83" t="b">
        <f>TABLA_AVANCE_METAS[[#This Row],[PROGRAMADO ANUAL]]=SUM(TABLA_AVANCE_METAS[[#This Row],[PROGR. 1° TRIM]],TABLA_AVANCE_METAS[[#This Row],[PROGR. 2° TRIM]],TABLA_AVANCE_METAS[[#This Row],[PROGR. 3° TRIM]],TABLA_AVANCE_METAS[[#This Row],[PROGR. 4° TRIM]])</f>
        <v>1</v>
      </c>
      <c r="AV191" s="52"/>
    </row>
    <row r="192" spans="1:48" ht="75" hidden="1" customHeight="1" x14ac:dyDescent="0.3">
      <c r="A192" s="31" t="str">
        <f>CONCATENATE(TABLA_AVANCE_METAS[[#This Row],[ESTRUCTURA]],TABLA_AVANCE_METAS[[#This Row],['#]])</f>
        <v>C0022502020301102</v>
      </c>
      <c r="B192" s="32" t="s">
        <v>494</v>
      </c>
      <c r="C192" s="55" t="s">
        <v>445</v>
      </c>
      <c r="D192" s="54" t="s">
        <v>446</v>
      </c>
      <c r="E192" s="32" t="s">
        <v>495</v>
      </c>
      <c r="F192" s="54" t="s">
        <v>496</v>
      </c>
      <c r="G192" s="56" t="s">
        <v>591</v>
      </c>
      <c r="H192" s="54" t="s">
        <v>177</v>
      </c>
      <c r="I192" s="54" t="s">
        <v>178</v>
      </c>
      <c r="J192" s="54" t="s">
        <v>529</v>
      </c>
      <c r="K192" s="54" t="s">
        <v>530</v>
      </c>
      <c r="L192" s="55">
        <v>2</v>
      </c>
      <c r="M192" s="90" t="s">
        <v>594</v>
      </c>
      <c r="N192" s="56" t="s">
        <v>506</v>
      </c>
      <c r="O192" s="36">
        <v>14</v>
      </c>
      <c r="P192" s="36">
        <v>5</v>
      </c>
      <c r="Q192" s="37">
        <v>3</v>
      </c>
      <c r="R192" s="38">
        <f>IFERROR((TABLA_AVANCE_METAS[[#This Row],[AVANCE 1°. TRIM]]/TABLA_AVANCE_METAS[[#This Row],[PROGR. 1° TRIM]])*100,"0")</f>
        <v>60</v>
      </c>
      <c r="S192"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DEFICIENTE</v>
      </c>
      <c r="T192" s="36">
        <v>3</v>
      </c>
      <c r="U192" s="37">
        <v>3</v>
      </c>
      <c r="V192" s="40">
        <f t="shared" si="7"/>
        <v>100</v>
      </c>
      <c r="W192" s="39" t="str">
        <f t="shared" si="8"/>
        <v>ADECUADO</v>
      </c>
      <c r="X192" s="36">
        <v>3</v>
      </c>
      <c r="Y192" s="37">
        <v>0</v>
      </c>
      <c r="Z192" s="40">
        <v>0</v>
      </c>
      <c r="AA192" s="39" t="s">
        <v>62</v>
      </c>
      <c r="AB192" s="36">
        <v>3</v>
      </c>
      <c r="AC192" s="41">
        <v>0</v>
      </c>
      <c r="AD192" s="40">
        <f>IFERROR((TABLA_AVANCE_METAS[[#This Row],[AVANCE 4°. TRIM]]/TABLA_AVANCE_METAS[[#This Row],[PROGR. 4° TRIM]])*100,"0")</f>
        <v>0</v>
      </c>
      <c r="AE192"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92" s="43" cm="1">
        <f t="array" ref="AF192">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8</v>
      </c>
      <c r="AG192" s="44" cm="1">
        <f t="array" ref="AG192">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6</v>
      </c>
      <c r="AH192" s="40">
        <f>IFERROR((TABLA_AVANCE_METAS[[#This Row],[AVANCE ACUM. TRIM.]]/TABLA_AVANCE_METAS[[#This Row],[PROG. ACUM]])*100,"N/A")</f>
        <v>75</v>
      </c>
      <c r="AI192"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REGULAR</v>
      </c>
      <c r="AJ192" s="45">
        <f>TABLA_AVANCE_METAS[[#This Row],[AVANCE ACUM. TRIM.]]-TABLA_AVANCE_METAS[[#This Row],[PROG. ACUM]]</f>
        <v>-2</v>
      </c>
      <c r="AK192" s="46">
        <f>IFERROR((TABLA_AVANCE_METAS[[#This Row],[DIFERENCIA ABSOLUTA SEMESTRAL]]/TABLA_AVANCE_METAS[[#This Row],[PROG. ACUM]])*100,"N/A")</f>
        <v>-25</v>
      </c>
      <c r="AL192" s="44">
        <f>TABLA_AVANCE_METAS[[#This Row],[AVANCE 1°. TRIM]]+TABLA_AVANCE_METAS[[#This Row],[AVANCE 2°. TRIM]]+TABLA_AVANCE_METAS[[#This Row],[AVANCE 3°. TRIM]]+TABLA_AVANCE_METAS[[#This Row],[AVANCE 4°. TRIM]]</f>
        <v>6</v>
      </c>
      <c r="AM192" s="40">
        <f>IFERROR((TABLA_AVANCE_METAS[[#This Row],[AVANCE ACUM. ANUAL]]/TABLA_AVANCE_METAS[[#This Row],[PROGRAMADO ANUAL]])*100,"N/A")</f>
        <v>42.857142857142854</v>
      </c>
      <c r="AN192"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192" s="45">
        <f>TABLA_AVANCE_METAS[[#This Row],[AVANCE ACUM. ANUAL]]-TABLA_AVANCE_METAS[[#This Row],[PROGRAMADO ANUAL]]</f>
        <v>-8</v>
      </c>
      <c r="AP192" s="47">
        <f>IFERROR((TABLA_AVANCE_METAS[[#This Row],[DIFERENCIA ABSOLUTA ANUAL]]/TABLA_AVANCE_METAS[[#This Row],[PROGRAMADO ANUAL]])*100,"N/A")</f>
        <v>-57.142857142857139</v>
      </c>
      <c r="AQ192" s="48" t="s">
        <v>595</v>
      </c>
      <c r="AR192" s="49"/>
      <c r="AS192" s="50"/>
      <c r="AT192" s="50"/>
      <c r="AU192" s="83" t="b">
        <f>TABLA_AVANCE_METAS[[#This Row],[PROGRAMADO ANUAL]]=SUM(TABLA_AVANCE_METAS[[#This Row],[PROGR. 1° TRIM]],TABLA_AVANCE_METAS[[#This Row],[PROGR. 2° TRIM]],TABLA_AVANCE_METAS[[#This Row],[PROGR. 3° TRIM]],TABLA_AVANCE_METAS[[#This Row],[PROGR. 4° TRIM]])</f>
        <v>1</v>
      </c>
      <c r="AV192" s="52"/>
    </row>
    <row r="193" spans="1:48" ht="75" hidden="1" customHeight="1" x14ac:dyDescent="0.3">
      <c r="A193" s="31" t="str">
        <f>CONCATENATE(TABLA_AVANCE_METAS[[#This Row],[ESTRUCTURA]],TABLA_AVANCE_METAS[[#This Row],['#]])</f>
        <v>C0022502020301103</v>
      </c>
      <c r="B193" s="32" t="s">
        <v>494</v>
      </c>
      <c r="C193" s="55" t="s">
        <v>445</v>
      </c>
      <c r="D193" s="54" t="s">
        <v>446</v>
      </c>
      <c r="E193" s="32" t="s">
        <v>495</v>
      </c>
      <c r="F193" s="54" t="s">
        <v>496</v>
      </c>
      <c r="G193" s="56" t="s">
        <v>591</v>
      </c>
      <c r="H193" s="54" t="s">
        <v>177</v>
      </c>
      <c r="I193" s="54" t="s">
        <v>178</v>
      </c>
      <c r="J193" s="54" t="s">
        <v>529</v>
      </c>
      <c r="K193" s="54" t="s">
        <v>530</v>
      </c>
      <c r="L193" s="55">
        <v>3</v>
      </c>
      <c r="M193" s="57" t="s">
        <v>596</v>
      </c>
      <c r="N193" s="56" t="s">
        <v>513</v>
      </c>
      <c r="O193" s="36">
        <v>2</v>
      </c>
      <c r="P193" s="36">
        <v>0</v>
      </c>
      <c r="Q193" s="37">
        <v>0</v>
      </c>
      <c r="R193" s="38" t="str">
        <f>IFERROR((TABLA_AVANCE_METAS[[#This Row],[AVANCE 1°. TRIM]]/TABLA_AVANCE_METAS[[#This Row],[PROGR. 1° TRIM]])*100,"0")</f>
        <v>0</v>
      </c>
      <c r="S193"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NO PROG.</v>
      </c>
      <c r="T193" s="36">
        <v>1</v>
      </c>
      <c r="U193" s="37">
        <v>0</v>
      </c>
      <c r="V193" s="40">
        <f t="shared" si="7"/>
        <v>0</v>
      </c>
      <c r="W193" s="39" t="str">
        <f t="shared" si="8"/>
        <v>CRÍTICO</v>
      </c>
      <c r="X193" s="36">
        <v>1</v>
      </c>
      <c r="Y193" s="37">
        <v>0</v>
      </c>
      <c r="Z193" s="40">
        <v>0</v>
      </c>
      <c r="AA193" s="39" t="s">
        <v>62</v>
      </c>
      <c r="AB193" s="36">
        <v>0</v>
      </c>
      <c r="AC193" s="41">
        <v>0</v>
      </c>
      <c r="AD193" s="40" t="str">
        <f>IFERROR((TABLA_AVANCE_METAS[[#This Row],[AVANCE 4°. TRIM]]/TABLA_AVANCE_METAS[[#This Row],[PROGR. 4° TRIM]])*100,"0")</f>
        <v>0</v>
      </c>
      <c r="AE193"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NO PROG.</v>
      </c>
      <c r="AF193" s="43" cm="1">
        <f t="array" ref="AF193">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v>
      </c>
      <c r="AG193" s="44" cm="1">
        <f t="array" ref="AG193">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0</v>
      </c>
      <c r="AH193" s="40">
        <f>IFERROR((TABLA_AVANCE_METAS[[#This Row],[AVANCE ACUM. TRIM.]]/TABLA_AVANCE_METAS[[#This Row],[PROG. ACUM]])*100,"N/A")</f>
        <v>0</v>
      </c>
      <c r="AI193"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CRÍTICO</v>
      </c>
      <c r="AJ193" s="45">
        <f>TABLA_AVANCE_METAS[[#This Row],[AVANCE ACUM. TRIM.]]-TABLA_AVANCE_METAS[[#This Row],[PROG. ACUM]]</f>
        <v>-1</v>
      </c>
      <c r="AK193" s="46">
        <f>IFERROR((TABLA_AVANCE_METAS[[#This Row],[DIFERENCIA ABSOLUTA SEMESTRAL]]/TABLA_AVANCE_METAS[[#This Row],[PROG. ACUM]])*100,"N/A")</f>
        <v>-100</v>
      </c>
      <c r="AL193" s="44">
        <f>TABLA_AVANCE_METAS[[#This Row],[AVANCE 1°. TRIM]]+TABLA_AVANCE_METAS[[#This Row],[AVANCE 2°. TRIM]]+TABLA_AVANCE_METAS[[#This Row],[AVANCE 3°. TRIM]]+TABLA_AVANCE_METAS[[#This Row],[AVANCE 4°. TRIM]]</f>
        <v>0</v>
      </c>
      <c r="AM193" s="40">
        <f>IFERROR((TABLA_AVANCE_METAS[[#This Row],[AVANCE ACUM. ANUAL]]/TABLA_AVANCE_METAS[[#This Row],[PROGRAMADO ANUAL]])*100,"N/A")</f>
        <v>0</v>
      </c>
      <c r="AN193"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193" s="45">
        <f>TABLA_AVANCE_METAS[[#This Row],[AVANCE ACUM. ANUAL]]-TABLA_AVANCE_METAS[[#This Row],[PROGRAMADO ANUAL]]</f>
        <v>-2</v>
      </c>
      <c r="AP193" s="47">
        <f>IFERROR((TABLA_AVANCE_METAS[[#This Row],[DIFERENCIA ABSOLUTA ANUAL]]/TABLA_AVANCE_METAS[[#This Row],[PROGRAMADO ANUAL]])*100,"N/A")</f>
        <v>-100</v>
      </c>
      <c r="AQ193" s="48" t="s">
        <v>63</v>
      </c>
      <c r="AR193" s="49"/>
      <c r="AS193" s="50"/>
      <c r="AT193" s="50"/>
      <c r="AU193" s="51" t="b">
        <f>TABLA_AVANCE_METAS[[#This Row],[PROGRAMADO ANUAL]]=SUM(TABLA_AVANCE_METAS[[#This Row],[PROGR. 1° TRIM]],TABLA_AVANCE_METAS[[#This Row],[PROGR. 2° TRIM]],TABLA_AVANCE_METAS[[#This Row],[PROGR. 3° TRIM]],TABLA_AVANCE_METAS[[#This Row],[PROGR. 4° TRIM]])</f>
        <v>1</v>
      </c>
      <c r="AV193" s="52"/>
    </row>
    <row r="194" spans="1:48" ht="75" hidden="1" customHeight="1" x14ac:dyDescent="0.3">
      <c r="A194" s="31" t="str">
        <f>CONCATENATE(TABLA_AVANCE_METAS[[#This Row],[ESTRUCTURA]],TABLA_AVANCE_METAS[[#This Row],['#]])</f>
        <v>C0022002020301101</v>
      </c>
      <c r="B194" s="32" t="s">
        <v>446</v>
      </c>
      <c r="C194" s="55" t="s">
        <v>445</v>
      </c>
      <c r="D194" s="54" t="s">
        <v>446</v>
      </c>
      <c r="E194" s="32" t="s">
        <v>401</v>
      </c>
      <c r="F194" s="54" t="s">
        <v>402</v>
      </c>
      <c r="G194" s="56" t="s">
        <v>597</v>
      </c>
      <c r="H194" s="54" t="s">
        <v>177</v>
      </c>
      <c r="I194" s="54" t="s">
        <v>178</v>
      </c>
      <c r="J194" s="54" t="s">
        <v>529</v>
      </c>
      <c r="K194" s="54" t="s">
        <v>530</v>
      </c>
      <c r="L194" s="55">
        <v>1</v>
      </c>
      <c r="M194" s="57" t="s">
        <v>598</v>
      </c>
      <c r="N194" s="56" t="s">
        <v>85</v>
      </c>
      <c r="O194" s="36">
        <v>48</v>
      </c>
      <c r="P194" s="36">
        <v>12</v>
      </c>
      <c r="Q194" s="37">
        <v>12</v>
      </c>
      <c r="R194" s="38">
        <f>IFERROR((TABLA_AVANCE_METAS[[#This Row],[AVANCE 1°. TRIM]]/TABLA_AVANCE_METAS[[#This Row],[PROGR. 1° TRIM]])*100,"0")</f>
        <v>100</v>
      </c>
      <c r="S194"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194" s="36">
        <v>12</v>
      </c>
      <c r="U194" s="37">
        <v>12</v>
      </c>
      <c r="V194" s="40">
        <f t="shared" si="7"/>
        <v>100</v>
      </c>
      <c r="W194" s="39" t="str">
        <f t="shared" si="8"/>
        <v>ADECUADO</v>
      </c>
      <c r="X194" s="36">
        <v>12</v>
      </c>
      <c r="Y194" s="37">
        <v>0</v>
      </c>
      <c r="Z194" s="40">
        <v>0</v>
      </c>
      <c r="AA194" s="39" t="s">
        <v>62</v>
      </c>
      <c r="AB194" s="36">
        <v>12</v>
      </c>
      <c r="AC194" s="41">
        <v>0</v>
      </c>
      <c r="AD194" s="40">
        <f>IFERROR((TABLA_AVANCE_METAS[[#This Row],[AVANCE 4°. TRIM]]/TABLA_AVANCE_METAS[[#This Row],[PROGR. 4° TRIM]])*100,"0")</f>
        <v>0</v>
      </c>
      <c r="AE194"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94" s="43" cm="1">
        <f t="array" ref="AF194">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24</v>
      </c>
      <c r="AG194" s="44" cm="1">
        <f t="array" ref="AG194">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24</v>
      </c>
      <c r="AH194" s="40">
        <f>IFERROR((TABLA_AVANCE_METAS[[#This Row],[AVANCE ACUM. TRIM.]]/TABLA_AVANCE_METAS[[#This Row],[PROG. ACUM]])*100,"N/A")</f>
        <v>100</v>
      </c>
      <c r="AI194"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194" s="45">
        <f>TABLA_AVANCE_METAS[[#This Row],[AVANCE ACUM. TRIM.]]-TABLA_AVANCE_METAS[[#This Row],[PROG. ACUM]]</f>
        <v>0</v>
      </c>
      <c r="AK194" s="46">
        <f>IFERROR((TABLA_AVANCE_METAS[[#This Row],[DIFERENCIA ABSOLUTA SEMESTRAL]]/TABLA_AVANCE_METAS[[#This Row],[PROG. ACUM]])*100,"N/A")</f>
        <v>0</v>
      </c>
      <c r="AL194" s="44">
        <f>TABLA_AVANCE_METAS[[#This Row],[AVANCE 1°. TRIM]]+TABLA_AVANCE_METAS[[#This Row],[AVANCE 2°. TRIM]]+TABLA_AVANCE_METAS[[#This Row],[AVANCE 3°. TRIM]]+TABLA_AVANCE_METAS[[#This Row],[AVANCE 4°. TRIM]]</f>
        <v>24</v>
      </c>
      <c r="AM194" s="40">
        <f>IFERROR((TABLA_AVANCE_METAS[[#This Row],[AVANCE ACUM. ANUAL]]/TABLA_AVANCE_METAS[[#This Row],[PROGRAMADO ANUAL]])*100,"N/A")</f>
        <v>50</v>
      </c>
      <c r="AN194"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194" s="45">
        <f>TABLA_AVANCE_METAS[[#This Row],[AVANCE ACUM. ANUAL]]-TABLA_AVANCE_METAS[[#This Row],[PROGRAMADO ANUAL]]</f>
        <v>-24</v>
      </c>
      <c r="AP194" s="47">
        <f>IFERROR((TABLA_AVANCE_METAS[[#This Row],[DIFERENCIA ABSOLUTA ANUAL]]/TABLA_AVANCE_METAS[[#This Row],[PROGRAMADO ANUAL]])*100,"N/A")</f>
        <v>-50</v>
      </c>
      <c r="AQ194" s="79" t="s">
        <v>63</v>
      </c>
      <c r="AR194" s="49"/>
      <c r="AS194" s="93"/>
      <c r="AT194" s="93"/>
      <c r="AU194" s="51" t="b">
        <f>TABLA_AVANCE_METAS[[#This Row],[PROGRAMADO ANUAL]]=SUM(TABLA_AVANCE_METAS[[#This Row],[PROGR. 1° TRIM]],TABLA_AVANCE_METAS[[#This Row],[PROGR. 2° TRIM]],TABLA_AVANCE_METAS[[#This Row],[PROGR. 3° TRIM]],TABLA_AVANCE_METAS[[#This Row],[PROGR. 4° TRIM]])</f>
        <v>1</v>
      </c>
      <c r="AV194" s="52"/>
    </row>
    <row r="195" spans="1:48" ht="75" hidden="1" customHeight="1" x14ac:dyDescent="0.3">
      <c r="A195" s="31" t="str">
        <f>CONCATENATE(TABLA_AVANCE_METAS[[#This Row],[ESTRUCTURA]],TABLA_AVANCE_METAS[[#This Row],['#]])</f>
        <v>C0022002020301102</v>
      </c>
      <c r="B195" s="32" t="s">
        <v>446</v>
      </c>
      <c r="C195" s="55" t="s">
        <v>445</v>
      </c>
      <c r="D195" s="54" t="s">
        <v>446</v>
      </c>
      <c r="E195" s="32" t="s">
        <v>401</v>
      </c>
      <c r="F195" s="54" t="s">
        <v>402</v>
      </c>
      <c r="G195" s="56" t="s">
        <v>597</v>
      </c>
      <c r="H195" s="54" t="s">
        <v>177</v>
      </c>
      <c r="I195" s="54" t="s">
        <v>178</v>
      </c>
      <c r="J195" s="54" t="s">
        <v>529</v>
      </c>
      <c r="K195" s="54" t="s">
        <v>530</v>
      </c>
      <c r="L195" s="55">
        <v>2</v>
      </c>
      <c r="M195" s="57" t="s">
        <v>599</v>
      </c>
      <c r="N195" s="56" t="s">
        <v>600</v>
      </c>
      <c r="O195" s="36">
        <v>48</v>
      </c>
      <c r="P195" s="36">
        <v>12</v>
      </c>
      <c r="Q195" s="37">
        <v>12</v>
      </c>
      <c r="R195" s="38">
        <f>IFERROR((TABLA_AVANCE_METAS[[#This Row],[AVANCE 1°. TRIM]]/TABLA_AVANCE_METAS[[#This Row],[PROGR. 1° TRIM]])*100,"0")</f>
        <v>100</v>
      </c>
      <c r="S195"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195" s="36">
        <v>12</v>
      </c>
      <c r="U195" s="37">
        <v>12</v>
      </c>
      <c r="V195" s="40">
        <f t="shared" si="7"/>
        <v>100</v>
      </c>
      <c r="W195" s="39" t="str">
        <f t="shared" si="8"/>
        <v>ADECUADO</v>
      </c>
      <c r="X195" s="36">
        <v>12</v>
      </c>
      <c r="Y195" s="37">
        <v>0</v>
      </c>
      <c r="Z195" s="40">
        <v>0</v>
      </c>
      <c r="AA195" s="39" t="s">
        <v>62</v>
      </c>
      <c r="AB195" s="36">
        <v>12</v>
      </c>
      <c r="AC195" s="41">
        <v>0</v>
      </c>
      <c r="AD195" s="40">
        <f>IFERROR((TABLA_AVANCE_METAS[[#This Row],[AVANCE 4°. TRIM]]/TABLA_AVANCE_METAS[[#This Row],[PROGR. 4° TRIM]])*100,"0")</f>
        <v>0</v>
      </c>
      <c r="AE195"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95" s="43" cm="1">
        <f t="array" ref="AF195">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24</v>
      </c>
      <c r="AG195" s="44" cm="1">
        <f t="array" ref="AG195">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24</v>
      </c>
      <c r="AH195" s="40">
        <f>IFERROR((TABLA_AVANCE_METAS[[#This Row],[AVANCE ACUM. TRIM.]]/TABLA_AVANCE_METAS[[#This Row],[PROG. ACUM]])*100,"N/A")</f>
        <v>100</v>
      </c>
      <c r="AI195"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195" s="45">
        <f>TABLA_AVANCE_METAS[[#This Row],[AVANCE ACUM. TRIM.]]-TABLA_AVANCE_METAS[[#This Row],[PROG. ACUM]]</f>
        <v>0</v>
      </c>
      <c r="AK195" s="46">
        <f>IFERROR((TABLA_AVANCE_METAS[[#This Row],[DIFERENCIA ABSOLUTA SEMESTRAL]]/TABLA_AVANCE_METAS[[#This Row],[PROG. ACUM]])*100,"N/A")</f>
        <v>0</v>
      </c>
      <c r="AL195" s="44">
        <f>TABLA_AVANCE_METAS[[#This Row],[AVANCE 1°. TRIM]]+TABLA_AVANCE_METAS[[#This Row],[AVANCE 2°. TRIM]]+TABLA_AVANCE_METAS[[#This Row],[AVANCE 3°. TRIM]]+TABLA_AVANCE_METAS[[#This Row],[AVANCE 4°. TRIM]]</f>
        <v>24</v>
      </c>
      <c r="AM195" s="40">
        <f>IFERROR((TABLA_AVANCE_METAS[[#This Row],[AVANCE ACUM. ANUAL]]/TABLA_AVANCE_METAS[[#This Row],[PROGRAMADO ANUAL]])*100,"N/A")</f>
        <v>50</v>
      </c>
      <c r="AN195"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195" s="45">
        <f>TABLA_AVANCE_METAS[[#This Row],[AVANCE ACUM. ANUAL]]-TABLA_AVANCE_METAS[[#This Row],[PROGRAMADO ANUAL]]</f>
        <v>-24</v>
      </c>
      <c r="AP195" s="47">
        <f>IFERROR((TABLA_AVANCE_METAS[[#This Row],[DIFERENCIA ABSOLUTA ANUAL]]/TABLA_AVANCE_METAS[[#This Row],[PROGRAMADO ANUAL]])*100,"N/A")</f>
        <v>-50</v>
      </c>
      <c r="AQ195" s="48" t="s">
        <v>63</v>
      </c>
      <c r="AR195" s="49"/>
      <c r="AS195" s="50"/>
      <c r="AT195" s="50"/>
      <c r="AU195" s="51" t="b">
        <f>TABLA_AVANCE_METAS[[#This Row],[PROGRAMADO ANUAL]]=SUM(TABLA_AVANCE_METAS[[#This Row],[PROGR. 1° TRIM]],TABLA_AVANCE_METAS[[#This Row],[PROGR. 2° TRIM]],TABLA_AVANCE_METAS[[#This Row],[PROGR. 3° TRIM]],TABLA_AVANCE_METAS[[#This Row],[PROGR. 4° TRIM]])</f>
        <v>1</v>
      </c>
      <c r="AV195" s="52"/>
    </row>
    <row r="196" spans="1:48" ht="75" hidden="1" customHeight="1" x14ac:dyDescent="0.3">
      <c r="A196" s="31" t="str">
        <f>CONCATENATE(TABLA_AVANCE_METAS[[#This Row],[ESTRUCTURA]],TABLA_AVANCE_METAS[[#This Row],['#]])</f>
        <v>C0022002020301103</v>
      </c>
      <c r="B196" s="32" t="s">
        <v>446</v>
      </c>
      <c r="C196" s="55" t="s">
        <v>445</v>
      </c>
      <c r="D196" s="54" t="s">
        <v>446</v>
      </c>
      <c r="E196" s="32" t="s">
        <v>401</v>
      </c>
      <c r="F196" s="54" t="s">
        <v>402</v>
      </c>
      <c r="G196" s="56" t="s">
        <v>597</v>
      </c>
      <c r="H196" s="54" t="s">
        <v>177</v>
      </c>
      <c r="I196" s="54" t="s">
        <v>178</v>
      </c>
      <c r="J196" s="54" t="s">
        <v>529</v>
      </c>
      <c r="K196" s="54" t="s">
        <v>530</v>
      </c>
      <c r="L196" s="55">
        <v>3</v>
      </c>
      <c r="M196" s="57" t="s">
        <v>601</v>
      </c>
      <c r="N196" s="56" t="s">
        <v>306</v>
      </c>
      <c r="O196" s="36">
        <v>4</v>
      </c>
      <c r="P196" s="36">
        <v>1</v>
      </c>
      <c r="Q196" s="37">
        <v>1</v>
      </c>
      <c r="R196" s="38">
        <f>IFERROR((TABLA_AVANCE_METAS[[#This Row],[AVANCE 1°. TRIM]]/TABLA_AVANCE_METAS[[#This Row],[PROGR. 1° TRIM]])*100,"0")</f>
        <v>100</v>
      </c>
      <c r="S196"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196" s="36">
        <v>1</v>
      </c>
      <c r="U196" s="37">
        <v>1</v>
      </c>
      <c r="V196" s="40">
        <f t="shared" si="7"/>
        <v>100</v>
      </c>
      <c r="W196" s="39" t="str">
        <f t="shared" si="8"/>
        <v>ADECUADO</v>
      </c>
      <c r="X196" s="36">
        <v>1</v>
      </c>
      <c r="Y196" s="37">
        <v>0</v>
      </c>
      <c r="Z196" s="40">
        <v>0</v>
      </c>
      <c r="AA196" s="39" t="s">
        <v>62</v>
      </c>
      <c r="AB196" s="36">
        <v>1</v>
      </c>
      <c r="AC196" s="41">
        <v>0</v>
      </c>
      <c r="AD196" s="40">
        <f>IFERROR((TABLA_AVANCE_METAS[[#This Row],[AVANCE 4°. TRIM]]/TABLA_AVANCE_METAS[[#This Row],[PROGR. 4° TRIM]])*100,"0")</f>
        <v>0</v>
      </c>
      <c r="AE196"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96" s="43" cm="1">
        <f t="array" ref="AF196">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2</v>
      </c>
      <c r="AG196" s="44" cm="1">
        <f t="array" ref="AG196">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2</v>
      </c>
      <c r="AH196" s="40">
        <f>IFERROR((TABLA_AVANCE_METAS[[#This Row],[AVANCE ACUM. TRIM.]]/TABLA_AVANCE_METAS[[#This Row],[PROG. ACUM]])*100,"N/A")</f>
        <v>100</v>
      </c>
      <c r="AI196"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196" s="45">
        <f>TABLA_AVANCE_METAS[[#This Row],[AVANCE ACUM. TRIM.]]-TABLA_AVANCE_METAS[[#This Row],[PROG. ACUM]]</f>
        <v>0</v>
      </c>
      <c r="AK196" s="46">
        <f>IFERROR((TABLA_AVANCE_METAS[[#This Row],[DIFERENCIA ABSOLUTA SEMESTRAL]]/TABLA_AVANCE_METAS[[#This Row],[PROG. ACUM]])*100,"N/A")</f>
        <v>0</v>
      </c>
      <c r="AL196" s="44">
        <f>TABLA_AVANCE_METAS[[#This Row],[AVANCE 1°. TRIM]]+TABLA_AVANCE_METAS[[#This Row],[AVANCE 2°. TRIM]]+TABLA_AVANCE_METAS[[#This Row],[AVANCE 3°. TRIM]]+TABLA_AVANCE_METAS[[#This Row],[AVANCE 4°. TRIM]]</f>
        <v>2</v>
      </c>
      <c r="AM196" s="40">
        <f>IFERROR((TABLA_AVANCE_METAS[[#This Row],[AVANCE ACUM. ANUAL]]/TABLA_AVANCE_METAS[[#This Row],[PROGRAMADO ANUAL]])*100,"N/A")</f>
        <v>50</v>
      </c>
      <c r="AN196"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196" s="45">
        <f>TABLA_AVANCE_METAS[[#This Row],[AVANCE ACUM. ANUAL]]-TABLA_AVANCE_METAS[[#This Row],[PROGRAMADO ANUAL]]</f>
        <v>-2</v>
      </c>
      <c r="AP196" s="47">
        <f>IFERROR((TABLA_AVANCE_METAS[[#This Row],[DIFERENCIA ABSOLUTA ANUAL]]/TABLA_AVANCE_METAS[[#This Row],[PROGRAMADO ANUAL]])*100,"N/A")</f>
        <v>-50</v>
      </c>
      <c r="AQ196" s="48" t="s">
        <v>63</v>
      </c>
      <c r="AR196" s="49"/>
      <c r="AS196" s="50"/>
      <c r="AT196" s="50"/>
      <c r="AU196" s="51" t="b">
        <f>TABLA_AVANCE_METAS[[#This Row],[PROGRAMADO ANUAL]]=SUM(TABLA_AVANCE_METAS[[#This Row],[PROGR. 1° TRIM]],TABLA_AVANCE_METAS[[#This Row],[PROGR. 2° TRIM]],TABLA_AVANCE_METAS[[#This Row],[PROGR. 3° TRIM]],TABLA_AVANCE_METAS[[#This Row],[PROGR. 4° TRIM]])</f>
        <v>1</v>
      </c>
      <c r="AV196" s="52"/>
    </row>
    <row r="197" spans="1:48" ht="75" hidden="1" customHeight="1" x14ac:dyDescent="0.3">
      <c r="A197" s="31" t="str">
        <f>CONCATENATE(TABLA_AVANCE_METAS[[#This Row],[ESTRUCTURA]],TABLA_AVANCE_METAS[[#This Row],['#]])</f>
        <v>C0022002020301104</v>
      </c>
      <c r="B197" s="32" t="s">
        <v>446</v>
      </c>
      <c r="C197" s="33" t="s">
        <v>445</v>
      </c>
      <c r="D197" s="32" t="s">
        <v>446</v>
      </c>
      <c r="E197" s="32" t="s">
        <v>401</v>
      </c>
      <c r="F197" s="32" t="s">
        <v>402</v>
      </c>
      <c r="G197" s="34" t="s">
        <v>597</v>
      </c>
      <c r="H197" s="32" t="s">
        <v>177</v>
      </c>
      <c r="I197" s="32" t="s">
        <v>178</v>
      </c>
      <c r="J197" s="32" t="s">
        <v>529</v>
      </c>
      <c r="K197" s="32" t="s">
        <v>530</v>
      </c>
      <c r="L197" s="33">
        <v>4</v>
      </c>
      <c r="M197" s="82" t="s">
        <v>602</v>
      </c>
      <c r="N197" s="34" t="s">
        <v>155</v>
      </c>
      <c r="O197" s="36">
        <v>4</v>
      </c>
      <c r="P197" s="36">
        <v>1</v>
      </c>
      <c r="Q197" s="37">
        <v>1</v>
      </c>
      <c r="R197" s="38">
        <f>IFERROR((TABLA_AVANCE_METAS[[#This Row],[AVANCE 1°. TRIM]]/TABLA_AVANCE_METAS[[#This Row],[PROGR. 1° TRIM]])*100,"0")</f>
        <v>100</v>
      </c>
      <c r="S197"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197" s="36">
        <v>1</v>
      </c>
      <c r="U197" s="37">
        <v>1</v>
      </c>
      <c r="V197" s="40">
        <f t="shared" ref="V197:V236" si="9">IFERROR((U197/T197)*100,"0")</f>
        <v>100</v>
      </c>
      <c r="W197" s="39" t="str">
        <f t="shared" si="8"/>
        <v>ADECUADO</v>
      </c>
      <c r="X197" s="36">
        <v>0</v>
      </c>
      <c r="Y197" s="37">
        <v>0</v>
      </c>
      <c r="Z197" s="40" t="s">
        <v>72</v>
      </c>
      <c r="AA197" s="39" t="s">
        <v>73</v>
      </c>
      <c r="AB197" s="36">
        <v>2</v>
      </c>
      <c r="AC197" s="41">
        <v>0</v>
      </c>
      <c r="AD197" s="40">
        <f>IFERROR((TABLA_AVANCE_METAS[[#This Row],[AVANCE 4°. TRIM]]/TABLA_AVANCE_METAS[[#This Row],[PROGR. 4° TRIM]])*100,"0")</f>
        <v>0</v>
      </c>
      <c r="AE197"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97" s="43" cm="1">
        <f t="array" ref="AF197">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2</v>
      </c>
      <c r="AG197" s="44" cm="1">
        <f t="array" ref="AG197">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2</v>
      </c>
      <c r="AH197" s="40">
        <f>IFERROR((TABLA_AVANCE_METAS[[#This Row],[AVANCE ACUM. TRIM.]]/TABLA_AVANCE_METAS[[#This Row],[PROG. ACUM]])*100,"N/A")</f>
        <v>100</v>
      </c>
      <c r="AI197"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197" s="45">
        <f>TABLA_AVANCE_METAS[[#This Row],[AVANCE ACUM. TRIM.]]-TABLA_AVANCE_METAS[[#This Row],[PROG. ACUM]]</f>
        <v>0</v>
      </c>
      <c r="AK197" s="46">
        <f>IFERROR((TABLA_AVANCE_METAS[[#This Row],[DIFERENCIA ABSOLUTA SEMESTRAL]]/TABLA_AVANCE_METAS[[#This Row],[PROG. ACUM]])*100,"N/A")</f>
        <v>0</v>
      </c>
      <c r="AL197" s="44">
        <f>TABLA_AVANCE_METAS[[#This Row],[AVANCE 1°. TRIM]]+TABLA_AVANCE_METAS[[#This Row],[AVANCE 2°. TRIM]]+TABLA_AVANCE_METAS[[#This Row],[AVANCE 3°. TRIM]]+TABLA_AVANCE_METAS[[#This Row],[AVANCE 4°. TRIM]]</f>
        <v>2</v>
      </c>
      <c r="AM197" s="40">
        <f>IFERROR((TABLA_AVANCE_METAS[[#This Row],[AVANCE ACUM. ANUAL]]/TABLA_AVANCE_METAS[[#This Row],[PROGRAMADO ANUAL]])*100,"N/A")</f>
        <v>50</v>
      </c>
      <c r="AN197"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197" s="45">
        <f>TABLA_AVANCE_METAS[[#This Row],[AVANCE ACUM. ANUAL]]-TABLA_AVANCE_METAS[[#This Row],[PROGRAMADO ANUAL]]</f>
        <v>-2</v>
      </c>
      <c r="AP197" s="47">
        <f>IFERROR((TABLA_AVANCE_METAS[[#This Row],[DIFERENCIA ABSOLUTA ANUAL]]/TABLA_AVANCE_METAS[[#This Row],[PROGRAMADO ANUAL]])*100,"N/A")</f>
        <v>-50</v>
      </c>
      <c r="AQ197" s="48" t="s">
        <v>63</v>
      </c>
      <c r="AR197" s="49"/>
      <c r="AS197" s="50"/>
      <c r="AT197" s="50"/>
      <c r="AU197" s="51" t="b">
        <f>TABLA_AVANCE_METAS[[#This Row],[PROGRAMADO ANUAL]]=SUM(TABLA_AVANCE_METAS[[#This Row],[PROGR. 1° TRIM]],TABLA_AVANCE_METAS[[#This Row],[PROGR. 2° TRIM]],TABLA_AVANCE_METAS[[#This Row],[PROGR. 3° TRIM]],TABLA_AVANCE_METAS[[#This Row],[PROGR. 4° TRIM]])</f>
        <v>1</v>
      </c>
      <c r="AV197" s="52"/>
    </row>
    <row r="198" spans="1:48" ht="75" hidden="1" customHeight="1" x14ac:dyDescent="0.3">
      <c r="A198" s="31" t="str">
        <f>CONCATENATE(TABLA_AVANCE_METAS[[#This Row],[ESTRUCTURA]],TABLA_AVANCE_METAS[[#This Row],['#]])</f>
        <v>C0022002020301105</v>
      </c>
      <c r="B198" s="32" t="s">
        <v>446</v>
      </c>
      <c r="C198" s="55" t="s">
        <v>445</v>
      </c>
      <c r="D198" s="54" t="s">
        <v>446</v>
      </c>
      <c r="E198" s="32" t="s">
        <v>401</v>
      </c>
      <c r="F198" s="54" t="s">
        <v>402</v>
      </c>
      <c r="G198" s="56" t="s">
        <v>597</v>
      </c>
      <c r="H198" s="54" t="s">
        <v>177</v>
      </c>
      <c r="I198" s="54" t="s">
        <v>178</v>
      </c>
      <c r="J198" s="54" t="s">
        <v>529</v>
      </c>
      <c r="K198" s="54" t="s">
        <v>530</v>
      </c>
      <c r="L198" s="55">
        <v>5</v>
      </c>
      <c r="M198" s="91" t="s">
        <v>603</v>
      </c>
      <c r="N198" s="56" t="s">
        <v>155</v>
      </c>
      <c r="O198" s="36">
        <v>4</v>
      </c>
      <c r="P198" s="36">
        <v>1</v>
      </c>
      <c r="Q198" s="37">
        <v>1</v>
      </c>
      <c r="R198" s="38">
        <f>IFERROR((TABLA_AVANCE_METAS[[#This Row],[AVANCE 1°. TRIM]]/TABLA_AVANCE_METAS[[#This Row],[PROGR. 1° TRIM]])*100,"0")</f>
        <v>100</v>
      </c>
      <c r="S198"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198" s="36">
        <v>1</v>
      </c>
      <c r="U198" s="37">
        <v>1</v>
      </c>
      <c r="V198" s="40">
        <f t="shared" si="9"/>
        <v>100</v>
      </c>
      <c r="W198" s="39" t="str">
        <f t="shared" si="8"/>
        <v>ADECUADO</v>
      </c>
      <c r="X198" s="36">
        <v>0</v>
      </c>
      <c r="Y198" s="37">
        <v>0</v>
      </c>
      <c r="Z198" s="40" t="s">
        <v>72</v>
      </c>
      <c r="AA198" s="39" t="s">
        <v>73</v>
      </c>
      <c r="AB198" s="36">
        <v>2</v>
      </c>
      <c r="AC198" s="41">
        <v>0</v>
      </c>
      <c r="AD198" s="40">
        <f>IFERROR((TABLA_AVANCE_METAS[[#This Row],[AVANCE 4°. TRIM]]/TABLA_AVANCE_METAS[[#This Row],[PROGR. 4° TRIM]])*100,"0")</f>
        <v>0</v>
      </c>
      <c r="AE198"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198" s="43" cm="1">
        <f t="array" ref="AF198">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2</v>
      </c>
      <c r="AG198" s="44" cm="1">
        <f t="array" ref="AG198">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2</v>
      </c>
      <c r="AH198" s="40">
        <f>IFERROR((TABLA_AVANCE_METAS[[#This Row],[AVANCE ACUM. TRIM.]]/TABLA_AVANCE_METAS[[#This Row],[PROG. ACUM]])*100,"N/A")</f>
        <v>100</v>
      </c>
      <c r="AI198"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198" s="45">
        <f>TABLA_AVANCE_METAS[[#This Row],[AVANCE ACUM. TRIM.]]-TABLA_AVANCE_METAS[[#This Row],[PROG. ACUM]]</f>
        <v>0</v>
      </c>
      <c r="AK198" s="46">
        <f>IFERROR((TABLA_AVANCE_METAS[[#This Row],[DIFERENCIA ABSOLUTA SEMESTRAL]]/TABLA_AVANCE_METAS[[#This Row],[PROG. ACUM]])*100,"N/A")</f>
        <v>0</v>
      </c>
      <c r="AL198" s="44">
        <f>TABLA_AVANCE_METAS[[#This Row],[AVANCE 1°. TRIM]]+TABLA_AVANCE_METAS[[#This Row],[AVANCE 2°. TRIM]]+TABLA_AVANCE_METAS[[#This Row],[AVANCE 3°. TRIM]]+TABLA_AVANCE_METAS[[#This Row],[AVANCE 4°. TRIM]]</f>
        <v>2</v>
      </c>
      <c r="AM198" s="40">
        <f>IFERROR((TABLA_AVANCE_METAS[[#This Row],[AVANCE ACUM. ANUAL]]/TABLA_AVANCE_METAS[[#This Row],[PROGRAMADO ANUAL]])*100,"N/A")</f>
        <v>50</v>
      </c>
      <c r="AN198"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198" s="45">
        <f>TABLA_AVANCE_METAS[[#This Row],[AVANCE ACUM. ANUAL]]-TABLA_AVANCE_METAS[[#This Row],[PROGRAMADO ANUAL]]</f>
        <v>-2</v>
      </c>
      <c r="AP198" s="47">
        <f>IFERROR((TABLA_AVANCE_METAS[[#This Row],[DIFERENCIA ABSOLUTA ANUAL]]/TABLA_AVANCE_METAS[[#This Row],[PROGRAMADO ANUAL]])*100,"N/A")</f>
        <v>-50</v>
      </c>
      <c r="AQ198" s="48" t="s">
        <v>63</v>
      </c>
      <c r="AR198" s="49"/>
      <c r="AS198" s="50"/>
      <c r="AT198" s="50"/>
      <c r="AU198" s="51" t="b">
        <f>TABLA_AVANCE_METAS[[#This Row],[PROGRAMADO ANUAL]]=SUM(TABLA_AVANCE_METAS[[#This Row],[PROGR. 1° TRIM]],TABLA_AVANCE_METAS[[#This Row],[PROGR. 2° TRIM]],TABLA_AVANCE_METAS[[#This Row],[PROGR. 3° TRIM]],TABLA_AVANCE_METAS[[#This Row],[PROGR. 4° TRIM]])</f>
        <v>1</v>
      </c>
      <c r="AV198" s="52"/>
    </row>
    <row r="199" spans="1:48" ht="75" hidden="1" customHeight="1" x14ac:dyDescent="0.3">
      <c r="A199" s="65" t="str">
        <f>CONCATENATE(TABLA_AVANCE_METAS[[#This Row],[ESTRUCTURA]],TABLA_AVANCE_METAS[[#This Row],['#]])</f>
        <v>C0021902020301071</v>
      </c>
      <c r="B199" s="66" t="s">
        <v>604</v>
      </c>
      <c r="C199" s="79" t="s">
        <v>445</v>
      </c>
      <c r="D199" s="85" t="s">
        <v>446</v>
      </c>
      <c r="E199" s="66" t="s">
        <v>526</v>
      </c>
      <c r="F199" s="85" t="s">
        <v>527</v>
      </c>
      <c r="G199" s="86" t="s">
        <v>605</v>
      </c>
      <c r="H199" s="85" t="s">
        <v>177</v>
      </c>
      <c r="I199" s="85" t="s">
        <v>178</v>
      </c>
      <c r="J199" s="85" t="s">
        <v>518</v>
      </c>
      <c r="K199" s="85" t="s">
        <v>519</v>
      </c>
      <c r="L199" s="79">
        <v>1</v>
      </c>
      <c r="M199" s="87" t="s">
        <v>606</v>
      </c>
      <c r="N199" s="86" t="s">
        <v>504</v>
      </c>
      <c r="O199" s="70">
        <v>3</v>
      </c>
      <c r="P199" s="36">
        <v>3</v>
      </c>
      <c r="Q199" s="37">
        <v>3</v>
      </c>
      <c r="R199" s="38">
        <f>IFERROR((TABLA_AVANCE_METAS[[#This Row],[AVANCE 1°. TRIM]]/TABLA_AVANCE_METAS[[#This Row],[PROGR. 1° TRIM]])*100,"0")</f>
        <v>100</v>
      </c>
      <c r="S199"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199" s="36">
        <v>0</v>
      </c>
      <c r="U199" s="37">
        <v>0</v>
      </c>
      <c r="V199" s="40" t="str">
        <f t="shared" si="9"/>
        <v>0</v>
      </c>
      <c r="W199" s="39"/>
      <c r="X199" s="36">
        <v>0</v>
      </c>
      <c r="Y199" s="37">
        <v>0</v>
      </c>
      <c r="Z199" s="73" t="s">
        <v>72</v>
      </c>
      <c r="AA199" s="72" t="s">
        <v>73</v>
      </c>
      <c r="AB199" s="36">
        <v>0</v>
      </c>
      <c r="AC199" s="41">
        <v>0</v>
      </c>
      <c r="AD199" s="73" t="str">
        <f>IFERROR((TABLA_AVANCE_METAS[[#This Row],[AVANCE 4°. TRIM]]/TABLA_AVANCE_METAS[[#This Row],[PROGR. 4° TRIM]])*100,"0")</f>
        <v>0</v>
      </c>
      <c r="AE199" s="74"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NO PROG.</v>
      </c>
      <c r="AF199" s="43" cm="1">
        <f t="array" ref="AF199">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3</v>
      </c>
      <c r="AG199" s="44" cm="1">
        <f t="array" ref="AG199">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3</v>
      </c>
      <c r="AH199" s="40">
        <f>IFERROR((TABLA_AVANCE_METAS[[#This Row],[AVANCE ACUM. TRIM.]]/TABLA_AVANCE_METAS[[#This Row],[PROG. ACUM]])*100,"N/A")</f>
        <v>100</v>
      </c>
      <c r="AI199"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199" s="45">
        <f>TABLA_AVANCE_METAS[[#This Row],[AVANCE ACUM. TRIM.]]-TABLA_AVANCE_METAS[[#This Row],[PROG. ACUM]]</f>
        <v>0</v>
      </c>
      <c r="AK199" s="46">
        <f>IFERROR((TABLA_AVANCE_METAS[[#This Row],[DIFERENCIA ABSOLUTA SEMESTRAL]]/TABLA_AVANCE_METAS[[#This Row],[PROG. ACUM]])*100,"N/A")</f>
        <v>0</v>
      </c>
      <c r="AL199" s="44">
        <f>TABLA_AVANCE_METAS[[#This Row],[AVANCE 1°. TRIM]]+TABLA_AVANCE_METAS[[#This Row],[AVANCE 2°. TRIM]]+TABLA_AVANCE_METAS[[#This Row],[AVANCE 3°. TRIM]]+TABLA_AVANCE_METAS[[#This Row],[AVANCE 4°. TRIM]]</f>
        <v>3</v>
      </c>
      <c r="AM199" s="40">
        <f>IFERROR((TABLA_AVANCE_METAS[[#This Row],[AVANCE ACUM. ANUAL]]/TABLA_AVANCE_METAS[[#This Row],[PROGRAMADO ANUAL]])*100,"N/A")</f>
        <v>100</v>
      </c>
      <c r="AN199"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ADECUADO</v>
      </c>
      <c r="AO199" s="45">
        <f>TABLA_AVANCE_METAS[[#This Row],[AVANCE ACUM. ANUAL]]-TABLA_AVANCE_METAS[[#This Row],[PROGRAMADO ANUAL]]</f>
        <v>0</v>
      </c>
      <c r="AP199" s="47">
        <f>IFERROR((TABLA_AVANCE_METAS[[#This Row],[DIFERENCIA ABSOLUTA ANUAL]]/TABLA_AVANCE_METAS[[#This Row],[PROGRAMADO ANUAL]])*100,"N/A")</f>
        <v>0</v>
      </c>
      <c r="AQ199" s="48" t="s">
        <v>63</v>
      </c>
      <c r="AR199" s="49"/>
      <c r="AS199" s="50"/>
      <c r="AT199" s="50"/>
      <c r="AU199" s="88" t="b">
        <f>TABLA_AVANCE_METAS[[#This Row],[PROGRAMADO ANUAL]]=SUM(TABLA_AVANCE_METAS[[#This Row],[PROGR. 1° TRIM]],TABLA_AVANCE_METAS[[#This Row],[PROGR. 2° TRIM]],TABLA_AVANCE_METAS[[#This Row],[PROGR. 3° TRIM]],TABLA_AVANCE_METAS[[#This Row],[PROGR. 4° TRIM]])</f>
        <v>1</v>
      </c>
      <c r="AV199" s="52"/>
    </row>
    <row r="200" spans="1:48" ht="75" hidden="1" customHeight="1" x14ac:dyDescent="0.3">
      <c r="A200" s="65" t="str">
        <f>CONCATENATE(TABLA_AVANCE_METAS[[#This Row],[ESTRUCTURA]],TABLA_AVANCE_METAS[[#This Row],['#]])</f>
        <v>C0021902020301072</v>
      </c>
      <c r="B200" s="66" t="s">
        <v>604</v>
      </c>
      <c r="C200" s="79" t="s">
        <v>445</v>
      </c>
      <c r="D200" s="85" t="s">
        <v>446</v>
      </c>
      <c r="E200" s="66" t="s">
        <v>526</v>
      </c>
      <c r="F200" s="85" t="s">
        <v>527</v>
      </c>
      <c r="G200" s="86" t="s">
        <v>605</v>
      </c>
      <c r="H200" s="85" t="s">
        <v>177</v>
      </c>
      <c r="I200" s="85" t="s">
        <v>178</v>
      </c>
      <c r="J200" s="85" t="s">
        <v>518</v>
      </c>
      <c r="K200" s="85" t="s">
        <v>519</v>
      </c>
      <c r="L200" s="79">
        <v>2</v>
      </c>
      <c r="M200" s="87" t="s">
        <v>607</v>
      </c>
      <c r="N200" s="86" t="s">
        <v>306</v>
      </c>
      <c r="O200" s="70">
        <v>1</v>
      </c>
      <c r="P200" s="36">
        <v>1</v>
      </c>
      <c r="Q200" s="37">
        <v>1</v>
      </c>
      <c r="R200" s="38">
        <f>IFERROR((TABLA_AVANCE_METAS[[#This Row],[AVANCE 1°. TRIM]]/TABLA_AVANCE_METAS[[#This Row],[PROGR. 1° TRIM]])*100,"0")</f>
        <v>100</v>
      </c>
      <c r="S200"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200" s="36">
        <v>0</v>
      </c>
      <c r="U200" s="37">
        <v>0</v>
      </c>
      <c r="V200" s="40" t="str">
        <f t="shared" si="9"/>
        <v>0</v>
      </c>
      <c r="W200" s="39"/>
      <c r="X200" s="36">
        <v>0</v>
      </c>
      <c r="Y200" s="37">
        <v>0</v>
      </c>
      <c r="Z200" s="73" t="s">
        <v>72</v>
      </c>
      <c r="AA200" s="72" t="s">
        <v>73</v>
      </c>
      <c r="AB200" s="36">
        <v>0</v>
      </c>
      <c r="AC200" s="41">
        <v>0</v>
      </c>
      <c r="AD200" s="73" t="str">
        <f>IFERROR((TABLA_AVANCE_METAS[[#This Row],[AVANCE 4°. TRIM]]/TABLA_AVANCE_METAS[[#This Row],[PROGR. 4° TRIM]])*100,"0")</f>
        <v>0</v>
      </c>
      <c r="AE200" s="74"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NO PROG.</v>
      </c>
      <c r="AF200" s="43" cm="1">
        <f t="array" ref="AF200">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v>
      </c>
      <c r="AG200" s="44" cm="1">
        <f t="array" ref="AG200">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1</v>
      </c>
      <c r="AH200" s="40">
        <f>IFERROR((TABLA_AVANCE_METAS[[#This Row],[AVANCE ACUM. TRIM.]]/TABLA_AVANCE_METAS[[#This Row],[PROG. ACUM]])*100,"N/A")</f>
        <v>100</v>
      </c>
      <c r="AI200"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200" s="45">
        <f>TABLA_AVANCE_METAS[[#This Row],[AVANCE ACUM. TRIM.]]-TABLA_AVANCE_METAS[[#This Row],[PROG. ACUM]]</f>
        <v>0</v>
      </c>
      <c r="AK200" s="46">
        <f>IFERROR((TABLA_AVANCE_METAS[[#This Row],[DIFERENCIA ABSOLUTA SEMESTRAL]]/TABLA_AVANCE_METAS[[#This Row],[PROG. ACUM]])*100,"N/A")</f>
        <v>0</v>
      </c>
      <c r="AL200" s="44">
        <f>TABLA_AVANCE_METAS[[#This Row],[AVANCE 1°. TRIM]]+TABLA_AVANCE_METAS[[#This Row],[AVANCE 2°. TRIM]]+TABLA_AVANCE_METAS[[#This Row],[AVANCE 3°. TRIM]]+TABLA_AVANCE_METAS[[#This Row],[AVANCE 4°. TRIM]]</f>
        <v>1</v>
      </c>
      <c r="AM200" s="40">
        <f>IFERROR((TABLA_AVANCE_METAS[[#This Row],[AVANCE ACUM. ANUAL]]/TABLA_AVANCE_METAS[[#This Row],[PROGRAMADO ANUAL]])*100,"N/A")</f>
        <v>100</v>
      </c>
      <c r="AN200"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ADECUADO</v>
      </c>
      <c r="AO200" s="45">
        <f>TABLA_AVANCE_METAS[[#This Row],[AVANCE ACUM. ANUAL]]-TABLA_AVANCE_METAS[[#This Row],[PROGRAMADO ANUAL]]</f>
        <v>0</v>
      </c>
      <c r="AP200" s="47">
        <f>IFERROR((TABLA_AVANCE_METAS[[#This Row],[DIFERENCIA ABSOLUTA ANUAL]]/TABLA_AVANCE_METAS[[#This Row],[PROGRAMADO ANUAL]])*100,"N/A")</f>
        <v>0</v>
      </c>
      <c r="AQ200" s="48" t="s">
        <v>63</v>
      </c>
      <c r="AR200" s="49"/>
      <c r="AS200" s="50"/>
      <c r="AT200" s="50"/>
      <c r="AU200" s="88" t="b">
        <f>TABLA_AVANCE_METAS[[#This Row],[PROGRAMADO ANUAL]]=SUM(TABLA_AVANCE_METAS[[#This Row],[PROGR. 1° TRIM]],TABLA_AVANCE_METAS[[#This Row],[PROGR. 2° TRIM]],TABLA_AVANCE_METAS[[#This Row],[PROGR. 3° TRIM]],TABLA_AVANCE_METAS[[#This Row],[PROGR. 4° TRIM]])</f>
        <v>1</v>
      </c>
      <c r="AV200" s="52"/>
    </row>
    <row r="201" spans="1:48" ht="75" hidden="1" customHeight="1" x14ac:dyDescent="0.3">
      <c r="A201" s="65" t="str">
        <f>CONCATENATE(TABLA_AVANCE_METAS[[#This Row],[ESTRUCTURA]],TABLA_AVANCE_METAS[[#This Row],['#]])</f>
        <v>C0021902020301073</v>
      </c>
      <c r="B201" s="66" t="s">
        <v>604</v>
      </c>
      <c r="C201" s="79" t="s">
        <v>445</v>
      </c>
      <c r="D201" s="85" t="s">
        <v>446</v>
      </c>
      <c r="E201" s="66" t="s">
        <v>526</v>
      </c>
      <c r="F201" s="85" t="s">
        <v>527</v>
      </c>
      <c r="G201" s="86" t="s">
        <v>605</v>
      </c>
      <c r="H201" s="85" t="s">
        <v>177</v>
      </c>
      <c r="I201" s="85" t="s">
        <v>178</v>
      </c>
      <c r="J201" s="85" t="s">
        <v>518</v>
      </c>
      <c r="K201" s="85" t="s">
        <v>519</v>
      </c>
      <c r="L201" s="79">
        <v>3</v>
      </c>
      <c r="M201" s="87" t="s">
        <v>608</v>
      </c>
      <c r="N201" s="86" t="s">
        <v>609</v>
      </c>
      <c r="O201" s="70">
        <v>3</v>
      </c>
      <c r="P201" s="36">
        <v>3</v>
      </c>
      <c r="Q201" s="37">
        <v>3</v>
      </c>
      <c r="R201" s="38">
        <f>IFERROR((TABLA_AVANCE_METAS[[#This Row],[AVANCE 1°. TRIM]]/TABLA_AVANCE_METAS[[#This Row],[PROGR. 1° TRIM]])*100,"0")</f>
        <v>100</v>
      </c>
      <c r="S201"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201" s="36">
        <v>0</v>
      </c>
      <c r="U201" s="37">
        <v>0</v>
      </c>
      <c r="V201" s="40" t="str">
        <f t="shared" si="9"/>
        <v>0</v>
      </c>
      <c r="W201" s="39"/>
      <c r="X201" s="36">
        <v>0</v>
      </c>
      <c r="Y201" s="37">
        <v>0</v>
      </c>
      <c r="Z201" s="73" t="s">
        <v>72</v>
      </c>
      <c r="AA201" s="72" t="s">
        <v>73</v>
      </c>
      <c r="AB201" s="36">
        <v>0</v>
      </c>
      <c r="AC201" s="41">
        <v>0</v>
      </c>
      <c r="AD201" s="73" t="str">
        <f>IFERROR((TABLA_AVANCE_METAS[[#This Row],[AVANCE 4°. TRIM]]/TABLA_AVANCE_METAS[[#This Row],[PROGR. 4° TRIM]])*100,"0")</f>
        <v>0</v>
      </c>
      <c r="AE201" s="74"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NO PROG.</v>
      </c>
      <c r="AF201" s="43" cm="1">
        <f t="array" ref="AF201">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3</v>
      </c>
      <c r="AG201" s="44" cm="1">
        <f t="array" ref="AG201">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3</v>
      </c>
      <c r="AH201" s="40">
        <f>IFERROR((TABLA_AVANCE_METAS[[#This Row],[AVANCE ACUM. TRIM.]]/TABLA_AVANCE_METAS[[#This Row],[PROG. ACUM]])*100,"N/A")</f>
        <v>100</v>
      </c>
      <c r="AI201"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201" s="45">
        <f>TABLA_AVANCE_METAS[[#This Row],[AVANCE ACUM. TRIM.]]-TABLA_AVANCE_METAS[[#This Row],[PROG. ACUM]]</f>
        <v>0</v>
      </c>
      <c r="AK201" s="46">
        <f>IFERROR((TABLA_AVANCE_METAS[[#This Row],[DIFERENCIA ABSOLUTA SEMESTRAL]]/TABLA_AVANCE_METAS[[#This Row],[PROG. ACUM]])*100,"N/A")</f>
        <v>0</v>
      </c>
      <c r="AL201" s="44">
        <f>TABLA_AVANCE_METAS[[#This Row],[AVANCE 1°. TRIM]]+TABLA_AVANCE_METAS[[#This Row],[AVANCE 2°. TRIM]]+TABLA_AVANCE_METAS[[#This Row],[AVANCE 3°. TRIM]]+TABLA_AVANCE_METAS[[#This Row],[AVANCE 4°. TRIM]]</f>
        <v>3</v>
      </c>
      <c r="AM201" s="40">
        <f>IFERROR((TABLA_AVANCE_METAS[[#This Row],[AVANCE ACUM. ANUAL]]/TABLA_AVANCE_METAS[[#This Row],[PROGRAMADO ANUAL]])*100,"N/A")</f>
        <v>100</v>
      </c>
      <c r="AN201"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ADECUADO</v>
      </c>
      <c r="AO201" s="45">
        <f>TABLA_AVANCE_METAS[[#This Row],[AVANCE ACUM. ANUAL]]-TABLA_AVANCE_METAS[[#This Row],[PROGRAMADO ANUAL]]</f>
        <v>0</v>
      </c>
      <c r="AP201" s="47">
        <f>IFERROR((TABLA_AVANCE_METAS[[#This Row],[DIFERENCIA ABSOLUTA ANUAL]]/TABLA_AVANCE_METAS[[#This Row],[PROGRAMADO ANUAL]])*100,"N/A")</f>
        <v>0</v>
      </c>
      <c r="AQ201" s="48" t="s">
        <v>63</v>
      </c>
      <c r="AR201" s="49"/>
      <c r="AS201" s="50"/>
      <c r="AT201" s="50"/>
      <c r="AU201" s="88" t="b">
        <f>TABLA_AVANCE_METAS[[#This Row],[PROGRAMADO ANUAL]]=SUM(TABLA_AVANCE_METAS[[#This Row],[PROGR. 1° TRIM]],TABLA_AVANCE_METAS[[#This Row],[PROGR. 2° TRIM]],TABLA_AVANCE_METAS[[#This Row],[PROGR. 3° TRIM]],TABLA_AVANCE_METAS[[#This Row],[PROGR. 4° TRIM]])</f>
        <v>1</v>
      </c>
      <c r="AV201" s="52"/>
    </row>
    <row r="202" spans="1:48" ht="75" hidden="1" customHeight="1" x14ac:dyDescent="0.3">
      <c r="A202" s="65" t="str">
        <f>CONCATENATE(TABLA_AVANCE_METAS[[#This Row],[ESTRUCTURA]],TABLA_AVANCE_METAS[[#This Row],['#]])</f>
        <v>C0021902020301074</v>
      </c>
      <c r="B202" s="66" t="s">
        <v>604</v>
      </c>
      <c r="C202" s="79" t="s">
        <v>445</v>
      </c>
      <c r="D202" s="85" t="s">
        <v>446</v>
      </c>
      <c r="E202" s="66" t="s">
        <v>526</v>
      </c>
      <c r="F202" s="85" t="s">
        <v>527</v>
      </c>
      <c r="G202" s="86" t="s">
        <v>605</v>
      </c>
      <c r="H202" s="85" t="s">
        <v>177</v>
      </c>
      <c r="I202" s="85" t="s">
        <v>178</v>
      </c>
      <c r="J202" s="85" t="s">
        <v>518</v>
      </c>
      <c r="K202" s="85" t="s">
        <v>519</v>
      </c>
      <c r="L202" s="79">
        <v>4</v>
      </c>
      <c r="M202" s="87" t="s">
        <v>610</v>
      </c>
      <c r="N202" s="86" t="s">
        <v>511</v>
      </c>
      <c r="O202" s="70">
        <v>12937327.49</v>
      </c>
      <c r="P202" s="36">
        <v>12937327.49</v>
      </c>
      <c r="Q202" s="37">
        <v>11682016.84</v>
      </c>
      <c r="R202" s="38">
        <f>IFERROR((TABLA_AVANCE_METAS[[#This Row],[AVANCE 1°. TRIM]]/TABLA_AVANCE_METAS[[#This Row],[PROGR. 1° TRIM]])*100,"0")</f>
        <v>90.296986367777251</v>
      </c>
      <c r="S202"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202" s="36">
        <v>0</v>
      </c>
      <c r="U202" s="37">
        <v>0</v>
      </c>
      <c r="V202" s="40" t="str">
        <f t="shared" si="9"/>
        <v>0</v>
      </c>
      <c r="W202" s="39"/>
      <c r="X202" s="36">
        <v>0</v>
      </c>
      <c r="Y202" s="37">
        <v>0</v>
      </c>
      <c r="Z202" s="73" t="s">
        <v>72</v>
      </c>
      <c r="AA202" s="72" t="s">
        <v>73</v>
      </c>
      <c r="AB202" s="36">
        <v>0</v>
      </c>
      <c r="AC202" s="41">
        <v>0</v>
      </c>
      <c r="AD202" s="73" t="str">
        <f>IFERROR((TABLA_AVANCE_METAS[[#This Row],[AVANCE 4°. TRIM]]/TABLA_AVANCE_METAS[[#This Row],[PROGR. 4° TRIM]])*100,"0")</f>
        <v>0</v>
      </c>
      <c r="AE202" s="74"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NO PROG.</v>
      </c>
      <c r="AF202" s="43" cm="1">
        <f t="array" ref="AF202">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12937327.49</v>
      </c>
      <c r="AG202" s="44" cm="1">
        <f t="array" ref="AG202">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11682016.84</v>
      </c>
      <c r="AH202" s="40">
        <f>IFERROR((TABLA_AVANCE_METAS[[#This Row],[AVANCE ACUM. TRIM.]]/TABLA_AVANCE_METAS[[#This Row],[PROG. ACUM]])*100,"N/A")</f>
        <v>90.296986367777251</v>
      </c>
      <c r="AI202"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202" s="45">
        <f>TABLA_AVANCE_METAS[[#This Row],[AVANCE ACUM. TRIM.]]-TABLA_AVANCE_METAS[[#This Row],[PROG. ACUM]]</f>
        <v>-1255310.6500000004</v>
      </c>
      <c r="AK202" s="46">
        <f>IFERROR((TABLA_AVANCE_METAS[[#This Row],[DIFERENCIA ABSOLUTA SEMESTRAL]]/TABLA_AVANCE_METAS[[#This Row],[PROG. ACUM]])*100,"N/A")</f>
        <v>-9.703013632222742</v>
      </c>
      <c r="AL202" s="44">
        <f>TABLA_AVANCE_METAS[[#This Row],[AVANCE 1°. TRIM]]+TABLA_AVANCE_METAS[[#This Row],[AVANCE 2°. TRIM]]+TABLA_AVANCE_METAS[[#This Row],[AVANCE 3°. TRIM]]+TABLA_AVANCE_METAS[[#This Row],[AVANCE 4°. TRIM]]</f>
        <v>11682016.84</v>
      </c>
      <c r="AM202" s="40">
        <f>IFERROR((TABLA_AVANCE_METAS[[#This Row],[AVANCE ACUM. ANUAL]]/TABLA_AVANCE_METAS[[#This Row],[PROGRAMADO ANUAL]])*100,"N/A")</f>
        <v>90.296986367777251</v>
      </c>
      <c r="AN202"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ADECUADO</v>
      </c>
      <c r="AO202" s="45">
        <f>TABLA_AVANCE_METAS[[#This Row],[AVANCE ACUM. ANUAL]]-TABLA_AVANCE_METAS[[#This Row],[PROGRAMADO ANUAL]]</f>
        <v>-1255310.6500000004</v>
      </c>
      <c r="AP202" s="47">
        <f>IFERROR((TABLA_AVANCE_METAS[[#This Row],[DIFERENCIA ABSOLUTA ANUAL]]/TABLA_AVANCE_METAS[[#This Row],[PROGRAMADO ANUAL]])*100,"N/A")</f>
        <v>-9.703013632222742</v>
      </c>
      <c r="AQ202" s="79" t="s">
        <v>63</v>
      </c>
      <c r="AR202" s="49"/>
      <c r="AS202" s="93"/>
      <c r="AT202" s="93"/>
      <c r="AU202" s="88" t="b">
        <f>TABLA_AVANCE_METAS[[#This Row],[PROGRAMADO ANUAL]]=SUM(TABLA_AVANCE_METAS[[#This Row],[PROGR. 1° TRIM]],TABLA_AVANCE_METAS[[#This Row],[PROGR. 2° TRIM]],TABLA_AVANCE_METAS[[#This Row],[PROGR. 3° TRIM]],TABLA_AVANCE_METAS[[#This Row],[PROGR. 4° TRIM]])</f>
        <v>1</v>
      </c>
      <c r="AV202" s="52"/>
    </row>
    <row r="203" spans="1:48" ht="75" hidden="1" customHeight="1" x14ac:dyDescent="0.3">
      <c r="A203" s="31" t="str">
        <f>CONCATENATE(TABLA_AVANCE_METAS[[#This Row],[ESTRUCTURA]],TABLA_AVANCE_METAS[[#This Row],['#]])</f>
        <v>D0022801030501041</v>
      </c>
      <c r="B203" s="32" t="s">
        <v>611</v>
      </c>
      <c r="C203" s="55" t="s">
        <v>612</v>
      </c>
      <c r="D203" s="54" t="s">
        <v>613</v>
      </c>
      <c r="E203" s="32" t="s">
        <v>614</v>
      </c>
      <c r="F203" s="54" t="s">
        <v>615</v>
      </c>
      <c r="G203" s="56" t="s">
        <v>616</v>
      </c>
      <c r="H203" s="54" t="s">
        <v>617</v>
      </c>
      <c r="I203" s="54" t="s">
        <v>618</v>
      </c>
      <c r="J203" s="54" t="s">
        <v>619</v>
      </c>
      <c r="K203" s="54" t="s">
        <v>620</v>
      </c>
      <c r="L203" s="55">
        <v>1</v>
      </c>
      <c r="M203" s="57" t="s">
        <v>621</v>
      </c>
      <c r="N203" s="56" t="s">
        <v>157</v>
      </c>
      <c r="O203" s="36">
        <v>60</v>
      </c>
      <c r="P203" s="36">
        <v>16</v>
      </c>
      <c r="Q203" s="37">
        <v>16</v>
      </c>
      <c r="R203" s="38">
        <f>IFERROR((TABLA_AVANCE_METAS[[#This Row],[AVANCE 1°. TRIM]]/TABLA_AVANCE_METAS[[#This Row],[PROGR. 1° TRIM]])*100,"0")</f>
        <v>100</v>
      </c>
      <c r="S203"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203" s="36">
        <v>14</v>
      </c>
      <c r="U203" s="37">
        <v>14</v>
      </c>
      <c r="V203" s="40">
        <f t="shared" si="9"/>
        <v>100</v>
      </c>
      <c r="W203" s="39" t="str">
        <f t="shared" ref="W203:W242" si="10">IF(AND(V203&gt;=0,V203&lt;=49.9999999999999),"CRÍTICO",IF(AND(V203&gt;=50,V203&lt;=69.9999999999999),"DEFICIENTE",IF(AND(V203&gt;=70,V203&lt;=89.9999999999999),"REGULAR",IF(AND(V203&gt;=90,V203&lt;=110.999999999999),"ADECUADO",IF(AND(V203&gt;=111,V203&lt;=999999),"SOBREPASADO","NO PROG.")))))</f>
        <v>ADECUADO</v>
      </c>
      <c r="X203" s="36">
        <v>16</v>
      </c>
      <c r="Y203" s="37">
        <v>0</v>
      </c>
      <c r="Z203" s="40">
        <v>0</v>
      </c>
      <c r="AA203" s="39" t="s">
        <v>62</v>
      </c>
      <c r="AB203" s="36">
        <v>14</v>
      </c>
      <c r="AC203" s="41">
        <v>0</v>
      </c>
      <c r="AD203" s="40">
        <f>IFERROR((TABLA_AVANCE_METAS[[#This Row],[AVANCE 4°. TRIM]]/TABLA_AVANCE_METAS[[#This Row],[PROGR. 4° TRIM]])*100,"0")</f>
        <v>0</v>
      </c>
      <c r="AE203"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203" s="43" cm="1">
        <f t="array" ref="AF203">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30</v>
      </c>
      <c r="AG203" s="44" cm="1">
        <f t="array" ref="AG203">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30</v>
      </c>
      <c r="AH203" s="40">
        <f>IFERROR((TABLA_AVANCE_METAS[[#This Row],[AVANCE ACUM. TRIM.]]/TABLA_AVANCE_METAS[[#This Row],[PROG. ACUM]])*100,"N/A")</f>
        <v>100</v>
      </c>
      <c r="AI203"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203" s="45">
        <f>TABLA_AVANCE_METAS[[#This Row],[AVANCE ACUM. TRIM.]]-TABLA_AVANCE_METAS[[#This Row],[PROG. ACUM]]</f>
        <v>0</v>
      </c>
      <c r="AK203" s="46">
        <f>IFERROR((TABLA_AVANCE_METAS[[#This Row],[DIFERENCIA ABSOLUTA SEMESTRAL]]/TABLA_AVANCE_METAS[[#This Row],[PROG. ACUM]])*100,"N/A")</f>
        <v>0</v>
      </c>
      <c r="AL203" s="44">
        <f>TABLA_AVANCE_METAS[[#This Row],[AVANCE 1°. TRIM]]+TABLA_AVANCE_METAS[[#This Row],[AVANCE 2°. TRIM]]+TABLA_AVANCE_METAS[[#This Row],[AVANCE 3°. TRIM]]+TABLA_AVANCE_METAS[[#This Row],[AVANCE 4°. TRIM]]</f>
        <v>30</v>
      </c>
      <c r="AM203" s="40">
        <f>IFERROR((TABLA_AVANCE_METAS[[#This Row],[AVANCE ACUM. ANUAL]]/TABLA_AVANCE_METAS[[#This Row],[PROGRAMADO ANUAL]])*100,"N/A")</f>
        <v>50</v>
      </c>
      <c r="AN203"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203" s="45">
        <f>TABLA_AVANCE_METAS[[#This Row],[AVANCE ACUM. ANUAL]]-TABLA_AVANCE_METAS[[#This Row],[PROGRAMADO ANUAL]]</f>
        <v>-30</v>
      </c>
      <c r="AP203" s="47">
        <f>IFERROR((TABLA_AVANCE_METAS[[#This Row],[DIFERENCIA ABSOLUTA ANUAL]]/TABLA_AVANCE_METAS[[#This Row],[PROGRAMADO ANUAL]])*100,"N/A")</f>
        <v>-50</v>
      </c>
      <c r="AQ203" s="79" t="s">
        <v>63</v>
      </c>
      <c r="AR203" s="80"/>
      <c r="AS203" s="93"/>
      <c r="AT203" s="93"/>
      <c r="AU203" s="51" t="b">
        <f>TABLA_AVANCE_METAS[[#This Row],[PROGRAMADO ANUAL]]=SUM(TABLA_AVANCE_METAS[[#This Row],[PROGR. 1° TRIM]],TABLA_AVANCE_METAS[[#This Row],[PROGR. 2° TRIM]],TABLA_AVANCE_METAS[[#This Row],[PROGR. 3° TRIM]],TABLA_AVANCE_METAS[[#This Row],[PROGR. 4° TRIM]])</f>
        <v>1</v>
      </c>
      <c r="AV203" s="52"/>
    </row>
    <row r="204" spans="1:48" ht="75" hidden="1" customHeight="1" x14ac:dyDescent="0.3">
      <c r="A204" s="31" t="str">
        <f>CONCATENATE(TABLA_AVANCE_METAS[[#This Row],[ESTRUCTURA]],TABLA_AVANCE_METAS[[#This Row],['#]])</f>
        <v>D0022801030501042</v>
      </c>
      <c r="B204" s="32" t="s">
        <v>611</v>
      </c>
      <c r="C204" s="62" t="s">
        <v>612</v>
      </c>
      <c r="D204" s="61" t="s">
        <v>613</v>
      </c>
      <c r="E204" s="32" t="s">
        <v>614</v>
      </c>
      <c r="F204" s="61" t="s">
        <v>615</v>
      </c>
      <c r="G204" s="34" t="s">
        <v>616</v>
      </c>
      <c r="H204" s="61" t="s">
        <v>617</v>
      </c>
      <c r="I204" s="61" t="s">
        <v>618</v>
      </c>
      <c r="J204" s="61" t="s">
        <v>619</v>
      </c>
      <c r="K204" s="61" t="s">
        <v>620</v>
      </c>
      <c r="L204" s="33">
        <v>2</v>
      </c>
      <c r="M204" s="57" t="s">
        <v>622</v>
      </c>
      <c r="N204" s="34" t="s">
        <v>149</v>
      </c>
      <c r="O204" s="36">
        <v>3</v>
      </c>
      <c r="P204" s="36">
        <v>0</v>
      </c>
      <c r="Q204" s="37">
        <v>0</v>
      </c>
      <c r="R204" s="38" t="str">
        <f>IFERROR((TABLA_AVANCE_METAS[[#This Row],[AVANCE 1°. TRIM]]/TABLA_AVANCE_METAS[[#This Row],[PROGR. 1° TRIM]])*100,"0")</f>
        <v>0</v>
      </c>
      <c r="S204"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NO PROG.</v>
      </c>
      <c r="T204" s="36">
        <v>1</v>
      </c>
      <c r="U204" s="37">
        <v>1</v>
      </c>
      <c r="V204" s="40">
        <f t="shared" si="9"/>
        <v>100</v>
      </c>
      <c r="W204" s="39" t="str">
        <f t="shared" si="10"/>
        <v>ADECUADO</v>
      </c>
      <c r="X204" s="36">
        <v>1</v>
      </c>
      <c r="Y204" s="37">
        <v>0</v>
      </c>
      <c r="Z204" s="40">
        <v>0</v>
      </c>
      <c r="AA204" s="39" t="s">
        <v>62</v>
      </c>
      <c r="AB204" s="36">
        <v>1</v>
      </c>
      <c r="AC204" s="41">
        <v>0</v>
      </c>
      <c r="AD204" s="40">
        <f>IFERROR((TABLA_AVANCE_METAS[[#This Row],[AVANCE 4°. TRIM]]/TABLA_AVANCE_METAS[[#This Row],[PROGR. 4° TRIM]])*100,"0")</f>
        <v>0</v>
      </c>
      <c r="AE204"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204" s="43" cm="1">
        <f t="array" ref="AF204">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v>
      </c>
      <c r="AG204" s="44" cm="1">
        <f t="array" ref="AG204">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1</v>
      </c>
      <c r="AH204" s="40">
        <f>IFERROR((TABLA_AVANCE_METAS[[#This Row],[AVANCE ACUM. TRIM.]]/TABLA_AVANCE_METAS[[#This Row],[PROG. ACUM]])*100,"N/A")</f>
        <v>100</v>
      </c>
      <c r="AI204"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204" s="45">
        <f>TABLA_AVANCE_METAS[[#This Row],[AVANCE ACUM. TRIM.]]-TABLA_AVANCE_METAS[[#This Row],[PROG. ACUM]]</f>
        <v>0</v>
      </c>
      <c r="AK204" s="46">
        <f>IFERROR((TABLA_AVANCE_METAS[[#This Row],[DIFERENCIA ABSOLUTA SEMESTRAL]]/TABLA_AVANCE_METAS[[#This Row],[PROG. ACUM]])*100,"N/A")</f>
        <v>0</v>
      </c>
      <c r="AL204" s="44">
        <f>TABLA_AVANCE_METAS[[#This Row],[AVANCE 1°. TRIM]]+TABLA_AVANCE_METAS[[#This Row],[AVANCE 2°. TRIM]]+TABLA_AVANCE_METAS[[#This Row],[AVANCE 3°. TRIM]]+TABLA_AVANCE_METAS[[#This Row],[AVANCE 4°. TRIM]]</f>
        <v>1</v>
      </c>
      <c r="AM204" s="40">
        <f>IFERROR((TABLA_AVANCE_METAS[[#This Row],[AVANCE ACUM. ANUAL]]/TABLA_AVANCE_METAS[[#This Row],[PROGRAMADO ANUAL]])*100,"N/A")</f>
        <v>33.333333333333329</v>
      </c>
      <c r="AN204"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204" s="45">
        <f>TABLA_AVANCE_METAS[[#This Row],[AVANCE ACUM. ANUAL]]-TABLA_AVANCE_METAS[[#This Row],[PROGRAMADO ANUAL]]</f>
        <v>-2</v>
      </c>
      <c r="AP204" s="47">
        <f>IFERROR((TABLA_AVANCE_METAS[[#This Row],[DIFERENCIA ABSOLUTA ANUAL]]/TABLA_AVANCE_METAS[[#This Row],[PROGRAMADO ANUAL]])*100,"N/A")</f>
        <v>-66.666666666666657</v>
      </c>
      <c r="AQ204" s="48" t="s">
        <v>63</v>
      </c>
      <c r="AR204" s="49"/>
      <c r="AS204" s="50"/>
      <c r="AT204" s="50"/>
      <c r="AU204" s="51" t="b">
        <f>TABLA_AVANCE_METAS[[#This Row],[PROGRAMADO ANUAL]]=SUM(TABLA_AVANCE_METAS[[#This Row],[PROGR. 1° TRIM]],TABLA_AVANCE_METAS[[#This Row],[PROGR. 2° TRIM]],TABLA_AVANCE_METAS[[#This Row],[PROGR. 3° TRIM]],TABLA_AVANCE_METAS[[#This Row],[PROGR. 4° TRIM]])</f>
        <v>1</v>
      </c>
      <c r="AV204" s="52"/>
    </row>
    <row r="205" spans="1:48" ht="75" hidden="1" customHeight="1" x14ac:dyDescent="0.3">
      <c r="A205" s="31" t="str">
        <f>CONCATENATE(TABLA_AVANCE_METAS[[#This Row],[ESTRUCTURA]],TABLA_AVANCE_METAS[[#This Row],['#]])</f>
        <v>D0022801030501043</v>
      </c>
      <c r="B205" s="32" t="s">
        <v>611</v>
      </c>
      <c r="C205" s="55" t="s">
        <v>612</v>
      </c>
      <c r="D205" s="54" t="s">
        <v>613</v>
      </c>
      <c r="E205" s="32" t="s">
        <v>614</v>
      </c>
      <c r="F205" s="54" t="s">
        <v>615</v>
      </c>
      <c r="G205" s="56" t="s">
        <v>616</v>
      </c>
      <c r="H205" s="54" t="s">
        <v>617</v>
      </c>
      <c r="I205" s="54" t="s">
        <v>618</v>
      </c>
      <c r="J205" s="54" t="s">
        <v>619</v>
      </c>
      <c r="K205" s="54" t="s">
        <v>620</v>
      </c>
      <c r="L205" s="55">
        <v>3</v>
      </c>
      <c r="M205" s="57" t="s">
        <v>623</v>
      </c>
      <c r="N205" s="56" t="s">
        <v>149</v>
      </c>
      <c r="O205" s="36">
        <v>10</v>
      </c>
      <c r="P205" s="36">
        <v>3</v>
      </c>
      <c r="Q205" s="37">
        <v>3</v>
      </c>
      <c r="R205" s="38">
        <f>IFERROR((TABLA_AVANCE_METAS[[#This Row],[AVANCE 1°. TRIM]]/TABLA_AVANCE_METAS[[#This Row],[PROGR. 1° TRIM]])*100,"0")</f>
        <v>100</v>
      </c>
      <c r="S205"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205" s="36">
        <v>2</v>
      </c>
      <c r="U205" s="37">
        <v>2</v>
      </c>
      <c r="V205" s="40">
        <f t="shared" si="9"/>
        <v>100</v>
      </c>
      <c r="W205" s="39" t="str">
        <f t="shared" si="10"/>
        <v>ADECUADO</v>
      </c>
      <c r="X205" s="36">
        <v>3</v>
      </c>
      <c r="Y205" s="37">
        <v>0</v>
      </c>
      <c r="Z205" s="40">
        <v>0</v>
      </c>
      <c r="AA205" s="39" t="s">
        <v>62</v>
      </c>
      <c r="AB205" s="36">
        <v>2</v>
      </c>
      <c r="AC205" s="41">
        <v>0</v>
      </c>
      <c r="AD205" s="40">
        <f>IFERROR((TABLA_AVANCE_METAS[[#This Row],[AVANCE 4°. TRIM]]/TABLA_AVANCE_METAS[[#This Row],[PROGR. 4° TRIM]])*100,"0")</f>
        <v>0</v>
      </c>
      <c r="AE205"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205" s="43" cm="1">
        <f t="array" ref="AF205">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5</v>
      </c>
      <c r="AG205" s="44" cm="1">
        <f t="array" ref="AG205">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5</v>
      </c>
      <c r="AH205" s="40">
        <f>IFERROR((TABLA_AVANCE_METAS[[#This Row],[AVANCE ACUM. TRIM.]]/TABLA_AVANCE_METAS[[#This Row],[PROG. ACUM]])*100,"N/A")</f>
        <v>100</v>
      </c>
      <c r="AI205"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205" s="45">
        <f>TABLA_AVANCE_METAS[[#This Row],[AVANCE ACUM. TRIM.]]-TABLA_AVANCE_METAS[[#This Row],[PROG. ACUM]]</f>
        <v>0</v>
      </c>
      <c r="AK205" s="46">
        <f>IFERROR((TABLA_AVANCE_METAS[[#This Row],[DIFERENCIA ABSOLUTA SEMESTRAL]]/TABLA_AVANCE_METAS[[#This Row],[PROG. ACUM]])*100,"N/A")</f>
        <v>0</v>
      </c>
      <c r="AL205" s="44">
        <f>TABLA_AVANCE_METAS[[#This Row],[AVANCE 1°. TRIM]]+TABLA_AVANCE_METAS[[#This Row],[AVANCE 2°. TRIM]]+TABLA_AVANCE_METAS[[#This Row],[AVANCE 3°. TRIM]]+TABLA_AVANCE_METAS[[#This Row],[AVANCE 4°. TRIM]]</f>
        <v>5</v>
      </c>
      <c r="AM205" s="40">
        <f>IFERROR((TABLA_AVANCE_METAS[[#This Row],[AVANCE ACUM. ANUAL]]/TABLA_AVANCE_METAS[[#This Row],[PROGRAMADO ANUAL]])*100,"N/A")</f>
        <v>50</v>
      </c>
      <c r="AN205"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205" s="45">
        <f>TABLA_AVANCE_METAS[[#This Row],[AVANCE ACUM. ANUAL]]-TABLA_AVANCE_METAS[[#This Row],[PROGRAMADO ANUAL]]</f>
        <v>-5</v>
      </c>
      <c r="AP205" s="47">
        <f>IFERROR((TABLA_AVANCE_METAS[[#This Row],[DIFERENCIA ABSOLUTA ANUAL]]/TABLA_AVANCE_METAS[[#This Row],[PROGRAMADO ANUAL]])*100,"N/A")</f>
        <v>-50</v>
      </c>
      <c r="AQ205" s="48" t="s">
        <v>63</v>
      </c>
      <c r="AR205" s="49"/>
      <c r="AS205" s="50"/>
      <c r="AT205" s="50"/>
      <c r="AU205" s="51" t="b">
        <f>TABLA_AVANCE_METAS[[#This Row],[PROGRAMADO ANUAL]]=SUM(TABLA_AVANCE_METAS[[#This Row],[PROGR. 1° TRIM]],TABLA_AVANCE_METAS[[#This Row],[PROGR. 2° TRIM]],TABLA_AVANCE_METAS[[#This Row],[PROGR. 3° TRIM]],TABLA_AVANCE_METAS[[#This Row],[PROGR. 4° TRIM]])</f>
        <v>1</v>
      </c>
      <c r="AV205" s="52"/>
    </row>
    <row r="206" spans="1:48" ht="75" hidden="1" customHeight="1" x14ac:dyDescent="0.3">
      <c r="A206" s="31" t="str">
        <f>CONCATENATE(TABLA_AVANCE_METAS[[#This Row],[ESTRUCTURA]],TABLA_AVANCE_METAS[[#This Row],['#]])</f>
        <v>D0022801030501044</v>
      </c>
      <c r="B206" s="32" t="s">
        <v>611</v>
      </c>
      <c r="C206" s="55" t="s">
        <v>612</v>
      </c>
      <c r="D206" s="54" t="s">
        <v>613</v>
      </c>
      <c r="E206" s="32" t="s">
        <v>614</v>
      </c>
      <c r="F206" s="54" t="s">
        <v>615</v>
      </c>
      <c r="G206" s="56" t="s">
        <v>616</v>
      </c>
      <c r="H206" s="54" t="s">
        <v>617</v>
      </c>
      <c r="I206" s="54" t="s">
        <v>618</v>
      </c>
      <c r="J206" s="54" t="s">
        <v>619</v>
      </c>
      <c r="K206" s="54" t="s">
        <v>620</v>
      </c>
      <c r="L206" s="55">
        <v>4</v>
      </c>
      <c r="M206" s="57" t="s">
        <v>624</v>
      </c>
      <c r="N206" s="56" t="s">
        <v>149</v>
      </c>
      <c r="O206" s="36">
        <v>4</v>
      </c>
      <c r="P206" s="36">
        <v>1</v>
      </c>
      <c r="Q206" s="37">
        <v>1</v>
      </c>
      <c r="R206" s="38">
        <f>IFERROR((TABLA_AVANCE_METAS[[#This Row],[AVANCE 1°. TRIM]]/TABLA_AVANCE_METAS[[#This Row],[PROGR. 1° TRIM]])*100,"0")</f>
        <v>100</v>
      </c>
      <c r="S206"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206" s="36">
        <v>1</v>
      </c>
      <c r="U206" s="37">
        <v>1</v>
      </c>
      <c r="V206" s="40">
        <f t="shared" si="9"/>
        <v>100</v>
      </c>
      <c r="W206" s="39" t="str">
        <f t="shared" si="10"/>
        <v>ADECUADO</v>
      </c>
      <c r="X206" s="36">
        <v>1</v>
      </c>
      <c r="Y206" s="37">
        <v>0</v>
      </c>
      <c r="Z206" s="40">
        <v>0</v>
      </c>
      <c r="AA206" s="39" t="s">
        <v>62</v>
      </c>
      <c r="AB206" s="36">
        <v>1</v>
      </c>
      <c r="AC206" s="41">
        <v>0</v>
      </c>
      <c r="AD206" s="40">
        <f>IFERROR((TABLA_AVANCE_METAS[[#This Row],[AVANCE 4°. TRIM]]/TABLA_AVANCE_METAS[[#This Row],[PROGR. 4° TRIM]])*100,"0")</f>
        <v>0</v>
      </c>
      <c r="AE206"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206" s="43" cm="1">
        <f t="array" ref="AF206">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2</v>
      </c>
      <c r="AG206" s="44" cm="1">
        <f t="array" ref="AG206">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2</v>
      </c>
      <c r="AH206" s="40">
        <f>IFERROR((TABLA_AVANCE_METAS[[#This Row],[AVANCE ACUM. TRIM.]]/TABLA_AVANCE_METAS[[#This Row],[PROG. ACUM]])*100,"N/A")</f>
        <v>100</v>
      </c>
      <c r="AI206"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206" s="45">
        <f>TABLA_AVANCE_METAS[[#This Row],[AVANCE ACUM. TRIM.]]-TABLA_AVANCE_METAS[[#This Row],[PROG. ACUM]]</f>
        <v>0</v>
      </c>
      <c r="AK206" s="46">
        <f>IFERROR((TABLA_AVANCE_METAS[[#This Row],[DIFERENCIA ABSOLUTA SEMESTRAL]]/TABLA_AVANCE_METAS[[#This Row],[PROG. ACUM]])*100,"N/A")</f>
        <v>0</v>
      </c>
      <c r="AL206" s="44">
        <f>TABLA_AVANCE_METAS[[#This Row],[AVANCE 1°. TRIM]]+TABLA_AVANCE_METAS[[#This Row],[AVANCE 2°. TRIM]]+TABLA_AVANCE_METAS[[#This Row],[AVANCE 3°. TRIM]]+TABLA_AVANCE_METAS[[#This Row],[AVANCE 4°. TRIM]]</f>
        <v>2</v>
      </c>
      <c r="AM206" s="40">
        <f>IFERROR((TABLA_AVANCE_METAS[[#This Row],[AVANCE ACUM. ANUAL]]/TABLA_AVANCE_METAS[[#This Row],[PROGRAMADO ANUAL]])*100,"N/A")</f>
        <v>50</v>
      </c>
      <c r="AN206"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206" s="45">
        <f>TABLA_AVANCE_METAS[[#This Row],[AVANCE ACUM. ANUAL]]-TABLA_AVANCE_METAS[[#This Row],[PROGRAMADO ANUAL]]</f>
        <v>-2</v>
      </c>
      <c r="AP206" s="47">
        <f>IFERROR((TABLA_AVANCE_METAS[[#This Row],[DIFERENCIA ABSOLUTA ANUAL]]/TABLA_AVANCE_METAS[[#This Row],[PROGRAMADO ANUAL]])*100,"N/A")</f>
        <v>-50</v>
      </c>
      <c r="AQ206" s="79" t="s">
        <v>63</v>
      </c>
      <c r="AR206" s="80"/>
      <c r="AS206" s="93"/>
      <c r="AT206" s="93"/>
      <c r="AU206" s="51" t="b">
        <f>TABLA_AVANCE_METAS[[#This Row],[PROGRAMADO ANUAL]]=SUM(TABLA_AVANCE_METAS[[#This Row],[PROGR. 1° TRIM]],TABLA_AVANCE_METAS[[#This Row],[PROGR. 2° TRIM]],TABLA_AVANCE_METAS[[#This Row],[PROGR. 3° TRIM]],TABLA_AVANCE_METAS[[#This Row],[PROGR. 4° TRIM]])</f>
        <v>1</v>
      </c>
      <c r="AV206" s="52"/>
    </row>
    <row r="207" spans="1:48" ht="75" hidden="1" customHeight="1" x14ac:dyDescent="0.3">
      <c r="A207" s="31" t="str">
        <f>CONCATENATE(TABLA_AVANCE_METAS[[#This Row],[ESTRUCTURA]],TABLA_AVANCE_METAS[[#This Row],['#]])</f>
        <v>D0022801030501045</v>
      </c>
      <c r="B207" s="32" t="s">
        <v>611</v>
      </c>
      <c r="C207" s="55" t="s">
        <v>612</v>
      </c>
      <c r="D207" s="54" t="s">
        <v>613</v>
      </c>
      <c r="E207" s="32" t="s">
        <v>614</v>
      </c>
      <c r="F207" s="54" t="s">
        <v>615</v>
      </c>
      <c r="G207" s="56" t="s">
        <v>616</v>
      </c>
      <c r="H207" s="54" t="s">
        <v>617</v>
      </c>
      <c r="I207" s="54" t="s">
        <v>618</v>
      </c>
      <c r="J207" s="54" t="s">
        <v>619</v>
      </c>
      <c r="K207" s="54" t="s">
        <v>620</v>
      </c>
      <c r="L207" s="55">
        <v>5</v>
      </c>
      <c r="M207" s="57" t="s">
        <v>625</v>
      </c>
      <c r="N207" s="56" t="s">
        <v>149</v>
      </c>
      <c r="O207" s="36">
        <v>10</v>
      </c>
      <c r="P207" s="36">
        <v>3</v>
      </c>
      <c r="Q207" s="37">
        <v>3</v>
      </c>
      <c r="R207" s="38">
        <f>IFERROR((TABLA_AVANCE_METAS[[#This Row],[AVANCE 1°. TRIM]]/TABLA_AVANCE_METAS[[#This Row],[PROGR. 1° TRIM]])*100,"0")</f>
        <v>100</v>
      </c>
      <c r="S207"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207" s="36">
        <v>2</v>
      </c>
      <c r="U207" s="37">
        <v>2</v>
      </c>
      <c r="V207" s="40">
        <f t="shared" si="9"/>
        <v>100</v>
      </c>
      <c r="W207" s="39" t="str">
        <f t="shared" si="10"/>
        <v>ADECUADO</v>
      </c>
      <c r="X207" s="36">
        <v>3</v>
      </c>
      <c r="Y207" s="37">
        <v>0</v>
      </c>
      <c r="Z207" s="40">
        <v>0</v>
      </c>
      <c r="AA207" s="39" t="s">
        <v>62</v>
      </c>
      <c r="AB207" s="36">
        <v>2</v>
      </c>
      <c r="AC207" s="41">
        <v>0</v>
      </c>
      <c r="AD207" s="40">
        <f>IFERROR((TABLA_AVANCE_METAS[[#This Row],[AVANCE 4°. TRIM]]/TABLA_AVANCE_METAS[[#This Row],[PROGR. 4° TRIM]])*100,"0")</f>
        <v>0</v>
      </c>
      <c r="AE207"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207" s="43" cm="1">
        <f t="array" ref="AF207">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5</v>
      </c>
      <c r="AG207" s="44" cm="1">
        <f t="array" ref="AG207">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5</v>
      </c>
      <c r="AH207" s="40">
        <f>IFERROR((TABLA_AVANCE_METAS[[#This Row],[AVANCE ACUM. TRIM.]]/TABLA_AVANCE_METAS[[#This Row],[PROG. ACUM]])*100,"N/A")</f>
        <v>100</v>
      </c>
      <c r="AI207"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207" s="45">
        <f>TABLA_AVANCE_METAS[[#This Row],[AVANCE ACUM. TRIM.]]-TABLA_AVANCE_METAS[[#This Row],[PROG. ACUM]]</f>
        <v>0</v>
      </c>
      <c r="AK207" s="46">
        <f>IFERROR((TABLA_AVANCE_METAS[[#This Row],[DIFERENCIA ABSOLUTA SEMESTRAL]]/TABLA_AVANCE_METAS[[#This Row],[PROG. ACUM]])*100,"N/A")</f>
        <v>0</v>
      </c>
      <c r="AL207" s="44">
        <f>TABLA_AVANCE_METAS[[#This Row],[AVANCE 1°. TRIM]]+TABLA_AVANCE_METAS[[#This Row],[AVANCE 2°. TRIM]]+TABLA_AVANCE_METAS[[#This Row],[AVANCE 3°. TRIM]]+TABLA_AVANCE_METAS[[#This Row],[AVANCE 4°. TRIM]]</f>
        <v>5</v>
      </c>
      <c r="AM207" s="40">
        <f>IFERROR((TABLA_AVANCE_METAS[[#This Row],[AVANCE ACUM. ANUAL]]/TABLA_AVANCE_METAS[[#This Row],[PROGRAMADO ANUAL]])*100,"N/A")</f>
        <v>50</v>
      </c>
      <c r="AN207"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207" s="45">
        <f>TABLA_AVANCE_METAS[[#This Row],[AVANCE ACUM. ANUAL]]-TABLA_AVANCE_METAS[[#This Row],[PROGRAMADO ANUAL]]</f>
        <v>-5</v>
      </c>
      <c r="AP207" s="47">
        <f>IFERROR((TABLA_AVANCE_METAS[[#This Row],[DIFERENCIA ABSOLUTA ANUAL]]/TABLA_AVANCE_METAS[[#This Row],[PROGRAMADO ANUAL]])*100,"N/A")</f>
        <v>-50</v>
      </c>
      <c r="AQ207" s="79" t="s">
        <v>63</v>
      </c>
      <c r="AR207" s="80"/>
      <c r="AS207" s="93"/>
      <c r="AT207" s="93"/>
      <c r="AU207" s="51" t="b">
        <f>TABLA_AVANCE_METAS[[#This Row],[PROGRAMADO ANUAL]]=SUM(TABLA_AVANCE_METAS[[#This Row],[PROGR. 1° TRIM]],TABLA_AVANCE_METAS[[#This Row],[PROGR. 2° TRIM]],TABLA_AVANCE_METAS[[#This Row],[PROGR. 3° TRIM]],TABLA_AVANCE_METAS[[#This Row],[PROGR. 4° TRIM]])</f>
        <v>1</v>
      </c>
      <c r="AV207" s="52"/>
    </row>
    <row r="208" spans="1:48" ht="75" hidden="1" customHeight="1" x14ac:dyDescent="0.3">
      <c r="A208" s="31" t="str">
        <f>CONCATENATE(TABLA_AVANCE_METAS[[#This Row],[ESTRUCTURA]],TABLA_AVANCE_METAS[[#This Row],['#]])</f>
        <v>D0022801030501046</v>
      </c>
      <c r="B208" s="32" t="s">
        <v>611</v>
      </c>
      <c r="C208" s="55" t="s">
        <v>612</v>
      </c>
      <c r="D208" s="54" t="s">
        <v>613</v>
      </c>
      <c r="E208" s="32" t="s">
        <v>614</v>
      </c>
      <c r="F208" s="54" t="s">
        <v>615</v>
      </c>
      <c r="G208" s="56" t="s">
        <v>616</v>
      </c>
      <c r="H208" s="54" t="s">
        <v>617</v>
      </c>
      <c r="I208" s="54" t="s">
        <v>618</v>
      </c>
      <c r="J208" s="54" t="s">
        <v>619</v>
      </c>
      <c r="K208" s="54" t="s">
        <v>620</v>
      </c>
      <c r="L208" s="55">
        <v>6</v>
      </c>
      <c r="M208" s="57" t="s">
        <v>626</v>
      </c>
      <c r="N208" s="56" t="s">
        <v>206</v>
      </c>
      <c r="O208" s="36">
        <v>240</v>
      </c>
      <c r="P208" s="36">
        <v>60</v>
      </c>
      <c r="Q208" s="37">
        <v>60</v>
      </c>
      <c r="R208" s="38">
        <f>IFERROR((TABLA_AVANCE_METAS[[#This Row],[AVANCE 1°. TRIM]]/TABLA_AVANCE_METAS[[#This Row],[PROGR. 1° TRIM]])*100,"0")</f>
        <v>100</v>
      </c>
      <c r="S208"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208" s="36">
        <v>60</v>
      </c>
      <c r="U208" s="37">
        <v>60</v>
      </c>
      <c r="V208" s="40">
        <f t="shared" si="9"/>
        <v>100</v>
      </c>
      <c r="W208" s="39" t="str">
        <f t="shared" si="10"/>
        <v>ADECUADO</v>
      </c>
      <c r="X208" s="36">
        <v>60</v>
      </c>
      <c r="Y208" s="37">
        <v>0</v>
      </c>
      <c r="Z208" s="40">
        <v>0</v>
      </c>
      <c r="AA208" s="39" t="s">
        <v>62</v>
      </c>
      <c r="AB208" s="36">
        <v>60</v>
      </c>
      <c r="AC208" s="41">
        <v>0</v>
      </c>
      <c r="AD208" s="40">
        <f>IFERROR((TABLA_AVANCE_METAS[[#This Row],[AVANCE 4°. TRIM]]/TABLA_AVANCE_METAS[[#This Row],[PROGR. 4° TRIM]])*100,"0")</f>
        <v>0</v>
      </c>
      <c r="AE208"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208" s="43" cm="1">
        <f t="array" ref="AF208">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120</v>
      </c>
      <c r="AG208" s="44" cm="1">
        <f t="array" ref="AG208">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120</v>
      </c>
      <c r="AH208" s="40">
        <f>IFERROR((TABLA_AVANCE_METAS[[#This Row],[AVANCE ACUM. TRIM.]]/TABLA_AVANCE_METAS[[#This Row],[PROG. ACUM]])*100,"N/A")</f>
        <v>100</v>
      </c>
      <c r="AI208"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208" s="45">
        <f>TABLA_AVANCE_METAS[[#This Row],[AVANCE ACUM. TRIM.]]-TABLA_AVANCE_METAS[[#This Row],[PROG. ACUM]]</f>
        <v>0</v>
      </c>
      <c r="AK208" s="46">
        <f>IFERROR((TABLA_AVANCE_METAS[[#This Row],[DIFERENCIA ABSOLUTA SEMESTRAL]]/TABLA_AVANCE_METAS[[#This Row],[PROG. ACUM]])*100,"N/A")</f>
        <v>0</v>
      </c>
      <c r="AL208" s="44">
        <f>TABLA_AVANCE_METAS[[#This Row],[AVANCE 1°. TRIM]]+TABLA_AVANCE_METAS[[#This Row],[AVANCE 2°. TRIM]]+TABLA_AVANCE_METAS[[#This Row],[AVANCE 3°. TRIM]]+TABLA_AVANCE_METAS[[#This Row],[AVANCE 4°. TRIM]]</f>
        <v>120</v>
      </c>
      <c r="AM208" s="40">
        <f>IFERROR((TABLA_AVANCE_METAS[[#This Row],[AVANCE ACUM. ANUAL]]/TABLA_AVANCE_METAS[[#This Row],[PROGRAMADO ANUAL]])*100,"N/A")</f>
        <v>50</v>
      </c>
      <c r="AN208"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208" s="45">
        <f>TABLA_AVANCE_METAS[[#This Row],[AVANCE ACUM. ANUAL]]-TABLA_AVANCE_METAS[[#This Row],[PROGRAMADO ANUAL]]</f>
        <v>-120</v>
      </c>
      <c r="AP208" s="47">
        <f>IFERROR((TABLA_AVANCE_METAS[[#This Row],[DIFERENCIA ABSOLUTA ANUAL]]/TABLA_AVANCE_METAS[[#This Row],[PROGRAMADO ANUAL]])*100,"N/A")</f>
        <v>-50</v>
      </c>
      <c r="AQ208" s="79" t="s">
        <v>63</v>
      </c>
      <c r="AR208" s="80"/>
      <c r="AS208" s="93"/>
      <c r="AT208" s="93"/>
      <c r="AU208" s="51" t="b">
        <f>TABLA_AVANCE_METAS[[#This Row],[PROGRAMADO ANUAL]]=SUM(TABLA_AVANCE_METAS[[#This Row],[PROGR. 1° TRIM]],TABLA_AVANCE_METAS[[#This Row],[PROGR. 2° TRIM]],TABLA_AVANCE_METAS[[#This Row],[PROGR. 3° TRIM]],TABLA_AVANCE_METAS[[#This Row],[PROGR. 4° TRIM]])</f>
        <v>1</v>
      </c>
      <c r="AV208" s="52"/>
    </row>
    <row r="209" spans="1:48" ht="75" hidden="1" customHeight="1" x14ac:dyDescent="0.3">
      <c r="A209" s="31" t="str">
        <f>CONCATENATE(TABLA_AVANCE_METAS[[#This Row],[ESTRUCTURA]],TABLA_AVANCE_METAS[[#This Row],['#]])</f>
        <v>D0022801030501047</v>
      </c>
      <c r="B209" s="32" t="s">
        <v>611</v>
      </c>
      <c r="C209" s="55" t="s">
        <v>612</v>
      </c>
      <c r="D209" s="54" t="s">
        <v>613</v>
      </c>
      <c r="E209" s="32" t="s">
        <v>614</v>
      </c>
      <c r="F209" s="54" t="s">
        <v>615</v>
      </c>
      <c r="G209" s="56" t="s">
        <v>616</v>
      </c>
      <c r="H209" s="54" t="s">
        <v>617</v>
      </c>
      <c r="I209" s="54" t="s">
        <v>618</v>
      </c>
      <c r="J209" s="54" t="s">
        <v>619</v>
      </c>
      <c r="K209" s="54" t="s">
        <v>620</v>
      </c>
      <c r="L209" s="55">
        <v>7</v>
      </c>
      <c r="M209" s="57" t="s">
        <v>627</v>
      </c>
      <c r="N209" s="56" t="s">
        <v>204</v>
      </c>
      <c r="O209" s="36">
        <v>16</v>
      </c>
      <c r="P209" s="36">
        <v>4</v>
      </c>
      <c r="Q209" s="37">
        <v>4</v>
      </c>
      <c r="R209" s="38">
        <f>IFERROR((TABLA_AVANCE_METAS[[#This Row],[AVANCE 1°. TRIM]]/TABLA_AVANCE_METAS[[#This Row],[PROGR. 1° TRIM]])*100,"0")</f>
        <v>100</v>
      </c>
      <c r="S209"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209" s="36">
        <v>4</v>
      </c>
      <c r="U209" s="37">
        <v>4</v>
      </c>
      <c r="V209" s="40">
        <f t="shared" si="9"/>
        <v>100</v>
      </c>
      <c r="W209" s="39" t="str">
        <f t="shared" si="10"/>
        <v>ADECUADO</v>
      </c>
      <c r="X209" s="36">
        <v>4</v>
      </c>
      <c r="Y209" s="37">
        <v>0</v>
      </c>
      <c r="Z209" s="40">
        <v>0</v>
      </c>
      <c r="AA209" s="39" t="s">
        <v>62</v>
      </c>
      <c r="AB209" s="36">
        <v>4</v>
      </c>
      <c r="AC209" s="41">
        <v>0</v>
      </c>
      <c r="AD209" s="40">
        <f>IFERROR((TABLA_AVANCE_METAS[[#This Row],[AVANCE 4°. TRIM]]/TABLA_AVANCE_METAS[[#This Row],[PROGR. 4° TRIM]])*100,"0")</f>
        <v>0</v>
      </c>
      <c r="AE209"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209" s="43" cm="1">
        <f t="array" ref="AF209">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8</v>
      </c>
      <c r="AG209" s="44" cm="1">
        <f t="array" ref="AG209">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8</v>
      </c>
      <c r="AH209" s="40">
        <f>IFERROR((TABLA_AVANCE_METAS[[#This Row],[AVANCE ACUM. TRIM.]]/TABLA_AVANCE_METAS[[#This Row],[PROG. ACUM]])*100,"N/A")</f>
        <v>100</v>
      </c>
      <c r="AI209"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209" s="45">
        <f>TABLA_AVANCE_METAS[[#This Row],[AVANCE ACUM. TRIM.]]-TABLA_AVANCE_METAS[[#This Row],[PROG. ACUM]]</f>
        <v>0</v>
      </c>
      <c r="AK209" s="46">
        <f>IFERROR((TABLA_AVANCE_METAS[[#This Row],[DIFERENCIA ABSOLUTA SEMESTRAL]]/TABLA_AVANCE_METAS[[#This Row],[PROG. ACUM]])*100,"N/A")</f>
        <v>0</v>
      </c>
      <c r="AL209" s="44">
        <f>TABLA_AVANCE_METAS[[#This Row],[AVANCE 1°. TRIM]]+TABLA_AVANCE_METAS[[#This Row],[AVANCE 2°. TRIM]]+TABLA_AVANCE_METAS[[#This Row],[AVANCE 3°. TRIM]]+TABLA_AVANCE_METAS[[#This Row],[AVANCE 4°. TRIM]]</f>
        <v>8</v>
      </c>
      <c r="AM209" s="40">
        <f>IFERROR((TABLA_AVANCE_METAS[[#This Row],[AVANCE ACUM. ANUAL]]/TABLA_AVANCE_METAS[[#This Row],[PROGRAMADO ANUAL]])*100,"N/A")</f>
        <v>50</v>
      </c>
      <c r="AN209"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209" s="45">
        <f>TABLA_AVANCE_METAS[[#This Row],[AVANCE ACUM. ANUAL]]-TABLA_AVANCE_METAS[[#This Row],[PROGRAMADO ANUAL]]</f>
        <v>-8</v>
      </c>
      <c r="AP209" s="47">
        <f>IFERROR((TABLA_AVANCE_METAS[[#This Row],[DIFERENCIA ABSOLUTA ANUAL]]/TABLA_AVANCE_METAS[[#This Row],[PROGRAMADO ANUAL]])*100,"N/A")</f>
        <v>-50</v>
      </c>
      <c r="AQ209" s="48" t="s">
        <v>63</v>
      </c>
      <c r="AR209" s="49"/>
      <c r="AS209" s="50"/>
      <c r="AT209" s="50"/>
      <c r="AU209" s="51" t="b">
        <f>TABLA_AVANCE_METAS[[#This Row],[PROGRAMADO ANUAL]]=SUM(TABLA_AVANCE_METAS[[#This Row],[PROGR. 1° TRIM]],TABLA_AVANCE_METAS[[#This Row],[PROGR. 2° TRIM]],TABLA_AVANCE_METAS[[#This Row],[PROGR. 3° TRIM]],TABLA_AVANCE_METAS[[#This Row],[PROGR. 4° TRIM]])</f>
        <v>1</v>
      </c>
      <c r="AV209" s="52"/>
    </row>
    <row r="210" spans="1:48" ht="75" hidden="1" customHeight="1" x14ac:dyDescent="0.3">
      <c r="A210" s="31" t="str">
        <f>CONCATENATE(TABLA_AVANCE_METAS[[#This Row],[ESTRUCTURA]],TABLA_AVANCE_METAS[[#This Row],['#]])</f>
        <v>D0022801030501048</v>
      </c>
      <c r="B210" s="32" t="s">
        <v>611</v>
      </c>
      <c r="C210" s="55" t="s">
        <v>612</v>
      </c>
      <c r="D210" s="54" t="s">
        <v>613</v>
      </c>
      <c r="E210" s="32" t="s">
        <v>614</v>
      </c>
      <c r="F210" s="54" t="s">
        <v>615</v>
      </c>
      <c r="G210" s="56" t="s">
        <v>616</v>
      </c>
      <c r="H210" s="54" t="s">
        <v>617</v>
      </c>
      <c r="I210" s="54" t="s">
        <v>618</v>
      </c>
      <c r="J210" s="54" t="s">
        <v>619</v>
      </c>
      <c r="K210" s="54" t="s">
        <v>620</v>
      </c>
      <c r="L210" s="55">
        <v>8</v>
      </c>
      <c r="M210" s="57" t="s">
        <v>628</v>
      </c>
      <c r="N210" s="56" t="s">
        <v>204</v>
      </c>
      <c r="O210" s="36">
        <v>10</v>
      </c>
      <c r="P210" s="36">
        <v>3</v>
      </c>
      <c r="Q210" s="37">
        <v>3</v>
      </c>
      <c r="R210" s="38">
        <f>IFERROR((TABLA_AVANCE_METAS[[#This Row],[AVANCE 1°. TRIM]]/TABLA_AVANCE_METAS[[#This Row],[PROGR. 1° TRIM]])*100,"0")</f>
        <v>100</v>
      </c>
      <c r="S210"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210" s="36">
        <v>2</v>
      </c>
      <c r="U210" s="37">
        <v>2</v>
      </c>
      <c r="V210" s="40">
        <f t="shared" si="9"/>
        <v>100</v>
      </c>
      <c r="W210" s="39" t="str">
        <f t="shared" si="10"/>
        <v>ADECUADO</v>
      </c>
      <c r="X210" s="36">
        <v>3</v>
      </c>
      <c r="Y210" s="37">
        <v>0</v>
      </c>
      <c r="Z210" s="40">
        <v>0</v>
      </c>
      <c r="AA210" s="39" t="s">
        <v>62</v>
      </c>
      <c r="AB210" s="36">
        <v>2</v>
      </c>
      <c r="AC210" s="41">
        <v>0</v>
      </c>
      <c r="AD210" s="40">
        <f>IFERROR((TABLA_AVANCE_METAS[[#This Row],[AVANCE 4°. TRIM]]/TABLA_AVANCE_METAS[[#This Row],[PROGR. 4° TRIM]])*100,"0")</f>
        <v>0</v>
      </c>
      <c r="AE210"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210" s="43" cm="1">
        <f t="array" ref="AF210">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5</v>
      </c>
      <c r="AG210" s="44" cm="1">
        <f t="array" ref="AG210">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5</v>
      </c>
      <c r="AH210" s="40">
        <f>IFERROR((TABLA_AVANCE_METAS[[#This Row],[AVANCE ACUM. TRIM.]]/TABLA_AVANCE_METAS[[#This Row],[PROG. ACUM]])*100,"N/A")</f>
        <v>100</v>
      </c>
      <c r="AI210"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210" s="45">
        <f>TABLA_AVANCE_METAS[[#This Row],[AVANCE ACUM. TRIM.]]-TABLA_AVANCE_METAS[[#This Row],[PROG. ACUM]]</f>
        <v>0</v>
      </c>
      <c r="AK210" s="46">
        <f>IFERROR((TABLA_AVANCE_METAS[[#This Row],[DIFERENCIA ABSOLUTA SEMESTRAL]]/TABLA_AVANCE_METAS[[#This Row],[PROG. ACUM]])*100,"N/A")</f>
        <v>0</v>
      </c>
      <c r="AL210" s="44">
        <f>TABLA_AVANCE_METAS[[#This Row],[AVANCE 1°. TRIM]]+TABLA_AVANCE_METAS[[#This Row],[AVANCE 2°. TRIM]]+TABLA_AVANCE_METAS[[#This Row],[AVANCE 3°. TRIM]]+TABLA_AVANCE_METAS[[#This Row],[AVANCE 4°. TRIM]]</f>
        <v>5</v>
      </c>
      <c r="AM210" s="40">
        <f>IFERROR((TABLA_AVANCE_METAS[[#This Row],[AVANCE ACUM. ANUAL]]/TABLA_AVANCE_METAS[[#This Row],[PROGRAMADO ANUAL]])*100,"N/A")</f>
        <v>50</v>
      </c>
      <c r="AN210"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210" s="45">
        <f>TABLA_AVANCE_METAS[[#This Row],[AVANCE ACUM. ANUAL]]-TABLA_AVANCE_METAS[[#This Row],[PROGRAMADO ANUAL]]</f>
        <v>-5</v>
      </c>
      <c r="AP210" s="47">
        <f>IFERROR((TABLA_AVANCE_METAS[[#This Row],[DIFERENCIA ABSOLUTA ANUAL]]/TABLA_AVANCE_METAS[[#This Row],[PROGRAMADO ANUAL]])*100,"N/A")</f>
        <v>-50</v>
      </c>
      <c r="AQ210" s="48" t="s">
        <v>63</v>
      </c>
      <c r="AR210" s="49"/>
      <c r="AS210" s="50"/>
      <c r="AT210" s="50"/>
      <c r="AU210" s="51" t="b">
        <f>TABLA_AVANCE_METAS[[#This Row],[PROGRAMADO ANUAL]]=SUM(TABLA_AVANCE_METAS[[#This Row],[PROGR. 1° TRIM]],TABLA_AVANCE_METAS[[#This Row],[PROGR. 2° TRIM]],TABLA_AVANCE_METAS[[#This Row],[PROGR. 3° TRIM]],TABLA_AVANCE_METAS[[#This Row],[PROGR. 4° TRIM]])</f>
        <v>1</v>
      </c>
      <c r="AV210" s="52"/>
    </row>
    <row r="211" spans="1:48" ht="75" hidden="1" customHeight="1" x14ac:dyDescent="0.3">
      <c r="A211" s="31" t="str">
        <f>CONCATENATE(TABLA_AVANCE_METAS[[#This Row],[ESTRUCTURA]],TABLA_AVANCE_METAS[[#This Row],['#]])</f>
        <v>G0022801030401011</v>
      </c>
      <c r="B211" s="32" t="s">
        <v>629</v>
      </c>
      <c r="C211" s="55" t="s">
        <v>630</v>
      </c>
      <c r="D211" s="54" t="s">
        <v>629</v>
      </c>
      <c r="E211" s="32" t="s">
        <v>614</v>
      </c>
      <c r="F211" s="54" t="s">
        <v>615</v>
      </c>
      <c r="G211" s="56" t="s">
        <v>631</v>
      </c>
      <c r="H211" s="54" t="s">
        <v>632</v>
      </c>
      <c r="I211" s="54" t="s">
        <v>633</v>
      </c>
      <c r="J211" s="54" t="s">
        <v>634</v>
      </c>
      <c r="K211" s="54" t="s">
        <v>635</v>
      </c>
      <c r="L211" s="55">
        <v>1</v>
      </c>
      <c r="M211" s="57" t="s">
        <v>636</v>
      </c>
      <c r="N211" s="56" t="s">
        <v>637</v>
      </c>
      <c r="O211" s="36">
        <v>20</v>
      </c>
      <c r="P211" s="36">
        <v>2</v>
      </c>
      <c r="Q211" s="37">
        <v>1</v>
      </c>
      <c r="R211" s="38">
        <f>IFERROR((TABLA_AVANCE_METAS[[#This Row],[AVANCE 1°. TRIM]]/TABLA_AVANCE_METAS[[#This Row],[PROGR. 1° TRIM]])*100,"0")</f>
        <v>50</v>
      </c>
      <c r="S211"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DEFICIENTE</v>
      </c>
      <c r="T211" s="36">
        <v>7</v>
      </c>
      <c r="U211" s="37">
        <v>0</v>
      </c>
      <c r="V211" s="40">
        <f t="shared" si="9"/>
        <v>0</v>
      </c>
      <c r="W211" s="39" t="str">
        <f t="shared" si="10"/>
        <v>CRÍTICO</v>
      </c>
      <c r="X211" s="36">
        <v>7</v>
      </c>
      <c r="Y211" s="37">
        <v>0</v>
      </c>
      <c r="Z211" s="40">
        <v>0</v>
      </c>
      <c r="AA211" s="39" t="s">
        <v>62</v>
      </c>
      <c r="AB211" s="36">
        <v>4</v>
      </c>
      <c r="AC211" s="41">
        <v>0</v>
      </c>
      <c r="AD211" s="40">
        <f>IFERROR((TABLA_AVANCE_METAS[[#This Row],[AVANCE 4°. TRIM]]/TABLA_AVANCE_METAS[[#This Row],[PROGR. 4° TRIM]])*100,"0")</f>
        <v>0</v>
      </c>
      <c r="AE211"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211" s="43" cm="1">
        <f t="array" ref="AF211">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9</v>
      </c>
      <c r="AG211" s="44" cm="1">
        <f t="array" ref="AG211">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1</v>
      </c>
      <c r="AH211" s="40">
        <f>IFERROR((TABLA_AVANCE_METAS[[#This Row],[AVANCE ACUM. TRIM.]]/TABLA_AVANCE_METAS[[#This Row],[PROG. ACUM]])*100,"N/A")</f>
        <v>11.111111111111111</v>
      </c>
      <c r="AI211"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CRÍTICO</v>
      </c>
      <c r="AJ211" s="45">
        <f>TABLA_AVANCE_METAS[[#This Row],[AVANCE ACUM. TRIM.]]-TABLA_AVANCE_METAS[[#This Row],[PROG. ACUM]]</f>
        <v>-8</v>
      </c>
      <c r="AK211" s="46">
        <f>IFERROR((TABLA_AVANCE_METAS[[#This Row],[DIFERENCIA ABSOLUTA SEMESTRAL]]/TABLA_AVANCE_METAS[[#This Row],[PROG. ACUM]])*100,"N/A")</f>
        <v>-88.888888888888886</v>
      </c>
      <c r="AL211" s="44">
        <f>TABLA_AVANCE_METAS[[#This Row],[AVANCE 1°. TRIM]]+TABLA_AVANCE_METAS[[#This Row],[AVANCE 2°. TRIM]]+TABLA_AVANCE_METAS[[#This Row],[AVANCE 3°. TRIM]]+TABLA_AVANCE_METAS[[#This Row],[AVANCE 4°. TRIM]]</f>
        <v>1</v>
      </c>
      <c r="AM211" s="40">
        <f>IFERROR((TABLA_AVANCE_METAS[[#This Row],[AVANCE ACUM. ANUAL]]/TABLA_AVANCE_METAS[[#This Row],[PROGRAMADO ANUAL]])*100,"N/A")</f>
        <v>5</v>
      </c>
      <c r="AN211"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211" s="45">
        <f>TABLA_AVANCE_METAS[[#This Row],[AVANCE ACUM. ANUAL]]-TABLA_AVANCE_METAS[[#This Row],[PROGRAMADO ANUAL]]</f>
        <v>-19</v>
      </c>
      <c r="AP211" s="47">
        <f>IFERROR((TABLA_AVANCE_METAS[[#This Row],[DIFERENCIA ABSOLUTA ANUAL]]/TABLA_AVANCE_METAS[[#This Row],[PROGRAMADO ANUAL]])*100,"N/A")</f>
        <v>-95</v>
      </c>
      <c r="AQ211" s="48" t="s">
        <v>638</v>
      </c>
      <c r="AR211" s="49"/>
      <c r="AS211" s="50"/>
      <c r="AT211" s="50"/>
      <c r="AU211" s="51" t="b">
        <f>TABLA_AVANCE_METAS[[#This Row],[PROGRAMADO ANUAL]]=SUM(TABLA_AVANCE_METAS[[#This Row],[PROGR. 1° TRIM]],TABLA_AVANCE_METAS[[#This Row],[PROGR. 2° TRIM]],TABLA_AVANCE_METAS[[#This Row],[PROGR. 3° TRIM]],TABLA_AVANCE_METAS[[#This Row],[PROGR. 4° TRIM]])</f>
        <v>1</v>
      </c>
      <c r="AV211" s="52"/>
    </row>
    <row r="212" spans="1:48" ht="75" hidden="1" customHeight="1" x14ac:dyDescent="0.3">
      <c r="A212" s="31" t="str">
        <f>CONCATENATE(TABLA_AVANCE_METAS[[#This Row],[ESTRUCTURA]],TABLA_AVANCE_METAS[[#This Row],['#]])</f>
        <v>G0022801030401012</v>
      </c>
      <c r="B212" s="32" t="s">
        <v>629</v>
      </c>
      <c r="C212" s="55" t="s">
        <v>630</v>
      </c>
      <c r="D212" s="54" t="s">
        <v>629</v>
      </c>
      <c r="E212" s="32" t="s">
        <v>614</v>
      </c>
      <c r="F212" s="54" t="s">
        <v>615</v>
      </c>
      <c r="G212" s="56" t="s">
        <v>631</v>
      </c>
      <c r="H212" s="54" t="s">
        <v>632</v>
      </c>
      <c r="I212" s="54" t="s">
        <v>633</v>
      </c>
      <c r="J212" s="54" t="s">
        <v>634</v>
      </c>
      <c r="K212" s="54" t="s">
        <v>635</v>
      </c>
      <c r="L212" s="55">
        <v>2</v>
      </c>
      <c r="M212" s="57" t="s">
        <v>639</v>
      </c>
      <c r="N212" s="56" t="s">
        <v>131</v>
      </c>
      <c r="O212" s="36">
        <v>1</v>
      </c>
      <c r="P212" s="36">
        <v>0</v>
      </c>
      <c r="Q212" s="37">
        <v>0</v>
      </c>
      <c r="R212" s="38" t="str">
        <f>IFERROR((TABLA_AVANCE_METAS[[#This Row],[AVANCE 1°. TRIM]]/TABLA_AVANCE_METAS[[#This Row],[PROGR. 1° TRIM]])*100,"0")</f>
        <v>0</v>
      </c>
      <c r="S212"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NO PROG.</v>
      </c>
      <c r="T212" s="36">
        <v>1</v>
      </c>
      <c r="U212" s="37">
        <v>1</v>
      </c>
      <c r="V212" s="40">
        <f t="shared" si="9"/>
        <v>100</v>
      </c>
      <c r="W212" s="39" t="str">
        <f t="shared" si="10"/>
        <v>ADECUADO</v>
      </c>
      <c r="X212" s="36">
        <v>0</v>
      </c>
      <c r="Y212" s="37">
        <v>0</v>
      </c>
      <c r="Z212" s="40" t="s">
        <v>72</v>
      </c>
      <c r="AA212" s="39" t="s">
        <v>73</v>
      </c>
      <c r="AB212" s="36">
        <v>0</v>
      </c>
      <c r="AC212" s="41">
        <v>0</v>
      </c>
      <c r="AD212" s="40" t="str">
        <f>IFERROR((TABLA_AVANCE_METAS[[#This Row],[AVANCE 4°. TRIM]]/TABLA_AVANCE_METAS[[#This Row],[PROGR. 4° TRIM]])*100,"0")</f>
        <v>0</v>
      </c>
      <c r="AE212"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NO PROG.</v>
      </c>
      <c r="AF212" s="43" cm="1">
        <f t="array" ref="AF212">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v>
      </c>
      <c r="AG212" s="44" cm="1">
        <f t="array" ref="AG212">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1</v>
      </c>
      <c r="AH212" s="40">
        <f>IFERROR((TABLA_AVANCE_METAS[[#This Row],[AVANCE ACUM. TRIM.]]/TABLA_AVANCE_METAS[[#This Row],[PROG. ACUM]])*100,"N/A")</f>
        <v>100</v>
      </c>
      <c r="AI212"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212" s="45">
        <f>TABLA_AVANCE_METAS[[#This Row],[AVANCE ACUM. TRIM.]]-TABLA_AVANCE_METAS[[#This Row],[PROG. ACUM]]</f>
        <v>0</v>
      </c>
      <c r="AK212" s="46">
        <f>IFERROR((TABLA_AVANCE_METAS[[#This Row],[DIFERENCIA ABSOLUTA SEMESTRAL]]/TABLA_AVANCE_METAS[[#This Row],[PROG. ACUM]])*100,"N/A")</f>
        <v>0</v>
      </c>
      <c r="AL212" s="44">
        <f>TABLA_AVANCE_METAS[[#This Row],[AVANCE 1°. TRIM]]+TABLA_AVANCE_METAS[[#This Row],[AVANCE 2°. TRIM]]+TABLA_AVANCE_METAS[[#This Row],[AVANCE 3°. TRIM]]+TABLA_AVANCE_METAS[[#This Row],[AVANCE 4°. TRIM]]</f>
        <v>1</v>
      </c>
      <c r="AM212" s="40">
        <f>IFERROR((TABLA_AVANCE_METAS[[#This Row],[AVANCE ACUM. ANUAL]]/TABLA_AVANCE_METAS[[#This Row],[PROGRAMADO ANUAL]])*100,"N/A")</f>
        <v>100</v>
      </c>
      <c r="AN212"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ADECUADO</v>
      </c>
      <c r="AO212" s="45">
        <f>TABLA_AVANCE_METAS[[#This Row],[AVANCE ACUM. ANUAL]]-TABLA_AVANCE_METAS[[#This Row],[PROGRAMADO ANUAL]]</f>
        <v>0</v>
      </c>
      <c r="AP212" s="47">
        <f>IFERROR((TABLA_AVANCE_METAS[[#This Row],[DIFERENCIA ABSOLUTA ANUAL]]/TABLA_AVANCE_METAS[[#This Row],[PROGRAMADO ANUAL]])*100,"N/A")</f>
        <v>0</v>
      </c>
      <c r="AQ212" s="48" t="s">
        <v>63</v>
      </c>
      <c r="AR212" s="49"/>
      <c r="AS212" s="50"/>
      <c r="AT212" s="50"/>
      <c r="AU212" s="51" t="b">
        <f>TABLA_AVANCE_METAS[[#This Row],[PROGRAMADO ANUAL]]=SUM(TABLA_AVANCE_METAS[[#This Row],[PROGR. 1° TRIM]],TABLA_AVANCE_METAS[[#This Row],[PROGR. 2° TRIM]],TABLA_AVANCE_METAS[[#This Row],[PROGR. 3° TRIM]],TABLA_AVANCE_METAS[[#This Row],[PROGR. 4° TRIM]])</f>
        <v>1</v>
      </c>
      <c r="AV212" s="52"/>
    </row>
    <row r="213" spans="1:48" ht="75" hidden="1" customHeight="1" x14ac:dyDescent="0.3">
      <c r="A213" s="31" t="str">
        <f>CONCATENATE(TABLA_AVANCE_METAS[[#This Row],[ESTRUCTURA]],TABLA_AVANCE_METAS[[#This Row],['#]])</f>
        <v>G0022801030401013</v>
      </c>
      <c r="B213" s="32" t="s">
        <v>629</v>
      </c>
      <c r="C213" s="55" t="s">
        <v>630</v>
      </c>
      <c r="D213" s="54" t="s">
        <v>629</v>
      </c>
      <c r="E213" s="32" t="s">
        <v>614</v>
      </c>
      <c r="F213" s="54" t="s">
        <v>615</v>
      </c>
      <c r="G213" s="56" t="s">
        <v>631</v>
      </c>
      <c r="H213" s="54" t="s">
        <v>632</v>
      </c>
      <c r="I213" s="54" t="s">
        <v>633</v>
      </c>
      <c r="J213" s="54" t="s">
        <v>634</v>
      </c>
      <c r="K213" s="54" t="s">
        <v>635</v>
      </c>
      <c r="L213" s="55">
        <v>3</v>
      </c>
      <c r="M213" s="57" t="s">
        <v>640</v>
      </c>
      <c r="N213" s="56" t="s">
        <v>101</v>
      </c>
      <c r="O213" s="36">
        <v>1</v>
      </c>
      <c r="P213" s="36">
        <v>0</v>
      </c>
      <c r="Q213" s="37">
        <v>0</v>
      </c>
      <c r="R213" s="38" t="str">
        <f>IFERROR((TABLA_AVANCE_METAS[[#This Row],[AVANCE 1°. TRIM]]/TABLA_AVANCE_METAS[[#This Row],[PROGR. 1° TRIM]])*100,"0")</f>
        <v>0</v>
      </c>
      <c r="S213"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NO PROG.</v>
      </c>
      <c r="T213" s="36">
        <v>0</v>
      </c>
      <c r="U213" s="37">
        <v>0</v>
      </c>
      <c r="V213" s="40" t="str">
        <f t="shared" si="9"/>
        <v>0</v>
      </c>
      <c r="W213" s="39" t="str">
        <f t="shared" si="10"/>
        <v>NO PROG.</v>
      </c>
      <c r="X213" s="36">
        <v>1</v>
      </c>
      <c r="Y213" s="37">
        <v>0</v>
      </c>
      <c r="Z213" s="40">
        <v>0</v>
      </c>
      <c r="AA213" s="39" t="s">
        <v>62</v>
      </c>
      <c r="AB213" s="36">
        <v>0</v>
      </c>
      <c r="AC213" s="41">
        <v>0</v>
      </c>
      <c r="AD213" s="40" t="str">
        <f>IFERROR((TABLA_AVANCE_METAS[[#This Row],[AVANCE 4°. TRIM]]/TABLA_AVANCE_METAS[[#This Row],[PROGR. 4° TRIM]])*100,"0")</f>
        <v>0</v>
      </c>
      <c r="AE213"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NO PROG.</v>
      </c>
      <c r="AF213" s="43" cm="1">
        <f t="array" ref="AF213">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0</v>
      </c>
      <c r="AG213" s="44" cm="1">
        <f t="array" ref="AG213">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0</v>
      </c>
      <c r="AH213" s="40" t="str">
        <f>IFERROR((TABLA_AVANCE_METAS[[#This Row],[AVANCE ACUM. TRIM.]]/TABLA_AVANCE_METAS[[#This Row],[PROG. ACUM]])*100,"N/A")</f>
        <v>N/A</v>
      </c>
      <c r="AI213"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NO PROG.</v>
      </c>
      <c r="AJ213" s="45">
        <f>TABLA_AVANCE_METAS[[#This Row],[AVANCE ACUM. TRIM.]]-TABLA_AVANCE_METAS[[#This Row],[PROG. ACUM]]</f>
        <v>0</v>
      </c>
      <c r="AK213" s="46" t="str">
        <f>IFERROR((TABLA_AVANCE_METAS[[#This Row],[DIFERENCIA ABSOLUTA SEMESTRAL]]/TABLA_AVANCE_METAS[[#This Row],[PROG. ACUM]])*100,"N/A")</f>
        <v>N/A</v>
      </c>
      <c r="AL213" s="44">
        <f>TABLA_AVANCE_METAS[[#This Row],[AVANCE 1°. TRIM]]+TABLA_AVANCE_METAS[[#This Row],[AVANCE 2°. TRIM]]+TABLA_AVANCE_METAS[[#This Row],[AVANCE 3°. TRIM]]+TABLA_AVANCE_METAS[[#This Row],[AVANCE 4°. TRIM]]</f>
        <v>0</v>
      </c>
      <c r="AM213" s="40">
        <f>IFERROR((TABLA_AVANCE_METAS[[#This Row],[AVANCE ACUM. ANUAL]]/TABLA_AVANCE_METAS[[#This Row],[PROGRAMADO ANUAL]])*100,"N/A")</f>
        <v>0</v>
      </c>
      <c r="AN213"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213" s="45">
        <f>TABLA_AVANCE_METAS[[#This Row],[AVANCE ACUM. ANUAL]]-TABLA_AVANCE_METAS[[#This Row],[PROGRAMADO ANUAL]]</f>
        <v>-1</v>
      </c>
      <c r="AP213" s="47">
        <f>IFERROR((TABLA_AVANCE_METAS[[#This Row],[DIFERENCIA ABSOLUTA ANUAL]]/TABLA_AVANCE_METAS[[#This Row],[PROGRAMADO ANUAL]])*100,"N/A")</f>
        <v>-100</v>
      </c>
      <c r="AQ213" s="48" t="s">
        <v>63</v>
      </c>
      <c r="AR213" s="49"/>
      <c r="AS213" s="50"/>
      <c r="AT213" s="50"/>
      <c r="AU213" s="51" t="b">
        <f>TABLA_AVANCE_METAS[[#This Row],[PROGRAMADO ANUAL]]=SUM(TABLA_AVANCE_METAS[[#This Row],[PROGR. 1° TRIM]],TABLA_AVANCE_METAS[[#This Row],[PROGR. 2° TRIM]],TABLA_AVANCE_METAS[[#This Row],[PROGR. 3° TRIM]],TABLA_AVANCE_METAS[[#This Row],[PROGR. 4° TRIM]])</f>
        <v>1</v>
      </c>
      <c r="AV213" s="52"/>
    </row>
    <row r="214" spans="1:48" ht="75" hidden="1" customHeight="1" x14ac:dyDescent="0.3">
      <c r="A214" s="31" t="str">
        <f>CONCATENATE(TABLA_AVANCE_METAS[[#This Row],[ESTRUCTURA]],TABLA_AVANCE_METAS[[#This Row],['#]])</f>
        <v>G0022801030401014</v>
      </c>
      <c r="B214" s="32" t="s">
        <v>629</v>
      </c>
      <c r="C214" s="55" t="s">
        <v>630</v>
      </c>
      <c r="D214" s="54" t="s">
        <v>629</v>
      </c>
      <c r="E214" s="32" t="s">
        <v>614</v>
      </c>
      <c r="F214" s="54" t="s">
        <v>615</v>
      </c>
      <c r="G214" s="56" t="s">
        <v>631</v>
      </c>
      <c r="H214" s="54" t="s">
        <v>632</v>
      </c>
      <c r="I214" s="54" t="s">
        <v>633</v>
      </c>
      <c r="J214" s="54" t="s">
        <v>634</v>
      </c>
      <c r="K214" s="54" t="s">
        <v>635</v>
      </c>
      <c r="L214" s="55">
        <v>4</v>
      </c>
      <c r="M214" s="57" t="s">
        <v>641</v>
      </c>
      <c r="N214" s="56" t="s">
        <v>61</v>
      </c>
      <c r="O214" s="36">
        <v>8</v>
      </c>
      <c r="P214" s="36">
        <v>1</v>
      </c>
      <c r="Q214" s="37">
        <v>1</v>
      </c>
      <c r="R214" s="38">
        <f>IFERROR((TABLA_AVANCE_METAS[[#This Row],[AVANCE 1°. TRIM]]/TABLA_AVANCE_METAS[[#This Row],[PROGR. 1° TRIM]])*100,"0")</f>
        <v>100</v>
      </c>
      <c r="S214"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214" s="36">
        <v>3</v>
      </c>
      <c r="U214" s="37">
        <v>3</v>
      </c>
      <c r="V214" s="40">
        <f t="shared" si="9"/>
        <v>100</v>
      </c>
      <c r="W214" s="39" t="str">
        <f t="shared" si="10"/>
        <v>ADECUADO</v>
      </c>
      <c r="X214" s="36">
        <v>2</v>
      </c>
      <c r="Y214" s="37">
        <v>0</v>
      </c>
      <c r="Z214" s="40">
        <v>0</v>
      </c>
      <c r="AA214" s="39" t="s">
        <v>62</v>
      </c>
      <c r="AB214" s="36">
        <v>2</v>
      </c>
      <c r="AC214" s="41">
        <v>0</v>
      </c>
      <c r="AD214" s="40">
        <f>IFERROR((TABLA_AVANCE_METAS[[#This Row],[AVANCE 4°. TRIM]]/TABLA_AVANCE_METAS[[#This Row],[PROGR. 4° TRIM]])*100,"0")</f>
        <v>0</v>
      </c>
      <c r="AE214"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214" s="43" cm="1">
        <f t="array" ref="AF214">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4</v>
      </c>
      <c r="AG214" s="44" cm="1">
        <f t="array" ref="AG214">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4</v>
      </c>
      <c r="AH214" s="40">
        <f>IFERROR((TABLA_AVANCE_METAS[[#This Row],[AVANCE ACUM. TRIM.]]/TABLA_AVANCE_METAS[[#This Row],[PROG. ACUM]])*100,"N/A")</f>
        <v>100</v>
      </c>
      <c r="AI214"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214" s="45">
        <f>TABLA_AVANCE_METAS[[#This Row],[AVANCE ACUM. TRIM.]]-TABLA_AVANCE_METAS[[#This Row],[PROG. ACUM]]</f>
        <v>0</v>
      </c>
      <c r="AK214" s="46">
        <f>IFERROR((TABLA_AVANCE_METAS[[#This Row],[DIFERENCIA ABSOLUTA SEMESTRAL]]/TABLA_AVANCE_METAS[[#This Row],[PROG. ACUM]])*100,"N/A")</f>
        <v>0</v>
      </c>
      <c r="AL214" s="44">
        <f>TABLA_AVANCE_METAS[[#This Row],[AVANCE 1°. TRIM]]+TABLA_AVANCE_METAS[[#This Row],[AVANCE 2°. TRIM]]+TABLA_AVANCE_METAS[[#This Row],[AVANCE 3°. TRIM]]+TABLA_AVANCE_METAS[[#This Row],[AVANCE 4°. TRIM]]</f>
        <v>4</v>
      </c>
      <c r="AM214" s="40">
        <f>IFERROR((TABLA_AVANCE_METAS[[#This Row],[AVANCE ACUM. ANUAL]]/TABLA_AVANCE_METAS[[#This Row],[PROGRAMADO ANUAL]])*100,"N/A")</f>
        <v>50</v>
      </c>
      <c r="AN214"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214" s="45">
        <f>TABLA_AVANCE_METAS[[#This Row],[AVANCE ACUM. ANUAL]]-TABLA_AVANCE_METAS[[#This Row],[PROGRAMADO ANUAL]]</f>
        <v>-4</v>
      </c>
      <c r="AP214" s="47">
        <f>IFERROR((TABLA_AVANCE_METAS[[#This Row],[DIFERENCIA ABSOLUTA ANUAL]]/TABLA_AVANCE_METAS[[#This Row],[PROGRAMADO ANUAL]])*100,"N/A")</f>
        <v>-50</v>
      </c>
      <c r="AQ214" s="48" t="s">
        <v>63</v>
      </c>
      <c r="AR214" s="49"/>
      <c r="AS214" s="50"/>
      <c r="AT214" s="50"/>
      <c r="AU214" s="51" t="b">
        <f>TABLA_AVANCE_METAS[[#This Row],[PROGRAMADO ANUAL]]=SUM(TABLA_AVANCE_METAS[[#This Row],[PROGR. 1° TRIM]],TABLA_AVANCE_METAS[[#This Row],[PROGR. 2° TRIM]],TABLA_AVANCE_METAS[[#This Row],[PROGR. 3° TRIM]],TABLA_AVANCE_METAS[[#This Row],[PROGR. 4° TRIM]])</f>
        <v>1</v>
      </c>
      <c r="AV214" s="52"/>
    </row>
    <row r="215" spans="1:48" ht="75" hidden="1" customHeight="1" x14ac:dyDescent="0.3">
      <c r="A215" s="31" t="str">
        <f>CONCATENATE(TABLA_AVANCE_METAS[[#This Row],[ESTRUCTURA]],TABLA_AVANCE_METAS[[#This Row],['#]])</f>
        <v>G0022801030401021</v>
      </c>
      <c r="B215" s="32" t="s">
        <v>642</v>
      </c>
      <c r="C215" s="55" t="s">
        <v>630</v>
      </c>
      <c r="D215" s="54" t="s">
        <v>629</v>
      </c>
      <c r="E215" s="32" t="s">
        <v>614</v>
      </c>
      <c r="F215" s="54" t="s">
        <v>615</v>
      </c>
      <c r="G215" s="56" t="s">
        <v>643</v>
      </c>
      <c r="H215" s="54" t="s">
        <v>632</v>
      </c>
      <c r="I215" s="54" t="s">
        <v>633</v>
      </c>
      <c r="J215" s="54" t="s">
        <v>644</v>
      </c>
      <c r="K215" s="54" t="s">
        <v>645</v>
      </c>
      <c r="L215" s="55">
        <v>1</v>
      </c>
      <c r="M215" s="57" t="s">
        <v>646</v>
      </c>
      <c r="N215" s="56" t="s">
        <v>155</v>
      </c>
      <c r="O215" s="36">
        <v>1</v>
      </c>
      <c r="P215" s="36">
        <v>1</v>
      </c>
      <c r="Q215" s="37">
        <v>1</v>
      </c>
      <c r="R215" s="38">
        <f>IFERROR((TABLA_AVANCE_METAS[[#This Row],[AVANCE 1°. TRIM]]/TABLA_AVANCE_METAS[[#This Row],[PROGR. 1° TRIM]])*100,"0")</f>
        <v>100</v>
      </c>
      <c r="S215"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215" s="36">
        <v>0</v>
      </c>
      <c r="U215" s="37">
        <v>0</v>
      </c>
      <c r="V215" s="40" t="str">
        <f t="shared" si="9"/>
        <v>0</v>
      </c>
      <c r="W215" s="39" t="str">
        <f t="shared" si="10"/>
        <v>NO PROG.</v>
      </c>
      <c r="X215" s="36">
        <v>0</v>
      </c>
      <c r="Y215" s="37">
        <v>0</v>
      </c>
      <c r="Z215" s="40" t="s">
        <v>72</v>
      </c>
      <c r="AA215" s="39" t="s">
        <v>73</v>
      </c>
      <c r="AB215" s="36">
        <v>0</v>
      </c>
      <c r="AC215" s="41">
        <v>0</v>
      </c>
      <c r="AD215" s="40" t="str">
        <f>IFERROR((TABLA_AVANCE_METAS[[#This Row],[AVANCE 4°. TRIM]]/TABLA_AVANCE_METAS[[#This Row],[PROGR. 4° TRIM]])*100,"0")</f>
        <v>0</v>
      </c>
      <c r="AE215"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NO PROG.</v>
      </c>
      <c r="AF215" s="43" cm="1">
        <f t="array" ref="AF215">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v>
      </c>
      <c r="AG215" s="44" cm="1">
        <f t="array" ref="AG215">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1</v>
      </c>
      <c r="AH215" s="40">
        <f>IFERROR((TABLA_AVANCE_METAS[[#This Row],[AVANCE ACUM. TRIM.]]/TABLA_AVANCE_METAS[[#This Row],[PROG. ACUM]])*100,"N/A")</f>
        <v>100</v>
      </c>
      <c r="AI215"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215" s="45">
        <f>TABLA_AVANCE_METAS[[#This Row],[AVANCE ACUM. TRIM.]]-TABLA_AVANCE_METAS[[#This Row],[PROG. ACUM]]</f>
        <v>0</v>
      </c>
      <c r="AK215" s="46">
        <f>IFERROR((TABLA_AVANCE_METAS[[#This Row],[DIFERENCIA ABSOLUTA SEMESTRAL]]/TABLA_AVANCE_METAS[[#This Row],[PROG. ACUM]])*100,"N/A")</f>
        <v>0</v>
      </c>
      <c r="AL215" s="44">
        <f>TABLA_AVANCE_METAS[[#This Row],[AVANCE 1°. TRIM]]+TABLA_AVANCE_METAS[[#This Row],[AVANCE 2°. TRIM]]+TABLA_AVANCE_METAS[[#This Row],[AVANCE 3°. TRIM]]+TABLA_AVANCE_METAS[[#This Row],[AVANCE 4°. TRIM]]</f>
        <v>1</v>
      </c>
      <c r="AM215" s="40">
        <f>IFERROR((TABLA_AVANCE_METAS[[#This Row],[AVANCE ACUM. ANUAL]]/TABLA_AVANCE_METAS[[#This Row],[PROGRAMADO ANUAL]])*100,"N/A")</f>
        <v>100</v>
      </c>
      <c r="AN215"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ADECUADO</v>
      </c>
      <c r="AO215" s="45">
        <f>TABLA_AVANCE_METAS[[#This Row],[AVANCE ACUM. ANUAL]]-TABLA_AVANCE_METAS[[#This Row],[PROGRAMADO ANUAL]]</f>
        <v>0</v>
      </c>
      <c r="AP215" s="47">
        <f>IFERROR((TABLA_AVANCE_METAS[[#This Row],[DIFERENCIA ABSOLUTA ANUAL]]/TABLA_AVANCE_METAS[[#This Row],[PROGRAMADO ANUAL]])*100,"N/A")</f>
        <v>0</v>
      </c>
      <c r="AQ215" s="48" t="s">
        <v>63</v>
      </c>
      <c r="AR215" s="49"/>
      <c r="AS215" s="50"/>
      <c r="AT215" s="50"/>
      <c r="AU215" s="51" t="b">
        <f>TABLA_AVANCE_METAS[[#This Row],[PROGRAMADO ANUAL]]=SUM(TABLA_AVANCE_METAS[[#This Row],[PROGR. 1° TRIM]],TABLA_AVANCE_METAS[[#This Row],[PROGR. 2° TRIM]],TABLA_AVANCE_METAS[[#This Row],[PROGR. 3° TRIM]],TABLA_AVANCE_METAS[[#This Row],[PROGR. 4° TRIM]])</f>
        <v>1</v>
      </c>
      <c r="AV215" s="52"/>
    </row>
    <row r="216" spans="1:48" ht="75" hidden="1" customHeight="1" x14ac:dyDescent="0.3">
      <c r="A216" s="31" t="str">
        <f>CONCATENATE(TABLA_AVANCE_METAS[[#This Row],[ESTRUCTURA]],TABLA_AVANCE_METAS[[#This Row],['#]])</f>
        <v>G0022801030401022</v>
      </c>
      <c r="B216" s="32" t="s">
        <v>642</v>
      </c>
      <c r="C216" s="55" t="s">
        <v>630</v>
      </c>
      <c r="D216" s="54" t="s">
        <v>629</v>
      </c>
      <c r="E216" s="32" t="s">
        <v>614</v>
      </c>
      <c r="F216" s="54" t="s">
        <v>615</v>
      </c>
      <c r="G216" s="56" t="s">
        <v>643</v>
      </c>
      <c r="H216" s="54" t="s">
        <v>632</v>
      </c>
      <c r="I216" s="54" t="s">
        <v>633</v>
      </c>
      <c r="J216" s="54" t="s">
        <v>644</v>
      </c>
      <c r="K216" s="54" t="s">
        <v>645</v>
      </c>
      <c r="L216" s="55">
        <v>2</v>
      </c>
      <c r="M216" s="57" t="s">
        <v>647</v>
      </c>
      <c r="N216" s="56" t="s">
        <v>648</v>
      </c>
      <c r="O216" s="36">
        <v>4</v>
      </c>
      <c r="P216" s="36">
        <v>1</v>
      </c>
      <c r="Q216" s="37">
        <v>1</v>
      </c>
      <c r="R216" s="38">
        <f>IFERROR((TABLA_AVANCE_METAS[[#This Row],[AVANCE 1°. TRIM]]/TABLA_AVANCE_METAS[[#This Row],[PROGR. 1° TRIM]])*100,"0")</f>
        <v>100</v>
      </c>
      <c r="S216"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216" s="36">
        <v>1</v>
      </c>
      <c r="U216" s="37">
        <v>1</v>
      </c>
      <c r="V216" s="40">
        <f t="shared" si="9"/>
        <v>100</v>
      </c>
      <c r="W216" s="39" t="str">
        <f t="shared" si="10"/>
        <v>ADECUADO</v>
      </c>
      <c r="X216" s="36">
        <v>1</v>
      </c>
      <c r="Y216" s="37">
        <v>0</v>
      </c>
      <c r="Z216" s="40">
        <v>0</v>
      </c>
      <c r="AA216" s="39" t="s">
        <v>62</v>
      </c>
      <c r="AB216" s="36">
        <v>1</v>
      </c>
      <c r="AC216" s="41">
        <v>0</v>
      </c>
      <c r="AD216" s="40">
        <f>IFERROR((TABLA_AVANCE_METAS[[#This Row],[AVANCE 4°. TRIM]]/TABLA_AVANCE_METAS[[#This Row],[PROGR. 4° TRIM]])*100,"0")</f>
        <v>0</v>
      </c>
      <c r="AE216"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216" s="43" cm="1">
        <f t="array" ref="AF216">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2</v>
      </c>
      <c r="AG216" s="44" cm="1">
        <f t="array" ref="AG216">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2</v>
      </c>
      <c r="AH216" s="40">
        <f>IFERROR((TABLA_AVANCE_METAS[[#This Row],[AVANCE ACUM. TRIM.]]/TABLA_AVANCE_METAS[[#This Row],[PROG. ACUM]])*100,"N/A")</f>
        <v>100</v>
      </c>
      <c r="AI216"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216" s="45">
        <f>TABLA_AVANCE_METAS[[#This Row],[AVANCE ACUM. TRIM.]]-TABLA_AVANCE_METAS[[#This Row],[PROG. ACUM]]</f>
        <v>0</v>
      </c>
      <c r="AK216" s="46">
        <f>IFERROR((TABLA_AVANCE_METAS[[#This Row],[DIFERENCIA ABSOLUTA SEMESTRAL]]/TABLA_AVANCE_METAS[[#This Row],[PROG. ACUM]])*100,"N/A")</f>
        <v>0</v>
      </c>
      <c r="AL216" s="44">
        <f>TABLA_AVANCE_METAS[[#This Row],[AVANCE 1°. TRIM]]+TABLA_AVANCE_METAS[[#This Row],[AVANCE 2°. TRIM]]+TABLA_AVANCE_METAS[[#This Row],[AVANCE 3°. TRIM]]+TABLA_AVANCE_METAS[[#This Row],[AVANCE 4°. TRIM]]</f>
        <v>2</v>
      </c>
      <c r="AM216" s="40">
        <f>IFERROR((TABLA_AVANCE_METAS[[#This Row],[AVANCE ACUM. ANUAL]]/TABLA_AVANCE_METAS[[#This Row],[PROGRAMADO ANUAL]])*100,"N/A")</f>
        <v>50</v>
      </c>
      <c r="AN216"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216" s="45">
        <f>TABLA_AVANCE_METAS[[#This Row],[AVANCE ACUM. ANUAL]]-TABLA_AVANCE_METAS[[#This Row],[PROGRAMADO ANUAL]]</f>
        <v>-2</v>
      </c>
      <c r="AP216" s="47">
        <f>IFERROR((TABLA_AVANCE_METAS[[#This Row],[DIFERENCIA ABSOLUTA ANUAL]]/TABLA_AVANCE_METAS[[#This Row],[PROGRAMADO ANUAL]])*100,"N/A")</f>
        <v>-50</v>
      </c>
      <c r="AQ216" s="48" t="s">
        <v>63</v>
      </c>
      <c r="AR216" s="49"/>
      <c r="AS216" s="50"/>
      <c r="AT216" s="50"/>
      <c r="AU216" s="51" t="b">
        <f>TABLA_AVANCE_METAS[[#This Row],[PROGRAMADO ANUAL]]=SUM(TABLA_AVANCE_METAS[[#This Row],[PROGR. 1° TRIM]],TABLA_AVANCE_METAS[[#This Row],[PROGR. 2° TRIM]],TABLA_AVANCE_METAS[[#This Row],[PROGR. 3° TRIM]],TABLA_AVANCE_METAS[[#This Row],[PROGR. 4° TRIM]])</f>
        <v>1</v>
      </c>
      <c r="AV216" s="52"/>
    </row>
    <row r="217" spans="1:48" ht="75" hidden="1" customHeight="1" x14ac:dyDescent="0.3">
      <c r="A217" s="31" t="str">
        <f>CONCATENATE(TABLA_AVANCE_METAS[[#This Row],[ESTRUCTURA]],TABLA_AVANCE_METAS[[#This Row],['#]])</f>
        <v>G0022801030401023</v>
      </c>
      <c r="B217" s="32" t="s">
        <v>642</v>
      </c>
      <c r="C217" s="55" t="s">
        <v>630</v>
      </c>
      <c r="D217" s="54" t="s">
        <v>629</v>
      </c>
      <c r="E217" s="32" t="s">
        <v>614</v>
      </c>
      <c r="F217" s="54" t="s">
        <v>615</v>
      </c>
      <c r="G217" s="56" t="s">
        <v>643</v>
      </c>
      <c r="H217" s="54" t="s">
        <v>632</v>
      </c>
      <c r="I217" s="54" t="s">
        <v>633</v>
      </c>
      <c r="J217" s="54" t="s">
        <v>644</v>
      </c>
      <c r="K217" s="54" t="s">
        <v>645</v>
      </c>
      <c r="L217" s="55">
        <v>3</v>
      </c>
      <c r="M217" s="57" t="s">
        <v>649</v>
      </c>
      <c r="N217" s="56" t="s">
        <v>650</v>
      </c>
      <c r="O217" s="36">
        <v>2</v>
      </c>
      <c r="P217" s="36">
        <v>0</v>
      </c>
      <c r="Q217" s="37">
        <v>0</v>
      </c>
      <c r="R217" s="38" t="str">
        <f>IFERROR((TABLA_AVANCE_METAS[[#This Row],[AVANCE 1°. TRIM]]/TABLA_AVANCE_METAS[[#This Row],[PROGR. 1° TRIM]])*100,"0")</f>
        <v>0</v>
      </c>
      <c r="S217"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NO PROG.</v>
      </c>
      <c r="T217" s="36">
        <v>1</v>
      </c>
      <c r="U217" s="37">
        <v>1</v>
      </c>
      <c r="V217" s="40">
        <f t="shared" si="9"/>
        <v>100</v>
      </c>
      <c r="W217" s="39" t="str">
        <f t="shared" si="10"/>
        <v>ADECUADO</v>
      </c>
      <c r="X217" s="36">
        <v>0</v>
      </c>
      <c r="Y217" s="37">
        <v>0</v>
      </c>
      <c r="Z217" s="40" t="s">
        <v>72</v>
      </c>
      <c r="AA217" s="39" t="s">
        <v>73</v>
      </c>
      <c r="AB217" s="36">
        <v>1</v>
      </c>
      <c r="AC217" s="41">
        <v>0</v>
      </c>
      <c r="AD217" s="40">
        <f>IFERROR((TABLA_AVANCE_METAS[[#This Row],[AVANCE 4°. TRIM]]/TABLA_AVANCE_METAS[[#This Row],[PROGR. 4° TRIM]])*100,"0")</f>
        <v>0</v>
      </c>
      <c r="AE217"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217" s="43" cm="1">
        <f t="array" ref="AF217">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v>
      </c>
      <c r="AG217" s="44" cm="1">
        <f t="array" ref="AG217">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1</v>
      </c>
      <c r="AH217" s="40">
        <f>IFERROR((TABLA_AVANCE_METAS[[#This Row],[AVANCE ACUM. TRIM.]]/TABLA_AVANCE_METAS[[#This Row],[PROG. ACUM]])*100,"N/A")</f>
        <v>100</v>
      </c>
      <c r="AI217"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217" s="45">
        <f>TABLA_AVANCE_METAS[[#This Row],[AVANCE ACUM. TRIM.]]-TABLA_AVANCE_METAS[[#This Row],[PROG. ACUM]]</f>
        <v>0</v>
      </c>
      <c r="AK217" s="46">
        <f>IFERROR((TABLA_AVANCE_METAS[[#This Row],[DIFERENCIA ABSOLUTA SEMESTRAL]]/TABLA_AVANCE_METAS[[#This Row],[PROG. ACUM]])*100,"N/A")</f>
        <v>0</v>
      </c>
      <c r="AL217" s="44">
        <f>TABLA_AVANCE_METAS[[#This Row],[AVANCE 1°. TRIM]]+TABLA_AVANCE_METAS[[#This Row],[AVANCE 2°. TRIM]]+TABLA_AVANCE_METAS[[#This Row],[AVANCE 3°. TRIM]]+TABLA_AVANCE_METAS[[#This Row],[AVANCE 4°. TRIM]]</f>
        <v>1</v>
      </c>
      <c r="AM217" s="40">
        <f>IFERROR((TABLA_AVANCE_METAS[[#This Row],[AVANCE ACUM. ANUAL]]/TABLA_AVANCE_METAS[[#This Row],[PROGRAMADO ANUAL]])*100,"N/A")</f>
        <v>50</v>
      </c>
      <c r="AN217"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217" s="45">
        <f>TABLA_AVANCE_METAS[[#This Row],[AVANCE ACUM. ANUAL]]-TABLA_AVANCE_METAS[[#This Row],[PROGRAMADO ANUAL]]</f>
        <v>-1</v>
      </c>
      <c r="AP217" s="47">
        <f>IFERROR((TABLA_AVANCE_METAS[[#This Row],[DIFERENCIA ABSOLUTA ANUAL]]/TABLA_AVANCE_METAS[[#This Row],[PROGRAMADO ANUAL]])*100,"N/A")</f>
        <v>-50</v>
      </c>
      <c r="AQ217" s="48" t="s">
        <v>63</v>
      </c>
      <c r="AR217" s="49"/>
      <c r="AS217" s="50"/>
      <c r="AT217" s="50"/>
      <c r="AU217" s="51" t="b">
        <f>TABLA_AVANCE_METAS[[#This Row],[PROGRAMADO ANUAL]]=SUM(TABLA_AVANCE_METAS[[#This Row],[PROGR. 1° TRIM]],TABLA_AVANCE_METAS[[#This Row],[PROGR. 2° TRIM]],TABLA_AVANCE_METAS[[#This Row],[PROGR. 3° TRIM]],TABLA_AVANCE_METAS[[#This Row],[PROGR. 4° TRIM]])</f>
        <v>1</v>
      </c>
      <c r="AV217" s="52"/>
    </row>
    <row r="218" spans="1:48" ht="75" hidden="1" customHeight="1" x14ac:dyDescent="0.3">
      <c r="A218" s="31" t="str">
        <f>CONCATENATE(TABLA_AVANCE_METAS[[#This Row],[ESTRUCTURA]],TABLA_AVANCE_METAS[[#This Row],['#]])</f>
        <v>G0022801030401024</v>
      </c>
      <c r="B218" s="32" t="s">
        <v>642</v>
      </c>
      <c r="C218" s="55" t="s">
        <v>630</v>
      </c>
      <c r="D218" s="54" t="s">
        <v>629</v>
      </c>
      <c r="E218" s="32" t="s">
        <v>614</v>
      </c>
      <c r="F218" s="54" t="s">
        <v>615</v>
      </c>
      <c r="G218" s="56" t="s">
        <v>643</v>
      </c>
      <c r="H218" s="54" t="s">
        <v>632</v>
      </c>
      <c r="I218" s="54" t="s">
        <v>633</v>
      </c>
      <c r="J218" s="54" t="s">
        <v>644</v>
      </c>
      <c r="K218" s="54" t="s">
        <v>645</v>
      </c>
      <c r="L218" s="55">
        <v>4</v>
      </c>
      <c r="M218" s="57" t="s">
        <v>651</v>
      </c>
      <c r="N218" s="56" t="s">
        <v>652</v>
      </c>
      <c r="O218" s="36">
        <v>4</v>
      </c>
      <c r="P218" s="36">
        <v>0</v>
      </c>
      <c r="Q218" s="37">
        <v>0</v>
      </c>
      <c r="R218" s="38" t="str">
        <f>IFERROR((TABLA_AVANCE_METAS[[#This Row],[AVANCE 1°. TRIM]]/TABLA_AVANCE_METAS[[#This Row],[PROGR. 1° TRIM]])*100,"0")</f>
        <v>0</v>
      </c>
      <c r="S218"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NO PROG.</v>
      </c>
      <c r="T218" s="36">
        <v>1</v>
      </c>
      <c r="U218" s="37">
        <v>1</v>
      </c>
      <c r="V218" s="40">
        <f t="shared" si="9"/>
        <v>100</v>
      </c>
      <c r="W218" s="39" t="str">
        <f t="shared" si="10"/>
        <v>ADECUADO</v>
      </c>
      <c r="X218" s="36">
        <v>2</v>
      </c>
      <c r="Y218" s="37">
        <v>0</v>
      </c>
      <c r="Z218" s="40">
        <v>0</v>
      </c>
      <c r="AA218" s="39" t="s">
        <v>62</v>
      </c>
      <c r="AB218" s="36">
        <v>1</v>
      </c>
      <c r="AC218" s="41">
        <v>0</v>
      </c>
      <c r="AD218" s="40">
        <f>IFERROR((TABLA_AVANCE_METAS[[#This Row],[AVANCE 4°. TRIM]]/TABLA_AVANCE_METAS[[#This Row],[PROGR. 4° TRIM]])*100,"0")</f>
        <v>0</v>
      </c>
      <c r="AE218"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218" s="43" cm="1">
        <f t="array" ref="AF218">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v>
      </c>
      <c r="AG218" s="44" cm="1">
        <f t="array" ref="AG218">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1</v>
      </c>
      <c r="AH218" s="40">
        <f>IFERROR((TABLA_AVANCE_METAS[[#This Row],[AVANCE ACUM. TRIM.]]/TABLA_AVANCE_METAS[[#This Row],[PROG. ACUM]])*100,"N/A")</f>
        <v>100</v>
      </c>
      <c r="AI218"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218" s="45">
        <f>TABLA_AVANCE_METAS[[#This Row],[AVANCE ACUM. TRIM.]]-TABLA_AVANCE_METAS[[#This Row],[PROG. ACUM]]</f>
        <v>0</v>
      </c>
      <c r="AK218" s="46">
        <f>IFERROR((TABLA_AVANCE_METAS[[#This Row],[DIFERENCIA ABSOLUTA SEMESTRAL]]/TABLA_AVANCE_METAS[[#This Row],[PROG. ACUM]])*100,"N/A")</f>
        <v>0</v>
      </c>
      <c r="AL218" s="44">
        <f>TABLA_AVANCE_METAS[[#This Row],[AVANCE 1°. TRIM]]+TABLA_AVANCE_METAS[[#This Row],[AVANCE 2°. TRIM]]+TABLA_AVANCE_METAS[[#This Row],[AVANCE 3°. TRIM]]+TABLA_AVANCE_METAS[[#This Row],[AVANCE 4°. TRIM]]</f>
        <v>1</v>
      </c>
      <c r="AM218" s="40">
        <f>IFERROR((TABLA_AVANCE_METAS[[#This Row],[AVANCE ACUM. ANUAL]]/TABLA_AVANCE_METAS[[#This Row],[PROGRAMADO ANUAL]])*100,"N/A")</f>
        <v>25</v>
      </c>
      <c r="AN218"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218" s="45">
        <f>TABLA_AVANCE_METAS[[#This Row],[AVANCE ACUM. ANUAL]]-TABLA_AVANCE_METAS[[#This Row],[PROGRAMADO ANUAL]]</f>
        <v>-3</v>
      </c>
      <c r="AP218" s="47">
        <f>IFERROR((TABLA_AVANCE_METAS[[#This Row],[DIFERENCIA ABSOLUTA ANUAL]]/TABLA_AVANCE_METAS[[#This Row],[PROGRAMADO ANUAL]])*100,"N/A")</f>
        <v>-75</v>
      </c>
      <c r="AQ218" s="48" t="s">
        <v>63</v>
      </c>
      <c r="AR218" s="49"/>
      <c r="AS218" s="50"/>
      <c r="AT218" s="50"/>
      <c r="AU218" s="51" t="b">
        <f>TABLA_AVANCE_METAS[[#This Row],[PROGRAMADO ANUAL]]=SUM(TABLA_AVANCE_METAS[[#This Row],[PROGR. 1° TRIM]],TABLA_AVANCE_METAS[[#This Row],[PROGR. 2° TRIM]],TABLA_AVANCE_METAS[[#This Row],[PROGR. 3° TRIM]],TABLA_AVANCE_METAS[[#This Row],[PROGR. 4° TRIM]])</f>
        <v>1</v>
      </c>
      <c r="AV218" s="52"/>
    </row>
    <row r="219" spans="1:48" ht="75" hidden="1" customHeight="1" x14ac:dyDescent="0.3">
      <c r="A219" s="31" t="str">
        <f>CONCATENATE(TABLA_AVANCE_METAS[[#This Row],[ESTRUCTURA]],TABLA_AVANCE_METAS[[#This Row],['#]])</f>
        <v>G0022801030401025</v>
      </c>
      <c r="B219" s="32" t="s">
        <v>642</v>
      </c>
      <c r="C219" s="55" t="s">
        <v>630</v>
      </c>
      <c r="D219" s="54" t="s">
        <v>629</v>
      </c>
      <c r="E219" s="32" t="s">
        <v>614</v>
      </c>
      <c r="F219" s="54" t="s">
        <v>615</v>
      </c>
      <c r="G219" s="56" t="s">
        <v>643</v>
      </c>
      <c r="H219" s="54" t="s">
        <v>632</v>
      </c>
      <c r="I219" s="54" t="s">
        <v>633</v>
      </c>
      <c r="J219" s="54" t="s">
        <v>644</v>
      </c>
      <c r="K219" s="54" t="s">
        <v>645</v>
      </c>
      <c r="L219" s="55">
        <v>5</v>
      </c>
      <c r="M219" s="57" t="s">
        <v>653</v>
      </c>
      <c r="N219" s="56" t="s">
        <v>85</v>
      </c>
      <c r="O219" s="36">
        <v>4</v>
      </c>
      <c r="P219" s="36">
        <v>0</v>
      </c>
      <c r="Q219" s="37">
        <v>0</v>
      </c>
      <c r="R219" s="38" t="str">
        <f>IFERROR((TABLA_AVANCE_METAS[[#This Row],[AVANCE 1°. TRIM]]/TABLA_AVANCE_METAS[[#This Row],[PROGR. 1° TRIM]])*100,"0")</f>
        <v>0</v>
      </c>
      <c r="S219"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NO PROG.</v>
      </c>
      <c r="T219" s="36">
        <v>2</v>
      </c>
      <c r="U219" s="37">
        <v>0</v>
      </c>
      <c r="V219" s="40">
        <f t="shared" si="9"/>
        <v>0</v>
      </c>
      <c r="W219" s="39" t="str">
        <f t="shared" si="10"/>
        <v>CRÍTICO</v>
      </c>
      <c r="X219" s="36">
        <v>1</v>
      </c>
      <c r="Y219" s="37">
        <v>0</v>
      </c>
      <c r="Z219" s="40">
        <v>0</v>
      </c>
      <c r="AA219" s="39" t="s">
        <v>62</v>
      </c>
      <c r="AB219" s="36">
        <v>1</v>
      </c>
      <c r="AC219" s="41">
        <v>0</v>
      </c>
      <c r="AD219" s="40">
        <f>IFERROR((TABLA_AVANCE_METAS[[#This Row],[AVANCE 4°. TRIM]]/TABLA_AVANCE_METAS[[#This Row],[PROGR. 4° TRIM]])*100,"0")</f>
        <v>0</v>
      </c>
      <c r="AE219"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219" s="43" cm="1">
        <f t="array" ref="AF219">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2</v>
      </c>
      <c r="AG219" s="44" cm="1">
        <f t="array" ref="AG219">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0</v>
      </c>
      <c r="AH219" s="40">
        <f>IFERROR((TABLA_AVANCE_METAS[[#This Row],[AVANCE ACUM. TRIM.]]/TABLA_AVANCE_METAS[[#This Row],[PROG. ACUM]])*100,"N/A")</f>
        <v>0</v>
      </c>
      <c r="AI219"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CRÍTICO</v>
      </c>
      <c r="AJ219" s="45">
        <f>TABLA_AVANCE_METAS[[#This Row],[AVANCE ACUM. TRIM.]]-TABLA_AVANCE_METAS[[#This Row],[PROG. ACUM]]</f>
        <v>-2</v>
      </c>
      <c r="AK219" s="46">
        <f>IFERROR((TABLA_AVANCE_METAS[[#This Row],[DIFERENCIA ABSOLUTA SEMESTRAL]]/TABLA_AVANCE_METAS[[#This Row],[PROG. ACUM]])*100,"N/A")</f>
        <v>-100</v>
      </c>
      <c r="AL219" s="44">
        <f>TABLA_AVANCE_METAS[[#This Row],[AVANCE 1°. TRIM]]+TABLA_AVANCE_METAS[[#This Row],[AVANCE 2°. TRIM]]+TABLA_AVANCE_METAS[[#This Row],[AVANCE 3°. TRIM]]+TABLA_AVANCE_METAS[[#This Row],[AVANCE 4°. TRIM]]</f>
        <v>0</v>
      </c>
      <c r="AM219" s="40">
        <f>IFERROR((TABLA_AVANCE_METAS[[#This Row],[AVANCE ACUM. ANUAL]]/TABLA_AVANCE_METAS[[#This Row],[PROGRAMADO ANUAL]])*100,"N/A")</f>
        <v>0</v>
      </c>
      <c r="AN219"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219" s="45">
        <f>TABLA_AVANCE_METAS[[#This Row],[AVANCE ACUM. ANUAL]]-TABLA_AVANCE_METAS[[#This Row],[PROGRAMADO ANUAL]]</f>
        <v>-4</v>
      </c>
      <c r="AP219" s="47">
        <f>IFERROR((TABLA_AVANCE_METAS[[#This Row],[DIFERENCIA ABSOLUTA ANUAL]]/TABLA_AVANCE_METAS[[#This Row],[PROGRAMADO ANUAL]])*100,"N/A")</f>
        <v>-100</v>
      </c>
      <c r="AQ219" s="48" t="s">
        <v>63</v>
      </c>
      <c r="AR219" s="49"/>
      <c r="AS219" s="50"/>
      <c r="AT219" s="50"/>
      <c r="AU219" s="51" t="b">
        <f>TABLA_AVANCE_METAS[[#This Row],[PROGRAMADO ANUAL]]=SUM(TABLA_AVANCE_METAS[[#This Row],[PROGR. 1° TRIM]],TABLA_AVANCE_METAS[[#This Row],[PROGR. 2° TRIM]],TABLA_AVANCE_METAS[[#This Row],[PROGR. 3° TRIM]],TABLA_AVANCE_METAS[[#This Row],[PROGR. 4° TRIM]])</f>
        <v>1</v>
      </c>
      <c r="AV219" s="52"/>
    </row>
    <row r="220" spans="1:48" ht="75" hidden="1" customHeight="1" x14ac:dyDescent="0.3">
      <c r="A220" s="31" t="str">
        <f>CONCATENATE(TABLA_AVANCE_METAS[[#This Row],[ESTRUCTURA]],TABLA_AVANCE_METAS[[#This Row],['#]])</f>
        <v>G0022801030401026</v>
      </c>
      <c r="B220" s="32" t="s">
        <v>642</v>
      </c>
      <c r="C220" s="55" t="s">
        <v>630</v>
      </c>
      <c r="D220" s="54" t="s">
        <v>629</v>
      </c>
      <c r="E220" s="32" t="s">
        <v>614</v>
      </c>
      <c r="F220" s="54" t="s">
        <v>615</v>
      </c>
      <c r="G220" s="56" t="s">
        <v>643</v>
      </c>
      <c r="H220" s="54" t="s">
        <v>632</v>
      </c>
      <c r="I220" s="54" t="s">
        <v>633</v>
      </c>
      <c r="J220" s="54" t="s">
        <v>644</v>
      </c>
      <c r="K220" s="54" t="s">
        <v>645</v>
      </c>
      <c r="L220" s="55">
        <v>6</v>
      </c>
      <c r="M220" s="57" t="s">
        <v>654</v>
      </c>
      <c r="N220" s="56" t="s">
        <v>655</v>
      </c>
      <c r="O220" s="36">
        <v>24</v>
      </c>
      <c r="P220" s="36">
        <v>6</v>
      </c>
      <c r="Q220" s="37">
        <v>6</v>
      </c>
      <c r="R220" s="38">
        <f>IFERROR((TABLA_AVANCE_METAS[[#This Row],[AVANCE 1°. TRIM]]/TABLA_AVANCE_METAS[[#This Row],[PROGR. 1° TRIM]])*100,"0")</f>
        <v>100</v>
      </c>
      <c r="S220"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220" s="36">
        <v>6</v>
      </c>
      <c r="U220" s="37">
        <v>6</v>
      </c>
      <c r="V220" s="40">
        <f t="shared" si="9"/>
        <v>100</v>
      </c>
      <c r="W220" s="39" t="str">
        <f t="shared" si="10"/>
        <v>ADECUADO</v>
      </c>
      <c r="X220" s="36">
        <v>6</v>
      </c>
      <c r="Y220" s="37">
        <v>0</v>
      </c>
      <c r="Z220" s="40">
        <v>0</v>
      </c>
      <c r="AA220" s="39" t="s">
        <v>62</v>
      </c>
      <c r="AB220" s="36">
        <v>6</v>
      </c>
      <c r="AC220" s="41">
        <v>0</v>
      </c>
      <c r="AD220" s="40">
        <f>IFERROR((TABLA_AVANCE_METAS[[#This Row],[AVANCE 4°. TRIM]]/TABLA_AVANCE_METAS[[#This Row],[PROGR. 4° TRIM]])*100,"0")</f>
        <v>0</v>
      </c>
      <c r="AE220"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220" s="43" cm="1">
        <f t="array" ref="AF220">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12</v>
      </c>
      <c r="AG220" s="44" cm="1">
        <f t="array" ref="AG220">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12</v>
      </c>
      <c r="AH220" s="40">
        <f>IFERROR((TABLA_AVANCE_METAS[[#This Row],[AVANCE ACUM. TRIM.]]/TABLA_AVANCE_METAS[[#This Row],[PROG. ACUM]])*100,"N/A")</f>
        <v>100</v>
      </c>
      <c r="AI220"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220" s="45">
        <f>TABLA_AVANCE_METAS[[#This Row],[AVANCE ACUM. TRIM.]]-TABLA_AVANCE_METAS[[#This Row],[PROG. ACUM]]</f>
        <v>0</v>
      </c>
      <c r="AK220" s="46">
        <f>IFERROR((TABLA_AVANCE_METAS[[#This Row],[DIFERENCIA ABSOLUTA SEMESTRAL]]/TABLA_AVANCE_METAS[[#This Row],[PROG. ACUM]])*100,"N/A")</f>
        <v>0</v>
      </c>
      <c r="AL220" s="44">
        <f>TABLA_AVANCE_METAS[[#This Row],[AVANCE 1°. TRIM]]+TABLA_AVANCE_METAS[[#This Row],[AVANCE 2°. TRIM]]+TABLA_AVANCE_METAS[[#This Row],[AVANCE 3°. TRIM]]+TABLA_AVANCE_METAS[[#This Row],[AVANCE 4°. TRIM]]</f>
        <v>12</v>
      </c>
      <c r="AM220" s="40">
        <f>IFERROR((TABLA_AVANCE_METAS[[#This Row],[AVANCE ACUM. ANUAL]]/TABLA_AVANCE_METAS[[#This Row],[PROGRAMADO ANUAL]])*100,"N/A")</f>
        <v>50</v>
      </c>
      <c r="AN220"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220" s="45">
        <f>TABLA_AVANCE_METAS[[#This Row],[AVANCE ACUM. ANUAL]]-TABLA_AVANCE_METAS[[#This Row],[PROGRAMADO ANUAL]]</f>
        <v>-12</v>
      </c>
      <c r="AP220" s="47">
        <f>IFERROR((TABLA_AVANCE_METAS[[#This Row],[DIFERENCIA ABSOLUTA ANUAL]]/TABLA_AVANCE_METAS[[#This Row],[PROGRAMADO ANUAL]])*100,"N/A")</f>
        <v>-50</v>
      </c>
      <c r="AQ220" s="48" t="s">
        <v>63</v>
      </c>
      <c r="AR220" s="49"/>
      <c r="AS220" s="50"/>
      <c r="AT220" s="50"/>
      <c r="AU220" s="51" t="b">
        <f>TABLA_AVANCE_METAS[[#This Row],[PROGRAMADO ANUAL]]=SUM(TABLA_AVANCE_METAS[[#This Row],[PROGR. 1° TRIM]],TABLA_AVANCE_METAS[[#This Row],[PROGR. 2° TRIM]],TABLA_AVANCE_METAS[[#This Row],[PROGR. 3° TRIM]],TABLA_AVANCE_METAS[[#This Row],[PROGR. 4° TRIM]])</f>
        <v>1</v>
      </c>
      <c r="AV220" s="52"/>
    </row>
    <row r="221" spans="1:48" ht="75" hidden="1" customHeight="1" x14ac:dyDescent="0.3">
      <c r="A221" s="31" t="str">
        <f>CONCATENATE(TABLA_AVANCE_METAS[[#This Row],[ESTRUCTURA]],TABLA_AVANCE_METAS[[#This Row],['#]])</f>
        <v>G0022801030401027</v>
      </c>
      <c r="B221" s="32" t="s">
        <v>642</v>
      </c>
      <c r="C221" s="55" t="s">
        <v>630</v>
      </c>
      <c r="D221" s="54" t="s">
        <v>629</v>
      </c>
      <c r="E221" s="32" t="s">
        <v>614</v>
      </c>
      <c r="F221" s="54" t="s">
        <v>615</v>
      </c>
      <c r="G221" s="56" t="s">
        <v>643</v>
      </c>
      <c r="H221" s="54" t="s">
        <v>632</v>
      </c>
      <c r="I221" s="54" t="s">
        <v>633</v>
      </c>
      <c r="J221" s="54" t="s">
        <v>644</v>
      </c>
      <c r="K221" s="54" t="s">
        <v>645</v>
      </c>
      <c r="L221" s="55">
        <v>7</v>
      </c>
      <c r="M221" s="57" t="s">
        <v>656</v>
      </c>
      <c r="N221" s="56" t="s">
        <v>657</v>
      </c>
      <c r="O221" s="36">
        <v>24</v>
      </c>
      <c r="P221" s="36">
        <v>6</v>
      </c>
      <c r="Q221" s="37">
        <v>6</v>
      </c>
      <c r="R221" s="38">
        <f>IFERROR((TABLA_AVANCE_METAS[[#This Row],[AVANCE 1°. TRIM]]/TABLA_AVANCE_METAS[[#This Row],[PROGR. 1° TRIM]])*100,"0")</f>
        <v>100</v>
      </c>
      <c r="S221"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221" s="36">
        <v>6</v>
      </c>
      <c r="U221" s="37">
        <v>6</v>
      </c>
      <c r="V221" s="40">
        <f t="shared" si="9"/>
        <v>100</v>
      </c>
      <c r="W221" s="39" t="str">
        <f t="shared" si="10"/>
        <v>ADECUADO</v>
      </c>
      <c r="X221" s="36">
        <v>6</v>
      </c>
      <c r="Y221" s="37">
        <v>0</v>
      </c>
      <c r="Z221" s="40">
        <v>0</v>
      </c>
      <c r="AA221" s="39" t="s">
        <v>62</v>
      </c>
      <c r="AB221" s="36">
        <v>6</v>
      </c>
      <c r="AC221" s="41">
        <v>0</v>
      </c>
      <c r="AD221" s="40">
        <f>IFERROR((TABLA_AVANCE_METAS[[#This Row],[AVANCE 4°. TRIM]]/TABLA_AVANCE_METAS[[#This Row],[PROGR. 4° TRIM]])*100,"0")</f>
        <v>0</v>
      </c>
      <c r="AE221"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221" s="43" cm="1">
        <f t="array" ref="AF221">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12</v>
      </c>
      <c r="AG221" s="44" cm="1">
        <f t="array" ref="AG221">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12</v>
      </c>
      <c r="AH221" s="40">
        <f>IFERROR((TABLA_AVANCE_METAS[[#This Row],[AVANCE ACUM. TRIM.]]/TABLA_AVANCE_METAS[[#This Row],[PROG. ACUM]])*100,"N/A")</f>
        <v>100</v>
      </c>
      <c r="AI221"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221" s="45">
        <f>TABLA_AVANCE_METAS[[#This Row],[AVANCE ACUM. TRIM.]]-TABLA_AVANCE_METAS[[#This Row],[PROG. ACUM]]</f>
        <v>0</v>
      </c>
      <c r="AK221" s="46">
        <f>IFERROR((TABLA_AVANCE_METAS[[#This Row],[DIFERENCIA ABSOLUTA SEMESTRAL]]/TABLA_AVANCE_METAS[[#This Row],[PROG. ACUM]])*100,"N/A")</f>
        <v>0</v>
      </c>
      <c r="AL221" s="44">
        <f>TABLA_AVANCE_METAS[[#This Row],[AVANCE 1°. TRIM]]+TABLA_AVANCE_METAS[[#This Row],[AVANCE 2°. TRIM]]+TABLA_AVANCE_METAS[[#This Row],[AVANCE 3°. TRIM]]+TABLA_AVANCE_METAS[[#This Row],[AVANCE 4°. TRIM]]</f>
        <v>12</v>
      </c>
      <c r="AM221" s="40">
        <f>IFERROR((TABLA_AVANCE_METAS[[#This Row],[AVANCE ACUM. ANUAL]]/TABLA_AVANCE_METAS[[#This Row],[PROGRAMADO ANUAL]])*100,"N/A")</f>
        <v>50</v>
      </c>
      <c r="AN221"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221" s="45">
        <f>TABLA_AVANCE_METAS[[#This Row],[AVANCE ACUM. ANUAL]]-TABLA_AVANCE_METAS[[#This Row],[PROGRAMADO ANUAL]]</f>
        <v>-12</v>
      </c>
      <c r="AP221" s="47">
        <f>IFERROR((TABLA_AVANCE_METAS[[#This Row],[DIFERENCIA ABSOLUTA ANUAL]]/TABLA_AVANCE_METAS[[#This Row],[PROGRAMADO ANUAL]])*100,"N/A")</f>
        <v>-50</v>
      </c>
      <c r="AQ221" s="48" t="s">
        <v>63</v>
      </c>
      <c r="AR221" s="49"/>
      <c r="AS221" s="50"/>
      <c r="AT221" s="50"/>
      <c r="AU221" s="51" t="b">
        <f>TABLA_AVANCE_METAS[[#This Row],[PROGRAMADO ANUAL]]=SUM(TABLA_AVANCE_METAS[[#This Row],[PROGR. 1° TRIM]],TABLA_AVANCE_METAS[[#This Row],[PROGR. 2° TRIM]],TABLA_AVANCE_METAS[[#This Row],[PROGR. 3° TRIM]],TABLA_AVANCE_METAS[[#This Row],[PROGR. 4° TRIM]])</f>
        <v>1</v>
      </c>
      <c r="AV221" s="52"/>
    </row>
    <row r="222" spans="1:48" ht="75" hidden="1" customHeight="1" x14ac:dyDescent="0.3">
      <c r="A222" s="31" t="str">
        <f>CONCATENATE(TABLA_AVANCE_METAS[[#This Row],[ESTRUCTURA]],TABLA_AVANCE_METAS[[#This Row],['#]])</f>
        <v>G0022801030401028</v>
      </c>
      <c r="B222" s="32" t="s">
        <v>642</v>
      </c>
      <c r="C222" s="55" t="s">
        <v>630</v>
      </c>
      <c r="D222" s="54" t="s">
        <v>629</v>
      </c>
      <c r="E222" s="32" t="s">
        <v>614</v>
      </c>
      <c r="F222" s="54" t="s">
        <v>615</v>
      </c>
      <c r="G222" s="56" t="s">
        <v>643</v>
      </c>
      <c r="H222" s="54" t="s">
        <v>632</v>
      </c>
      <c r="I222" s="54" t="s">
        <v>633</v>
      </c>
      <c r="J222" s="54" t="s">
        <v>644</v>
      </c>
      <c r="K222" s="54" t="s">
        <v>645</v>
      </c>
      <c r="L222" s="55">
        <v>8</v>
      </c>
      <c r="M222" s="57" t="s">
        <v>658</v>
      </c>
      <c r="N222" s="56" t="s">
        <v>145</v>
      </c>
      <c r="O222" s="36">
        <v>2</v>
      </c>
      <c r="P222" s="36">
        <v>0</v>
      </c>
      <c r="Q222" s="37">
        <v>0</v>
      </c>
      <c r="R222" s="38" t="str">
        <f>IFERROR((TABLA_AVANCE_METAS[[#This Row],[AVANCE 1°. TRIM]]/TABLA_AVANCE_METAS[[#This Row],[PROGR. 1° TRIM]])*100,"0")</f>
        <v>0</v>
      </c>
      <c r="S222"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NO PROG.</v>
      </c>
      <c r="T222" s="36">
        <v>1</v>
      </c>
      <c r="U222" s="37">
        <v>1</v>
      </c>
      <c r="V222" s="40">
        <f t="shared" si="9"/>
        <v>100</v>
      </c>
      <c r="W222" s="39" t="str">
        <f t="shared" si="10"/>
        <v>ADECUADO</v>
      </c>
      <c r="X222" s="36">
        <v>0</v>
      </c>
      <c r="Y222" s="37">
        <v>0</v>
      </c>
      <c r="Z222" s="40" t="s">
        <v>72</v>
      </c>
      <c r="AA222" s="39" t="s">
        <v>73</v>
      </c>
      <c r="AB222" s="36">
        <v>1</v>
      </c>
      <c r="AC222" s="41">
        <v>0</v>
      </c>
      <c r="AD222" s="40">
        <f>IFERROR((TABLA_AVANCE_METAS[[#This Row],[AVANCE 4°. TRIM]]/TABLA_AVANCE_METAS[[#This Row],[PROGR. 4° TRIM]])*100,"0")</f>
        <v>0</v>
      </c>
      <c r="AE222"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222" s="43" cm="1">
        <f t="array" ref="AF222">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v>
      </c>
      <c r="AG222" s="44" cm="1">
        <f t="array" ref="AG222">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1</v>
      </c>
      <c r="AH222" s="40">
        <f>IFERROR((TABLA_AVANCE_METAS[[#This Row],[AVANCE ACUM. TRIM.]]/TABLA_AVANCE_METAS[[#This Row],[PROG. ACUM]])*100,"N/A")</f>
        <v>100</v>
      </c>
      <c r="AI222"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222" s="45">
        <f>TABLA_AVANCE_METAS[[#This Row],[AVANCE ACUM. TRIM.]]-TABLA_AVANCE_METAS[[#This Row],[PROG. ACUM]]</f>
        <v>0</v>
      </c>
      <c r="AK222" s="46">
        <f>IFERROR((TABLA_AVANCE_METAS[[#This Row],[DIFERENCIA ABSOLUTA SEMESTRAL]]/TABLA_AVANCE_METAS[[#This Row],[PROG. ACUM]])*100,"N/A")</f>
        <v>0</v>
      </c>
      <c r="AL222" s="44">
        <f>TABLA_AVANCE_METAS[[#This Row],[AVANCE 1°. TRIM]]+TABLA_AVANCE_METAS[[#This Row],[AVANCE 2°. TRIM]]+TABLA_AVANCE_METAS[[#This Row],[AVANCE 3°. TRIM]]+TABLA_AVANCE_METAS[[#This Row],[AVANCE 4°. TRIM]]</f>
        <v>1</v>
      </c>
      <c r="AM222" s="40">
        <f>IFERROR((TABLA_AVANCE_METAS[[#This Row],[AVANCE ACUM. ANUAL]]/TABLA_AVANCE_METAS[[#This Row],[PROGRAMADO ANUAL]])*100,"N/A")</f>
        <v>50</v>
      </c>
      <c r="AN222"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222" s="45">
        <f>TABLA_AVANCE_METAS[[#This Row],[AVANCE ACUM. ANUAL]]-TABLA_AVANCE_METAS[[#This Row],[PROGRAMADO ANUAL]]</f>
        <v>-1</v>
      </c>
      <c r="AP222" s="47">
        <f>IFERROR((TABLA_AVANCE_METAS[[#This Row],[DIFERENCIA ABSOLUTA ANUAL]]/TABLA_AVANCE_METAS[[#This Row],[PROGRAMADO ANUAL]])*100,"N/A")</f>
        <v>-50</v>
      </c>
      <c r="AQ222" s="48" t="s">
        <v>63</v>
      </c>
      <c r="AR222" s="49"/>
      <c r="AS222" s="50"/>
      <c r="AT222" s="50"/>
      <c r="AU222" s="51" t="b">
        <f>TABLA_AVANCE_METAS[[#This Row],[PROGRAMADO ANUAL]]=SUM(TABLA_AVANCE_METAS[[#This Row],[PROGR. 1° TRIM]],TABLA_AVANCE_METAS[[#This Row],[PROGR. 2° TRIM]],TABLA_AVANCE_METAS[[#This Row],[PROGR. 3° TRIM]],TABLA_AVANCE_METAS[[#This Row],[PROGR. 4° TRIM]])</f>
        <v>1</v>
      </c>
      <c r="AV222" s="52"/>
    </row>
    <row r="223" spans="1:48" ht="75" hidden="1" customHeight="1" x14ac:dyDescent="0.3">
      <c r="A223" s="31" t="str">
        <f>CONCATENATE(TABLA_AVANCE_METAS[[#This Row],[ESTRUCTURA]],TABLA_AVANCE_METAS[[#This Row],['#]])</f>
        <v>G0022801030401029</v>
      </c>
      <c r="B223" s="32" t="s">
        <v>642</v>
      </c>
      <c r="C223" s="55" t="s">
        <v>630</v>
      </c>
      <c r="D223" s="54" t="s">
        <v>629</v>
      </c>
      <c r="E223" s="32" t="s">
        <v>614</v>
      </c>
      <c r="F223" s="54" t="s">
        <v>615</v>
      </c>
      <c r="G223" s="56" t="s">
        <v>643</v>
      </c>
      <c r="H223" s="54" t="s">
        <v>632</v>
      </c>
      <c r="I223" s="54" t="s">
        <v>633</v>
      </c>
      <c r="J223" s="54" t="s">
        <v>644</v>
      </c>
      <c r="K223" s="54" t="s">
        <v>645</v>
      </c>
      <c r="L223" s="55">
        <v>9</v>
      </c>
      <c r="M223" s="57" t="s">
        <v>659</v>
      </c>
      <c r="N223" s="56" t="s">
        <v>145</v>
      </c>
      <c r="O223" s="36">
        <v>2</v>
      </c>
      <c r="P223" s="36">
        <v>0</v>
      </c>
      <c r="Q223" s="37">
        <v>0</v>
      </c>
      <c r="R223" s="38" t="str">
        <f>IFERROR((TABLA_AVANCE_METAS[[#This Row],[AVANCE 1°. TRIM]]/TABLA_AVANCE_METAS[[#This Row],[PROGR. 1° TRIM]])*100,"0")</f>
        <v>0</v>
      </c>
      <c r="S223"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NO PROG.</v>
      </c>
      <c r="T223" s="36">
        <v>1</v>
      </c>
      <c r="U223" s="37">
        <v>1</v>
      </c>
      <c r="V223" s="40">
        <f t="shared" si="9"/>
        <v>100</v>
      </c>
      <c r="W223" s="39" t="str">
        <f t="shared" si="10"/>
        <v>ADECUADO</v>
      </c>
      <c r="X223" s="36">
        <v>0</v>
      </c>
      <c r="Y223" s="37">
        <v>0</v>
      </c>
      <c r="Z223" s="40" t="s">
        <v>72</v>
      </c>
      <c r="AA223" s="39" t="s">
        <v>73</v>
      </c>
      <c r="AB223" s="36">
        <v>1</v>
      </c>
      <c r="AC223" s="41">
        <v>0</v>
      </c>
      <c r="AD223" s="40">
        <f>IFERROR((TABLA_AVANCE_METAS[[#This Row],[AVANCE 4°. TRIM]]/TABLA_AVANCE_METAS[[#This Row],[PROGR. 4° TRIM]])*100,"0")</f>
        <v>0</v>
      </c>
      <c r="AE223"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223" s="43" cm="1">
        <f t="array" ref="AF223">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v>
      </c>
      <c r="AG223" s="44" cm="1">
        <f t="array" ref="AG223">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1</v>
      </c>
      <c r="AH223" s="40">
        <f>IFERROR((TABLA_AVANCE_METAS[[#This Row],[AVANCE ACUM. TRIM.]]/TABLA_AVANCE_METAS[[#This Row],[PROG. ACUM]])*100,"N/A")</f>
        <v>100</v>
      </c>
      <c r="AI223"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223" s="45">
        <f>TABLA_AVANCE_METAS[[#This Row],[AVANCE ACUM. TRIM.]]-TABLA_AVANCE_METAS[[#This Row],[PROG. ACUM]]</f>
        <v>0</v>
      </c>
      <c r="AK223" s="46">
        <f>IFERROR((TABLA_AVANCE_METAS[[#This Row],[DIFERENCIA ABSOLUTA SEMESTRAL]]/TABLA_AVANCE_METAS[[#This Row],[PROG. ACUM]])*100,"N/A")</f>
        <v>0</v>
      </c>
      <c r="AL223" s="44">
        <f>TABLA_AVANCE_METAS[[#This Row],[AVANCE 1°. TRIM]]+TABLA_AVANCE_METAS[[#This Row],[AVANCE 2°. TRIM]]+TABLA_AVANCE_METAS[[#This Row],[AVANCE 3°. TRIM]]+TABLA_AVANCE_METAS[[#This Row],[AVANCE 4°. TRIM]]</f>
        <v>1</v>
      </c>
      <c r="AM223" s="40">
        <f>IFERROR((TABLA_AVANCE_METAS[[#This Row],[AVANCE ACUM. ANUAL]]/TABLA_AVANCE_METAS[[#This Row],[PROGRAMADO ANUAL]])*100,"N/A")</f>
        <v>50</v>
      </c>
      <c r="AN223"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223" s="45">
        <f>TABLA_AVANCE_METAS[[#This Row],[AVANCE ACUM. ANUAL]]-TABLA_AVANCE_METAS[[#This Row],[PROGRAMADO ANUAL]]</f>
        <v>-1</v>
      </c>
      <c r="AP223" s="47">
        <f>IFERROR((TABLA_AVANCE_METAS[[#This Row],[DIFERENCIA ABSOLUTA ANUAL]]/TABLA_AVANCE_METAS[[#This Row],[PROGRAMADO ANUAL]])*100,"N/A")</f>
        <v>-50</v>
      </c>
      <c r="AQ223" s="48" t="s">
        <v>63</v>
      </c>
      <c r="AR223" s="49"/>
      <c r="AS223" s="50"/>
      <c r="AT223" s="50"/>
      <c r="AU223" s="51" t="b">
        <f>TABLA_AVANCE_METAS[[#This Row],[PROGRAMADO ANUAL]]=SUM(TABLA_AVANCE_METAS[[#This Row],[PROGR. 1° TRIM]],TABLA_AVANCE_METAS[[#This Row],[PROGR. 2° TRIM]],TABLA_AVANCE_METAS[[#This Row],[PROGR. 3° TRIM]],TABLA_AVANCE_METAS[[#This Row],[PROGR. 4° TRIM]])</f>
        <v>1</v>
      </c>
      <c r="AV223" s="52"/>
    </row>
    <row r="224" spans="1:48" ht="75" hidden="1" customHeight="1" x14ac:dyDescent="0.3">
      <c r="A224" s="31" t="str">
        <f>CONCATENATE(TABLA_AVANCE_METAS[[#This Row],[ESTRUCTURA]],TABLA_AVANCE_METAS[[#This Row],['#]])</f>
        <v>G00228010304010210</v>
      </c>
      <c r="B224" s="32" t="s">
        <v>642</v>
      </c>
      <c r="C224" s="55" t="s">
        <v>630</v>
      </c>
      <c r="D224" s="54" t="s">
        <v>629</v>
      </c>
      <c r="E224" s="32" t="s">
        <v>614</v>
      </c>
      <c r="F224" s="54" t="s">
        <v>615</v>
      </c>
      <c r="G224" s="56" t="s">
        <v>643</v>
      </c>
      <c r="H224" s="54" t="s">
        <v>632</v>
      </c>
      <c r="I224" s="54" t="s">
        <v>633</v>
      </c>
      <c r="J224" s="54" t="s">
        <v>644</v>
      </c>
      <c r="K224" s="54" t="s">
        <v>645</v>
      </c>
      <c r="L224" s="55">
        <v>10</v>
      </c>
      <c r="M224" s="57" t="s">
        <v>660</v>
      </c>
      <c r="N224" s="56" t="s">
        <v>149</v>
      </c>
      <c r="O224" s="36">
        <v>1</v>
      </c>
      <c r="P224" s="36">
        <v>0</v>
      </c>
      <c r="Q224" s="37">
        <v>0</v>
      </c>
      <c r="R224" s="38" t="str">
        <f>IFERROR((TABLA_AVANCE_METAS[[#This Row],[AVANCE 1°. TRIM]]/TABLA_AVANCE_METAS[[#This Row],[PROGR. 1° TRIM]])*100,"0")</f>
        <v>0</v>
      </c>
      <c r="S224"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NO PROG.</v>
      </c>
      <c r="T224" s="36">
        <v>0</v>
      </c>
      <c r="U224" s="37">
        <v>0</v>
      </c>
      <c r="V224" s="40" t="str">
        <f t="shared" si="9"/>
        <v>0</v>
      </c>
      <c r="W224" s="39" t="str">
        <f t="shared" si="10"/>
        <v>NO PROG.</v>
      </c>
      <c r="X224" s="36">
        <v>0</v>
      </c>
      <c r="Y224" s="37">
        <v>0</v>
      </c>
      <c r="Z224" s="40" t="s">
        <v>72</v>
      </c>
      <c r="AA224" s="39" t="s">
        <v>73</v>
      </c>
      <c r="AB224" s="36">
        <v>1</v>
      </c>
      <c r="AC224" s="41">
        <v>0</v>
      </c>
      <c r="AD224" s="40">
        <f>IFERROR((TABLA_AVANCE_METAS[[#This Row],[AVANCE 4°. TRIM]]/TABLA_AVANCE_METAS[[#This Row],[PROGR. 4° TRIM]])*100,"0")</f>
        <v>0</v>
      </c>
      <c r="AE224"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224" s="43" cm="1">
        <f t="array" ref="AF224">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0</v>
      </c>
      <c r="AG224" s="44" cm="1">
        <f t="array" ref="AG224">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0</v>
      </c>
      <c r="AH224" s="40" t="str">
        <f>IFERROR((TABLA_AVANCE_METAS[[#This Row],[AVANCE ACUM. TRIM.]]/TABLA_AVANCE_METAS[[#This Row],[PROG. ACUM]])*100,"N/A")</f>
        <v>N/A</v>
      </c>
      <c r="AI224"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NO PROG.</v>
      </c>
      <c r="AJ224" s="45">
        <f>TABLA_AVANCE_METAS[[#This Row],[AVANCE ACUM. TRIM.]]-TABLA_AVANCE_METAS[[#This Row],[PROG. ACUM]]</f>
        <v>0</v>
      </c>
      <c r="AK224" s="46" t="str">
        <f>IFERROR((TABLA_AVANCE_METAS[[#This Row],[DIFERENCIA ABSOLUTA SEMESTRAL]]/TABLA_AVANCE_METAS[[#This Row],[PROG. ACUM]])*100,"N/A")</f>
        <v>N/A</v>
      </c>
      <c r="AL224" s="44">
        <f>TABLA_AVANCE_METAS[[#This Row],[AVANCE 1°. TRIM]]+TABLA_AVANCE_METAS[[#This Row],[AVANCE 2°. TRIM]]+TABLA_AVANCE_METAS[[#This Row],[AVANCE 3°. TRIM]]+TABLA_AVANCE_METAS[[#This Row],[AVANCE 4°. TRIM]]</f>
        <v>0</v>
      </c>
      <c r="AM224" s="40">
        <f>IFERROR((TABLA_AVANCE_METAS[[#This Row],[AVANCE ACUM. ANUAL]]/TABLA_AVANCE_METAS[[#This Row],[PROGRAMADO ANUAL]])*100,"N/A")</f>
        <v>0</v>
      </c>
      <c r="AN224"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224" s="45">
        <f>TABLA_AVANCE_METAS[[#This Row],[AVANCE ACUM. ANUAL]]-TABLA_AVANCE_METAS[[#This Row],[PROGRAMADO ANUAL]]</f>
        <v>-1</v>
      </c>
      <c r="AP224" s="47">
        <f>IFERROR((TABLA_AVANCE_METAS[[#This Row],[DIFERENCIA ABSOLUTA ANUAL]]/TABLA_AVANCE_METAS[[#This Row],[PROGRAMADO ANUAL]])*100,"N/A")</f>
        <v>-100</v>
      </c>
      <c r="AQ224" s="48" t="s">
        <v>63</v>
      </c>
      <c r="AR224" s="49"/>
      <c r="AS224" s="50"/>
      <c r="AT224" s="50"/>
      <c r="AU224" s="51" t="b">
        <f>TABLA_AVANCE_METAS[[#This Row],[PROGRAMADO ANUAL]]=SUM(TABLA_AVANCE_METAS[[#This Row],[PROGR. 1° TRIM]],TABLA_AVANCE_METAS[[#This Row],[PROGR. 2° TRIM]],TABLA_AVANCE_METAS[[#This Row],[PROGR. 3° TRIM]],TABLA_AVANCE_METAS[[#This Row],[PROGR. 4° TRIM]])</f>
        <v>1</v>
      </c>
      <c r="AV224" s="52"/>
    </row>
    <row r="225" spans="1:48" ht="75" hidden="1" customHeight="1" x14ac:dyDescent="0.3">
      <c r="A225" s="31" t="str">
        <f>CONCATENATE(TABLA_AVANCE_METAS[[#This Row],[ESTRUCTURA]],TABLA_AVANCE_METAS[[#This Row],['#]])</f>
        <v>G0022801030402051</v>
      </c>
      <c r="B225" s="32" t="s">
        <v>661</v>
      </c>
      <c r="C225" s="55" t="s">
        <v>630</v>
      </c>
      <c r="D225" s="54" t="s">
        <v>629</v>
      </c>
      <c r="E225" s="32" t="s">
        <v>614</v>
      </c>
      <c r="F225" s="54" t="s">
        <v>615</v>
      </c>
      <c r="G225" s="56" t="s">
        <v>662</v>
      </c>
      <c r="H225" s="54" t="s">
        <v>663</v>
      </c>
      <c r="I225" s="54" t="s">
        <v>664</v>
      </c>
      <c r="J225" s="54" t="s">
        <v>665</v>
      </c>
      <c r="K225" s="54" t="s">
        <v>666</v>
      </c>
      <c r="L225" s="55">
        <v>1</v>
      </c>
      <c r="M225" s="57" t="s">
        <v>667</v>
      </c>
      <c r="N225" s="56" t="s">
        <v>668</v>
      </c>
      <c r="O225" s="36">
        <v>90</v>
      </c>
      <c r="P225" s="36">
        <v>15</v>
      </c>
      <c r="Q225" s="37">
        <v>15</v>
      </c>
      <c r="R225" s="38">
        <f>IFERROR((TABLA_AVANCE_METAS[[#This Row],[AVANCE 1°. TRIM]]/TABLA_AVANCE_METAS[[#This Row],[PROGR. 1° TRIM]])*100,"0")</f>
        <v>100</v>
      </c>
      <c r="S225"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225" s="36">
        <v>25</v>
      </c>
      <c r="U225" s="37">
        <v>25</v>
      </c>
      <c r="V225" s="40">
        <f t="shared" si="9"/>
        <v>100</v>
      </c>
      <c r="W225" s="39" t="str">
        <f t="shared" si="10"/>
        <v>ADECUADO</v>
      </c>
      <c r="X225" s="36">
        <v>25</v>
      </c>
      <c r="Y225" s="37">
        <v>0</v>
      </c>
      <c r="Z225" s="40">
        <v>0</v>
      </c>
      <c r="AA225" s="39" t="s">
        <v>62</v>
      </c>
      <c r="AB225" s="36">
        <v>25</v>
      </c>
      <c r="AC225" s="41">
        <v>0</v>
      </c>
      <c r="AD225" s="40">
        <f>IFERROR((TABLA_AVANCE_METAS[[#This Row],[AVANCE 4°. TRIM]]/TABLA_AVANCE_METAS[[#This Row],[PROGR. 4° TRIM]])*100,"0")</f>
        <v>0</v>
      </c>
      <c r="AE225"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225" s="43" cm="1">
        <f t="array" ref="AF225">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40</v>
      </c>
      <c r="AG225" s="44" cm="1">
        <f t="array" ref="AG225">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40</v>
      </c>
      <c r="AH225" s="40">
        <f>IFERROR((TABLA_AVANCE_METAS[[#This Row],[AVANCE ACUM. TRIM.]]/TABLA_AVANCE_METAS[[#This Row],[PROG. ACUM]])*100,"N/A")</f>
        <v>100</v>
      </c>
      <c r="AI225"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225" s="45">
        <f>TABLA_AVANCE_METAS[[#This Row],[AVANCE ACUM. TRIM.]]-TABLA_AVANCE_METAS[[#This Row],[PROG. ACUM]]</f>
        <v>0</v>
      </c>
      <c r="AK225" s="46">
        <f>IFERROR((TABLA_AVANCE_METAS[[#This Row],[DIFERENCIA ABSOLUTA SEMESTRAL]]/TABLA_AVANCE_METAS[[#This Row],[PROG. ACUM]])*100,"N/A")</f>
        <v>0</v>
      </c>
      <c r="AL225" s="44">
        <f>TABLA_AVANCE_METAS[[#This Row],[AVANCE 1°. TRIM]]+TABLA_AVANCE_METAS[[#This Row],[AVANCE 2°. TRIM]]+TABLA_AVANCE_METAS[[#This Row],[AVANCE 3°. TRIM]]+TABLA_AVANCE_METAS[[#This Row],[AVANCE 4°. TRIM]]</f>
        <v>40</v>
      </c>
      <c r="AM225" s="40">
        <f>IFERROR((TABLA_AVANCE_METAS[[#This Row],[AVANCE ACUM. ANUAL]]/TABLA_AVANCE_METAS[[#This Row],[PROGRAMADO ANUAL]])*100,"N/A")</f>
        <v>44.444444444444443</v>
      </c>
      <c r="AN225"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225" s="45">
        <f>TABLA_AVANCE_METAS[[#This Row],[AVANCE ACUM. ANUAL]]-TABLA_AVANCE_METAS[[#This Row],[PROGRAMADO ANUAL]]</f>
        <v>-50</v>
      </c>
      <c r="AP225" s="47">
        <f>IFERROR((TABLA_AVANCE_METAS[[#This Row],[DIFERENCIA ABSOLUTA ANUAL]]/TABLA_AVANCE_METAS[[#This Row],[PROGRAMADO ANUAL]])*100,"N/A")</f>
        <v>-55.555555555555557</v>
      </c>
      <c r="AQ225" s="48" t="s">
        <v>63</v>
      </c>
      <c r="AR225" s="49"/>
      <c r="AS225" s="50"/>
      <c r="AT225" s="50"/>
      <c r="AU225" s="51" t="b">
        <f>TABLA_AVANCE_METAS[[#This Row],[PROGRAMADO ANUAL]]=SUM(TABLA_AVANCE_METAS[[#This Row],[PROGR. 1° TRIM]],TABLA_AVANCE_METAS[[#This Row],[PROGR. 2° TRIM]],TABLA_AVANCE_METAS[[#This Row],[PROGR. 3° TRIM]],TABLA_AVANCE_METAS[[#This Row],[PROGR. 4° TRIM]])</f>
        <v>1</v>
      </c>
      <c r="AV225" s="52"/>
    </row>
    <row r="226" spans="1:48" ht="75" hidden="1" customHeight="1" x14ac:dyDescent="0.3">
      <c r="A226" s="31" t="str">
        <f>CONCATENATE(TABLA_AVANCE_METAS[[#This Row],[ESTRUCTURA]],TABLA_AVANCE_METAS[[#This Row],['#]])</f>
        <v>G0022801030402052</v>
      </c>
      <c r="B226" s="32" t="s">
        <v>661</v>
      </c>
      <c r="C226" s="55" t="s">
        <v>630</v>
      </c>
      <c r="D226" s="54" t="s">
        <v>629</v>
      </c>
      <c r="E226" s="32" t="s">
        <v>614</v>
      </c>
      <c r="F226" s="54" t="s">
        <v>615</v>
      </c>
      <c r="G226" s="56" t="s">
        <v>662</v>
      </c>
      <c r="H226" s="54" t="s">
        <v>663</v>
      </c>
      <c r="I226" s="54" t="s">
        <v>664</v>
      </c>
      <c r="J226" s="54" t="s">
        <v>665</v>
      </c>
      <c r="K226" s="54" t="s">
        <v>666</v>
      </c>
      <c r="L226" s="55">
        <v>2</v>
      </c>
      <c r="M226" s="57" t="s">
        <v>669</v>
      </c>
      <c r="N226" s="56" t="s">
        <v>71</v>
      </c>
      <c r="O226" s="36">
        <v>25</v>
      </c>
      <c r="P226" s="36">
        <v>10</v>
      </c>
      <c r="Q226" s="37">
        <v>10</v>
      </c>
      <c r="R226" s="38">
        <f>IFERROR((TABLA_AVANCE_METAS[[#This Row],[AVANCE 1°. TRIM]]/TABLA_AVANCE_METAS[[#This Row],[PROGR. 1° TRIM]])*100,"0")</f>
        <v>100</v>
      </c>
      <c r="S226"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226" s="36">
        <v>5</v>
      </c>
      <c r="U226" s="37">
        <v>5</v>
      </c>
      <c r="V226" s="40">
        <f t="shared" si="9"/>
        <v>100</v>
      </c>
      <c r="W226" s="39" t="str">
        <f t="shared" si="10"/>
        <v>ADECUADO</v>
      </c>
      <c r="X226" s="36">
        <v>5</v>
      </c>
      <c r="Y226" s="37">
        <v>0</v>
      </c>
      <c r="Z226" s="40">
        <v>0</v>
      </c>
      <c r="AA226" s="39" t="s">
        <v>62</v>
      </c>
      <c r="AB226" s="36">
        <v>5</v>
      </c>
      <c r="AC226" s="41">
        <v>0</v>
      </c>
      <c r="AD226" s="40">
        <f>IFERROR((TABLA_AVANCE_METAS[[#This Row],[AVANCE 4°. TRIM]]/TABLA_AVANCE_METAS[[#This Row],[PROGR. 4° TRIM]])*100,"0")</f>
        <v>0</v>
      </c>
      <c r="AE226"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226" s="43" cm="1">
        <f t="array" ref="AF226">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15</v>
      </c>
      <c r="AG226" s="44" cm="1">
        <f t="array" ref="AG226">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15</v>
      </c>
      <c r="AH226" s="40">
        <f>IFERROR((TABLA_AVANCE_METAS[[#This Row],[AVANCE ACUM. TRIM.]]/TABLA_AVANCE_METAS[[#This Row],[PROG. ACUM]])*100,"N/A")</f>
        <v>100</v>
      </c>
      <c r="AI226"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226" s="45">
        <f>TABLA_AVANCE_METAS[[#This Row],[AVANCE ACUM. TRIM.]]-TABLA_AVANCE_METAS[[#This Row],[PROG. ACUM]]</f>
        <v>0</v>
      </c>
      <c r="AK226" s="46">
        <f>IFERROR((TABLA_AVANCE_METAS[[#This Row],[DIFERENCIA ABSOLUTA SEMESTRAL]]/TABLA_AVANCE_METAS[[#This Row],[PROG. ACUM]])*100,"N/A")</f>
        <v>0</v>
      </c>
      <c r="AL226" s="44">
        <f>TABLA_AVANCE_METAS[[#This Row],[AVANCE 1°. TRIM]]+TABLA_AVANCE_METAS[[#This Row],[AVANCE 2°. TRIM]]+TABLA_AVANCE_METAS[[#This Row],[AVANCE 3°. TRIM]]+TABLA_AVANCE_METAS[[#This Row],[AVANCE 4°. TRIM]]</f>
        <v>15</v>
      </c>
      <c r="AM226" s="40">
        <f>IFERROR((TABLA_AVANCE_METAS[[#This Row],[AVANCE ACUM. ANUAL]]/TABLA_AVANCE_METAS[[#This Row],[PROGRAMADO ANUAL]])*100,"N/A")</f>
        <v>60</v>
      </c>
      <c r="AN226"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226" s="45">
        <f>TABLA_AVANCE_METAS[[#This Row],[AVANCE ACUM. ANUAL]]-TABLA_AVANCE_METAS[[#This Row],[PROGRAMADO ANUAL]]</f>
        <v>-10</v>
      </c>
      <c r="AP226" s="47">
        <f>IFERROR((TABLA_AVANCE_METAS[[#This Row],[DIFERENCIA ABSOLUTA ANUAL]]/TABLA_AVANCE_METAS[[#This Row],[PROGRAMADO ANUAL]])*100,"N/A")</f>
        <v>-40</v>
      </c>
      <c r="AQ226" s="48" t="s">
        <v>63</v>
      </c>
      <c r="AR226" s="49"/>
      <c r="AS226" s="50"/>
      <c r="AT226" s="50"/>
      <c r="AU226" s="51" t="b">
        <f>TABLA_AVANCE_METAS[[#This Row],[PROGRAMADO ANUAL]]=SUM(TABLA_AVANCE_METAS[[#This Row],[PROGR. 1° TRIM]],TABLA_AVANCE_METAS[[#This Row],[PROGR. 2° TRIM]],TABLA_AVANCE_METAS[[#This Row],[PROGR. 3° TRIM]],TABLA_AVANCE_METAS[[#This Row],[PROGR. 4° TRIM]])</f>
        <v>1</v>
      </c>
      <c r="AV226" s="52"/>
    </row>
    <row r="227" spans="1:48" ht="75" hidden="1" customHeight="1" x14ac:dyDescent="0.3">
      <c r="A227" s="31" t="str">
        <f>CONCATENATE(TABLA_AVANCE_METAS[[#This Row],[ESTRUCTURA]],TABLA_AVANCE_METAS[[#This Row],['#]])</f>
        <v>G0022801030402053</v>
      </c>
      <c r="B227" s="32" t="s">
        <v>661</v>
      </c>
      <c r="C227" s="55" t="s">
        <v>630</v>
      </c>
      <c r="D227" s="54" t="s">
        <v>629</v>
      </c>
      <c r="E227" s="32" t="s">
        <v>614</v>
      </c>
      <c r="F227" s="54" t="s">
        <v>615</v>
      </c>
      <c r="G227" s="56" t="s">
        <v>662</v>
      </c>
      <c r="H227" s="54" t="s">
        <v>663</v>
      </c>
      <c r="I227" s="54" t="s">
        <v>664</v>
      </c>
      <c r="J227" s="54" t="s">
        <v>665</v>
      </c>
      <c r="K227" s="54" t="s">
        <v>666</v>
      </c>
      <c r="L227" s="55">
        <v>3</v>
      </c>
      <c r="M227" s="57" t="s">
        <v>670</v>
      </c>
      <c r="N227" s="56" t="s">
        <v>671</v>
      </c>
      <c r="O227" s="36">
        <v>94</v>
      </c>
      <c r="P227" s="36">
        <v>24</v>
      </c>
      <c r="Q227" s="37">
        <v>24</v>
      </c>
      <c r="R227" s="38">
        <f>IFERROR((TABLA_AVANCE_METAS[[#This Row],[AVANCE 1°. TRIM]]/TABLA_AVANCE_METAS[[#This Row],[PROGR. 1° TRIM]])*100,"0")</f>
        <v>100</v>
      </c>
      <c r="S227"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227" s="36">
        <v>10</v>
      </c>
      <c r="U227" s="37">
        <v>10</v>
      </c>
      <c r="V227" s="40">
        <f t="shared" si="9"/>
        <v>100</v>
      </c>
      <c r="W227" s="39" t="str">
        <f t="shared" si="10"/>
        <v>ADECUADO</v>
      </c>
      <c r="X227" s="36">
        <v>25</v>
      </c>
      <c r="Y227" s="37">
        <v>0</v>
      </c>
      <c r="Z227" s="40">
        <v>0</v>
      </c>
      <c r="AA227" s="39" t="s">
        <v>62</v>
      </c>
      <c r="AB227" s="36">
        <v>35</v>
      </c>
      <c r="AC227" s="41">
        <v>0</v>
      </c>
      <c r="AD227" s="40">
        <f>IFERROR((TABLA_AVANCE_METAS[[#This Row],[AVANCE 4°. TRIM]]/TABLA_AVANCE_METAS[[#This Row],[PROGR. 4° TRIM]])*100,"0")</f>
        <v>0</v>
      </c>
      <c r="AE227"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227" s="43" cm="1">
        <f t="array" ref="AF227">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34</v>
      </c>
      <c r="AG227" s="44" cm="1">
        <f t="array" ref="AG227">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34</v>
      </c>
      <c r="AH227" s="40">
        <f>IFERROR((TABLA_AVANCE_METAS[[#This Row],[AVANCE ACUM. TRIM.]]/TABLA_AVANCE_METAS[[#This Row],[PROG. ACUM]])*100,"N/A")</f>
        <v>100</v>
      </c>
      <c r="AI227"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227" s="45">
        <f>TABLA_AVANCE_METAS[[#This Row],[AVANCE ACUM. TRIM.]]-TABLA_AVANCE_METAS[[#This Row],[PROG. ACUM]]</f>
        <v>0</v>
      </c>
      <c r="AK227" s="46">
        <f>IFERROR((TABLA_AVANCE_METAS[[#This Row],[DIFERENCIA ABSOLUTA SEMESTRAL]]/TABLA_AVANCE_METAS[[#This Row],[PROG. ACUM]])*100,"N/A")</f>
        <v>0</v>
      </c>
      <c r="AL227" s="44">
        <f>TABLA_AVANCE_METAS[[#This Row],[AVANCE 1°. TRIM]]+TABLA_AVANCE_METAS[[#This Row],[AVANCE 2°. TRIM]]+TABLA_AVANCE_METAS[[#This Row],[AVANCE 3°. TRIM]]+TABLA_AVANCE_METAS[[#This Row],[AVANCE 4°. TRIM]]</f>
        <v>34</v>
      </c>
      <c r="AM227" s="40">
        <f>IFERROR((TABLA_AVANCE_METAS[[#This Row],[AVANCE ACUM. ANUAL]]/TABLA_AVANCE_METAS[[#This Row],[PROGRAMADO ANUAL]])*100,"N/A")</f>
        <v>36.170212765957451</v>
      </c>
      <c r="AN227"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227" s="45">
        <f>TABLA_AVANCE_METAS[[#This Row],[AVANCE ACUM. ANUAL]]-TABLA_AVANCE_METAS[[#This Row],[PROGRAMADO ANUAL]]</f>
        <v>-60</v>
      </c>
      <c r="AP227" s="47">
        <f>IFERROR((TABLA_AVANCE_METAS[[#This Row],[DIFERENCIA ABSOLUTA ANUAL]]/TABLA_AVANCE_METAS[[#This Row],[PROGRAMADO ANUAL]])*100,"N/A")</f>
        <v>-63.829787234042556</v>
      </c>
      <c r="AQ227" s="48" t="s">
        <v>63</v>
      </c>
      <c r="AR227" s="49"/>
      <c r="AS227" s="50"/>
      <c r="AT227" s="50"/>
      <c r="AU227" s="51" t="b">
        <f>TABLA_AVANCE_METAS[[#This Row],[PROGRAMADO ANUAL]]=SUM(TABLA_AVANCE_METAS[[#This Row],[PROGR. 1° TRIM]],TABLA_AVANCE_METAS[[#This Row],[PROGR. 2° TRIM]],TABLA_AVANCE_METAS[[#This Row],[PROGR. 3° TRIM]],TABLA_AVANCE_METAS[[#This Row],[PROGR. 4° TRIM]])</f>
        <v>1</v>
      </c>
      <c r="AV227" s="52"/>
    </row>
    <row r="228" spans="1:48" ht="75" hidden="1" customHeight="1" x14ac:dyDescent="0.3">
      <c r="A228" s="31" t="str">
        <f>CONCATENATE(TABLA_AVANCE_METAS[[#This Row],[ESTRUCTURA]],TABLA_AVANCE_METAS[[#This Row],['#]])</f>
        <v>G0022801030402054</v>
      </c>
      <c r="B228" s="32" t="s">
        <v>661</v>
      </c>
      <c r="C228" s="55" t="s">
        <v>630</v>
      </c>
      <c r="D228" s="54" t="s">
        <v>629</v>
      </c>
      <c r="E228" s="32" t="s">
        <v>614</v>
      </c>
      <c r="F228" s="54" t="s">
        <v>615</v>
      </c>
      <c r="G228" s="56" t="s">
        <v>662</v>
      </c>
      <c r="H228" s="54" t="s">
        <v>663</v>
      </c>
      <c r="I228" s="54" t="s">
        <v>664</v>
      </c>
      <c r="J228" s="54" t="s">
        <v>665</v>
      </c>
      <c r="K228" s="54" t="s">
        <v>666</v>
      </c>
      <c r="L228" s="55">
        <v>4</v>
      </c>
      <c r="M228" s="57" t="s">
        <v>672</v>
      </c>
      <c r="N228" s="56" t="s">
        <v>673</v>
      </c>
      <c r="O228" s="36">
        <v>37</v>
      </c>
      <c r="P228" s="36">
        <v>7</v>
      </c>
      <c r="Q228" s="37">
        <v>7</v>
      </c>
      <c r="R228" s="38">
        <f>IFERROR((TABLA_AVANCE_METAS[[#This Row],[AVANCE 1°. TRIM]]/TABLA_AVANCE_METAS[[#This Row],[PROGR. 1° TRIM]])*100,"0")</f>
        <v>100</v>
      </c>
      <c r="S228"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228" s="36">
        <v>10</v>
      </c>
      <c r="U228" s="37">
        <v>10</v>
      </c>
      <c r="V228" s="40">
        <f t="shared" si="9"/>
        <v>100</v>
      </c>
      <c r="W228" s="39" t="str">
        <f t="shared" si="10"/>
        <v>ADECUADO</v>
      </c>
      <c r="X228" s="36">
        <v>10</v>
      </c>
      <c r="Y228" s="37">
        <v>0</v>
      </c>
      <c r="Z228" s="40">
        <v>0</v>
      </c>
      <c r="AA228" s="39" t="s">
        <v>62</v>
      </c>
      <c r="AB228" s="36">
        <v>10</v>
      </c>
      <c r="AC228" s="41">
        <v>0</v>
      </c>
      <c r="AD228" s="40">
        <f>IFERROR((TABLA_AVANCE_METAS[[#This Row],[AVANCE 4°. TRIM]]/TABLA_AVANCE_METAS[[#This Row],[PROGR. 4° TRIM]])*100,"0")</f>
        <v>0</v>
      </c>
      <c r="AE228"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228" s="43" cm="1">
        <f t="array" ref="AF228">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17</v>
      </c>
      <c r="AG228" s="44" cm="1">
        <f t="array" ref="AG228">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17</v>
      </c>
      <c r="AH228" s="40">
        <f>IFERROR((TABLA_AVANCE_METAS[[#This Row],[AVANCE ACUM. TRIM.]]/TABLA_AVANCE_METAS[[#This Row],[PROG. ACUM]])*100,"N/A")</f>
        <v>100</v>
      </c>
      <c r="AI228"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228" s="45">
        <f>TABLA_AVANCE_METAS[[#This Row],[AVANCE ACUM. TRIM.]]-TABLA_AVANCE_METAS[[#This Row],[PROG. ACUM]]</f>
        <v>0</v>
      </c>
      <c r="AK228" s="46">
        <f>IFERROR((TABLA_AVANCE_METAS[[#This Row],[DIFERENCIA ABSOLUTA SEMESTRAL]]/TABLA_AVANCE_METAS[[#This Row],[PROG. ACUM]])*100,"N/A")</f>
        <v>0</v>
      </c>
      <c r="AL228" s="44">
        <f>TABLA_AVANCE_METAS[[#This Row],[AVANCE 1°. TRIM]]+TABLA_AVANCE_METAS[[#This Row],[AVANCE 2°. TRIM]]+TABLA_AVANCE_METAS[[#This Row],[AVANCE 3°. TRIM]]+TABLA_AVANCE_METAS[[#This Row],[AVANCE 4°. TRIM]]</f>
        <v>17</v>
      </c>
      <c r="AM228" s="40">
        <f>IFERROR((TABLA_AVANCE_METAS[[#This Row],[AVANCE ACUM. ANUAL]]/TABLA_AVANCE_METAS[[#This Row],[PROGRAMADO ANUAL]])*100,"N/A")</f>
        <v>45.945945945945951</v>
      </c>
      <c r="AN228"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228" s="45">
        <f>TABLA_AVANCE_METAS[[#This Row],[AVANCE ACUM. ANUAL]]-TABLA_AVANCE_METAS[[#This Row],[PROGRAMADO ANUAL]]</f>
        <v>-20</v>
      </c>
      <c r="AP228" s="47">
        <f>IFERROR((TABLA_AVANCE_METAS[[#This Row],[DIFERENCIA ABSOLUTA ANUAL]]/TABLA_AVANCE_METAS[[#This Row],[PROGRAMADO ANUAL]])*100,"N/A")</f>
        <v>-54.054054054054056</v>
      </c>
      <c r="AQ228" s="48" t="s">
        <v>63</v>
      </c>
      <c r="AR228" s="49"/>
      <c r="AS228" s="50"/>
      <c r="AT228" s="50"/>
      <c r="AU228" s="51" t="b">
        <f>TABLA_AVANCE_METAS[[#This Row],[PROGRAMADO ANUAL]]=SUM(TABLA_AVANCE_METAS[[#This Row],[PROGR. 1° TRIM]],TABLA_AVANCE_METAS[[#This Row],[PROGR. 2° TRIM]],TABLA_AVANCE_METAS[[#This Row],[PROGR. 3° TRIM]],TABLA_AVANCE_METAS[[#This Row],[PROGR. 4° TRIM]])</f>
        <v>1</v>
      </c>
      <c r="AV228" s="52"/>
    </row>
    <row r="229" spans="1:48" ht="75" hidden="1" customHeight="1" x14ac:dyDescent="0.3">
      <c r="A229" s="31" t="str">
        <f>CONCATENATE(TABLA_AVANCE_METAS[[#This Row],[ESTRUCTURA]],TABLA_AVANCE_METAS[[#This Row],['#]])</f>
        <v>G0022801030402055</v>
      </c>
      <c r="B229" s="32" t="s">
        <v>661</v>
      </c>
      <c r="C229" s="55" t="s">
        <v>630</v>
      </c>
      <c r="D229" s="54" t="s">
        <v>629</v>
      </c>
      <c r="E229" s="32" t="s">
        <v>614</v>
      </c>
      <c r="F229" s="54" t="s">
        <v>615</v>
      </c>
      <c r="G229" s="56" t="s">
        <v>662</v>
      </c>
      <c r="H229" s="54" t="s">
        <v>663</v>
      </c>
      <c r="I229" s="54" t="s">
        <v>664</v>
      </c>
      <c r="J229" s="54" t="s">
        <v>665</v>
      </c>
      <c r="K229" s="54" t="s">
        <v>666</v>
      </c>
      <c r="L229" s="55">
        <v>5</v>
      </c>
      <c r="M229" s="57" t="s">
        <v>674</v>
      </c>
      <c r="N229" s="56" t="s">
        <v>675</v>
      </c>
      <c r="O229" s="36">
        <v>49</v>
      </c>
      <c r="P229" s="36">
        <v>14</v>
      </c>
      <c r="Q229" s="37">
        <v>14</v>
      </c>
      <c r="R229" s="38">
        <f>IFERROR((TABLA_AVANCE_METAS[[#This Row],[AVANCE 1°. TRIM]]/TABLA_AVANCE_METAS[[#This Row],[PROGR. 1° TRIM]])*100,"0")</f>
        <v>100</v>
      </c>
      <c r="S229"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229" s="36">
        <v>5</v>
      </c>
      <c r="U229" s="37">
        <v>5</v>
      </c>
      <c r="V229" s="40">
        <f t="shared" si="9"/>
        <v>100</v>
      </c>
      <c r="W229" s="39" t="str">
        <f t="shared" si="10"/>
        <v>ADECUADO</v>
      </c>
      <c r="X229" s="36">
        <v>10</v>
      </c>
      <c r="Y229" s="37">
        <v>0</v>
      </c>
      <c r="Z229" s="40">
        <v>0</v>
      </c>
      <c r="AA229" s="39" t="s">
        <v>62</v>
      </c>
      <c r="AB229" s="36">
        <v>20</v>
      </c>
      <c r="AC229" s="41">
        <v>0</v>
      </c>
      <c r="AD229" s="40">
        <f>IFERROR((TABLA_AVANCE_METAS[[#This Row],[AVANCE 4°. TRIM]]/TABLA_AVANCE_METAS[[#This Row],[PROGR. 4° TRIM]])*100,"0")</f>
        <v>0</v>
      </c>
      <c r="AE229"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229" s="43" cm="1">
        <f t="array" ref="AF229">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19</v>
      </c>
      <c r="AG229" s="44" cm="1">
        <f t="array" ref="AG229">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19</v>
      </c>
      <c r="AH229" s="40">
        <f>IFERROR((TABLA_AVANCE_METAS[[#This Row],[AVANCE ACUM. TRIM.]]/TABLA_AVANCE_METAS[[#This Row],[PROG. ACUM]])*100,"N/A")</f>
        <v>100</v>
      </c>
      <c r="AI229"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229" s="45">
        <f>TABLA_AVANCE_METAS[[#This Row],[AVANCE ACUM. TRIM.]]-TABLA_AVANCE_METAS[[#This Row],[PROG. ACUM]]</f>
        <v>0</v>
      </c>
      <c r="AK229" s="46">
        <f>IFERROR((TABLA_AVANCE_METAS[[#This Row],[DIFERENCIA ABSOLUTA SEMESTRAL]]/TABLA_AVANCE_METAS[[#This Row],[PROG. ACUM]])*100,"N/A")</f>
        <v>0</v>
      </c>
      <c r="AL229" s="44">
        <f>TABLA_AVANCE_METAS[[#This Row],[AVANCE 1°. TRIM]]+TABLA_AVANCE_METAS[[#This Row],[AVANCE 2°. TRIM]]+TABLA_AVANCE_METAS[[#This Row],[AVANCE 3°. TRIM]]+TABLA_AVANCE_METAS[[#This Row],[AVANCE 4°. TRIM]]</f>
        <v>19</v>
      </c>
      <c r="AM229" s="40">
        <f>IFERROR((TABLA_AVANCE_METAS[[#This Row],[AVANCE ACUM. ANUAL]]/TABLA_AVANCE_METAS[[#This Row],[PROGRAMADO ANUAL]])*100,"N/A")</f>
        <v>38.775510204081634</v>
      </c>
      <c r="AN229"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229" s="45">
        <f>TABLA_AVANCE_METAS[[#This Row],[AVANCE ACUM. ANUAL]]-TABLA_AVANCE_METAS[[#This Row],[PROGRAMADO ANUAL]]</f>
        <v>-30</v>
      </c>
      <c r="AP229" s="47">
        <f>IFERROR((TABLA_AVANCE_METAS[[#This Row],[DIFERENCIA ABSOLUTA ANUAL]]/TABLA_AVANCE_METAS[[#This Row],[PROGRAMADO ANUAL]])*100,"N/A")</f>
        <v>-61.224489795918366</v>
      </c>
      <c r="AQ229" s="48" t="s">
        <v>63</v>
      </c>
      <c r="AR229" s="49"/>
      <c r="AS229" s="50"/>
      <c r="AT229" s="50"/>
      <c r="AU229" s="51" t="b">
        <f>TABLA_AVANCE_METAS[[#This Row],[PROGRAMADO ANUAL]]=SUM(TABLA_AVANCE_METAS[[#This Row],[PROGR. 1° TRIM]],TABLA_AVANCE_METAS[[#This Row],[PROGR. 2° TRIM]],TABLA_AVANCE_METAS[[#This Row],[PROGR. 3° TRIM]],TABLA_AVANCE_METAS[[#This Row],[PROGR. 4° TRIM]])</f>
        <v>1</v>
      </c>
      <c r="AV229" s="52"/>
    </row>
    <row r="230" spans="1:48" ht="75" hidden="1" customHeight="1" x14ac:dyDescent="0.3">
      <c r="A230" s="31" t="str">
        <f>CONCATENATE(TABLA_AVANCE_METAS[[#This Row],[ESTRUCTURA]],TABLA_AVANCE_METAS[[#This Row],['#]])</f>
        <v>G0022801030402056</v>
      </c>
      <c r="B230" s="32" t="s">
        <v>661</v>
      </c>
      <c r="C230" s="55" t="s">
        <v>630</v>
      </c>
      <c r="D230" s="54" t="s">
        <v>629</v>
      </c>
      <c r="E230" s="32" t="s">
        <v>614</v>
      </c>
      <c r="F230" s="54" t="s">
        <v>615</v>
      </c>
      <c r="G230" s="56" t="s">
        <v>662</v>
      </c>
      <c r="H230" s="54" t="s">
        <v>663</v>
      </c>
      <c r="I230" s="54" t="s">
        <v>664</v>
      </c>
      <c r="J230" s="54" t="s">
        <v>665</v>
      </c>
      <c r="K230" s="54" t="s">
        <v>666</v>
      </c>
      <c r="L230" s="55">
        <v>6</v>
      </c>
      <c r="M230" s="57" t="s">
        <v>676</v>
      </c>
      <c r="N230" s="56" t="s">
        <v>675</v>
      </c>
      <c r="O230" s="36">
        <v>2</v>
      </c>
      <c r="P230" s="36">
        <v>0</v>
      </c>
      <c r="Q230" s="37">
        <v>0</v>
      </c>
      <c r="R230" s="38" t="str">
        <f>IFERROR((TABLA_AVANCE_METAS[[#This Row],[AVANCE 1°. TRIM]]/TABLA_AVANCE_METAS[[#This Row],[PROGR. 1° TRIM]])*100,"0")</f>
        <v>0</v>
      </c>
      <c r="S230"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NO PROG.</v>
      </c>
      <c r="T230" s="36">
        <v>0</v>
      </c>
      <c r="U230" s="37">
        <v>0</v>
      </c>
      <c r="V230" s="40" t="str">
        <f t="shared" si="9"/>
        <v>0</v>
      </c>
      <c r="W230" s="39" t="str">
        <f t="shared" si="10"/>
        <v>NO PROG.</v>
      </c>
      <c r="X230" s="36">
        <v>1</v>
      </c>
      <c r="Y230" s="37">
        <v>0</v>
      </c>
      <c r="Z230" s="40">
        <v>0</v>
      </c>
      <c r="AA230" s="39" t="s">
        <v>62</v>
      </c>
      <c r="AB230" s="36">
        <v>1</v>
      </c>
      <c r="AC230" s="41">
        <v>0</v>
      </c>
      <c r="AD230" s="40">
        <f>IFERROR((TABLA_AVANCE_METAS[[#This Row],[AVANCE 4°. TRIM]]/TABLA_AVANCE_METAS[[#This Row],[PROGR. 4° TRIM]])*100,"0")</f>
        <v>0</v>
      </c>
      <c r="AE230"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230" s="43" cm="1">
        <f t="array" ref="AF230">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0</v>
      </c>
      <c r="AG230" s="44" cm="1">
        <f t="array" ref="AG230">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0</v>
      </c>
      <c r="AH230" s="40" t="str">
        <f>IFERROR((TABLA_AVANCE_METAS[[#This Row],[AVANCE ACUM. TRIM.]]/TABLA_AVANCE_METAS[[#This Row],[PROG. ACUM]])*100,"N/A")</f>
        <v>N/A</v>
      </c>
      <c r="AI230"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NO PROG.</v>
      </c>
      <c r="AJ230" s="45">
        <f>TABLA_AVANCE_METAS[[#This Row],[AVANCE ACUM. TRIM.]]-TABLA_AVANCE_METAS[[#This Row],[PROG. ACUM]]</f>
        <v>0</v>
      </c>
      <c r="AK230" s="46" t="str">
        <f>IFERROR((TABLA_AVANCE_METAS[[#This Row],[DIFERENCIA ABSOLUTA SEMESTRAL]]/TABLA_AVANCE_METAS[[#This Row],[PROG. ACUM]])*100,"N/A")</f>
        <v>N/A</v>
      </c>
      <c r="AL230" s="44">
        <f>TABLA_AVANCE_METAS[[#This Row],[AVANCE 1°. TRIM]]+TABLA_AVANCE_METAS[[#This Row],[AVANCE 2°. TRIM]]+TABLA_AVANCE_METAS[[#This Row],[AVANCE 3°. TRIM]]+TABLA_AVANCE_METAS[[#This Row],[AVANCE 4°. TRIM]]</f>
        <v>0</v>
      </c>
      <c r="AM230" s="40">
        <f>IFERROR((TABLA_AVANCE_METAS[[#This Row],[AVANCE ACUM. ANUAL]]/TABLA_AVANCE_METAS[[#This Row],[PROGRAMADO ANUAL]])*100,"N/A")</f>
        <v>0</v>
      </c>
      <c r="AN230"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230" s="45">
        <f>TABLA_AVANCE_METAS[[#This Row],[AVANCE ACUM. ANUAL]]-TABLA_AVANCE_METAS[[#This Row],[PROGRAMADO ANUAL]]</f>
        <v>-2</v>
      </c>
      <c r="AP230" s="47">
        <f>IFERROR((TABLA_AVANCE_METAS[[#This Row],[DIFERENCIA ABSOLUTA ANUAL]]/TABLA_AVANCE_METAS[[#This Row],[PROGRAMADO ANUAL]])*100,"N/A")</f>
        <v>-100</v>
      </c>
      <c r="AQ230" s="48" t="s">
        <v>63</v>
      </c>
      <c r="AR230" s="49"/>
      <c r="AS230" s="50"/>
      <c r="AT230" s="50"/>
      <c r="AU230" s="51" t="b">
        <f>TABLA_AVANCE_METAS[[#This Row],[PROGRAMADO ANUAL]]=SUM(TABLA_AVANCE_METAS[[#This Row],[PROGR. 1° TRIM]],TABLA_AVANCE_METAS[[#This Row],[PROGR. 2° TRIM]],TABLA_AVANCE_METAS[[#This Row],[PROGR. 3° TRIM]],TABLA_AVANCE_METAS[[#This Row],[PROGR. 4° TRIM]])</f>
        <v>1</v>
      </c>
      <c r="AV230" s="52"/>
    </row>
    <row r="231" spans="1:48" ht="75" hidden="1" customHeight="1" x14ac:dyDescent="0.3">
      <c r="A231" s="31" t="str">
        <f>CONCATENATE(TABLA_AVANCE_METAS[[#This Row],[ESTRUCTURA]],TABLA_AVANCE_METAS[[#This Row],['#]])</f>
        <v>G0022801030402057</v>
      </c>
      <c r="B231" s="32" t="s">
        <v>661</v>
      </c>
      <c r="C231" s="55" t="s">
        <v>630</v>
      </c>
      <c r="D231" s="54" t="s">
        <v>629</v>
      </c>
      <c r="E231" s="32" t="s">
        <v>614</v>
      </c>
      <c r="F231" s="54" t="s">
        <v>615</v>
      </c>
      <c r="G231" s="56" t="s">
        <v>662</v>
      </c>
      <c r="H231" s="54" t="s">
        <v>663</v>
      </c>
      <c r="I231" s="54" t="s">
        <v>664</v>
      </c>
      <c r="J231" s="54" t="s">
        <v>665</v>
      </c>
      <c r="K231" s="54" t="s">
        <v>666</v>
      </c>
      <c r="L231" s="55">
        <v>7</v>
      </c>
      <c r="M231" s="57" t="s">
        <v>677</v>
      </c>
      <c r="N231" s="56" t="s">
        <v>131</v>
      </c>
      <c r="O231" s="36">
        <v>2</v>
      </c>
      <c r="P231" s="36">
        <v>0</v>
      </c>
      <c r="Q231" s="37">
        <v>0</v>
      </c>
      <c r="R231" s="38" t="str">
        <f>IFERROR((TABLA_AVANCE_METAS[[#This Row],[AVANCE 1°. TRIM]]/TABLA_AVANCE_METAS[[#This Row],[PROGR. 1° TRIM]])*100,"0")</f>
        <v>0</v>
      </c>
      <c r="S231"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NO PROG.</v>
      </c>
      <c r="T231" s="36">
        <v>1</v>
      </c>
      <c r="U231" s="37">
        <v>1</v>
      </c>
      <c r="V231" s="40">
        <f t="shared" si="9"/>
        <v>100</v>
      </c>
      <c r="W231" s="39" t="str">
        <f t="shared" si="10"/>
        <v>ADECUADO</v>
      </c>
      <c r="X231" s="36">
        <v>0</v>
      </c>
      <c r="Y231" s="37">
        <v>0</v>
      </c>
      <c r="Z231" s="40" t="s">
        <v>72</v>
      </c>
      <c r="AA231" s="39" t="s">
        <v>73</v>
      </c>
      <c r="AB231" s="36">
        <v>1</v>
      </c>
      <c r="AC231" s="41">
        <v>0</v>
      </c>
      <c r="AD231" s="40">
        <f>IFERROR((TABLA_AVANCE_METAS[[#This Row],[AVANCE 4°. TRIM]]/TABLA_AVANCE_METAS[[#This Row],[PROGR. 4° TRIM]])*100,"0")</f>
        <v>0</v>
      </c>
      <c r="AE231"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231" s="43" cm="1">
        <f t="array" ref="AF231">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v>
      </c>
      <c r="AG231" s="44" cm="1">
        <f t="array" ref="AG231">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1</v>
      </c>
      <c r="AH231" s="40">
        <f>IFERROR((TABLA_AVANCE_METAS[[#This Row],[AVANCE ACUM. TRIM.]]/TABLA_AVANCE_METAS[[#This Row],[PROG. ACUM]])*100,"N/A")</f>
        <v>100</v>
      </c>
      <c r="AI231"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231" s="45">
        <f>TABLA_AVANCE_METAS[[#This Row],[AVANCE ACUM. TRIM.]]-TABLA_AVANCE_METAS[[#This Row],[PROG. ACUM]]</f>
        <v>0</v>
      </c>
      <c r="AK231" s="46">
        <f>IFERROR((TABLA_AVANCE_METAS[[#This Row],[DIFERENCIA ABSOLUTA SEMESTRAL]]/TABLA_AVANCE_METAS[[#This Row],[PROG. ACUM]])*100,"N/A")</f>
        <v>0</v>
      </c>
      <c r="AL231" s="44">
        <f>TABLA_AVANCE_METAS[[#This Row],[AVANCE 1°. TRIM]]+TABLA_AVANCE_METAS[[#This Row],[AVANCE 2°. TRIM]]+TABLA_AVANCE_METAS[[#This Row],[AVANCE 3°. TRIM]]+TABLA_AVANCE_METAS[[#This Row],[AVANCE 4°. TRIM]]</f>
        <v>1</v>
      </c>
      <c r="AM231" s="40">
        <f>IFERROR((TABLA_AVANCE_METAS[[#This Row],[AVANCE ACUM. ANUAL]]/TABLA_AVANCE_METAS[[#This Row],[PROGRAMADO ANUAL]])*100,"N/A")</f>
        <v>50</v>
      </c>
      <c r="AN231"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231" s="45">
        <f>TABLA_AVANCE_METAS[[#This Row],[AVANCE ACUM. ANUAL]]-TABLA_AVANCE_METAS[[#This Row],[PROGRAMADO ANUAL]]</f>
        <v>-1</v>
      </c>
      <c r="AP231" s="47">
        <f>IFERROR((TABLA_AVANCE_METAS[[#This Row],[DIFERENCIA ABSOLUTA ANUAL]]/TABLA_AVANCE_METAS[[#This Row],[PROGRAMADO ANUAL]])*100,"N/A")</f>
        <v>-50</v>
      </c>
      <c r="AQ231" s="48" t="s">
        <v>63</v>
      </c>
      <c r="AR231" s="49"/>
      <c r="AS231" s="50"/>
      <c r="AT231" s="50"/>
      <c r="AU231" s="51" t="b">
        <f>TABLA_AVANCE_METAS[[#This Row],[PROGRAMADO ANUAL]]=SUM(TABLA_AVANCE_METAS[[#This Row],[PROGR. 1° TRIM]],TABLA_AVANCE_METAS[[#This Row],[PROGR. 2° TRIM]],TABLA_AVANCE_METAS[[#This Row],[PROGR. 3° TRIM]],TABLA_AVANCE_METAS[[#This Row],[PROGR. 4° TRIM]])</f>
        <v>1</v>
      </c>
      <c r="AV231" s="52"/>
    </row>
    <row r="232" spans="1:48" ht="75" hidden="1" customHeight="1" x14ac:dyDescent="0.3">
      <c r="A232" s="31" t="str">
        <f>CONCATENATE(TABLA_AVANCE_METAS[[#This Row],[ESTRUCTURA]],TABLA_AVANCE_METAS[[#This Row],['#]])</f>
        <v>G0022801030402058</v>
      </c>
      <c r="B232" s="32" t="s">
        <v>661</v>
      </c>
      <c r="C232" s="55" t="s">
        <v>630</v>
      </c>
      <c r="D232" s="54" t="s">
        <v>629</v>
      </c>
      <c r="E232" s="32" t="s">
        <v>614</v>
      </c>
      <c r="F232" s="54" t="s">
        <v>615</v>
      </c>
      <c r="G232" s="56" t="s">
        <v>662</v>
      </c>
      <c r="H232" s="54" t="s">
        <v>663</v>
      </c>
      <c r="I232" s="54" t="s">
        <v>664</v>
      </c>
      <c r="J232" s="54" t="s">
        <v>665</v>
      </c>
      <c r="K232" s="54" t="s">
        <v>666</v>
      </c>
      <c r="L232" s="55">
        <v>8</v>
      </c>
      <c r="M232" s="57" t="s">
        <v>678</v>
      </c>
      <c r="N232" s="56" t="s">
        <v>679</v>
      </c>
      <c r="O232" s="36">
        <v>40</v>
      </c>
      <c r="P232" s="36">
        <v>0</v>
      </c>
      <c r="Q232" s="37">
        <v>0</v>
      </c>
      <c r="R232" s="38" t="str">
        <f>IFERROR((TABLA_AVANCE_METAS[[#This Row],[AVANCE 1°. TRIM]]/TABLA_AVANCE_METAS[[#This Row],[PROGR. 1° TRIM]])*100,"0")</f>
        <v>0</v>
      </c>
      <c r="S232"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NO PROG.</v>
      </c>
      <c r="T232" s="36">
        <v>20</v>
      </c>
      <c r="U232" s="37">
        <v>20</v>
      </c>
      <c r="V232" s="40">
        <f t="shared" si="9"/>
        <v>100</v>
      </c>
      <c r="W232" s="39" t="str">
        <f t="shared" si="10"/>
        <v>ADECUADO</v>
      </c>
      <c r="X232" s="36">
        <v>0</v>
      </c>
      <c r="Y232" s="37">
        <v>0</v>
      </c>
      <c r="Z232" s="40" t="s">
        <v>72</v>
      </c>
      <c r="AA232" s="39" t="s">
        <v>73</v>
      </c>
      <c r="AB232" s="36">
        <v>20</v>
      </c>
      <c r="AC232" s="41">
        <v>0</v>
      </c>
      <c r="AD232" s="40">
        <f>IFERROR((TABLA_AVANCE_METAS[[#This Row],[AVANCE 4°. TRIM]]/TABLA_AVANCE_METAS[[#This Row],[PROGR. 4° TRIM]])*100,"0")</f>
        <v>0</v>
      </c>
      <c r="AE232"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232" s="43" cm="1">
        <f t="array" ref="AF232">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20</v>
      </c>
      <c r="AG232" s="44" cm="1">
        <f t="array" ref="AG232">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20</v>
      </c>
      <c r="AH232" s="40">
        <f>IFERROR((TABLA_AVANCE_METAS[[#This Row],[AVANCE ACUM. TRIM.]]/TABLA_AVANCE_METAS[[#This Row],[PROG. ACUM]])*100,"N/A")</f>
        <v>100</v>
      </c>
      <c r="AI232"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232" s="45">
        <f>TABLA_AVANCE_METAS[[#This Row],[AVANCE ACUM. TRIM.]]-TABLA_AVANCE_METAS[[#This Row],[PROG. ACUM]]</f>
        <v>0</v>
      </c>
      <c r="AK232" s="46">
        <f>IFERROR((TABLA_AVANCE_METAS[[#This Row],[DIFERENCIA ABSOLUTA SEMESTRAL]]/TABLA_AVANCE_METAS[[#This Row],[PROG. ACUM]])*100,"N/A")</f>
        <v>0</v>
      </c>
      <c r="AL232" s="44">
        <f>TABLA_AVANCE_METAS[[#This Row],[AVANCE 1°. TRIM]]+TABLA_AVANCE_METAS[[#This Row],[AVANCE 2°. TRIM]]+TABLA_AVANCE_METAS[[#This Row],[AVANCE 3°. TRIM]]+TABLA_AVANCE_METAS[[#This Row],[AVANCE 4°. TRIM]]</f>
        <v>20</v>
      </c>
      <c r="AM232" s="40">
        <f>IFERROR((TABLA_AVANCE_METAS[[#This Row],[AVANCE ACUM. ANUAL]]/TABLA_AVANCE_METAS[[#This Row],[PROGRAMADO ANUAL]])*100,"N/A")</f>
        <v>50</v>
      </c>
      <c r="AN232"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232" s="45">
        <f>TABLA_AVANCE_METAS[[#This Row],[AVANCE ACUM. ANUAL]]-TABLA_AVANCE_METAS[[#This Row],[PROGRAMADO ANUAL]]</f>
        <v>-20</v>
      </c>
      <c r="AP232" s="47">
        <f>IFERROR((TABLA_AVANCE_METAS[[#This Row],[DIFERENCIA ABSOLUTA ANUAL]]/TABLA_AVANCE_METAS[[#This Row],[PROGRAMADO ANUAL]])*100,"N/A")</f>
        <v>-50</v>
      </c>
      <c r="AQ232" s="48" t="s">
        <v>63</v>
      </c>
      <c r="AR232" s="49"/>
      <c r="AS232" s="50"/>
      <c r="AT232" s="50"/>
      <c r="AU232" s="51" t="b">
        <f>TABLA_AVANCE_METAS[[#This Row],[PROGRAMADO ANUAL]]=SUM(TABLA_AVANCE_METAS[[#This Row],[PROGR. 1° TRIM]],TABLA_AVANCE_METAS[[#This Row],[PROGR. 2° TRIM]],TABLA_AVANCE_METAS[[#This Row],[PROGR. 3° TRIM]],TABLA_AVANCE_METAS[[#This Row],[PROGR. 4° TRIM]])</f>
        <v>1</v>
      </c>
      <c r="AV232" s="52"/>
    </row>
    <row r="233" spans="1:48" ht="75" hidden="1" customHeight="1" x14ac:dyDescent="0.3">
      <c r="A233" s="31" t="str">
        <f>CONCATENATE(TABLA_AVANCE_METAS[[#This Row],[ESTRUCTURA]],TABLA_AVANCE_METAS[[#This Row],['#]])</f>
        <v>G0022801030402021</v>
      </c>
      <c r="B233" s="32" t="s">
        <v>680</v>
      </c>
      <c r="C233" s="62" t="s">
        <v>630</v>
      </c>
      <c r="D233" s="61" t="s">
        <v>629</v>
      </c>
      <c r="E233" s="32" t="s">
        <v>614</v>
      </c>
      <c r="F233" s="61" t="s">
        <v>615</v>
      </c>
      <c r="G233" s="34" t="s">
        <v>681</v>
      </c>
      <c r="H233" s="61" t="s">
        <v>663</v>
      </c>
      <c r="I233" s="61" t="s">
        <v>664</v>
      </c>
      <c r="J233" s="61" t="s">
        <v>682</v>
      </c>
      <c r="K233" s="61" t="s">
        <v>683</v>
      </c>
      <c r="L233" s="33">
        <v>1</v>
      </c>
      <c r="M233" s="57" t="s">
        <v>684</v>
      </c>
      <c r="N233" s="34" t="s">
        <v>71</v>
      </c>
      <c r="O233" s="36">
        <v>94</v>
      </c>
      <c r="P233" s="36">
        <v>24</v>
      </c>
      <c r="Q233" s="37">
        <v>24</v>
      </c>
      <c r="R233" s="38">
        <f>IFERROR((TABLA_AVANCE_METAS[[#This Row],[AVANCE 1°. TRIM]]/TABLA_AVANCE_METAS[[#This Row],[PROGR. 1° TRIM]])*100,"0")</f>
        <v>100</v>
      </c>
      <c r="S233"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233" s="36">
        <v>10</v>
      </c>
      <c r="U233" s="37">
        <v>10</v>
      </c>
      <c r="V233" s="40">
        <f t="shared" si="9"/>
        <v>100</v>
      </c>
      <c r="W233" s="39" t="str">
        <f t="shared" si="10"/>
        <v>ADECUADO</v>
      </c>
      <c r="X233" s="36">
        <v>25</v>
      </c>
      <c r="Y233" s="37">
        <v>0</v>
      </c>
      <c r="Z233" s="40">
        <v>0</v>
      </c>
      <c r="AA233" s="39" t="s">
        <v>62</v>
      </c>
      <c r="AB233" s="36">
        <v>35</v>
      </c>
      <c r="AC233" s="41">
        <v>0</v>
      </c>
      <c r="AD233" s="40">
        <f>IFERROR((TABLA_AVANCE_METAS[[#This Row],[AVANCE 4°. TRIM]]/TABLA_AVANCE_METAS[[#This Row],[PROGR. 4° TRIM]])*100,"0")</f>
        <v>0</v>
      </c>
      <c r="AE233"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233" s="43" cm="1">
        <f t="array" ref="AF233">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34</v>
      </c>
      <c r="AG233" s="44" cm="1">
        <f t="array" ref="AG233">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34</v>
      </c>
      <c r="AH233" s="40">
        <f>IFERROR((TABLA_AVANCE_METAS[[#This Row],[AVANCE ACUM. TRIM.]]/TABLA_AVANCE_METAS[[#This Row],[PROG. ACUM]])*100,"N/A")</f>
        <v>100</v>
      </c>
      <c r="AI233"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233" s="45">
        <f>TABLA_AVANCE_METAS[[#This Row],[AVANCE ACUM. TRIM.]]-TABLA_AVANCE_METAS[[#This Row],[PROG. ACUM]]</f>
        <v>0</v>
      </c>
      <c r="AK233" s="46">
        <f>IFERROR((TABLA_AVANCE_METAS[[#This Row],[DIFERENCIA ABSOLUTA SEMESTRAL]]/TABLA_AVANCE_METAS[[#This Row],[PROG. ACUM]])*100,"N/A")</f>
        <v>0</v>
      </c>
      <c r="AL233" s="44">
        <f>TABLA_AVANCE_METAS[[#This Row],[AVANCE 1°. TRIM]]+TABLA_AVANCE_METAS[[#This Row],[AVANCE 2°. TRIM]]+TABLA_AVANCE_METAS[[#This Row],[AVANCE 3°. TRIM]]+TABLA_AVANCE_METAS[[#This Row],[AVANCE 4°. TRIM]]</f>
        <v>34</v>
      </c>
      <c r="AM233" s="40">
        <f>IFERROR((TABLA_AVANCE_METAS[[#This Row],[AVANCE ACUM. ANUAL]]/TABLA_AVANCE_METAS[[#This Row],[PROGRAMADO ANUAL]])*100,"N/A")</f>
        <v>36.170212765957451</v>
      </c>
      <c r="AN233"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233" s="45">
        <f>TABLA_AVANCE_METAS[[#This Row],[AVANCE ACUM. ANUAL]]-TABLA_AVANCE_METAS[[#This Row],[PROGRAMADO ANUAL]]</f>
        <v>-60</v>
      </c>
      <c r="AP233" s="47">
        <f>IFERROR((TABLA_AVANCE_METAS[[#This Row],[DIFERENCIA ABSOLUTA ANUAL]]/TABLA_AVANCE_METAS[[#This Row],[PROGRAMADO ANUAL]])*100,"N/A")</f>
        <v>-63.829787234042556</v>
      </c>
      <c r="AQ233" s="48" t="s">
        <v>63</v>
      </c>
      <c r="AR233" s="49"/>
      <c r="AS233" s="50"/>
      <c r="AT233" s="50"/>
      <c r="AU233" s="51" t="b">
        <f>TABLA_AVANCE_METAS[[#This Row],[PROGRAMADO ANUAL]]=SUM(TABLA_AVANCE_METAS[[#This Row],[PROGR. 1° TRIM]],TABLA_AVANCE_METAS[[#This Row],[PROGR. 2° TRIM]],TABLA_AVANCE_METAS[[#This Row],[PROGR. 3° TRIM]],TABLA_AVANCE_METAS[[#This Row],[PROGR. 4° TRIM]])</f>
        <v>1</v>
      </c>
      <c r="AV233" s="52"/>
    </row>
    <row r="234" spans="1:48" ht="75" hidden="1" customHeight="1" x14ac:dyDescent="0.3">
      <c r="A234" s="31" t="str">
        <f>CONCATENATE(TABLA_AVANCE_METAS[[#This Row],[ESTRUCTURA]],TABLA_AVANCE_METAS[[#This Row],['#]])</f>
        <v>G0022801030402022</v>
      </c>
      <c r="B234" s="32" t="s">
        <v>680</v>
      </c>
      <c r="C234" s="62" t="s">
        <v>630</v>
      </c>
      <c r="D234" s="61" t="s">
        <v>629</v>
      </c>
      <c r="E234" s="32" t="s">
        <v>614</v>
      </c>
      <c r="F234" s="61" t="s">
        <v>615</v>
      </c>
      <c r="G234" s="34" t="s">
        <v>681</v>
      </c>
      <c r="H234" s="61" t="s">
        <v>663</v>
      </c>
      <c r="I234" s="61" t="s">
        <v>664</v>
      </c>
      <c r="J234" s="61" t="s">
        <v>682</v>
      </c>
      <c r="K234" s="61" t="s">
        <v>683</v>
      </c>
      <c r="L234" s="33">
        <v>2</v>
      </c>
      <c r="M234" s="57" t="s">
        <v>685</v>
      </c>
      <c r="N234" s="34" t="s">
        <v>673</v>
      </c>
      <c r="O234" s="36">
        <v>49</v>
      </c>
      <c r="P234" s="36">
        <v>14</v>
      </c>
      <c r="Q234" s="37">
        <v>14</v>
      </c>
      <c r="R234" s="38">
        <f>IFERROR((TABLA_AVANCE_METAS[[#This Row],[AVANCE 1°. TRIM]]/TABLA_AVANCE_METAS[[#This Row],[PROGR. 1° TRIM]])*100,"0")</f>
        <v>100</v>
      </c>
      <c r="S234"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234" s="36">
        <v>5</v>
      </c>
      <c r="U234" s="37">
        <v>4</v>
      </c>
      <c r="V234" s="40">
        <f t="shared" si="9"/>
        <v>80</v>
      </c>
      <c r="W234" s="39" t="str">
        <f t="shared" si="10"/>
        <v>REGULAR</v>
      </c>
      <c r="X234" s="36">
        <v>10</v>
      </c>
      <c r="Y234" s="37">
        <v>0</v>
      </c>
      <c r="Z234" s="40">
        <v>0</v>
      </c>
      <c r="AA234" s="39" t="s">
        <v>62</v>
      </c>
      <c r="AB234" s="36">
        <v>20</v>
      </c>
      <c r="AC234" s="41">
        <v>0</v>
      </c>
      <c r="AD234" s="40">
        <f>IFERROR((TABLA_AVANCE_METAS[[#This Row],[AVANCE 4°. TRIM]]/TABLA_AVANCE_METAS[[#This Row],[PROGR. 4° TRIM]])*100,"0")</f>
        <v>0</v>
      </c>
      <c r="AE234"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234" s="43" cm="1">
        <f t="array" ref="AF234">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19</v>
      </c>
      <c r="AG234" s="44" cm="1">
        <f t="array" ref="AG234">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18</v>
      </c>
      <c r="AH234" s="40">
        <f>IFERROR((TABLA_AVANCE_METAS[[#This Row],[AVANCE ACUM. TRIM.]]/TABLA_AVANCE_METAS[[#This Row],[PROG. ACUM]])*100,"N/A")</f>
        <v>94.73684210526315</v>
      </c>
      <c r="AI234"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234" s="45">
        <f>TABLA_AVANCE_METAS[[#This Row],[AVANCE ACUM. TRIM.]]-TABLA_AVANCE_METAS[[#This Row],[PROG. ACUM]]</f>
        <v>-1</v>
      </c>
      <c r="AK234" s="46">
        <f>IFERROR((TABLA_AVANCE_METAS[[#This Row],[DIFERENCIA ABSOLUTA SEMESTRAL]]/TABLA_AVANCE_METAS[[#This Row],[PROG. ACUM]])*100,"N/A")</f>
        <v>-5.2631578947368416</v>
      </c>
      <c r="AL234" s="44">
        <f>TABLA_AVANCE_METAS[[#This Row],[AVANCE 1°. TRIM]]+TABLA_AVANCE_METAS[[#This Row],[AVANCE 2°. TRIM]]+TABLA_AVANCE_METAS[[#This Row],[AVANCE 3°. TRIM]]+TABLA_AVANCE_METAS[[#This Row],[AVANCE 4°. TRIM]]</f>
        <v>18</v>
      </c>
      <c r="AM234" s="40">
        <f>IFERROR((TABLA_AVANCE_METAS[[#This Row],[AVANCE ACUM. ANUAL]]/TABLA_AVANCE_METAS[[#This Row],[PROGRAMADO ANUAL]])*100,"N/A")</f>
        <v>36.734693877551024</v>
      </c>
      <c r="AN234"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234" s="45">
        <f>TABLA_AVANCE_METAS[[#This Row],[AVANCE ACUM. ANUAL]]-TABLA_AVANCE_METAS[[#This Row],[PROGRAMADO ANUAL]]</f>
        <v>-31</v>
      </c>
      <c r="AP234" s="47">
        <f>IFERROR((TABLA_AVANCE_METAS[[#This Row],[DIFERENCIA ABSOLUTA ANUAL]]/TABLA_AVANCE_METAS[[#This Row],[PROGRAMADO ANUAL]])*100,"N/A")</f>
        <v>-63.265306122448983</v>
      </c>
      <c r="AQ234" s="48" t="s">
        <v>63</v>
      </c>
      <c r="AR234" s="49"/>
      <c r="AS234" s="50"/>
      <c r="AT234" s="50"/>
      <c r="AU234" s="51" t="b">
        <f>TABLA_AVANCE_METAS[[#This Row],[PROGRAMADO ANUAL]]=SUM(TABLA_AVANCE_METAS[[#This Row],[PROGR. 1° TRIM]],TABLA_AVANCE_METAS[[#This Row],[PROGR. 2° TRIM]],TABLA_AVANCE_METAS[[#This Row],[PROGR. 3° TRIM]],TABLA_AVANCE_METAS[[#This Row],[PROGR. 4° TRIM]])</f>
        <v>1</v>
      </c>
      <c r="AV234" s="52"/>
    </row>
    <row r="235" spans="1:48" ht="75" hidden="1" customHeight="1" x14ac:dyDescent="0.3">
      <c r="A235" s="31" t="str">
        <f>CONCATENATE(TABLA_AVANCE_METAS[[#This Row],[ESTRUCTURA]],TABLA_AVANCE_METAS[[#This Row],['#]])</f>
        <v>G0022801030402023</v>
      </c>
      <c r="B235" s="32" t="s">
        <v>680</v>
      </c>
      <c r="C235" s="62" t="s">
        <v>630</v>
      </c>
      <c r="D235" s="61" t="s">
        <v>629</v>
      </c>
      <c r="E235" s="32" t="s">
        <v>614</v>
      </c>
      <c r="F235" s="61" t="s">
        <v>615</v>
      </c>
      <c r="G235" s="34" t="s">
        <v>681</v>
      </c>
      <c r="H235" s="61" t="s">
        <v>663</v>
      </c>
      <c r="I235" s="61" t="s">
        <v>664</v>
      </c>
      <c r="J235" s="61" t="s">
        <v>682</v>
      </c>
      <c r="K235" s="61" t="s">
        <v>683</v>
      </c>
      <c r="L235" s="33">
        <v>3</v>
      </c>
      <c r="M235" s="57" t="s">
        <v>686</v>
      </c>
      <c r="N235" s="34" t="s">
        <v>675</v>
      </c>
      <c r="O235" s="36">
        <v>49</v>
      </c>
      <c r="P235" s="36">
        <v>14</v>
      </c>
      <c r="Q235" s="37">
        <v>14</v>
      </c>
      <c r="R235" s="38">
        <f>IFERROR((TABLA_AVANCE_METAS[[#This Row],[AVANCE 1°. TRIM]]/TABLA_AVANCE_METAS[[#This Row],[PROGR. 1° TRIM]])*100,"0")</f>
        <v>100</v>
      </c>
      <c r="S235"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235" s="36">
        <v>5</v>
      </c>
      <c r="U235" s="37">
        <v>5</v>
      </c>
      <c r="V235" s="40">
        <f t="shared" si="9"/>
        <v>100</v>
      </c>
      <c r="W235" s="39" t="str">
        <f t="shared" si="10"/>
        <v>ADECUADO</v>
      </c>
      <c r="X235" s="36">
        <v>10</v>
      </c>
      <c r="Y235" s="37">
        <v>0</v>
      </c>
      <c r="Z235" s="40">
        <v>0</v>
      </c>
      <c r="AA235" s="39" t="s">
        <v>62</v>
      </c>
      <c r="AB235" s="36">
        <v>20</v>
      </c>
      <c r="AC235" s="41">
        <v>0</v>
      </c>
      <c r="AD235" s="40">
        <f>IFERROR((TABLA_AVANCE_METAS[[#This Row],[AVANCE 4°. TRIM]]/TABLA_AVANCE_METAS[[#This Row],[PROGR. 4° TRIM]])*100,"0")</f>
        <v>0</v>
      </c>
      <c r="AE235"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235" s="43" cm="1">
        <f t="array" ref="AF235">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19</v>
      </c>
      <c r="AG235" s="44" cm="1">
        <f t="array" ref="AG235">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19</v>
      </c>
      <c r="AH235" s="40">
        <f>IFERROR((TABLA_AVANCE_METAS[[#This Row],[AVANCE ACUM. TRIM.]]/TABLA_AVANCE_METAS[[#This Row],[PROG. ACUM]])*100,"N/A")</f>
        <v>100</v>
      </c>
      <c r="AI235"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235" s="45">
        <f>TABLA_AVANCE_METAS[[#This Row],[AVANCE ACUM. TRIM.]]-TABLA_AVANCE_METAS[[#This Row],[PROG. ACUM]]</f>
        <v>0</v>
      </c>
      <c r="AK235" s="46">
        <f>IFERROR((TABLA_AVANCE_METAS[[#This Row],[DIFERENCIA ABSOLUTA SEMESTRAL]]/TABLA_AVANCE_METAS[[#This Row],[PROG. ACUM]])*100,"N/A")</f>
        <v>0</v>
      </c>
      <c r="AL235" s="44">
        <f>TABLA_AVANCE_METAS[[#This Row],[AVANCE 1°. TRIM]]+TABLA_AVANCE_METAS[[#This Row],[AVANCE 2°. TRIM]]+TABLA_AVANCE_METAS[[#This Row],[AVANCE 3°. TRIM]]+TABLA_AVANCE_METAS[[#This Row],[AVANCE 4°. TRIM]]</f>
        <v>19</v>
      </c>
      <c r="AM235" s="40">
        <f>IFERROR((TABLA_AVANCE_METAS[[#This Row],[AVANCE ACUM. ANUAL]]/TABLA_AVANCE_METAS[[#This Row],[PROGRAMADO ANUAL]])*100,"N/A")</f>
        <v>38.775510204081634</v>
      </c>
      <c r="AN235"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235" s="45">
        <f>TABLA_AVANCE_METAS[[#This Row],[AVANCE ACUM. ANUAL]]-TABLA_AVANCE_METAS[[#This Row],[PROGRAMADO ANUAL]]</f>
        <v>-30</v>
      </c>
      <c r="AP235" s="47">
        <f>IFERROR((TABLA_AVANCE_METAS[[#This Row],[DIFERENCIA ABSOLUTA ANUAL]]/TABLA_AVANCE_METAS[[#This Row],[PROGRAMADO ANUAL]])*100,"N/A")</f>
        <v>-61.224489795918366</v>
      </c>
      <c r="AQ235" s="48" t="s">
        <v>63</v>
      </c>
      <c r="AR235" s="49"/>
      <c r="AS235" s="50"/>
      <c r="AT235" s="50"/>
      <c r="AU235" s="51" t="b">
        <f>TABLA_AVANCE_METAS[[#This Row],[PROGRAMADO ANUAL]]=SUM(TABLA_AVANCE_METAS[[#This Row],[PROGR. 1° TRIM]],TABLA_AVANCE_METAS[[#This Row],[PROGR. 2° TRIM]],TABLA_AVANCE_METAS[[#This Row],[PROGR. 3° TRIM]],TABLA_AVANCE_METAS[[#This Row],[PROGR. 4° TRIM]])</f>
        <v>1</v>
      </c>
      <c r="AV235" s="52"/>
    </row>
    <row r="236" spans="1:48" ht="75" hidden="1" customHeight="1" x14ac:dyDescent="0.3">
      <c r="A236" s="31" t="str">
        <f>CONCATENATE(TABLA_AVANCE_METAS[[#This Row],[ESTRUCTURA]],TABLA_AVANCE_METAS[[#This Row],['#]])</f>
        <v>G0022801030402024</v>
      </c>
      <c r="B236" s="32" t="s">
        <v>680</v>
      </c>
      <c r="C236" s="33" t="s">
        <v>630</v>
      </c>
      <c r="D236" s="32" t="s">
        <v>629</v>
      </c>
      <c r="E236" s="32" t="s">
        <v>614</v>
      </c>
      <c r="F236" s="32" t="s">
        <v>615</v>
      </c>
      <c r="G236" s="34" t="s">
        <v>681</v>
      </c>
      <c r="H236" s="32" t="s">
        <v>663</v>
      </c>
      <c r="I236" s="32" t="s">
        <v>664</v>
      </c>
      <c r="J236" s="32" t="s">
        <v>682</v>
      </c>
      <c r="K236" s="32" t="s">
        <v>683</v>
      </c>
      <c r="L236" s="33">
        <v>4</v>
      </c>
      <c r="M236" s="35" t="s">
        <v>687</v>
      </c>
      <c r="N236" s="34" t="s">
        <v>688</v>
      </c>
      <c r="O236" s="36">
        <v>32</v>
      </c>
      <c r="P236" s="36">
        <v>3</v>
      </c>
      <c r="Q236" s="37">
        <v>3</v>
      </c>
      <c r="R236" s="38">
        <f>IFERROR((TABLA_AVANCE_METAS[[#This Row],[AVANCE 1°. TRIM]]/TABLA_AVANCE_METAS[[#This Row],[PROGR. 1° TRIM]])*100,"0")</f>
        <v>100</v>
      </c>
      <c r="S236"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236" s="36">
        <v>14</v>
      </c>
      <c r="U236" s="37">
        <v>14</v>
      </c>
      <c r="V236" s="40">
        <f t="shared" si="9"/>
        <v>100</v>
      </c>
      <c r="W236" s="39" t="str">
        <f t="shared" si="10"/>
        <v>ADECUADO</v>
      </c>
      <c r="X236" s="36">
        <v>5</v>
      </c>
      <c r="Y236" s="37">
        <v>0</v>
      </c>
      <c r="Z236" s="40">
        <v>0</v>
      </c>
      <c r="AA236" s="39" t="s">
        <v>62</v>
      </c>
      <c r="AB236" s="36">
        <v>10</v>
      </c>
      <c r="AC236" s="41">
        <v>0</v>
      </c>
      <c r="AD236" s="40">
        <f>IFERROR((TABLA_AVANCE_METAS[[#This Row],[AVANCE 4°. TRIM]]/TABLA_AVANCE_METAS[[#This Row],[PROGR. 4° TRIM]])*100,"0")</f>
        <v>0</v>
      </c>
      <c r="AE236" s="42"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236" s="43" cm="1">
        <f t="array" ref="AF236">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17</v>
      </c>
      <c r="AG236" s="44" cm="1">
        <f t="array" ref="AG236">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17</v>
      </c>
      <c r="AH236" s="40">
        <f>IFERROR((TABLA_AVANCE_METAS[[#This Row],[AVANCE ACUM. TRIM.]]/TABLA_AVANCE_METAS[[#This Row],[PROG. ACUM]])*100,"N/A")</f>
        <v>100</v>
      </c>
      <c r="AI236"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236" s="45">
        <f>TABLA_AVANCE_METAS[[#This Row],[AVANCE ACUM. TRIM.]]-TABLA_AVANCE_METAS[[#This Row],[PROG. ACUM]]</f>
        <v>0</v>
      </c>
      <c r="AK236" s="46">
        <f>IFERROR((TABLA_AVANCE_METAS[[#This Row],[DIFERENCIA ABSOLUTA SEMESTRAL]]/TABLA_AVANCE_METAS[[#This Row],[PROG. ACUM]])*100,"N/A")</f>
        <v>0</v>
      </c>
      <c r="AL236" s="44">
        <f>TABLA_AVANCE_METAS[[#This Row],[AVANCE 1°. TRIM]]+TABLA_AVANCE_METAS[[#This Row],[AVANCE 2°. TRIM]]+TABLA_AVANCE_METAS[[#This Row],[AVANCE 3°. TRIM]]+TABLA_AVANCE_METAS[[#This Row],[AVANCE 4°. TRIM]]</f>
        <v>17</v>
      </c>
      <c r="AM236" s="40">
        <f>IFERROR((TABLA_AVANCE_METAS[[#This Row],[AVANCE ACUM. ANUAL]]/TABLA_AVANCE_METAS[[#This Row],[PROGRAMADO ANUAL]])*100,"N/A")</f>
        <v>53.125</v>
      </c>
      <c r="AN236"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236" s="45">
        <f>TABLA_AVANCE_METAS[[#This Row],[AVANCE ACUM. ANUAL]]-TABLA_AVANCE_METAS[[#This Row],[PROGRAMADO ANUAL]]</f>
        <v>-15</v>
      </c>
      <c r="AP236" s="47">
        <f>IFERROR((TABLA_AVANCE_METAS[[#This Row],[DIFERENCIA ABSOLUTA ANUAL]]/TABLA_AVANCE_METAS[[#This Row],[PROGRAMADO ANUAL]])*100,"N/A")</f>
        <v>-46.875</v>
      </c>
      <c r="AQ236" s="48" t="s">
        <v>63</v>
      </c>
      <c r="AR236" s="49"/>
      <c r="AS236" s="50"/>
      <c r="AT236" s="50"/>
      <c r="AU236" s="51" t="b">
        <f>TABLA_AVANCE_METAS[[#This Row],[PROGRAMADO ANUAL]]=SUM(TABLA_AVANCE_METAS[[#This Row],[PROGR. 1° TRIM]],TABLA_AVANCE_METAS[[#This Row],[PROGR. 2° TRIM]],TABLA_AVANCE_METAS[[#This Row],[PROGR. 3° TRIM]],TABLA_AVANCE_METAS[[#This Row],[PROGR. 4° TRIM]])</f>
        <v>1</v>
      </c>
      <c r="AV236" s="52"/>
    </row>
    <row r="237" spans="1:48" ht="75" hidden="1" x14ac:dyDescent="0.3">
      <c r="A237" s="31" t="str">
        <f>CONCATENATE(TABLA_AVANCE_METAS[[#This Row],[ESTRUCTURA]],TABLA_AVANCE_METAS[[#This Row],['#]])</f>
        <v>B0320201050202015</v>
      </c>
      <c r="B237" s="32" t="s">
        <v>387</v>
      </c>
      <c r="C237" s="33" t="s">
        <v>367</v>
      </c>
      <c r="D237" s="32" t="s">
        <v>368</v>
      </c>
      <c r="E237" s="32" t="s">
        <v>388</v>
      </c>
      <c r="F237" s="32" t="s">
        <v>389</v>
      </c>
      <c r="G237" s="34" t="s">
        <v>390</v>
      </c>
      <c r="H237" s="32" t="s">
        <v>280</v>
      </c>
      <c r="I237" s="32" t="s">
        <v>281</v>
      </c>
      <c r="J237" s="32" t="s">
        <v>282</v>
      </c>
      <c r="K237" s="32" t="s">
        <v>283</v>
      </c>
      <c r="L237" s="33">
        <v>5</v>
      </c>
      <c r="M237" s="94" t="s">
        <v>689</v>
      </c>
      <c r="N237" s="34" t="s">
        <v>371</v>
      </c>
      <c r="O237" s="95">
        <v>1200</v>
      </c>
      <c r="P237" s="95">
        <v>0</v>
      </c>
      <c r="Q237" s="37">
        <v>0</v>
      </c>
      <c r="R237" s="38" t="str">
        <f>IFERROR((TABLA_AVANCE_METAS[[#This Row],[AVANCE 1°. TRIM]]/TABLA_AVANCE_METAS[[#This Row],[PROGR. 1° TRIM]])*100,"0")</f>
        <v>0</v>
      </c>
      <c r="S237"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NO PROG.</v>
      </c>
      <c r="T237" s="36">
        <v>0</v>
      </c>
      <c r="U237" s="37">
        <v>0</v>
      </c>
      <c r="V237" s="40" t="str">
        <f>IFERROR((U237/T237)*100,"0")</f>
        <v>0</v>
      </c>
      <c r="W237" s="39" t="str">
        <f>IF(AND(V237&gt;=0,V237&lt;=49.9999999999999),"CRÍTICO",IF(AND(V237&gt;=50,V237&lt;=69.9999999999999),"DEFICIENTE",IF(AND(V237&gt;=70,V237&lt;=89.9999999999999),"REGULAR",IF(AND(V237&gt;=90,V237&lt;=110.999999999999),"ADECUADO",IF(AND(V237&gt;=111,V237&lt;=999999),"SOBREPASADO","NO PROG.")))))</f>
        <v>NO PROG.</v>
      </c>
      <c r="X237" s="36">
        <v>1200</v>
      </c>
      <c r="Y237" s="37"/>
      <c r="Z237" s="40">
        <v>0</v>
      </c>
      <c r="AA237" s="39" t="s">
        <v>62</v>
      </c>
      <c r="AB237" s="36">
        <v>0</v>
      </c>
      <c r="AC237" s="41"/>
      <c r="AD237" s="96" t="str">
        <f>IFERROR((TABLA_AVANCE_METAS[[#This Row],[AVANCE 4°. TRIM]]/TABLA_AVANCE_METAS[[#This Row],[PROGR. 4° TRIM]])*100,"0")</f>
        <v>0</v>
      </c>
      <c r="AE237" s="97"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NO PROG.</v>
      </c>
      <c r="AF237" s="43" cm="1">
        <f t="array" ref="AF237">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0</v>
      </c>
      <c r="AG237" s="44" cm="1">
        <f t="array" ref="AG237">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0</v>
      </c>
      <c r="AH237" s="40" t="str">
        <f>IFERROR((TABLA_AVANCE_METAS[[#This Row],[AVANCE ACUM. TRIM.]]/TABLA_AVANCE_METAS[[#This Row],[PROG. ACUM]])*100,"N/A")</f>
        <v>N/A</v>
      </c>
      <c r="AI237"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NO PROG.</v>
      </c>
      <c r="AJ237" s="45">
        <f>TABLA_AVANCE_METAS[[#This Row],[AVANCE ACUM. TRIM.]]-TABLA_AVANCE_METAS[[#This Row],[PROG. ACUM]]</f>
        <v>0</v>
      </c>
      <c r="AK237" s="46" t="str">
        <f>IFERROR((TABLA_AVANCE_METAS[[#This Row],[DIFERENCIA ABSOLUTA SEMESTRAL]]/TABLA_AVANCE_METAS[[#This Row],[PROG. ACUM]])*100,"N/A")</f>
        <v>N/A</v>
      </c>
      <c r="AL237" s="98">
        <f>TABLA_AVANCE_METAS[[#This Row],[AVANCE 1°. TRIM]]+TABLA_AVANCE_METAS[[#This Row],[AVANCE 2°. TRIM]]+TABLA_AVANCE_METAS[[#This Row],[AVANCE 3°. TRIM]]+TABLA_AVANCE_METAS[[#This Row],[AVANCE 4°. TRIM]]</f>
        <v>0</v>
      </c>
      <c r="AM237" s="40">
        <f>IFERROR((TABLA_AVANCE_METAS[[#This Row],[AVANCE ACUM. ANUAL]]/TABLA_AVANCE_METAS[[#This Row],[PROGRAMADO ANUAL]])*100,"N/A")</f>
        <v>0</v>
      </c>
      <c r="AN237"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237" s="45">
        <f>TABLA_AVANCE_METAS[[#This Row],[AVANCE ACUM. ANUAL]]-TABLA_AVANCE_METAS[[#This Row],[PROGRAMADO ANUAL]]</f>
        <v>-1200</v>
      </c>
      <c r="AP237" s="47">
        <f>IFERROR((TABLA_AVANCE_METAS[[#This Row],[DIFERENCIA ABSOLUTA ANUAL]]/TABLA_AVANCE_METAS[[#This Row],[PROGRAMADO ANUAL]])*100,"N/A")</f>
        <v>-100</v>
      </c>
      <c r="AQ237" s="99">
        <v>0</v>
      </c>
      <c r="AR237" s="100"/>
      <c r="AS237" s="100"/>
      <c r="AT237" s="100"/>
      <c r="AU237" s="51" t="b">
        <f>TABLA_AVANCE_METAS[[#This Row],[PROGRAMADO ANUAL]]=SUM(TABLA_AVANCE_METAS[[#This Row],[PROGR. 1° TRIM]],TABLA_AVANCE_METAS[[#This Row],[PROGR. 2° TRIM]],TABLA_AVANCE_METAS[[#This Row],[PROGR. 3° TRIM]],TABLA_AVANCE_METAS[[#This Row],[PROGR. 4° TRIM]])</f>
        <v>1</v>
      </c>
    </row>
    <row r="238" spans="1:48" ht="75" hidden="1" x14ac:dyDescent="0.3">
      <c r="A238" s="31" t="str">
        <f>CONCATENATE(TABLA_AVANCE_METAS[[#This Row],[ESTRUCTURA]],TABLA_AVANCE_METAS[[#This Row],['#]])</f>
        <v>B0320201050202016</v>
      </c>
      <c r="B238" s="32" t="s">
        <v>387</v>
      </c>
      <c r="C238" s="33" t="s">
        <v>367</v>
      </c>
      <c r="D238" s="32" t="s">
        <v>368</v>
      </c>
      <c r="E238" s="32" t="s">
        <v>388</v>
      </c>
      <c r="F238" s="32" t="s">
        <v>389</v>
      </c>
      <c r="G238" s="34" t="s">
        <v>390</v>
      </c>
      <c r="H238" s="32" t="s">
        <v>280</v>
      </c>
      <c r="I238" s="32" t="s">
        <v>281</v>
      </c>
      <c r="J238" s="32" t="s">
        <v>282</v>
      </c>
      <c r="K238" s="32" t="s">
        <v>283</v>
      </c>
      <c r="L238" s="33">
        <v>6</v>
      </c>
      <c r="M238" s="94" t="s">
        <v>690</v>
      </c>
      <c r="N238" s="34" t="s">
        <v>289</v>
      </c>
      <c r="O238" s="95">
        <v>25</v>
      </c>
      <c r="P238" s="95">
        <v>0</v>
      </c>
      <c r="Q238" s="37">
        <v>0</v>
      </c>
      <c r="R238" s="38" t="str">
        <f>IFERROR((TABLA_AVANCE_METAS[[#This Row],[AVANCE 1°. TRIM]]/TABLA_AVANCE_METAS[[#This Row],[PROGR. 1° TRIM]])*100,"0")</f>
        <v>0</v>
      </c>
      <c r="S238"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NO PROG.</v>
      </c>
      <c r="T238" s="36">
        <v>0</v>
      </c>
      <c r="U238" s="37">
        <v>0</v>
      </c>
      <c r="V238" s="40" t="str">
        <f>IFERROR((U238/T238)*100,"0")</f>
        <v>0</v>
      </c>
      <c r="W238" s="39" t="str">
        <f>IF(AND(V238&gt;=0,V238&lt;=49.9999999999999),"CRÍTICO",IF(AND(V238&gt;=50,V238&lt;=69.9999999999999),"DEFICIENTE",IF(AND(V238&gt;=70,V238&lt;=89.9999999999999),"REGULAR",IF(AND(V238&gt;=90,V238&lt;=110.999999999999),"ADECUADO",IF(AND(V238&gt;=111,V238&lt;=999999),"SOBREPASADO","NO PROG.")))))</f>
        <v>NO PROG.</v>
      </c>
      <c r="X238" s="36">
        <v>25</v>
      </c>
      <c r="Y238" s="37"/>
      <c r="Z238" s="40">
        <v>0</v>
      </c>
      <c r="AA238" s="39" t="s">
        <v>62</v>
      </c>
      <c r="AB238" s="36">
        <v>0</v>
      </c>
      <c r="AC238" s="41"/>
      <c r="AD238" s="96" t="str">
        <f>IFERROR((TABLA_AVANCE_METAS[[#This Row],[AVANCE 4°. TRIM]]/TABLA_AVANCE_METAS[[#This Row],[PROGR. 4° TRIM]])*100,"0")</f>
        <v>0</v>
      </c>
      <c r="AE238" s="97"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NO PROG.</v>
      </c>
      <c r="AF238" s="43" cm="1">
        <f t="array" ref="AF238">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0</v>
      </c>
      <c r="AG238" s="44" cm="1">
        <f t="array" ref="AG238">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0</v>
      </c>
      <c r="AH238" s="40" t="str">
        <f>IFERROR((TABLA_AVANCE_METAS[[#This Row],[AVANCE ACUM. TRIM.]]/TABLA_AVANCE_METAS[[#This Row],[PROG. ACUM]])*100,"N/A")</f>
        <v>N/A</v>
      </c>
      <c r="AI238"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NO PROG.</v>
      </c>
      <c r="AJ238" s="45">
        <f>TABLA_AVANCE_METAS[[#This Row],[AVANCE ACUM. TRIM.]]-TABLA_AVANCE_METAS[[#This Row],[PROG. ACUM]]</f>
        <v>0</v>
      </c>
      <c r="AK238" s="46" t="str">
        <f>IFERROR((TABLA_AVANCE_METAS[[#This Row],[DIFERENCIA ABSOLUTA SEMESTRAL]]/TABLA_AVANCE_METAS[[#This Row],[PROG. ACUM]])*100,"N/A")</f>
        <v>N/A</v>
      </c>
      <c r="AL238" s="98">
        <f>TABLA_AVANCE_METAS[[#This Row],[AVANCE 1°. TRIM]]+TABLA_AVANCE_METAS[[#This Row],[AVANCE 2°. TRIM]]+TABLA_AVANCE_METAS[[#This Row],[AVANCE 3°. TRIM]]+TABLA_AVANCE_METAS[[#This Row],[AVANCE 4°. TRIM]]</f>
        <v>0</v>
      </c>
      <c r="AM238" s="40">
        <f>IFERROR((TABLA_AVANCE_METAS[[#This Row],[AVANCE ACUM. ANUAL]]/TABLA_AVANCE_METAS[[#This Row],[PROGRAMADO ANUAL]])*100,"N/A")</f>
        <v>0</v>
      </c>
      <c r="AN238"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238" s="45">
        <f>TABLA_AVANCE_METAS[[#This Row],[AVANCE ACUM. ANUAL]]-TABLA_AVANCE_METAS[[#This Row],[PROGRAMADO ANUAL]]</f>
        <v>-25</v>
      </c>
      <c r="AP238" s="47">
        <f>IFERROR((TABLA_AVANCE_METAS[[#This Row],[DIFERENCIA ABSOLUTA ANUAL]]/TABLA_AVANCE_METAS[[#This Row],[PROGRAMADO ANUAL]])*100,"N/A")</f>
        <v>-100</v>
      </c>
      <c r="AQ238" s="99">
        <v>0</v>
      </c>
      <c r="AR238" s="100"/>
      <c r="AS238" s="100"/>
      <c r="AT238" s="100"/>
      <c r="AU238" s="51" t="b">
        <f>TABLA_AVANCE_METAS[[#This Row],[PROGRAMADO ANUAL]]=SUM(TABLA_AVANCE_METAS[[#This Row],[PROGR. 1° TRIM]],TABLA_AVANCE_METAS[[#This Row],[PROGR. 2° TRIM]],TABLA_AVANCE_METAS[[#This Row],[PROGR. 3° TRIM]],TABLA_AVANCE_METAS[[#This Row],[PROGR. 4° TRIM]])</f>
        <v>1</v>
      </c>
    </row>
    <row r="239" spans="1:48" ht="75" hidden="1" x14ac:dyDescent="0.3">
      <c r="A239" s="31" t="str">
        <f>CONCATENATE(TABLA_AVANCE_METAS[[#This Row],[ESTRUCTURA]],TABLA_AVANCE_METAS[[#This Row],['#]])</f>
        <v>B0320201050202017</v>
      </c>
      <c r="B239" s="32" t="s">
        <v>387</v>
      </c>
      <c r="C239" s="33" t="s">
        <v>367</v>
      </c>
      <c r="D239" s="32" t="s">
        <v>368</v>
      </c>
      <c r="E239" s="32" t="s">
        <v>388</v>
      </c>
      <c r="F239" s="32" t="s">
        <v>389</v>
      </c>
      <c r="G239" s="34" t="s">
        <v>390</v>
      </c>
      <c r="H239" s="32" t="s">
        <v>280</v>
      </c>
      <c r="I239" s="32" t="s">
        <v>281</v>
      </c>
      <c r="J239" s="32" t="s">
        <v>282</v>
      </c>
      <c r="K239" s="32" t="s">
        <v>283</v>
      </c>
      <c r="L239" s="33">
        <v>7</v>
      </c>
      <c r="M239" s="94" t="s">
        <v>691</v>
      </c>
      <c r="N239" s="34" t="s">
        <v>240</v>
      </c>
      <c r="O239" s="95">
        <v>1800</v>
      </c>
      <c r="P239" s="95">
        <v>450</v>
      </c>
      <c r="Q239" s="37">
        <v>494</v>
      </c>
      <c r="R239" s="38">
        <f>IFERROR((TABLA_AVANCE_METAS[[#This Row],[AVANCE 1°. TRIM]]/TABLA_AVANCE_METAS[[#This Row],[PROGR. 1° TRIM]])*100,"0")</f>
        <v>109.77777777777777</v>
      </c>
      <c r="S239"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ADECUADO</v>
      </c>
      <c r="T239" s="36">
        <v>450</v>
      </c>
      <c r="U239" s="37">
        <v>489</v>
      </c>
      <c r="V239" s="40">
        <f>IFERROR((U239/T239)*100,"0")</f>
        <v>108.66666666666667</v>
      </c>
      <c r="W239" s="39" t="str">
        <f>IF(AND(V239&gt;=0,V239&lt;=49.9999999999999),"CRÍTICO",IF(AND(V239&gt;=50,V239&lt;=69.9999999999999),"DEFICIENTE",IF(AND(V239&gt;=70,V239&lt;=89.9999999999999),"REGULAR",IF(AND(V239&gt;=90,V239&lt;=110.999999999999),"ADECUADO",IF(AND(V239&gt;=111,V239&lt;=999999),"SOBREPASADO","NO PROG.")))))</f>
        <v>ADECUADO</v>
      </c>
      <c r="X239" s="36">
        <v>450</v>
      </c>
      <c r="Y239" s="37"/>
      <c r="Z239" s="40">
        <v>0</v>
      </c>
      <c r="AA239" s="39" t="s">
        <v>62</v>
      </c>
      <c r="AB239" s="36">
        <v>450</v>
      </c>
      <c r="AC239" s="41"/>
      <c r="AD239" s="96">
        <f>IFERROR((TABLA_AVANCE_METAS[[#This Row],[AVANCE 4°. TRIM]]/TABLA_AVANCE_METAS[[#This Row],[PROGR. 4° TRIM]])*100,"0")</f>
        <v>0</v>
      </c>
      <c r="AE239" s="97"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239" s="43" cm="1">
        <f t="array" ref="AF239">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900</v>
      </c>
      <c r="AG239" s="44" cm="1">
        <f t="array" ref="AG239">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983</v>
      </c>
      <c r="AH239" s="40">
        <f>IFERROR((TABLA_AVANCE_METAS[[#This Row],[AVANCE ACUM. TRIM.]]/TABLA_AVANCE_METAS[[#This Row],[PROG. ACUM]])*100,"N/A")</f>
        <v>109.22222222222221</v>
      </c>
      <c r="AI239"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239" s="45">
        <f>TABLA_AVANCE_METAS[[#This Row],[AVANCE ACUM. TRIM.]]-TABLA_AVANCE_METAS[[#This Row],[PROG. ACUM]]</f>
        <v>83</v>
      </c>
      <c r="AK239" s="46">
        <f>IFERROR((TABLA_AVANCE_METAS[[#This Row],[DIFERENCIA ABSOLUTA SEMESTRAL]]/TABLA_AVANCE_METAS[[#This Row],[PROG. ACUM]])*100,"N/A")</f>
        <v>9.2222222222222214</v>
      </c>
      <c r="AL239" s="98">
        <f>TABLA_AVANCE_METAS[[#This Row],[AVANCE 1°. TRIM]]+TABLA_AVANCE_METAS[[#This Row],[AVANCE 2°. TRIM]]+TABLA_AVANCE_METAS[[#This Row],[AVANCE 3°. TRIM]]+TABLA_AVANCE_METAS[[#This Row],[AVANCE 4°. TRIM]]</f>
        <v>983</v>
      </c>
      <c r="AM239" s="40">
        <f>IFERROR((TABLA_AVANCE_METAS[[#This Row],[AVANCE ACUM. ANUAL]]/TABLA_AVANCE_METAS[[#This Row],[PROGRAMADO ANUAL]])*100,"N/A")</f>
        <v>54.611111111111107</v>
      </c>
      <c r="AN239"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DEFICIENTE</v>
      </c>
      <c r="AO239" s="45">
        <f>TABLA_AVANCE_METAS[[#This Row],[AVANCE ACUM. ANUAL]]-TABLA_AVANCE_METAS[[#This Row],[PROGRAMADO ANUAL]]</f>
        <v>-817</v>
      </c>
      <c r="AP239" s="47">
        <f>IFERROR((TABLA_AVANCE_METAS[[#This Row],[DIFERENCIA ABSOLUTA ANUAL]]/TABLA_AVANCE_METAS[[#This Row],[PROGRAMADO ANUAL]])*100,"N/A")</f>
        <v>-45.388888888888893</v>
      </c>
      <c r="AQ239" s="99">
        <v>0</v>
      </c>
      <c r="AR239" s="100"/>
      <c r="AS239" s="100"/>
      <c r="AT239" s="100"/>
      <c r="AU239" s="51" t="b">
        <f>TABLA_AVANCE_METAS[[#This Row],[PROGRAMADO ANUAL]]=SUM(TABLA_AVANCE_METAS[[#This Row],[PROGR. 1° TRIM]],TABLA_AVANCE_METAS[[#This Row],[PROGR. 2° TRIM]],TABLA_AVANCE_METAS[[#This Row],[PROGR. 3° TRIM]],TABLA_AVANCE_METAS[[#This Row],[PROGR. 4° TRIM]])</f>
        <v>1</v>
      </c>
    </row>
    <row r="240" spans="1:48" ht="56.25" hidden="1" x14ac:dyDescent="0.3">
      <c r="A240" s="31" t="str">
        <f>CONCATENATE(TABLA_AVANCE_METAS[[#This Row],[ESTRUCTURA]],TABLA_AVANCE_METAS[[#This Row],['#]])</f>
        <v>B0020401050202096</v>
      </c>
      <c r="B240" s="32" t="s">
        <v>215</v>
      </c>
      <c r="C240" s="33" t="s">
        <v>214</v>
      </c>
      <c r="D240" s="32" t="s">
        <v>215</v>
      </c>
      <c r="E240" s="32" t="s">
        <v>294</v>
      </c>
      <c r="F240" s="32" t="s">
        <v>295</v>
      </c>
      <c r="G240" s="101" t="s">
        <v>296</v>
      </c>
      <c r="H240" s="32" t="s">
        <v>280</v>
      </c>
      <c r="I240" s="32" t="s">
        <v>281</v>
      </c>
      <c r="J240" s="32" t="s">
        <v>297</v>
      </c>
      <c r="K240" s="32" t="s">
        <v>298</v>
      </c>
      <c r="L240" s="33">
        <v>6</v>
      </c>
      <c r="M240" s="94" t="s">
        <v>692</v>
      </c>
      <c r="N240" s="34" t="s">
        <v>206</v>
      </c>
      <c r="O240" s="36">
        <v>15</v>
      </c>
      <c r="P240" s="36">
        <v>4</v>
      </c>
      <c r="Q240" s="37">
        <v>4</v>
      </c>
      <c r="R240" s="38" t="s">
        <v>72</v>
      </c>
      <c r="S240" s="39" t="s">
        <v>73</v>
      </c>
      <c r="T240" s="36">
        <v>4</v>
      </c>
      <c r="U240" s="37">
        <v>4</v>
      </c>
      <c r="V240" s="40">
        <f>IFERROR((U240/T240)*100,"0")</f>
        <v>100</v>
      </c>
      <c r="W240" s="39" t="str">
        <f>IF(AND(V240&gt;=0,V240&lt;=49.9999999999999),"CRÍTICO",IF(AND(V240&gt;=50,V240&lt;=69.9999999999999),"DEFICIENTE",IF(AND(V240&gt;=70,V240&lt;=89.9999999999999),"REGULAR",IF(AND(V240&gt;=90,V240&lt;=110.999999999999),"ADECUADO",IF(AND(V240&gt;=111,V240&lt;=999999),"SOBREPASADO","NO PROG.")))))</f>
        <v>ADECUADO</v>
      </c>
      <c r="X240" s="36">
        <v>4</v>
      </c>
      <c r="Y240" s="37">
        <v>0</v>
      </c>
      <c r="Z240" s="40">
        <v>0</v>
      </c>
      <c r="AA240" s="39" t="s">
        <v>62</v>
      </c>
      <c r="AB240" s="36">
        <v>3</v>
      </c>
      <c r="AC240" s="41">
        <v>0</v>
      </c>
      <c r="AD240" s="40">
        <v>0</v>
      </c>
      <c r="AE240" s="42" t="s">
        <v>62</v>
      </c>
      <c r="AF240" s="43" cm="1">
        <f t="array" ref="AF240">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8</v>
      </c>
      <c r="AG240" s="44" cm="1">
        <f t="array" ref="AG240">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8</v>
      </c>
      <c r="AH240" s="40">
        <f>IFERROR((TABLA_AVANCE_METAS[[#This Row],[AVANCE ACUM. TRIM.]]/TABLA_AVANCE_METAS[[#This Row],[PROG. ACUM]])*100,"N/A")</f>
        <v>100</v>
      </c>
      <c r="AI240"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240" s="45" t="e">
        <v>#N/A</v>
      </c>
      <c r="AK240" s="46" t="s">
        <v>693</v>
      </c>
      <c r="AL240" s="44" t="e">
        <v>#N/A</v>
      </c>
      <c r="AM240" s="40" t="s">
        <v>693</v>
      </c>
      <c r="AN240" s="39" t="s">
        <v>73</v>
      </c>
      <c r="AO240" s="45" t="e">
        <v>#N/A</v>
      </c>
      <c r="AP240" s="47" t="s">
        <v>693</v>
      </c>
      <c r="AQ240" s="48">
        <v>0</v>
      </c>
      <c r="AR240" s="51"/>
      <c r="AS240" s="100"/>
      <c r="AT240" s="100"/>
      <c r="AU240" s="51" t="b">
        <f>TABLA_AVANCE_METAS[[#This Row],[PROGRAMADO ANUAL]]=SUM(TABLA_AVANCE_METAS[[#This Row],[PROGR. 1° TRIM]],TABLA_AVANCE_METAS[[#This Row],[PROGR. 2° TRIM]],TABLA_AVANCE_METAS[[#This Row],[PROGR. 3° TRIM]],TABLA_AVANCE_METAS[[#This Row],[PROGR. 4° TRIM]])</f>
        <v>1</v>
      </c>
    </row>
    <row r="241" spans="1:47" ht="56.25" hidden="1" x14ac:dyDescent="0.3">
      <c r="A241" s="31" t="str">
        <f>CONCATENATE(TABLA_AVANCE_METAS[[#This Row],[ESTRUCTURA]],TABLA_AVANCE_METAS[[#This Row],['#]])</f>
        <v>C0021902020301075</v>
      </c>
      <c r="B241" s="102" t="s">
        <v>604</v>
      </c>
      <c r="C241" s="55" t="s">
        <v>445</v>
      </c>
      <c r="D241" s="54" t="s">
        <v>446</v>
      </c>
      <c r="E241" s="32" t="s">
        <v>526</v>
      </c>
      <c r="F241" s="54" t="s">
        <v>527</v>
      </c>
      <c r="G241" s="101" t="s">
        <v>605</v>
      </c>
      <c r="H241" s="54" t="s">
        <v>177</v>
      </c>
      <c r="I241" s="54" t="s">
        <v>178</v>
      </c>
      <c r="J241" s="54" t="s">
        <v>518</v>
      </c>
      <c r="K241" s="54" t="s">
        <v>519</v>
      </c>
      <c r="L241" s="33" t="s">
        <v>694</v>
      </c>
      <c r="M241" s="103" t="s">
        <v>695</v>
      </c>
      <c r="N241" s="34" t="s">
        <v>532</v>
      </c>
      <c r="O241" s="95">
        <v>2420</v>
      </c>
      <c r="P241" s="95"/>
      <c r="Q241" s="37"/>
      <c r="R241" s="38" t="str">
        <f>IFERROR((TABLA_AVANCE_METAS[[#This Row],[AVANCE 1°. TRIM]]/TABLA_AVANCE_METAS[[#This Row],[PROGR. 1° TRIM]])*100,"0")</f>
        <v>0</v>
      </c>
      <c r="S241"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NO PROG.</v>
      </c>
      <c r="T241" s="36">
        <v>800</v>
      </c>
      <c r="U241" s="37">
        <v>813</v>
      </c>
      <c r="V241" s="40">
        <f t="shared" ref="V241:V250" si="11">IFERROR((U241/T241)*100,"0")</f>
        <v>101.62500000000001</v>
      </c>
      <c r="W241" s="39" t="str">
        <f t="shared" ref="W241:W250" si="12">IF(AND(V241&gt;=0,V241&lt;=49.9999999999999),"CRÍTICO",IF(AND(V241&gt;=50,V241&lt;=69.9999999999999),"DEFICIENTE",IF(AND(V241&gt;=70,V241&lt;=89.9999999999999),"REGULAR",IF(AND(V241&gt;=90,V241&lt;=110.999999999999),"ADECUADO",IF(AND(V241&gt;=111,V241&lt;=999999),"SOBREPASADO","NO PROG.")))))</f>
        <v>ADECUADO</v>
      </c>
      <c r="X241" s="36">
        <v>810</v>
      </c>
      <c r="Y241" s="37"/>
      <c r="Z241" s="40">
        <v>0</v>
      </c>
      <c r="AA241" s="39" t="s">
        <v>62</v>
      </c>
      <c r="AB241" s="36">
        <v>810</v>
      </c>
      <c r="AC241" s="41"/>
      <c r="AD241" s="96">
        <f>IFERROR((TABLA_AVANCE_METAS[[#This Row],[AVANCE 4°. TRIM]]/TABLA_AVANCE_METAS[[#This Row],[PROGR. 4° TRIM]])*100,"0")</f>
        <v>0</v>
      </c>
      <c r="AE241" s="97"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241" s="43" cm="1">
        <f t="array" ref="AF241">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800</v>
      </c>
      <c r="AG241" s="44" cm="1">
        <f t="array" ref="AG241">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813</v>
      </c>
      <c r="AH241" s="40">
        <f>IFERROR((TABLA_AVANCE_METAS[[#This Row],[AVANCE ACUM. TRIM.]]/TABLA_AVANCE_METAS[[#This Row],[PROG. ACUM]])*100,"N/A")</f>
        <v>101.62500000000001</v>
      </c>
      <c r="AI241"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241" s="45">
        <f>TABLA_AVANCE_METAS[[#This Row],[AVANCE ACUM. TRIM.]]-TABLA_AVANCE_METAS[[#This Row],[PROG. ACUM]]</f>
        <v>13</v>
      </c>
      <c r="AK241" s="46">
        <f>IFERROR((TABLA_AVANCE_METAS[[#This Row],[DIFERENCIA ABSOLUTA SEMESTRAL]]/TABLA_AVANCE_METAS[[#This Row],[PROG. ACUM]])*100,"N/A")</f>
        <v>1.625</v>
      </c>
      <c r="AL241" s="98">
        <f>TABLA_AVANCE_METAS[[#This Row],[AVANCE 1°. TRIM]]+TABLA_AVANCE_METAS[[#This Row],[AVANCE 2°. TRIM]]+TABLA_AVANCE_METAS[[#This Row],[AVANCE 3°. TRIM]]+TABLA_AVANCE_METAS[[#This Row],[AVANCE 4°. TRIM]]</f>
        <v>813</v>
      </c>
      <c r="AM241" s="40">
        <f>IFERROR((TABLA_AVANCE_METAS[[#This Row],[AVANCE ACUM. ANUAL]]/TABLA_AVANCE_METAS[[#This Row],[PROGRAMADO ANUAL]])*100,"N/A")</f>
        <v>33.595041322314053</v>
      </c>
      <c r="AN241"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241" s="45">
        <f>TABLA_AVANCE_METAS[[#This Row],[AVANCE ACUM. ANUAL]]-TABLA_AVANCE_METAS[[#This Row],[PROGRAMADO ANUAL]]</f>
        <v>-1607</v>
      </c>
      <c r="AP241" s="47">
        <f>IFERROR((TABLA_AVANCE_METAS[[#This Row],[DIFERENCIA ABSOLUTA ANUAL]]/TABLA_AVANCE_METAS[[#This Row],[PROGRAMADO ANUAL]])*100,"N/A")</f>
        <v>-66.404958677685954</v>
      </c>
      <c r="AQ241" s="99"/>
      <c r="AR241" s="100"/>
      <c r="AS241" s="100"/>
      <c r="AT241" s="100"/>
      <c r="AU241" s="83" t="b">
        <f>TABLA_AVANCE_METAS[[#This Row],[PROGRAMADO ANUAL]]=SUM(TABLA_AVANCE_METAS[[#This Row],[PROGR. 1° TRIM]],TABLA_AVANCE_METAS[[#This Row],[PROGR. 2° TRIM]],TABLA_AVANCE_METAS[[#This Row],[PROGR. 3° TRIM]],TABLA_AVANCE_METAS[[#This Row],[PROGR. 4° TRIM]])</f>
        <v>1</v>
      </c>
    </row>
    <row r="242" spans="1:47" ht="56.25" hidden="1" x14ac:dyDescent="0.3">
      <c r="A242" s="31" t="str">
        <f>CONCATENATE(TABLA_AVANCE_METAS[[#This Row],[ESTRUCTURA]],TABLA_AVANCE_METAS[[#This Row],['#]])</f>
        <v>C0021902020301076</v>
      </c>
      <c r="B242" s="102" t="s">
        <v>604</v>
      </c>
      <c r="C242" s="55" t="s">
        <v>445</v>
      </c>
      <c r="D242" s="54" t="s">
        <v>446</v>
      </c>
      <c r="E242" s="32" t="s">
        <v>526</v>
      </c>
      <c r="F242" s="54" t="s">
        <v>527</v>
      </c>
      <c r="G242" s="101" t="s">
        <v>605</v>
      </c>
      <c r="H242" s="54" t="s">
        <v>177</v>
      </c>
      <c r="I242" s="54" t="s">
        <v>178</v>
      </c>
      <c r="J242" s="54" t="s">
        <v>518</v>
      </c>
      <c r="K242" s="54" t="s">
        <v>519</v>
      </c>
      <c r="L242" s="33" t="s">
        <v>696</v>
      </c>
      <c r="M242" s="103" t="s">
        <v>697</v>
      </c>
      <c r="N242" s="34" t="s">
        <v>513</v>
      </c>
      <c r="O242" s="95">
        <v>210</v>
      </c>
      <c r="P242" s="95"/>
      <c r="Q242" s="37"/>
      <c r="R242" s="38" t="str">
        <f>IFERROR((TABLA_AVANCE_METAS[[#This Row],[AVANCE 1°. TRIM]]/TABLA_AVANCE_METAS[[#This Row],[PROGR. 1° TRIM]])*100,"0")</f>
        <v>0</v>
      </c>
      <c r="S242"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NO PROG.</v>
      </c>
      <c r="T242" s="36">
        <v>70</v>
      </c>
      <c r="U242" s="37">
        <v>68</v>
      </c>
      <c r="V242" s="40">
        <f t="shared" si="11"/>
        <v>97.142857142857139</v>
      </c>
      <c r="W242" s="39" t="str">
        <f t="shared" si="12"/>
        <v>ADECUADO</v>
      </c>
      <c r="X242" s="36">
        <v>70</v>
      </c>
      <c r="Y242" s="37"/>
      <c r="Z242" s="40">
        <v>0</v>
      </c>
      <c r="AA242" s="39" t="s">
        <v>62</v>
      </c>
      <c r="AB242" s="36">
        <v>70</v>
      </c>
      <c r="AC242" s="41"/>
      <c r="AD242" s="96">
        <f>IFERROR((TABLA_AVANCE_METAS[[#This Row],[AVANCE 4°. TRIM]]/TABLA_AVANCE_METAS[[#This Row],[PROGR. 4° TRIM]])*100,"0")</f>
        <v>0</v>
      </c>
      <c r="AE242" s="97"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242" s="43" cm="1">
        <f t="array" ref="AF242">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70</v>
      </c>
      <c r="AG242" s="44" cm="1">
        <f t="array" ref="AG242">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68</v>
      </c>
      <c r="AH242" s="40">
        <f>IFERROR((TABLA_AVANCE_METAS[[#This Row],[AVANCE ACUM. TRIM.]]/TABLA_AVANCE_METAS[[#This Row],[PROG. ACUM]])*100,"N/A")</f>
        <v>97.142857142857139</v>
      </c>
      <c r="AI242"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242" s="45">
        <f>TABLA_AVANCE_METAS[[#This Row],[AVANCE ACUM. TRIM.]]-TABLA_AVANCE_METAS[[#This Row],[PROG. ACUM]]</f>
        <v>-2</v>
      </c>
      <c r="AK242" s="46">
        <f>IFERROR((TABLA_AVANCE_METAS[[#This Row],[DIFERENCIA ABSOLUTA SEMESTRAL]]/TABLA_AVANCE_METAS[[#This Row],[PROG. ACUM]])*100,"N/A")</f>
        <v>-2.8571428571428572</v>
      </c>
      <c r="AL242" s="98">
        <f>TABLA_AVANCE_METAS[[#This Row],[AVANCE 1°. TRIM]]+TABLA_AVANCE_METAS[[#This Row],[AVANCE 2°. TRIM]]+TABLA_AVANCE_METAS[[#This Row],[AVANCE 3°. TRIM]]+TABLA_AVANCE_METAS[[#This Row],[AVANCE 4°. TRIM]]</f>
        <v>68</v>
      </c>
      <c r="AM242" s="40">
        <f>IFERROR((TABLA_AVANCE_METAS[[#This Row],[AVANCE ACUM. ANUAL]]/TABLA_AVANCE_METAS[[#This Row],[PROGRAMADO ANUAL]])*100,"N/A")</f>
        <v>32.38095238095238</v>
      </c>
      <c r="AN242"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242" s="45">
        <f>TABLA_AVANCE_METAS[[#This Row],[AVANCE ACUM. ANUAL]]-TABLA_AVANCE_METAS[[#This Row],[PROGRAMADO ANUAL]]</f>
        <v>-142</v>
      </c>
      <c r="AP242" s="47">
        <f>IFERROR((TABLA_AVANCE_METAS[[#This Row],[DIFERENCIA ABSOLUTA ANUAL]]/TABLA_AVANCE_METAS[[#This Row],[PROGRAMADO ANUAL]])*100,"N/A")</f>
        <v>-67.61904761904762</v>
      </c>
      <c r="AQ242" s="99"/>
      <c r="AR242" s="100"/>
      <c r="AS242" s="100"/>
      <c r="AT242" s="100"/>
      <c r="AU242" s="83" t="b">
        <f>TABLA_AVANCE_METAS[[#This Row],[PROGRAMADO ANUAL]]=SUM(TABLA_AVANCE_METAS[[#This Row],[PROGR. 1° TRIM]],TABLA_AVANCE_METAS[[#This Row],[PROGR. 2° TRIM]],TABLA_AVANCE_METAS[[#This Row],[PROGR. 3° TRIM]],TABLA_AVANCE_METAS[[#This Row],[PROGR. 4° TRIM]])</f>
        <v>1</v>
      </c>
    </row>
    <row r="243" spans="1:47" ht="56.25" hidden="1" x14ac:dyDescent="0.3">
      <c r="A243" s="31" t="str">
        <f>CONCATENATE(TABLA_AVANCE_METAS[[#This Row],[ESTRUCTURA]],TABLA_AVANCE_METAS[[#This Row],['#]])</f>
        <v>C0021902020301077</v>
      </c>
      <c r="B243" s="102" t="s">
        <v>604</v>
      </c>
      <c r="C243" s="55" t="s">
        <v>445</v>
      </c>
      <c r="D243" s="54" t="s">
        <v>446</v>
      </c>
      <c r="E243" s="32" t="s">
        <v>526</v>
      </c>
      <c r="F243" s="54" t="s">
        <v>527</v>
      </c>
      <c r="G243" s="101" t="s">
        <v>605</v>
      </c>
      <c r="H243" s="54" t="s">
        <v>177</v>
      </c>
      <c r="I243" s="54" t="s">
        <v>178</v>
      </c>
      <c r="J243" s="54" t="s">
        <v>518</v>
      </c>
      <c r="K243" s="54" t="s">
        <v>519</v>
      </c>
      <c r="L243" s="33" t="s">
        <v>698</v>
      </c>
      <c r="M243" s="103" t="s">
        <v>699</v>
      </c>
      <c r="N243" s="34" t="s">
        <v>489</v>
      </c>
      <c r="O243" s="95">
        <v>64</v>
      </c>
      <c r="P243" s="95"/>
      <c r="Q243" s="37"/>
      <c r="R243" s="38" t="str">
        <f>IFERROR((TABLA_AVANCE_METAS[[#This Row],[AVANCE 1°. TRIM]]/TABLA_AVANCE_METAS[[#This Row],[PROGR. 1° TRIM]])*100,"0")</f>
        <v>0</v>
      </c>
      <c r="S243"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NO PROG.</v>
      </c>
      <c r="T243" s="36">
        <v>21</v>
      </c>
      <c r="U243" s="37">
        <v>21</v>
      </c>
      <c r="V243" s="40">
        <f t="shared" si="11"/>
        <v>100</v>
      </c>
      <c r="W243" s="39" t="str">
        <f t="shared" si="12"/>
        <v>ADECUADO</v>
      </c>
      <c r="X243" s="36">
        <v>22</v>
      </c>
      <c r="Y243" s="37"/>
      <c r="Z243" s="40">
        <v>0</v>
      </c>
      <c r="AA243" s="39" t="s">
        <v>62</v>
      </c>
      <c r="AB243" s="36">
        <v>21</v>
      </c>
      <c r="AC243" s="41"/>
      <c r="AD243" s="96">
        <f>IFERROR((TABLA_AVANCE_METAS[[#This Row],[AVANCE 4°. TRIM]]/TABLA_AVANCE_METAS[[#This Row],[PROGR. 4° TRIM]])*100,"0")</f>
        <v>0</v>
      </c>
      <c r="AE243" s="97"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243" s="43" cm="1">
        <f t="array" ref="AF243">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21</v>
      </c>
      <c r="AG243" s="44" cm="1">
        <f t="array" ref="AG243">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21</v>
      </c>
      <c r="AH243" s="40">
        <f>IFERROR((TABLA_AVANCE_METAS[[#This Row],[AVANCE ACUM. TRIM.]]/TABLA_AVANCE_METAS[[#This Row],[PROG. ACUM]])*100,"N/A")</f>
        <v>100</v>
      </c>
      <c r="AI243"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243" s="45">
        <f>TABLA_AVANCE_METAS[[#This Row],[AVANCE ACUM. TRIM.]]-TABLA_AVANCE_METAS[[#This Row],[PROG. ACUM]]</f>
        <v>0</v>
      </c>
      <c r="AK243" s="46">
        <f>IFERROR((TABLA_AVANCE_METAS[[#This Row],[DIFERENCIA ABSOLUTA SEMESTRAL]]/TABLA_AVANCE_METAS[[#This Row],[PROG. ACUM]])*100,"N/A")</f>
        <v>0</v>
      </c>
      <c r="AL243" s="98">
        <f>TABLA_AVANCE_METAS[[#This Row],[AVANCE 1°. TRIM]]+TABLA_AVANCE_METAS[[#This Row],[AVANCE 2°. TRIM]]+TABLA_AVANCE_METAS[[#This Row],[AVANCE 3°. TRIM]]+TABLA_AVANCE_METAS[[#This Row],[AVANCE 4°. TRIM]]</f>
        <v>21</v>
      </c>
      <c r="AM243" s="40">
        <f>IFERROR((TABLA_AVANCE_METAS[[#This Row],[AVANCE ACUM. ANUAL]]/TABLA_AVANCE_METAS[[#This Row],[PROGRAMADO ANUAL]])*100,"N/A")</f>
        <v>32.8125</v>
      </c>
      <c r="AN243"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243" s="45">
        <f>TABLA_AVANCE_METAS[[#This Row],[AVANCE ACUM. ANUAL]]-TABLA_AVANCE_METAS[[#This Row],[PROGRAMADO ANUAL]]</f>
        <v>-43</v>
      </c>
      <c r="AP243" s="47">
        <f>IFERROR((TABLA_AVANCE_METAS[[#This Row],[DIFERENCIA ABSOLUTA ANUAL]]/TABLA_AVANCE_METAS[[#This Row],[PROGRAMADO ANUAL]])*100,"N/A")</f>
        <v>-67.1875</v>
      </c>
      <c r="AQ243" s="99"/>
      <c r="AR243" s="100"/>
      <c r="AS243" s="100"/>
      <c r="AT243" s="100"/>
      <c r="AU243" s="83" t="b">
        <f>TABLA_AVANCE_METAS[[#This Row],[PROGRAMADO ANUAL]]=SUM(TABLA_AVANCE_METAS[[#This Row],[PROGR. 1° TRIM]],TABLA_AVANCE_METAS[[#This Row],[PROGR. 2° TRIM]],TABLA_AVANCE_METAS[[#This Row],[PROGR. 3° TRIM]],TABLA_AVANCE_METAS[[#This Row],[PROGR. 4° TRIM]])</f>
        <v>1</v>
      </c>
    </row>
    <row r="244" spans="1:47" ht="56.25" hidden="1" x14ac:dyDescent="0.3">
      <c r="A244" s="31" t="str">
        <f>CONCATENATE(TABLA_AVANCE_METAS[[#This Row],[ESTRUCTURA]],TABLA_AVANCE_METAS[[#This Row],['#]])</f>
        <v>C0021902020301078</v>
      </c>
      <c r="B244" s="102" t="s">
        <v>604</v>
      </c>
      <c r="C244" s="55" t="s">
        <v>445</v>
      </c>
      <c r="D244" s="54" t="s">
        <v>446</v>
      </c>
      <c r="E244" s="32" t="s">
        <v>526</v>
      </c>
      <c r="F244" s="54" t="s">
        <v>527</v>
      </c>
      <c r="G244" s="101" t="s">
        <v>605</v>
      </c>
      <c r="H244" s="54" t="s">
        <v>177</v>
      </c>
      <c r="I244" s="54" t="s">
        <v>178</v>
      </c>
      <c r="J244" s="54" t="s">
        <v>518</v>
      </c>
      <c r="K244" s="54" t="s">
        <v>519</v>
      </c>
      <c r="L244" s="33" t="s">
        <v>700</v>
      </c>
      <c r="M244" s="103" t="s">
        <v>701</v>
      </c>
      <c r="N244" s="34" t="s">
        <v>538</v>
      </c>
      <c r="O244" s="95">
        <v>650</v>
      </c>
      <c r="P244" s="95"/>
      <c r="Q244" s="37"/>
      <c r="R244" s="38" t="str">
        <f>IFERROR((TABLA_AVANCE_METAS[[#This Row],[AVANCE 1°. TRIM]]/TABLA_AVANCE_METAS[[#This Row],[PROGR. 1° TRIM]])*100,"0")</f>
        <v>0</v>
      </c>
      <c r="S244"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NO PROG.</v>
      </c>
      <c r="T244" s="36">
        <v>215</v>
      </c>
      <c r="U244" s="37">
        <v>214</v>
      </c>
      <c r="V244" s="40">
        <f t="shared" si="11"/>
        <v>99.534883720930239</v>
      </c>
      <c r="W244" s="39" t="str">
        <f t="shared" si="12"/>
        <v>ADECUADO</v>
      </c>
      <c r="X244" s="36">
        <v>220</v>
      </c>
      <c r="Y244" s="37"/>
      <c r="Z244" s="40">
        <v>0</v>
      </c>
      <c r="AA244" s="39" t="s">
        <v>62</v>
      </c>
      <c r="AB244" s="36">
        <v>215</v>
      </c>
      <c r="AC244" s="41"/>
      <c r="AD244" s="96">
        <f>IFERROR((TABLA_AVANCE_METAS[[#This Row],[AVANCE 4°. TRIM]]/TABLA_AVANCE_METAS[[#This Row],[PROGR. 4° TRIM]])*100,"0")</f>
        <v>0</v>
      </c>
      <c r="AE244" s="97"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244" s="43" cm="1">
        <f t="array" ref="AF244">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215</v>
      </c>
      <c r="AG244" s="44" cm="1">
        <f t="array" ref="AG244">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214</v>
      </c>
      <c r="AH244" s="40">
        <f>IFERROR((TABLA_AVANCE_METAS[[#This Row],[AVANCE ACUM. TRIM.]]/TABLA_AVANCE_METAS[[#This Row],[PROG. ACUM]])*100,"N/A")</f>
        <v>99.534883720930239</v>
      </c>
      <c r="AI244"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244" s="45">
        <f>TABLA_AVANCE_METAS[[#This Row],[AVANCE ACUM. TRIM.]]-TABLA_AVANCE_METAS[[#This Row],[PROG. ACUM]]</f>
        <v>-1</v>
      </c>
      <c r="AK244" s="46">
        <f>IFERROR((TABLA_AVANCE_METAS[[#This Row],[DIFERENCIA ABSOLUTA SEMESTRAL]]/TABLA_AVANCE_METAS[[#This Row],[PROG. ACUM]])*100,"N/A")</f>
        <v>-0.46511627906976744</v>
      </c>
      <c r="AL244" s="98">
        <f>TABLA_AVANCE_METAS[[#This Row],[AVANCE 1°. TRIM]]+TABLA_AVANCE_METAS[[#This Row],[AVANCE 2°. TRIM]]+TABLA_AVANCE_METAS[[#This Row],[AVANCE 3°. TRIM]]+TABLA_AVANCE_METAS[[#This Row],[AVANCE 4°. TRIM]]</f>
        <v>214</v>
      </c>
      <c r="AM244" s="40">
        <f>IFERROR((TABLA_AVANCE_METAS[[#This Row],[AVANCE ACUM. ANUAL]]/TABLA_AVANCE_METAS[[#This Row],[PROGRAMADO ANUAL]])*100,"N/A")</f>
        <v>32.92307692307692</v>
      </c>
      <c r="AN244"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244" s="45">
        <f>TABLA_AVANCE_METAS[[#This Row],[AVANCE ACUM. ANUAL]]-TABLA_AVANCE_METAS[[#This Row],[PROGRAMADO ANUAL]]</f>
        <v>-436</v>
      </c>
      <c r="AP244" s="47">
        <f>IFERROR((TABLA_AVANCE_METAS[[#This Row],[DIFERENCIA ABSOLUTA ANUAL]]/TABLA_AVANCE_METAS[[#This Row],[PROGRAMADO ANUAL]])*100,"N/A")</f>
        <v>-67.07692307692308</v>
      </c>
      <c r="AQ244" s="99"/>
      <c r="AR244" s="100"/>
      <c r="AS244" s="100"/>
      <c r="AT244" s="100"/>
      <c r="AU244" s="51" t="b">
        <f>TABLA_AVANCE_METAS[[#This Row],[PROGRAMADO ANUAL]]=SUM(TABLA_AVANCE_METAS[[#This Row],[PROGR. 1° TRIM]],TABLA_AVANCE_METAS[[#This Row],[PROGR. 2° TRIM]],TABLA_AVANCE_METAS[[#This Row],[PROGR. 3° TRIM]],TABLA_AVANCE_METAS[[#This Row],[PROGR. 4° TRIM]])</f>
        <v>1</v>
      </c>
    </row>
    <row r="245" spans="1:47" ht="56.25" hidden="1" x14ac:dyDescent="0.3">
      <c r="A245" s="31" t="str">
        <f>CONCATENATE(TABLA_AVANCE_METAS[[#This Row],[ESTRUCTURA]],TABLA_AVANCE_METAS[[#This Row],['#]])</f>
        <v>C0021902020301079</v>
      </c>
      <c r="B245" s="102" t="s">
        <v>604</v>
      </c>
      <c r="C245" s="55" t="s">
        <v>445</v>
      </c>
      <c r="D245" s="54" t="s">
        <v>446</v>
      </c>
      <c r="E245" s="32" t="s">
        <v>526</v>
      </c>
      <c r="F245" s="54" t="s">
        <v>527</v>
      </c>
      <c r="G245" s="101" t="s">
        <v>605</v>
      </c>
      <c r="H245" s="54" t="s">
        <v>177</v>
      </c>
      <c r="I245" s="54" t="s">
        <v>178</v>
      </c>
      <c r="J245" s="54" t="s">
        <v>518</v>
      </c>
      <c r="K245" s="54" t="s">
        <v>519</v>
      </c>
      <c r="L245" s="33" t="s">
        <v>702</v>
      </c>
      <c r="M245" s="103" t="s">
        <v>703</v>
      </c>
      <c r="N245" s="34" t="s">
        <v>541</v>
      </c>
      <c r="O245" s="95">
        <v>54</v>
      </c>
      <c r="P245" s="95"/>
      <c r="Q245" s="37"/>
      <c r="R245" s="38" t="str">
        <f>IFERROR((TABLA_AVANCE_METAS[[#This Row],[AVANCE 1°. TRIM]]/TABLA_AVANCE_METAS[[#This Row],[PROGR. 1° TRIM]])*100,"0")</f>
        <v>0</v>
      </c>
      <c r="S245"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NO PROG.</v>
      </c>
      <c r="T245" s="36">
        <v>18</v>
      </c>
      <c r="U245" s="37">
        <v>18</v>
      </c>
      <c r="V245" s="40">
        <f t="shared" si="11"/>
        <v>100</v>
      </c>
      <c r="W245" s="39" t="str">
        <f t="shared" si="12"/>
        <v>ADECUADO</v>
      </c>
      <c r="X245" s="36">
        <v>18</v>
      </c>
      <c r="Y245" s="37"/>
      <c r="Z245" s="40">
        <v>0</v>
      </c>
      <c r="AA245" s="39" t="s">
        <v>62</v>
      </c>
      <c r="AB245" s="36">
        <v>18</v>
      </c>
      <c r="AC245" s="41"/>
      <c r="AD245" s="96">
        <f>IFERROR((TABLA_AVANCE_METAS[[#This Row],[AVANCE 4°. TRIM]]/TABLA_AVANCE_METAS[[#This Row],[PROGR. 4° TRIM]])*100,"0")</f>
        <v>0</v>
      </c>
      <c r="AE245" s="97"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245" s="43" cm="1">
        <f t="array" ref="AF245">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18</v>
      </c>
      <c r="AG245" s="44" cm="1">
        <f t="array" ref="AG245">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18</v>
      </c>
      <c r="AH245" s="40">
        <f>IFERROR((TABLA_AVANCE_METAS[[#This Row],[AVANCE ACUM. TRIM.]]/TABLA_AVANCE_METAS[[#This Row],[PROG. ACUM]])*100,"N/A")</f>
        <v>100</v>
      </c>
      <c r="AI245"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245" s="45">
        <f>TABLA_AVANCE_METAS[[#This Row],[AVANCE ACUM. TRIM.]]-TABLA_AVANCE_METAS[[#This Row],[PROG. ACUM]]</f>
        <v>0</v>
      </c>
      <c r="AK245" s="46">
        <f>IFERROR((TABLA_AVANCE_METAS[[#This Row],[DIFERENCIA ABSOLUTA SEMESTRAL]]/TABLA_AVANCE_METAS[[#This Row],[PROG. ACUM]])*100,"N/A")</f>
        <v>0</v>
      </c>
      <c r="AL245" s="98">
        <f>TABLA_AVANCE_METAS[[#This Row],[AVANCE 1°. TRIM]]+TABLA_AVANCE_METAS[[#This Row],[AVANCE 2°. TRIM]]+TABLA_AVANCE_METAS[[#This Row],[AVANCE 3°. TRIM]]+TABLA_AVANCE_METAS[[#This Row],[AVANCE 4°. TRIM]]</f>
        <v>18</v>
      </c>
      <c r="AM245" s="40">
        <f>IFERROR((TABLA_AVANCE_METAS[[#This Row],[AVANCE ACUM. ANUAL]]/TABLA_AVANCE_METAS[[#This Row],[PROGRAMADO ANUAL]])*100,"N/A")</f>
        <v>33.333333333333329</v>
      </c>
      <c r="AN245"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245" s="45">
        <f>TABLA_AVANCE_METAS[[#This Row],[AVANCE ACUM. ANUAL]]-TABLA_AVANCE_METAS[[#This Row],[PROGRAMADO ANUAL]]</f>
        <v>-36</v>
      </c>
      <c r="AP245" s="47">
        <f>IFERROR((TABLA_AVANCE_METAS[[#This Row],[DIFERENCIA ABSOLUTA ANUAL]]/TABLA_AVANCE_METAS[[#This Row],[PROGRAMADO ANUAL]])*100,"N/A")</f>
        <v>-66.666666666666657</v>
      </c>
      <c r="AQ245" s="99"/>
      <c r="AR245" s="100"/>
      <c r="AS245" s="100"/>
      <c r="AT245" s="100"/>
      <c r="AU245" s="51" t="b">
        <f>TABLA_AVANCE_METAS[[#This Row],[PROGRAMADO ANUAL]]=SUM(TABLA_AVANCE_METAS[[#This Row],[PROGR. 1° TRIM]],TABLA_AVANCE_METAS[[#This Row],[PROGR. 2° TRIM]],TABLA_AVANCE_METAS[[#This Row],[PROGR. 3° TRIM]],TABLA_AVANCE_METAS[[#This Row],[PROGR. 4° TRIM]])</f>
        <v>1</v>
      </c>
    </row>
    <row r="246" spans="1:47" ht="56.25" hidden="1" x14ac:dyDescent="0.3">
      <c r="A246" s="31" t="str">
        <f>CONCATENATE(TABLA_AVANCE_METAS[[#This Row],[ESTRUCTURA]],TABLA_AVANCE_METAS[[#This Row],['#]])</f>
        <v>C00219020203010710</v>
      </c>
      <c r="B246" s="102" t="s">
        <v>604</v>
      </c>
      <c r="C246" s="55" t="s">
        <v>445</v>
      </c>
      <c r="D246" s="54" t="s">
        <v>446</v>
      </c>
      <c r="E246" s="32" t="s">
        <v>526</v>
      </c>
      <c r="F246" s="54" t="s">
        <v>527</v>
      </c>
      <c r="G246" s="101" t="s">
        <v>605</v>
      </c>
      <c r="H246" s="54" t="s">
        <v>177</v>
      </c>
      <c r="I246" s="54" t="s">
        <v>178</v>
      </c>
      <c r="J246" s="54" t="s">
        <v>518</v>
      </c>
      <c r="K246" s="54" t="s">
        <v>519</v>
      </c>
      <c r="L246" s="33" t="s">
        <v>704</v>
      </c>
      <c r="M246" s="103" t="s">
        <v>705</v>
      </c>
      <c r="N246" s="34" t="s">
        <v>543</v>
      </c>
      <c r="O246" s="95">
        <v>10</v>
      </c>
      <c r="P246" s="95"/>
      <c r="Q246" s="37"/>
      <c r="R246" s="38" t="str">
        <f>IFERROR((TABLA_AVANCE_METAS[[#This Row],[AVANCE 1°. TRIM]]/TABLA_AVANCE_METAS[[#This Row],[PROGR. 1° TRIM]])*100,"0")</f>
        <v>0</v>
      </c>
      <c r="S246"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NO PROG.</v>
      </c>
      <c r="T246" s="36">
        <v>2</v>
      </c>
      <c r="U246" s="37">
        <v>2</v>
      </c>
      <c r="V246" s="40">
        <f t="shared" si="11"/>
        <v>100</v>
      </c>
      <c r="W246" s="39" t="str">
        <f t="shared" si="12"/>
        <v>ADECUADO</v>
      </c>
      <c r="X246" s="36">
        <v>3</v>
      </c>
      <c r="Y246" s="37"/>
      <c r="Z246" s="40">
        <v>0</v>
      </c>
      <c r="AA246" s="39" t="s">
        <v>62</v>
      </c>
      <c r="AB246" s="36">
        <v>5</v>
      </c>
      <c r="AC246" s="41"/>
      <c r="AD246" s="96">
        <f>IFERROR((TABLA_AVANCE_METAS[[#This Row],[AVANCE 4°. TRIM]]/TABLA_AVANCE_METAS[[#This Row],[PROGR. 4° TRIM]])*100,"0")</f>
        <v>0</v>
      </c>
      <c r="AE246" s="97"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246" s="43" cm="1">
        <f t="array" ref="AF246">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2</v>
      </c>
      <c r="AG246" s="44" cm="1">
        <f t="array" ref="AG246">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2</v>
      </c>
      <c r="AH246" s="40">
        <f>IFERROR((TABLA_AVANCE_METAS[[#This Row],[AVANCE ACUM. TRIM.]]/TABLA_AVANCE_METAS[[#This Row],[PROG. ACUM]])*100,"N/A")</f>
        <v>100</v>
      </c>
      <c r="AI246"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246" s="45">
        <f>TABLA_AVANCE_METAS[[#This Row],[AVANCE ACUM. TRIM.]]-TABLA_AVANCE_METAS[[#This Row],[PROG. ACUM]]</f>
        <v>0</v>
      </c>
      <c r="AK246" s="46">
        <f>IFERROR((TABLA_AVANCE_METAS[[#This Row],[DIFERENCIA ABSOLUTA SEMESTRAL]]/TABLA_AVANCE_METAS[[#This Row],[PROG. ACUM]])*100,"N/A")</f>
        <v>0</v>
      </c>
      <c r="AL246" s="98">
        <f>TABLA_AVANCE_METAS[[#This Row],[AVANCE 1°. TRIM]]+TABLA_AVANCE_METAS[[#This Row],[AVANCE 2°. TRIM]]+TABLA_AVANCE_METAS[[#This Row],[AVANCE 3°. TRIM]]+TABLA_AVANCE_METAS[[#This Row],[AVANCE 4°. TRIM]]</f>
        <v>2</v>
      </c>
      <c r="AM246" s="40">
        <f>IFERROR((TABLA_AVANCE_METAS[[#This Row],[AVANCE ACUM. ANUAL]]/TABLA_AVANCE_METAS[[#This Row],[PROGRAMADO ANUAL]])*100,"N/A")</f>
        <v>20</v>
      </c>
      <c r="AN246"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246" s="45">
        <f>TABLA_AVANCE_METAS[[#This Row],[AVANCE ACUM. ANUAL]]-TABLA_AVANCE_METAS[[#This Row],[PROGRAMADO ANUAL]]</f>
        <v>-8</v>
      </c>
      <c r="AP246" s="47">
        <f>IFERROR((TABLA_AVANCE_METAS[[#This Row],[DIFERENCIA ABSOLUTA ANUAL]]/TABLA_AVANCE_METAS[[#This Row],[PROGRAMADO ANUAL]])*100,"N/A")</f>
        <v>-80</v>
      </c>
      <c r="AQ246" s="99"/>
      <c r="AR246" s="100"/>
      <c r="AS246" s="100"/>
      <c r="AT246" s="100"/>
      <c r="AU246" s="83" t="b">
        <f>TABLA_AVANCE_METAS[[#This Row],[PROGRAMADO ANUAL]]=SUM(TABLA_AVANCE_METAS[[#This Row],[PROGR. 1° TRIM]],TABLA_AVANCE_METAS[[#This Row],[PROGR. 2° TRIM]],TABLA_AVANCE_METAS[[#This Row],[PROGR. 3° TRIM]],TABLA_AVANCE_METAS[[#This Row],[PROGR. 4° TRIM]])</f>
        <v>1</v>
      </c>
    </row>
    <row r="247" spans="1:47" ht="93.75" hidden="1" x14ac:dyDescent="0.3">
      <c r="A247" s="31" t="str">
        <f>CONCATENATE(TABLA_AVANCE_METAS[[#This Row],[ESTRUCTURA]],TABLA_AVANCE_METAS[[#This Row],['#]])</f>
        <v>C0021902020301107</v>
      </c>
      <c r="B247" s="104" t="s">
        <v>525</v>
      </c>
      <c r="C247" s="55" t="s">
        <v>445</v>
      </c>
      <c r="D247" s="54" t="s">
        <v>446</v>
      </c>
      <c r="E247" s="32" t="s">
        <v>526</v>
      </c>
      <c r="F247" s="54" t="s">
        <v>527</v>
      </c>
      <c r="G247" s="101" t="s">
        <v>528</v>
      </c>
      <c r="H247" s="54" t="s">
        <v>177</v>
      </c>
      <c r="I247" s="54" t="s">
        <v>178</v>
      </c>
      <c r="J247" s="54" t="s">
        <v>529</v>
      </c>
      <c r="K247" s="54" t="s">
        <v>530</v>
      </c>
      <c r="L247" s="33" t="s">
        <v>698</v>
      </c>
      <c r="M247" s="103" t="s">
        <v>706</v>
      </c>
      <c r="N247" s="34" t="s">
        <v>504</v>
      </c>
      <c r="O247" s="95">
        <v>9</v>
      </c>
      <c r="P247" s="95"/>
      <c r="Q247" s="37"/>
      <c r="R247" s="38" t="str">
        <f>IFERROR((TABLA_AVANCE_METAS[[#This Row],[AVANCE 1°. TRIM]]/TABLA_AVANCE_METAS[[#This Row],[PROGR. 1° TRIM]])*100,"0")</f>
        <v>0</v>
      </c>
      <c r="S247"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NO PROG.</v>
      </c>
      <c r="T247" s="36">
        <v>3</v>
      </c>
      <c r="U247" s="37">
        <v>3</v>
      </c>
      <c r="V247" s="40">
        <f t="shared" si="11"/>
        <v>100</v>
      </c>
      <c r="W247" s="39" t="str">
        <f t="shared" si="12"/>
        <v>ADECUADO</v>
      </c>
      <c r="X247" s="36">
        <v>3</v>
      </c>
      <c r="Y247" s="37"/>
      <c r="Z247" s="40">
        <v>0</v>
      </c>
      <c r="AA247" s="39" t="s">
        <v>62</v>
      </c>
      <c r="AB247" s="36">
        <v>3</v>
      </c>
      <c r="AC247" s="41"/>
      <c r="AD247" s="96">
        <f>IFERROR((TABLA_AVANCE_METAS[[#This Row],[AVANCE 4°. TRIM]]/TABLA_AVANCE_METAS[[#This Row],[PROGR. 4° TRIM]])*100,"0")</f>
        <v>0</v>
      </c>
      <c r="AE247" s="97"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247" s="43" cm="1">
        <f t="array" ref="AF247">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3</v>
      </c>
      <c r="AG247" s="44" cm="1">
        <f t="array" ref="AG247">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3</v>
      </c>
      <c r="AH247" s="40">
        <f>IFERROR((TABLA_AVANCE_METAS[[#This Row],[AVANCE ACUM. TRIM.]]/TABLA_AVANCE_METAS[[#This Row],[PROG. ACUM]])*100,"N/A")</f>
        <v>100</v>
      </c>
      <c r="AI247"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247" s="45">
        <f>TABLA_AVANCE_METAS[[#This Row],[AVANCE ACUM. TRIM.]]-TABLA_AVANCE_METAS[[#This Row],[PROG. ACUM]]</f>
        <v>0</v>
      </c>
      <c r="AK247" s="46">
        <f>IFERROR((TABLA_AVANCE_METAS[[#This Row],[DIFERENCIA ABSOLUTA SEMESTRAL]]/TABLA_AVANCE_METAS[[#This Row],[PROG. ACUM]])*100,"N/A")</f>
        <v>0</v>
      </c>
      <c r="AL247" s="98">
        <f>TABLA_AVANCE_METAS[[#This Row],[AVANCE 1°. TRIM]]+TABLA_AVANCE_METAS[[#This Row],[AVANCE 2°. TRIM]]+TABLA_AVANCE_METAS[[#This Row],[AVANCE 3°. TRIM]]+TABLA_AVANCE_METAS[[#This Row],[AVANCE 4°. TRIM]]</f>
        <v>3</v>
      </c>
      <c r="AM247" s="40">
        <f>IFERROR((TABLA_AVANCE_METAS[[#This Row],[AVANCE ACUM. ANUAL]]/TABLA_AVANCE_METAS[[#This Row],[PROGRAMADO ANUAL]])*100,"N/A")</f>
        <v>33.333333333333329</v>
      </c>
      <c r="AN247"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247" s="45">
        <f>TABLA_AVANCE_METAS[[#This Row],[AVANCE ACUM. ANUAL]]-TABLA_AVANCE_METAS[[#This Row],[PROGRAMADO ANUAL]]</f>
        <v>-6</v>
      </c>
      <c r="AP247" s="47">
        <f>IFERROR((TABLA_AVANCE_METAS[[#This Row],[DIFERENCIA ABSOLUTA ANUAL]]/TABLA_AVANCE_METAS[[#This Row],[PROGRAMADO ANUAL]])*100,"N/A")</f>
        <v>-66.666666666666657</v>
      </c>
      <c r="AQ247" s="99"/>
      <c r="AR247" s="100"/>
      <c r="AS247" s="100"/>
      <c r="AT247" s="100"/>
      <c r="AU247" s="51" t="b">
        <f>TABLA_AVANCE_METAS[[#This Row],[PROGRAMADO ANUAL]]=SUM(TABLA_AVANCE_METAS[[#This Row],[PROGR. 1° TRIM]],TABLA_AVANCE_METAS[[#This Row],[PROGR. 2° TRIM]],TABLA_AVANCE_METAS[[#This Row],[PROGR. 3° TRIM]],TABLA_AVANCE_METAS[[#This Row],[PROGR. 4° TRIM]])</f>
        <v>1</v>
      </c>
    </row>
    <row r="248" spans="1:47" ht="93.75" hidden="1" x14ac:dyDescent="0.3">
      <c r="A248" s="31" t="str">
        <f>CONCATENATE(TABLA_AVANCE_METAS[[#This Row],[ESTRUCTURA]],TABLA_AVANCE_METAS[[#This Row],['#]])</f>
        <v>C0021902020301108</v>
      </c>
      <c r="B248" s="104" t="s">
        <v>525</v>
      </c>
      <c r="C248" s="55" t="s">
        <v>445</v>
      </c>
      <c r="D248" s="54" t="s">
        <v>446</v>
      </c>
      <c r="E248" s="32" t="s">
        <v>526</v>
      </c>
      <c r="F248" s="54" t="s">
        <v>527</v>
      </c>
      <c r="G248" s="101" t="s">
        <v>528</v>
      </c>
      <c r="H248" s="54" t="s">
        <v>177</v>
      </c>
      <c r="I248" s="54" t="s">
        <v>178</v>
      </c>
      <c r="J248" s="54" t="s">
        <v>529</v>
      </c>
      <c r="K248" s="54" t="s">
        <v>530</v>
      </c>
      <c r="L248" s="33" t="s">
        <v>700</v>
      </c>
      <c r="M248" s="103" t="s">
        <v>707</v>
      </c>
      <c r="N248" s="34" t="s">
        <v>306</v>
      </c>
      <c r="O248" s="95">
        <v>3</v>
      </c>
      <c r="P248" s="95"/>
      <c r="Q248" s="37"/>
      <c r="R248" s="38" t="str">
        <f>IFERROR((TABLA_AVANCE_METAS[[#This Row],[AVANCE 1°. TRIM]]/TABLA_AVANCE_METAS[[#This Row],[PROGR. 1° TRIM]])*100,"0")</f>
        <v>0</v>
      </c>
      <c r="S248"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NO PROG.</v>
      </c>
      <c r="T248" s="36">
        <v>1</v>
      </c>
      <c r="U248" s="37">
        <v>1</v>
      </c>
      <c r="V248" s="40">
        <f t="shared" si="11"/>
        <v>100</v>
      </c>
      <c r="W248" s="39" t="str">
        <f t="shared" si="12"/>
        <v>ADECUADO</v>
      </c>
      <c r="X248" s="36">
        <v>1</v>
      </c>
      <c r="Y248" s="37"/>
      <c r="Z248" s="40">
        <v>0</v>
      </c>
      <c r="AA248" s="39" t="s">
        <v>62</v>
      </c>
      <c r="AB248" s="36">
        <v>1</v>
      </c>
      <c r="AC248" s="41"/>
      <c r="AD248" s="96">
        <f>IFERROR((TABLA_AVANCE_METAS[[#This Row],[AVANCE 4°. TRIM]]/TABLA_AVANCE_METAS[[#This Row],[PROGR. 4° TRIM]])*100,"0")</f>
        <v>0</v>
      </c>
      <c r="AE248" s="97"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248" s="43" cm="1">
        <f t="array" ref="AF248">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v>
      </c>
      <c r="AG248" s="44" cm="1">
        <f t="array" ref="AG248">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1</v>
      </c>
      <c r="AH248" s="40">
        <f>IFERROR((TABLA_AVANCE_METAS[[#This Row],[AVANCE ACUM. TRIM.]]/TABLA_AVANCE_METAS[[#This Row],[PROG. ACUM]])*100,"N/A")</f>
        <v>100</v>
      </c>
      <c r="AI248"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248" s="45">
        <f>TABLA_AVANCE_METAS[[#This Row],[AVANCE ACUM. TRIM.]]-TABLA_AVANCE_METAS[[#This Row],[PROG. ACUM]]</f>
        <v>0</v>
      </c>
      <c r="AK248" s="46">
        <f>IFERROR((TABLA_AVANCE_METAS[[#This Row],[DIFERENCIA ABSOLUTA SEMESTRAL]]/TABLA_AVANCE_METAS[[#This Row],[PROG. ACUM]])*100,"N/A")</f>
        <v>0</v>
      </c>
      <c r="AL248" s="98">
        <f>TABLA_AVANCE_METAS[[#This Row],[AVANCE 1°. TRIM]]+TABLA_AVANCE_METAS[[#This Row],[AVANCE 2°. TRIM]]+TABLA_AVANCE_METAS[[#This Row],[AVANCE 3°. TRIM]]+TABLA_AVANCE_METAS[[#This Row],[AVANCE 4°. TRIM]]</f>
        <v>1</v>
      </c>
      <c r="AM248" s="40">
        <f>IFERROR((TABLA_AVANCE_METAS[[#This Row],[AVANCE ACUM. ANUAL]]/TABLA_AVANCE_METAS[[#This Row],[PROGRAMADO ANUAL]])*100,"N/A")</f>
        <v>33.333333333333329</v>
      </c>
      <c r="AN248"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248" s="45">
        <f>TABLA_AVANCE_METAS[[#This Row],[AVANCE ACUM. ANUAL]]-TABLA_AVANCE_METAS[[#This Row],[PROGRAMADO ANUAL]]</f>
        <v>-2</v>
      </c>
      <c r="AP248" s="47">
        <f>IFERROR((TABLA_AVANCE_METAS[[#This Row],[DIFERENCIA ABSOLUTA ANUAL]]/TABLA_AVANCE_METAS[[#This Row],[PROGRAMADO ANUAL]])*100,"N/A")</f>
        <v>-66.666666666666657</v>
      </c>
      <c r="AQ248" s="99"/>
      <c r="AR248" s="100"/>
      <c r="AS248" s="100"/>
      <c r="AT248" s="100"/>
      <c r="AU248" s="51" t="b">
        <f>TABLA_AVANCE_METAS[[#This Row],[PROGRAMADO ANUAL]]=SUM(TABLA_AVANCE_METAS[[#This Row],[PROGR. 1° TRIM]],TABLA_AVANCE_METAS[[#This Row],[PROGR. 2° TRIM]],TABLA_AVANCE_METAS[[#This Row],[PROGR. 3° TRIM]],TABLA_AVANCE_METAS[[#This Row],[PROGR. 4° TRIM]])</f>
        <v>1</v>
      </c>
    </row>
    <row r="249" spans="1:47" ht="93.75" hidden="1" x14ac:dyDescent="0.3">
      <c r="A249" s="31" t="str">
        <f>CONCATENATE(TABLA_AVANCE_METAS[[#This Row],[ESTRUCTURA]],TABLA_AVANCE_METAS[[#This Row],['#]])</f>
        <v>C0021902020301109</v>
      </c>
      <c r="B249" s="104" t="s">
        <v>525</v>
      </c>
      <c r="C249" s="55" t="s">
        <v>445</v>
      </c>
      <c r="D249" s="54" t="s">
        <v>446</v>
      </c>
      <c r="E249" s="32" t="s">
        <v>526</v>
      </c>
      <c r="F249" s="54" t="s">
        <v>527</v>
      </c>
      <c r="G249" s="101" t="s">
        <v>528</v>
      </c>
      <c r="H249" s="54" t="s">
        <v>177</v>
      </c>
      <c r="I249" s="54" t="s">
        <v>178</v>
      </c>
      <c r="J249" s="54" t="s">
        <v>529</v>
      </c>
      <c r="K249" s="54" t="s">
        <v>530</v>
      </c>
      <c r="L249" s="33" t="s">
        <v>702</v>
      </c>
      <c r="M249" s="103" t="s">
        <v>708</v>
      </c>
      <c r="N249" s="34" t="s">
        <v>609</v>
      </c>
      <c r="O249" s="95">
        <v>9</v>
      </c>
      <c r="P249" s="95"/>
      <c r="Q249" s="37"/>
      <c r="R249" s="38" t="str">
        <f>IFERROR((TABLA_AVANCE_METAS[[#This Row],[AVANCE 1°. TRIM]]/TABLA_AVANCE_METAS[[#This Row],[PROGR. 1° TRIM]])*100,"0")</f>
        <v>0</v>
      </c>
      <c r="S249"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NO PROG.</v>
      </c>
      <c r="T249" s="36">
        <v>3</v>
      </c>
      <c r="U249" s="37">
        <v>3</v>
      </c>
      <c r="V249" s="40">
        <f t="shared" si="11"/>
        <v>100</v>
      </c>
      <c r="W249" s="39" t="str">
        <f t="shared" si="12"/>
        <v>ADECUADO</v>
      </c>
      <c r="X249" s="36">
        <v>3</v>
      </c>
      <c r="Y249" s="37"/>
      <c r="Z249" s="40">
        <v>0</v>
      </c>
      <c r="AA249" s="39" t="s">
        <v>62</v>
      </c>
      <c r="AB249" s="36">
        <v>3</v>
      </c>
      <c r="AC249" s="41"/>
      <c r="AD249" s="96">
        <f>IFERROR((TABLA_AVANCE_METAS[[#This Row],[AVANCE 4°. TRIM]]/TABLA_AVANCE_METAS[[#This Row],[PROGR. 4° TRIM]])*100,"0")</f>
        <v>0</v>
      </c>
      <c r="AE249" s="97"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249" s="43" cm="1">
        <f t="array" ref="AF249">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3</v>
      </c>
      <c r="AG249" s="44" cm="1">
        <f t="array" ref="AG249">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3</v>
      </c>
      <c r="AH249" s="40">
        <f>IFERROR((TABLA_AVANCE_METAS[[#This Row],[AVANCE ACUM. TRIM.]]/TABLA_AVANCE_METAS[[#This Row],[PROG. ACUM]])*100,"N/A")</f>
        <v>100</v>
      </c>
      <c r="AI249"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249" s="45">
        <f>TABLA_AVANCE_METAS[[#This Row],[AVANCE ACUM. TRIM.]]-TABLA_AVANCE_METAS[[#This Row],[PROG. ACUM]]</f>
        <v>0</v>
      </c>
      <c r="AK249" s="46">
        <f>IFERROR((TABLA_AVANCE_METAS[[#This Row],[DIFERENCIA ABSOLUTA SEMESTRAL]]/TABLA_AVANCE_METAS[[#This Row],[PROG. ACUM]])*100,"N/A")</f>
        <v>0</v>
      </c>
      <c r="AL249" s="98">
        <f>TABLA_AVANCE_METAS[[#This Row],[AVANCE 1°. TRIM]]+TABLA_AVANCE_METAS[[#This Row],[AVANCE 2°. TRIM]]+TABLA_AVANCE_METAS[[#This Row],[AVANCE 3°. TRIM]]+TABLA_AVANCE_METAS[[#This Row],[AVANCE 4°. TRIM]]</f>
        <v>3</v>
      </c>
      <c r="AM249" s="40">
        <f>IFERROR((TABLA_AVANCE_METAS[[#This Row],[AVANCE ACUM. ANUAL]]/TABLA_AVANCE_METAS[[#This Row],[PROGRAMADO ANUAL]])*100,"N/A")</f>
        <v>33.333333333333329</v>
      </c>
      <c r="AN249"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249" s="45">
        <f>TABLA_AVANCE_METAS[[#This Row],[AVANCE ACUM. ANUAL]]-TABLA_AVANCE_METAS[[#This Row],[PROGRAMADO ANUAL]]</f>
        <v>-6</v>
      </c>
      <c r="AP249" s="47">
        <f>IFERROR((TABLA_AVANCE_METAS[[#This Row],[DIFERENCIA ABSOLUTA ANUAL]]/TABLA_AVANCE_METAS[[#This Row],[PROGRAMADO ANUAL]])*100,"N/A")</f>
        <v>-66.666666666666657</v>
      </c>
      <c r="AQ249" s="99"/>
      <c r="AR249" s="100"/>
      <c r="AS249" s="100"/>
      <c r="AT249" s="100"/>
      <c r="AU249" s="51" t="b">
        <f>TABLA_AVANCE_METAS[[#This Row],[PROGRAMADO ANUAL]]=SUM(TABLA_AVANCE_METAS[[#This Row],[PROGR. 1° TRIM]],TABLA_AVANCE_METAS[[#This Row],[PROGR. 2° TRIM]],TABLA_AVANCE_METAS[[#This Row],[PROGR. 3° TRIM]],TABLA_AVANCE_METAS[[#This Row],[PROGR. 4° TRIM]])</f>
        <v>1</v>
      </c>
    </row>
    <row r="250" spans="1:47" ht="93.75" hidden="1" x14ac:dyDescent="0.3">
      <c r="A250" s="31" t="str">
        <f>CONCATENATE(TABLA_AVANCE_METAS[[#This Row],[ESTRUCTURA]],TABLA_AVANCE_METAS[[#This Row],['#]])</f>
        <v>C00219020203011010</v>
      </c>
      <c r="B250" s="104" t="s">
        <v>525</v>
      </c>
      <c r="C250" s="55" t="s">
        <v>445</v>
      </c>
      <c r="D250" s="54" t="s">
        <v>446</v>
      </c>
      <c r="E250" s="32" t="s">
        <v>526</v>
      </c>
      <c r="F250" s="54" t="s">
        <v>527</v>
      </c>
      <c r="G250" s="101" t="s">
        <v>528</v>
      </c>
      <c r="H250" s="54" t="s">
        <v>177</v>
      </c>
      <c r="I250" s="54" t="s">
        <v>178</v>
      </c>
      <c r="J250" s="54" t="s">
        <v>529</v>
      </c>
      <c r="K250" s="54" t="s">
        <v>530</v>
      </c>
      <c r="L250" s="33" t="s">
        <v>704</v>
      </c>
      <c r="M250" s="103" t="s">
        <v>709</v>
      </c>
      <c r="N250" s="34" t="s">
        <v>511</v>
      </c>
      <c r="O250" s="95">
        <v>39829525.079999998</v>
      </c>
      <c r="P250" s="95"/>
      <c r="Q250" s="37"/>
      <c r="R250" s="38" t="str">
        <f>IFERROR((TABLA_AVANCE_METAS[[#This Row],[AVANCE 1°. TRIM]]/TABLA_AVANCE_METAS[[#This Row],[PROGR. 1° TRIM]])*100,"0")</f>
        <v>0</v>
      </c>
      <c r="S250" s="39" t="str">
        <f>IF(AND(TABLA_AVANCE_METAS[[#This Row],[% AVANCE 1er. TRIM]]&gt;=0,TABLA_AVANCE_METAS[[#This Row],[% AVANCE 1er. TRIM]]&lt;=49.9999999999999),"CRÍTICO",IF(AND(TABLA_AVANCE_METAS[[#This Row],[% AVANCE 1er. TRIM]]&gt;=50,TABLA_AVANCE_METAS[[#This Row],[% AVANCE 1er. TRIM]]&lt;=69.9999999999999),"DEFICIENTE",IF(AND(TABLA_AVANCE_METAS[[#This Row],[% AVANCE 1er. TRIM]]&gt;=70,TABLA_AVANCE_METAS[[#This Row],[% AVANCE 1er. TRIM]]&lt;=89.9999999999999),"REGULAR",IF(AND(TABLA_AVANCE_METAS[[#This Row],[% AVANCE 1er. TRIM]]&gt;=90,TABLA_AVANCE_METAS[[#This Row],[% AVANCE 1er. TRIM]]&lt;=110.999999999999),"ADECUADO",IF(AND(TABLA_AVANCE_METAS[[#This Row],[% AVANCE 1er. TRIM]]&gt;=111,TABLA_AVANCE_METAS[[#This Row],[% AVANCE 1er. TRIM]]&lt;=999999999),"SOBREPASADO","NO PROG.")))))</f>
        <v>NO PROG.</v>
      </c>
      <c r="T250" s="36">
        <v>13228053.949999999</v>
      </c>
      <c r="U250" s="37">
        <v>12593069.82</v>
      </c>
      <c r="V250" s="40">
        <f t="shared" si="11"/>
        <v>95.199716206177115</v>
      </c>
      <c r="W250" s="39" t="str">
        <f t="shared" si="12"/>
        <v>ADECUADO</v>
      </c>
      <c r="X250" s="36">
        <v>13373417.18</v>
      </c>
      <c r="Y250" s="37"/>
      <c r="Z250" s="40">
        <v>0</v>
      </c>
      <c r="AA250" s="39" t="s">
        <v>62</v>
      </c>
      <c r="AB250" s="36">
        <v>13228053.949999999</v>
      </c>
      <c r="AC250" s="41"/>
      <c r="AD250" s="96">
        <f>IFERROR((TABLA_AVANCE_METAS[[#This Row],[AVANCE 4°. TRIM]]/TABLA_AVANCE_METAS[[#This Row],[PROGR. 4° TRIM]])*100,"0")</f>
        <v>0</v>
      </c>
      <c r="AE250" s="97" t="str">
        <f>IF(AND(TABLA_AVANCE_METAS[[#This Row],[% AVANCE 4o. TRIM]]&gt;=0,TABLA_AVANCE_METAS[[#This Row],[% AVANCE 4o. TRIM]]&lt;=49.9999999999999),"CRÍTICO",IF(AND(TABLA_AVANCE_METAS[[#This Row],[% AVANCE 4o. TRIM]]&gt;=50,TABLA_AVANCE_METAS[[#This Row],[% AVANCE 4o. TRIM]]&lt;=69.9999999999999),"DEFICIENTE",IF(AND(TABLA_AVANCE_METAS[[#This Row],[% AVANCE 4o. TRIM]]&gt;=70,TABLA_AVANCE_METAS[[#This Row],[% AVANCE 4o. TRIM]]&lt;=89.9999999999999),"REGULAR",IF(AND(TABLA_AVANCE_METAS[[#This Row],[% AVANCE 4o. TRIM]]&gt;=90,TABLA_AVANCE_METAS[[#This Row],[% AVANCE 4o. TRIM]]&lt;=110.999999999999),"ADECUADO",IF(AND(TABLA_AVANCE_METAS[[#This Row],[% AVANCE 4o. TRIM]]&gt;=111,TABLA_AVANCE_METAS[[#This Row],[% AVANCE 4o. TRIM]]&lt;=999999),"SOBREPASADO","NO PROG.")))))</f>
        <v>CRÍTICO</v>
      </c>
      <c r="AF250" s="43" cm="1">
        <f t="array" ref="AF250">IF(TABLA_AVANCE_METAS[[#This Row],[PROGRAMADO ANUAL]]=0,0,_xlfn.IFS(AF$2="RESULTADO ACUMULADO AL 1° TRIMESTRE",TABLA_AVANCE_METAS[[#This Row],[PROGR. 1° TRIM]],AF$2="RESULTADO ACUMULADO AL 2° TRIMESTRE",TABLA_AVANCE_METAS[[#This Row],[PROGR. 1° TRIM]]+TABLA_AVANCE_METAS[[#This Row],[PROGR. 2° TRIM]],AF$2="RESULTADO ACUMULADO AL 3° TRIMESTRE",TABLA_AVANCE_METAS[[#This Row],[PROGR. 1° TRIM]]+TABLA_AVANCE_METAS[[#This Row],[PROGR. 2° TRIM]]+TABLA_AVANCE_METAS[[#This Row],[PROGR. 3° TRIM]],AF$2="RESULTADO ACUMULADO AL 4° TRIMESTRE",TABLA_AVANCE_METAS[[#This Row],[PROGR. 1° TRIM]]+TABLA_AVANCE_METAS[[#This Row],[PROGR. 2° TRIM]]+TABLA_AVANCE_METAS[[#This Row],[PROGR. 3° TRIM]]+TABLA_AVANCE_METAS[[#This Row],[PROGR. 4° TRIM]]))</f>
        <v>13228053.949999999</v>
      </c>
      <c r="AG250" s="44" cm="1">
        <f t="array" ref="AG250">_xlfn.IFS(AF$2="RESULTADO ACUMULADO AL 1° TRIMESTRE",TABLA_AVANCE_METAS[[#This Row],[AVANCE 1°. TRIM]],AF$2="RESULTADO ACUMULADO AL 2° TRIMESTRE",TABLA_AVANCE_METAS[[#This Row],[AVANCE 1°. TRIM]]+TABLA_AVANCE_METAS[[#This Row],[AVANCE 2°. TRIM]],AF$2="RESULTADO ACUMULADO AL 3° TRIMESTRE",TABLA_AVANCE_METAS[[#This Row],[AVANCE 1°. TRIM]]+TABLA_AVANCE_METAS[[#This Row],[AVANCE 2°. TRIM]]+TABLA_AVANCE_METAS[[#This Row],[AVANCE 3°. TRIM]],AF$2="RESULTADO ACUMULADO AL 4° TRIMESTRE",TABLA_AVANCE_METAS[[#This Row],[AVANCE 1°. TRIM]]+TABLA_AVANCE_METAS[[#This Row],[AVANCE 2°. TRIM]]+TABLA_AVANCE_METAS[[#This Row],[AVANCE 3°. TRIM]]+TABLA_AVANCE_METAS[[#This Row],[AVANCE 4°. TRIM]])</f>
        <v>12593069.82</v>
      </c>
      <c r="AH250" s="40">
        <f>IFERROR((TABLA_AVANCE_METAS[[#This Row],[AVANCE ACUM. TRIM.]]/TABLA_AVANCE_METAS[[#This Row],[PROG. ACUM]])*100,"N/A")</f>
        <v>95.199716206177115</v>
      </c>
      <c r="AI250" s="39" t="str">
        <f>IF(AND(TABLA_AVANCE_METAS[[#This Row],[% ACUMULADO SEM.]]&gt;=0,TABLA_AVANCE_METAS[[#This Row],[% ACUMULADO SEM.]]&lt;=49.9999999999999),"CRÍTICO",IF(AND(TABLA_AVANCE_METAS[[#This Row],[% ACUMULADO SEM.]]&gt;=50,TABLA_AVANCE_METAS[[#This Row],[% ACUMULADO SEM.]]&lt;=69.9999999999999),"DEFICIENTE",IF(AND(TABLA_AVANCE_METAS[[#This Row],[% ACUMULADO SEM.]]&gt;=70,TABLA_AVANCE_METAS[[#This Row],[% ACUMULADO SEM.]]&lt;=89.9999999999999),"REGULAR",IF(AND(TABLA_AVANCE_METAS[[#This Row],[% ACUMULADO SEM.]]&gt;=90,TABLA_AVANCE_METAS[[#This Row],[% ACUMULADO SEM.]]&lt;=110.999999999999),"ADECUADO",IF(AND(TABLA_AVANCE_METAS[[#This Row],[% ACUMULADO SEM.]]&gt;=111,TABLA_AVANCE_METAS[[#This Row],[% ACUMULADO SEM.]]&lt;=999999),"SOBREPASADO","NO PROG.")))))</f>
        <v>ADECUADO</v>
      </c>
      <c r="AJ250" s="45">
        <f>TABLA_AVANCE_METAS[[#This Row],[AVANCE ACUM. TRIM.]]-TABLA_AVANCE_METAS[[#This Row],[PROG. ACUM]]</f>
        <v>-634984.12999999896</v>
      </c>
      <c r="AK250" s="46">
        <f>IFERROR((TABLA_AVANCE_METAS[[#This Row],[DIFERENCIA ABSOLUTA SEMESTRAL]]/TABLA_AVANCE_METAS[[#This Row],[PROG. ACUM]])*100,"N/A")</f>
        <v>-4.8002837938228922</v>
      </c>
      <c r="AL250" s="98">
        <f>TABLA_AVANCE_METAS[[#This Row],[AVANCE 1°. TRIM]]+TABLA_AVANCE_METAS[[#This Row],[AVANCE 2°. TRIM]]+TABLA_AVANCE_METAS[[#This Row],[AVANCE 3°. TRIM]]+TABLA_AVANCE_METAS[[#This Row],[AVANCE 4°. TRIM]]</f>
        <v>12593069.82</v>
      </c>
      <c r="AM250" s="40">
        <f>IFERROR((TABLA_AVANCE_METAS[[#This Row],[AVANCE ACUM. ANUAL]]/TABLA_AVANCE_METAS[[#This Row],[PROGRAMADO ANUAL]])*100,"N/A")</f>
        <v>31.617423995656647</v>
      </c>
      <c r="AN250" s="39" t="str">
        <f>IF(AND(TABLA_AVANCE_METAS[[#This Row],[% ACUMULADO ANUAL]]&gt;=0,TABLA_AVANCE_METAS[[#This Row],[% ACUMULADO ANUAL]]&lt;=49.9999999999999),"CRÍTICO",IF(AND(TABLA_AVANCE_METAS[[#This Row],[% ACUMULADO ANUAL]]&gt;=50,TABLA_AVANCE_METAS[[#This Row],[% ACUMULADO ANUAL]]&lt;=69.9999999999999),"DEFICIENTE",IF(AND(TABLA_AVANCE_METAS[[#This Row],[% ACUMULADO ANUAL]]&gt;=70,TABLA_AVANCE_METAS[[#This Row],[% ACUMULADO ANUAL]]&lt;=89.9999999999999),"REGULAR",IF(AND(TABLA_AVANCE_METAS[[#This Row],[% ACUMULADO ANUAL]]&gt;=90,TABLA_AVANCE_METAS[[#This Row],[% ACUMULADO ANUAL]]&lt;=110.999999999999),"ADECUADO",IF(AND(TABLA_AVANCE_METAS[[#This Row],[% ACUMULADO ANUAL]]&gt;=111,TABLA_AVANCE_METAS[[#This Row],[% ACUMULADO ANUAL]]&lt;=999999),"SOBREPASADO","NO PROG.")))))</f>
        <v>CRÍTICO</v>
      </c>
      <c r="AO250" s="45">
        <f>TABLA_AVANCE_METAS[[#This Row],[AVANCE ACUM. ANUAL]]-TABLA_AVANCE_METAS[[#This Row],[PROGRAMADO ANUAL]]</f>
        <v>-27236455.259999998</v>
      </c>
      <c r="AP250" s="47">
        <f>IFERROR((TABLA_AVANCE_METAS[[#This Row],[DIFERENCIA ABSOLUTA ANUAL]]/TABLA_AVANCE_METAS[[#This Row],[PROGRAMADO ANUAL]])*100,"N/A")</f>
        <v>-68.382576004343349</v>
      </c>
      <c r="AQ250" s="99"/>
      <c r="AR250" s="100"/>
      <c r="AS250" s="100"/>
      <c r="AT250" s="100"/>
      <c r="AU250" s="51" t="b">
        <f>TABLA_AVANCE_METAS[[#This Row],[PROGRAMADO ANUAL]]=SUM(TABLA_AVANCE_METAS[[#This Row],[PROGR. 1° TRIM]],TABLA_AVANCE_METAS[[#This Row],[PROGR. 2° TRIM]],TABLA_AVANCE_METAS[[#This Row],[PROGR. 3° TRIM]],TABLA_AVANCE_METAS[[#This Row],[PROGR. 4° TRIM]])</f>
        <v>1</v>
      </c>
    </row>
  </sheetData>
  <sheetProtection formatCells="0" formatColumns="0" formatRows="0" autoFilter="0"/>
  <mergeCells count="8">
    <mergeCell ref="A1:AT1"/>
    <mergeCell ref="P2:S2"/>
    <mergeCell ref="T2:W2"/>
    <mergeCell ref="X2:AA2"/>
    <mergeCell ref="AB2:AE2"/>
    <mergeCell ref="AF2:AK2"/>
    <mergeCell ref="AL2:AP2"/>
    <mergeCell ref="AQ2:AT2"/>
  </mergeCells>
  <conditionalFormatting sqref="AD4:AD250 AM4:AM250 Z4:Z250 R4:R250 AH4:AH250 V4:V250">
    <cfRule type="cellIs" dxfId="120" priority="2" operator="between">
      <formula>111</formula>
      <formula>9999999999</formula>
    </cfRule>
    <cfRule type="cellIs" dxfId="119" priority="3" operator="between">
      <formula>90</formula>
      <formula>110.999999999999</formula>
    </cfRule>
    <cfRule type="cellIs" dxfId="118" priority="4" operator="between">
      <formula>70</formula>
      <formula>89.9999999999999</formula>
    </cfRule>
    <cfRule type="cellIs" dxfId="117" priority="5" operator="between">
      <formula>50</formula>
      <formula>69.9999999999999</formula>
    </cfRule>
    <cfRule type="cellIs" dxfId="116" priority="6" operator="between">
      <formula>0</formula>
      <formula>49.9999999999999</formula>
    </cfRule>
  </conditionalFormatting>
  <conditionalFormatting sqref="A4:A250">
    <cfRule type="duplicateValues" dxfId="115" priority="7"/>
    <cfRule type="duplicateValues" dxfId="114" priority="8"/>
    <cfRule type="duplicateValues" dxfId="113" priority="9"/>
  </conditionalFormatting>
  <conditionalFormatting sqref="AR142:AR246">
    <cfRule type="duplicateValues" dxfId="112" priority="1"/>
  </conditionalFormatting>
  <dataValidations count="1">
    <dataValidation type="list" allowBlank="1" showInputMessage="1" showErrorMessage="1" sqref="AF2" xr:uid="{E0AFB6EF-8379-485D-8ABE-2A68746A7976}">
      <formula1>"RESULTADO ACUMULADO AL 1° TRIMESTRE,RESULTADO ACUMULADO AL 2° TRIMESTRE,RESULTADO ACUMULADO AL 3° TRIMESTRE,RESULTADO ACUMULADO AL 4° TRIMESTRE"</formula1>
    </dataValidation>
  </dataValidations>
  <printOptions horizontalCentered="1"/>
  <pageMargins left="0.23622047244094491" right="0.82677165354330717" top="0.74803149606299213" bottom="0.74803149606299213" header="0.31496062992125984" footer="0.31496062992125984"/>
  <pageSetup paperSize="5" scale="18" fitToHeight="0" orientation="landscape" r:id="rId1"/>
  <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3E24ED-3812-44D0-A006-20BB3A7FB8AD}">
  <sheetPr codeName="Hoja26">
    <tabColor rgb="FF92D050"/>
    <pageSetUpPr fitToPage="1"/>
  </sheetPr>
  <dimension ref="A1:BB235"/>
  <sheetViews>
    <sheetView tabSelected="1" view="pageBreakPreview" zoomScale="50" zoomScaleNormal="90" zoomScaleSheetLayoutView="50" workbookViewId="0">
      <selection activeCell="I222" sqref="I222"/>
    </sheetView>
  </sheetViews>
  <sheetFormatPr baseColWidth="10" defaultColWidth="10.85546875" defaultRowHeight="15.75" outlineLevelCol="1" x14ac:dyDescent="0.25"/>
  <cols>
    <col min="1" max="1" width="9.7109375" style="30" customWidth="1"/>
    <col min="2" max="2" width="37.7109375" style="30" customWidth="1"/>
    <col min="3" max="3" width="8" style="105" customWidth="1"/>
    <col min="4" max="4" width="30.42578125" style="106" customWidth="1"/>
    <col min="5" max="5" width="9.7109375" style="106" customWidth="1"/>
    <col min="6" max="6" width="20.7109375" style="105" customWidth="1"/>
    <col min="7" max="7" width="30" style="30" customWidth="1"/>
    <col min="8" max="8" width="24.28515625" style="30" customWidth="1"/>
    <col min="9" max="9" width="26.7109375" style="105" customWidth="1"/>
    <col min="10" max="10" width="25.7109375" style="105" customWidth="1"/>
    <col min="11" max="11" width="25.7109375" style="30" customWidth="1"/>
    <col min="12" max="12" width="25.42578125" style="105" customWidth="1"/>
    <col min="13" max="13" width="18.85546875" style="30" customWidth="1"/>
    <col min="14" max="14" width="10.140625" style="30" customWidth="1"/>
    <col min="15" max="15" width="28.7109375" style="105" customWidth="1"/>
    <col min="16" max="17" width="45.140625" style="107" customWidth="1"/>
    <col min="18" max="18" width="41.5703125" style="107" customWidth="1"/>
    <col min="19" max="21" width="21.28515625" style="2" customWidth="1"/>
    <col min="22" max="22" width="25.7109375" style="2" customWidth="1"/>
    <col min="23" max="23" width="24.7109375" style="2" customWidth="1"/>
    <col min="24" max="24" width="24.7109375" style="108" customWidth="1"/>
    <col min="25" max="25" width="12.7109375" style="2" customWidth="1" outlineLevel="1"/>
    <col min="26" max="26" width="16.7109375" style="109" customWidth="1" outlineLevel="1"/>
    <col min="27" max="27" width="24.7109375" style="2" customWidth="1"/>
    <col min="28" max="28" width="24.7109375" style="110" customWidth="1" outlineLevel="1"/>
    <col min="29" max="29" width="12.7109375" style="110" customWidth="1" outlineLevel="1"/>
    <col min="30" max="30" width="16.7109375" style="110" customWidth="1" outlineLevel="1"/>
    <col min="31" max="31" width="24.7109375" style="2" customWidth="1"/>
    <col min="32" max="32" width="24.7109375" style="110" customWidth="1" outlineLevel="1"/>
    <col min="33" max="33" width="12.7109375" style="110" customWidth="1" outlineLevel="1"/>
    <col min="34" max="34" width="16.7109375" style="110" customWidth="1" outlineLevel="1"/>
    <col min="35" max="35" width="24.7109375" style="2" customWidth="1"/>
    <col min="36" max="36" width="24.7109375" style="2" customWidth="1" outlineLevel="1"/>
    <col min="37" max="37" width="12.7109375" style="2" customWidth="1" outlineLevel="1"/>
    <col min="38" max="38" width="16.7109375" style="2" customWidth="1" outlineLevel="1"/>
    <col min="39" max="40" width="24.7109375" style="2" customWidth="1"/>
    <col min="41" max="41" width="12.7109375" style="2" customWidth="1"/>
    <col min="42" max="42" width="16.7109375" style="2" customWidth="1"/>
    <col min="43" max="43" width="24.7109375" style="2" customWidth="1"/>
    <col min="44" max="44" width="20.7109375" style="2" customWidth="1"/>
    <col min="45" max="45" width="24.7109375" style="2" customWidth="1"/>
    <col min="46" max="46" width="12.7109375" style="2" customWidth="1"/>
    <col min="47" max="47" width="16.7109375" style="2" customWidth="1"/>
    <col min="48" max="48" width="20.7109375" style="110" customWidth="1"/>
    <col min="49" max="53" width="20.7109375" style="2" customWidth="1"/>
    <col min="54" max="54" width="26.5703125" style="6" customWidth="1"/>
    <col min="55" max="16384" width="10.85546875" style="2"/>
  </cols>
  <sheetData>
    <row r="1" spans="1:54" ht="160.5" customHeight="1" x14ac:dyDescent="0.25">
      <c r="A1" s="1" t="s">
        <v>710</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11"/>
    </row>
    <row r="2" spans="1:54" x14ac:dyDescent="0.25">
      <c r="A2" s="3"/>
      <c r="B2" s="3"/>
      <c r="C2" s="4"/>
      <c r="D2" s="5"/>
      <c r="E2" s="5"/>
      <c r="F2" s="4"/>
      <c r="G2" s="3"/>
      <c r="H2" s="3"/>
      <c r="I2" s="4"/>
      <c r="J2" s="5"/>
      <c r="K2" s="6"/>
      <c r="L2" s="5"/>
      <c r="M2" s="6"/>
      <c r="N2" s="3"/>
      <c r="O2" s="4"/>
      <c r="P2" s="5"/>
      <c r="Q2" s="5"/>
      <c r="R2" s="5"/>
      <c r="S2" s="6"/>
      <c r="T2" s="6"/>
      <c r="U2" s="6"/>
      <c r="V2" s="6"/>
      <c r="W2" s="7" t="s">
        <v>1</v>
      </c>
      <c r="X2" s="8"/>
      <c r="Y2" s="8"/>
      <c r="Z2" s="9"/>
      <c r="AA2" s="7" t="s">
        <v>2</v>
      </c>
      <c r="AB2" s="8"/>
      <c r="AC2" s="8"/>
      <c r="AD2" s="9"/>
      <c r="AE2" s="7" t="s">
        <v>3</v>
      </c>
      <c r="AF2" s="8"/>
      <c r="AG2" s="8"/>
      <c r="AH2" s="9"/>
      <c r="AI2" s="10" t="s">
        <v>4</v>
      </c>
      <c r="AJ2" s="11"/>
      <c r="AK2" s="11"/>
      <c r="AL2" s="12"/>
      <c r="AM2" s="10" t="str">
        <f>[1]METAS!AF2</f>
        <v>RESULTADO ACUMULADO AL 2° TRIMESTRE</v>
      </c>
      <c r="AN2" s="11"/>
      <c r="AO2" s="11"/>
      <c r="AP2" s="11"/>
      <c r="AQ2" s="11"/>
      <c r="AR2" s="12"/>
      <c r="AS2" s="13" t="s">
        <v>6</v>
      </c>
      <c r="AT2" s="14"/>
      <c r="AU2" s="14"/>
      <c r="AV2" s="14"/>
      <c r="AW2" s="15"/>
      <c r="AX2" s="16" t="s">
        <v>7</v>
      </c>
      <c r="AY2" s="17"/>
      <c r="AZ2" s="17"/>
      <c r="BA2" s="17"/>
      <c r="BB2" s="3"/>
    </row>
    <row r="3" spans="1:54" s="30" customFormat="1" ht="47.25" x14ac:dyDescent="0.2">
      <c r="A3" s="18" t="s">
        <v>8</v>
      </c>
      <c r="B3" s="19" t="s">
        <v>9</v>
      </c>
      <c r="C3" s="19" t="s">
        <v>10</v>
      </c>
      <c r="D3" s="19" t="s">
        <v>11</v>
      </c>
      <c r="E3" s="19" t="s">
        <v>12</v>
      </c>
      <c r="F3" s="20" t="s">
        <v>13</v>
      </c>
      <c r="G3" s="19" t="s">
        <v>14</v>
      </c>
      <c r="H3" s="19" t="s">
        <v>711</v>
      </c>
      <c r="I3" s="19" t="s">
        <v>712</v>
      </c>
      <c r="J3" s="19" t="s">
        <v>15</v>
      </c>
      <c r="K3" s="20" t="s">
        <v>16</v>
      </c>
      <c r="L3" s="19" t="s">
        <v>17</v>
      </c>
      <c r="M3" s="20" t="s">
        <v>18</v>
      </c>
      <c r="N3" s="19" t="s">
        <v>713</v>
      </c>
      <c r="O3" s="19" t="s">
        <v>714</v>
      </c>
      <c r="P3" s="19" t="s">
        <v>715</v>
      </c>
      <c r="Q3" s="19" t="s">
        <v>716</v>
      </c>
      <c r="R3" s="19" t="s">
        <v>717</v>
      </c>
      <c r="S3" s="19" t="s">
        <v>21</v>
      </c>
      <c r="T3" s="19" t="s">
        <v>718</v>
      </c>
      <c r="U3" s="19" t="s">
        <v>719</v>
      </c>
      <c r="V3" s="19" t="s">
        <v>22</v>
      </c>
      <c r="W3" s="21" t="s">
        <v>23</v>
      </c>
      <c r="X3" s="21" t="s">
        <v>24</v>
      </c>
      <c r="Y3" s="21" t="s">
        <v>25</v>
      </c>
      <c r="Z3" s="21" t="s">
        <v>26</v>
      </c>
      <c r="AA3" s="21" t="s">
        <v>27</v>
      </c>
      <c r="AB3" s="21" t="s">
        <v>28</v>
      </c>
      <c r="AC3" s="21" t="s">
        <v>29</v>
      </c>
      <c r="AD3" s="22" t="s">
        <v>30</v>
      </c>
      <c r="AE3" s="21" t="s">
        <v>31</v>
      </c>
      <c r="AF3" s="21" t="s">
        <v>32</v>
      </c>
      <c r="AG3" s="21" t="s">
        <v>33</v>
      </c>
      <c r="AH3" s="22" t="s">
        <v>34</v>
      </c>
      <c r="AI3" s="21" t="s">
        <v>35</v>
      </c>
      <c r="AJ3" s="21" t="s">
        <v>36</v>
      </c>
      <c r="AK3" s="21" t="s">
        <v>37</v>
      </c>
      <c r="AL3" s="22" t="s">
        <v>38</v>
      </c>
      <c r="AM3" s="25" t="s">
        <v>39</v>
      </c>
      <c r="AN3" s="24" t="s">
        <v>40</v>
      </c>
      <c r="AO3" s="25" t="s">
        <v>41</v>
      </c>
      <c r="AP3" s="25" t="s">
        <v>42</v>
      </c>
      <c r="AQ3" s="25" t="s">
        <v>43</v>
      </c>
      <c r="AR3" s="25" t="s">
        <v>44</v>
      </c>
      <c r="AS3" s="26" t="s">
        <v>45</v>
      </c>
      <c r="AT3" s="27" t="s">
        <v>46</v>
      </c>
      <c r="AU3" s="27" t="s">
        <v>47</v>
      </c>
      <c r="AV3" s="27" t="s">
        <v>48</v>
      </c>
      <c r="AW3" s="27" t="s">
        <v>49</v>
      </c>
      <c r="AX3" s="28" t="s">
        <v>1</v>
      </c>
      <c r="AY3" s="28" t="s">
        <v>2</v>
      </c>
      <c r="AZ3" s="28" t="s">
        <v>3</v>
      </c>
      <c r="BA3" s="28" t="s">
        <v>4</v>
      </c>
      <c r="BB3" s="112" t="s">
        <v>720</v>
      </c>
    </row>
    <row r="4" spans="1:54" ht="63" hidden="1" customHeight="1" x14ac:dyDescent="0.3">
      <c r="A4" s="31" t="s">
        <v>721</v>
      </c>
      <c r="B4" s="113" t="s">
        <v>611</v>
      </c>
      <c r="C4" s="32" t="s">
        <v>612</v>
      </c>
      <c r="D4" s="114" t="s">
        <v>613</v>
      </c>
      <c r="E4" s="32" t="s">
        <v>614</v>
      </c>
      <c r="F4" s="115" t="s">
        <v>615</v>
      </c>
      <c r="G4" s="94" t="s">
        <v>616</v>
      </c>
      <c r="H4" s="94" t="s">
        <v>722</v>
      </c>
      <c r="I4" s="34" t="s">
        <v>723</v>
      </c>
      <c r="J4" s="34" t="s">
        <v>617</v>
      </c>
      <c r="K4" s="94" t="s">
        <v>618</v>
      </c>
      <c r="L4" s="34" t="s">
        <v>619</v>
      </c>
      <c r="M4" s="94" t="s">
        <v>620</v>
      </c>
      <c r="N4" s="33">
        <v>1</v>
      </c>
      <c r="O4" s="33" t="s">
        <v>724</v>
      </c>
      <c r="P4" s="116" t="s">
        <v>725</v>
      </c>
      <c r="Q4" s="116" t="s">
        <v>726</v>
      </c>
      <c r="R4" s="116" t="s">
        <v>727</v>
      </c>
      <c r="S4" s="56" t="s">
        <v>249</v>
      </c>
      <c r="T4" s="56" t="s">
        <v>728</v>
      </c>
      <c r="U4" s="56" t="s">
        <v>729</v>
      </c>
      <c r="V4" s="36">
        <v>0</v>
      </c>
      <c r="W4" s="36">
        <v>0</v>
      </c>
      <c r="X4" s="117">
        <v>0</v>
      </c>
      <c r="Y4" s="38" t="str">
        <f>IFERROR((TABLA_AVANCE_INDICADORES[[#This Row],[AVANCE 1°. TRIM]]/TABLA_AVANCE_INDICADORES[[#This Row],[PROGR. 1° TRIM]])*100,"0")</f>
        <v>0</v>
      </c>
      <c r="Z4"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4" s="118">
        <v>0</v>
      </c>
      <c r="AB4" s="119">
        <v>0</v>
      </c>
      <c r="AC4" s="40" t="str">
        <f t="shared" ref="AC4:AC67" si="0">IFERROR((AB4/AA4)*100,"0")</f>
        <v>0</v>
      </c>
      <c r="AD4" s="39" t="str">
        <f t="shared" ref="AD4:AD68" si="1">IF(AND(AC4&gt;=0,AC4&lt;=49.9999999999999),"CRÍTICO",IF(AND(AC4&gt;=50,AC4&lt;=69.9999999999999),"DEFICIENTE",IF(AND(AC4&gt;=70,AC4&lt;=89.9999999999999),"REGULAR",IF(AND(AC4&gt;=90,AC4&lt;=110.999999999999),"ADECUADO",IF(AND(AC4&gt;=111,AC4&lt;=999999),"SOBREPASADO","NO PROG.")))))</f>
        <v>NO PROG.</v>
      </c>
      <c r="AE4" s="118">
        <v>0</v>
      </c>
      <c r="AF4" s="119">
        <v>0</v>
      </c>
      <c r="AG4" s="40" t="str">
        <f>IFERROR((TABLA_AVANCE_INDICADORES[[#This Row],[AVANCE 3°. TRIM]]/TABLA_AVANCE_INDICADORES[[#This Row],[PROGR. 3° TRIM]])*100,"0")</f>
        <v>0</v>
      </c>
      <c r="AH4"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4" s="118">
        <v>0</v>
      </c>
      <c r="AJ4" s="119">
        <v>0</v>
      </c>
      <c r="AK4" s="40" t="str">
        <f>IFERROR((TABLA_AVANCE_INDICADORES[[#This Row],[AVANCE 4°. TRIM]]/TABLA_AVANCE_INDICADORES[[#This Row],[PROGR. 4° TRIM]])*100,"0")</f>
        <v>0</v>
      </c>
      <c r="AL4"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NO PROG.</v>
      </c>
      <c r="AM4"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0</v>
      </c>
      <c r="AN4"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O4" s="40" t="str">
        <f>IFERROR((TABLA_AVANCE_INDICADORES[[#This Row],[AVANCE ACUM. TRIM.]]/TABLA_AVANCE_INDICADORES[[#This Row],[PROG. ACUM]])*100,"N/A")</f>
        <v>N/A</v>
      </c>
      <c r="AP4"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NO PROG.</v>
      </c>
      <c r="AQ4" s="121">
        <f>TABLA_AVANCE_INDICADORES[[#This Row],[AVANCE ACUM. TRIM.]]-TABLA_AVANCE_INDICADORES[[#This Row],[PROG. ACUM]]</f>
        <v>0</v>
      </c>
      <c r="AR4" s="46" t="str">
        <f>IFERROR((TABLA_AVANCE_INDICADORES[[#This Row],[DIFERENCIA ABSOLUTA SEMESTRAL]]/TABLA_AVANCE_INDICADORES[[#This Row],[PROG. ACUM]])*100,"N/A")</f>
        <v>N/A</v>
      </c>
      <c r="AS4"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T4" s="40" t="str">
        <f>IFERROR((TABLA_AVANCE_INDICADORES[[#This Row],[AVANCE ACUM. ANUAL]]/TABLA_AVANCE_INDICADORES[[#This Row],[PROGRAMADO ANUAL]])*100,"N/A")</f>
        <v>N/A</v>
      </c>
      <c r="AU4"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NO PROG.</v>
      </c>
      <c r="AV4" s="121">
        <f>TABLA_AVANCE_INDICADORES[[#This Row],[AVANCE ACUM. ANUAL]]-TABLA_AVANCE_INDICADORES[[#This Row],[PROGRAMADO ANUAL]]</f>
        <v>0</v>
      </c>
      <c r="AW4" s="46" t="str">
        <f>IFERROR((TABLA_AVANCE_INDICADORES[[#This Row],[DIFERENCIA ABSOLUTA ANUAL]]/TABLA_AVANCE_INDICADORES[[#This Row],[PROGRAMADO ANUAL]])*100,"N/A")</f>
        <v>N/A</v>
      </c>
      <c r="AX4" s="123" t="s">
        <v>63</v>
      </c>
      <c r="AY4" s="49" t="s">
        <v>63</v>
      </c>
      <c r="AZ4" s="50"/>
      <c r="BA4" s="50"/>
      <c r="BB4"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5" spans="1:54" ht="63" hidden="1" customHeight="1" x14ac:dyDescent="0.3">
      <c r="A5" s="31" t="s">
        <v>730</v>
      </c>
      <c r="B5" s="113" t="s">
        <v>611</v>
      </c>
      <c r="C5" s="32" t="s">
        <v>612</v>
      </c>
      <c r="D5" s="114" t="s">
        <v>613</v>
      </c>
      <c r="E5" s="32" t="s">
        <v>614</v>
      </c>
      <c r="F5" s="115" t="s">
        <v>615</v>
      </c>
      <c r="G5" s="94" t="s">
        <v>616</v>
      </c>
      <c r="H5" s="94" t="s">
        <v>722</v>
      </c>
      <c r="I5" s="34" t="s">
        <v>723</v>
      </c>
      <c r="J5" s="34" t="s">
        <v>617</v>
      </c>
      <c r="K5" s="94" t="s">
        <v>618</v>
      </c>
      <c r="L5" s="34" t="s">
        <v>619</v>
      </c>
      <c r="M5" s="94" t="s">
        <v>620</v>
      </c>
      <c r="N5" s="33">
        <v>2</v>
      </c>
      <c r="O5" s="33" t="s">
        <v>724</v>
      </c>
      <c r="P5" s="125" t="s">
        <v>725</v>
      </c>
      <c r="Q5" s="125" t="s">
        <v>731</v>
      </c>
      <c r="R5" s="125" t="s">
        <v>727</v>
      </c>
      <c r="S5" s="56" t="s">
        <v>732</v>
      </c>
      <c r="T5" s="56" t="s">
        <v>728</v>
      </c>
      <c r="U5" s="56" t="s">
        <v>729</v>
      </c>
      <c r="V5" s="36">
        <v>0</v>
      </c>
      <c r="W5" s="36">
        <v>0</v>
      </c>
      <c r="X5" s="117">
        <v>0</v>
      </c>
      <c r="Y5" s="38" t="str">
        <f>IFERROR((TABLA_AVANCE_INDICADORES[[#This Row],[AVANCE 1°. TRIM]]/TABLA_AVANCE_INDICADORES[[#This Row],[PROGR. 1° TRIM]])*100,"0")</f>
        <v>0</v>
      </c>
      <c r="Z5"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5" s="118">
        <v>0</v>
      </c>
      <c r="AB5" s="119">
        <v>0</v>
      </c>
      <c r="AC5" s="40" t="str">
        <f t="shared" si="0"/>
        <v>0</v>
      </c>
      <c r="AD5" s="39" t="str">
        <f t="shared" si="1"/>
        <v>NO PROG.</v>
      </c>
      <c r="AE5" s="118">
        <v>0</v>
      </c>
      <c r="AF5" s="119">
        <v>0</v>
      </c>
      <c r="AG5" s="40" t="str">
        <f>IFERROR((TABLA_AVANCE_INDICADORES[[#This Row],[AVANCE 3°. TRIM]]/TABLA_AVANCE_INDICADORES[[#This Row],[PROGR. 3° TRIM]])*100,"0")</f>
        <v>0</v>
      </c>
      <c r="AH5"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5" s="118">
        <v>0</v>
      </c>
      <c r="AJ5" s="126">
        <v>0</v>
      </c>
      <c r="AK5" s="40" t="str">
        <f>IFERROR((TABLA_AVANCE_INDICADORES[[#This Row],[AVANCE 4°. TRIM]]/TABLA_AVANCE_INDICADORES[[#This Row],[PROGR. 4° TRIM]])*100,"0")</f>
        <v>0</v>
      </c>
      <c r="AL5"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NO PROG.</v>
      </c>
      <c r="AM5"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0</v>
      </c>
      <c r="AN5"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O5" s="40" t="str">
        <f>IFERROR((TABLA_AVANCE_INDICADORES[[#This Row],[AVANCE ACUM. TRIM.]]/TABLA_AVANCE_INDICADORES[[#This Row],[PROG. ACUM]])*100,"N/A")</f>
        <v>N/A</v>
      </c>
      <c r="AP5"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NO PROG.</v>
      </c>
      <c r="AQ5" s="121">
        <f>TABLA_AVANCE_INDICADORES[[#This Row],[AVANCE ACUM. TRIM.]]-TABLA_AVANCE_INDICADORES[[#This Row],[PROG. ACUM]]</f>
        <v>0</v>
      </c>
      <c r="AR5" s="46" t="str">
        <f>IFERROR((TABLA_AVANCE_INDICADORES[[#This Row],[DIFERENCIA ABSOLUTA SEMESTRAL]]/TABLA_AVANCE_INDICADORES[[#This Row],[PROG. ACUM]])*100,"N/A")</f>
        <v>N/A</v>
      </c>
      <c r="AS5"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T5" s="40" t="str">
        <f>IFERROR((TABLA_AVANCE_INDICADORES[[#This Row],[AVANCE ACUM. ANUAL]]/TABLA_AVANCE_INDICADORES[[#This Row],[PROGRAMADO ANUAL]])*100,"N/A")</f>
        <v>N/A</v>
      </c>
      <c r="AU5"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NO PROG.</v>
      </c>
      <c r="AV5" s="121">
        <f>TABLA_AVANCE_INDICADORES[[#This Row],[AVANCE ACUM. ANUAL]]-TABLA_AVANCE_INDICADORES[[#This Row],[PROGRAMADO ANUAL]]</f>
        <v>0</v>
      </c>
      <c r="AW5" s="46" t="str">
        <f>IFERROR((TABLA_AVANCE_INDICADORES[[#This Row],[DIFERENCIA ABSOLUTA ANUAL]]/TABLA_AVANCE_INDICADORES[[#This Row],[PROGRAMADO ANUAL]])*100,"N/A")</f>
        <v>N/A</v>
      </c>
      <c r="AX5" s="123" t="s">
        <v>63</v>
      </c>
      <c r="AY5" s="49" t="s">
        <v>63</v>
      </c>
      <c r="AZ5" s="50"/>
      <c r="BA5" s="50"/>
      <c r="BB5"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6" spans="1:54" ht="63" hidden="1" customHeight="1" x14ac:dyDescent="0.3">
      <c r="A6" s="31" t="s">
        <v>733</v>
      </c>
      <c r="B6" s="113" t="s">
        <v>611</v>
      </c>
      <c r="C6" s="32" t="s">
        <v>612</v>
      </c>
      <c r="D6" s="114" t="s">
        <v>613</v>
      </c>
      <c r="E6" s="32" t="s">
        <v>614</v>
      </c>
      <c r="F6" s="115" t="s">
        <v>615</v>
      </c>
      <c r="G6" s="94" t="s">
        <v>616</v>
      </c>
      <c r="H6" s="94" t="s">
        <v>722</v>
      </c>
      <c r="I6" s="34" t="s">
        <v>723</v>
      </c>
      <c r="J6" s="34" t="s">
        <v>617</v>
      </c>
      <c r="K6" s="94" t="s">
        <v>618</v>
      </c>
      <c r="L6" s="34" t="s">
        <v>619</v>
      </c>
      <c r="M6" s="94" t="s">
        <v>620</v>
      </c>
      <c r="N6" s="33">
        <v>1</v>
      </c>
      <c r="O6" s="33" t="s">
        <v>734</v>
      </c>
      <c r="P6" s="125" t="s">
        <v>735</v>
      </c>
      <c r="Q6" s="125" t="s">
        <v>736</v>
      </c>
      <c r="R6" s="125" t="s">
        <v>737</v>
      </c>
      <c r="S6" s="56" t="s">
        <v>738</v>
      </c>
      <c r="T6" s="56" t="s">
        <v>728</v>
      </c>
      <c r="U6" s="56" t="s">
        <v>739</v>
      </c>
      <c r="V6" s="36">
        <v>0</v>
      </c>
      <c r="W6" s="36">
        <v>0</v>
      </c>
      <c r="X6" s="117">
        <v>0</v>
      </c>
      <c r="Y6" s="38" t="str">
        <f>IFERROR((TABLA_AVANCE_INDICADORES[[#This Row],[AVANCE 1°. TRIM]]/TABLA_AVANCE_INDICADORES[[#This Row],[PROGR. 1° TRIM]])*100,"0")</f>
        <v>0</v>
      </c>
      <c r="Z6"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6" s="118">
        <v>0</v>
      </c>
      <c r="AB6" s="119">
        <v>0</v>
      </c>
      <c r="AC6" s="40" t="str">
        <f t="shared" si="0"/>
        <v>0</v>
      </c>
      <c r="AD6" s="39" t="str">
        <f t="shared" si="1"/>
        <v>NO PROG.</v>
      </c>
      <c r="AE6" s="118">
        <v>0</v>
      </c>
      <c r="AF6" s="119">
        <v>0</v>
      </c>
      <c r="AG6" s="40" t="str">
        <f>IFERROR((TABLA_AVANCE_INDICADORES[[#This Row],[AVANCE 3°. TRIM]]/TABLA_AVANCE_INDICADORES[[#This Row],[PROGR. 3° TRIM]])*100,"0")</f>
        <v>0</v>
      </c>
      <c r="AH6"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6" s="118">
        <v>0</v>
      </c>
      <c r="AJ6" s="119">
        <v>0</v>
      </c>
      <c r="AK6" s="40" t="str">
        <f>IFERROR((TABLA_AVANCE_INDICADORES[[#This Row],[AVANCE 4°. TRIM]]/TABLA_AVANCE_INDICADORES[[#This Row],[PROGR. 4° TRIM]])*100,"0")</f>
        <v>0</v>
      </c>
      <c r="AL6"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NO PROG.</v>
      </c>
      <c r="AM6"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0</v>
      </c>
      <c r="AN6"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O6" s="40" t="str">
        <f>IFERROR((TABLA_AVANCE_INDICADORES[[#This Row],[AVANCE ACUM. TRIM.]]/TABLA_AVANCE_INDICADORES[[#This Row],[PROG. ACUM]])*100,"N/A")</f>
        <v>N/A</v>
      </c>
      <c r="AP6"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NO PROG.</v>
      </c>
      <c r="AQ6" s="121">
        <f>TABLA_AVANCE_INDICADORES[[#This Row],[AVANCE ACUM. TRIM.]]-TABLA_AVANCE_INDICADORES[[#This Row],[PROG. ACUM]]</f>
        <v>0</v>
      </c>
      <c r="AR6" s="46" t="str">
        <f>IFERROR((TABLA_AVANCE_INDICADORES[[#This Row],[DIFERENCIA ABSOLUTA SEMESTRAL]]/TABLA_AVANCE_INDICADORES[[#This Row],[PROG. ACUM]])*100,"N/A")</f>
        <v>N/A</v>
      </c>
      <c r="AS6"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T6" s="40" t="str">
        <f>IFERROR((TABLA_AVANCE_INDICADORES[[#This Row],[AVANCE ACUM. ANUAL]]/TABLA_AVANCE_INDICADORES[[#This Row],[PROGRAMADO ANUAL]])*100,"N/A")</f>
        <v>N/A</v>
      </c>
      <c r="AU6"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NO PROG.</v>
      </c>
      <c r="AV6" s="121">
        <f>TABLA_AVANCE_INDICADORES[[#This Row],[AVANCE ACUM. ANUAL]]-TABLA_AVANCE_INDICADORES[[#This Row],[PROGRAMADO ANUAL]]</f>
        <v>0</v>
      </c>
      <c r="AW6" s="46" t="str">
        <f>IFERROR((TABLA_AVANCE_INDICADORES[[#This Row],[DIFERENCIA ABSOLUTA ANUAL]]/TABLA_AVANCE_INDICADORES[[#This Row],[PROGRAMADO ANUAL]])*100,"N/A")</f>
        <v>N/A</v>
      </c>
      <c r="AX6" s="123" t="s">
        <v>63</v>
      </c>
      <c r="AY6" s="49" t="s">
        <v>63</v>
      </c>
      <c r="AZ6" s="50"/>
      <c r="BA6" s="50"/>
      <c r="BB6"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7" spans="1:54" ht="63" hidden="1" customHeight="1" x14ac:dyDescent="0.3">
      <c r="A7" s="31" t="s">
        <v>740</v>
      </c>
      <c r="B7" s="113" t="s">
        <v>611</v>
      </c>
      <c r="C7" s="32" t="s">
        <v>612</v>
      </c>
      <c r="D7" s="114" t="s">
        <v>613</v>
      </c>
      <c r="E7" s="32" t="s">
        <v>614</v>
      </c>
      <c r="F7" s="115" t="s">
        <v>615</v>
      </c>
      <c r="G7" s="94" t="s">
        <v>616</v>
      </c>
      <c r="H7" s="94" t="s">
        <v>722</v>
      </c>
      <c r="I7" s="34" t="s">
        <v>723</v>
      </c>
      <c r="J7" s="34" t="s">
        <v>617</v>
      </c>
      <c r="K7" s="94" t="s">
        <v>618</v>
      </c>
      <c r="L7" s="34" t="s">
        <v>619</v>
      </c>
      <c r="M7" s="94" t="s">
        <v>620</v>
      </c>
      <c r="N7" s="33">
        <v>2</v>
      </c>
      <c r="O7" s="33" t="s">
        <v>734</v>
      </c>
      <c r="P7" s="125" t="s">
        <v>735</v>
      </c>
      <c r="Q7" s="125" t="s">
        <v>741</v>
      </c>
      <c r="R7" s="125" t="s">
        <v>737</v>
      </c>
      <c r="S7" s="56" t="s">
        <v>732</v>
      </c>
      <c r="T7" s="56" t="s">
        <v>728</v>
      </c>
      <c r="U7" s="56" t="s">
        <v>739</v>
      </c>
      <c r="V7" s="36">
        <v>0</v>
      </c>
      <c r="W7" s="36">
        <v>0</v>
      </c>
      <c r="X7" s="117">
        <v>0</v>
      </c>
      <c r="Y7" s="38" t="str">
        <f>IFERROR((TABLA_AVANCE_INDICADORES[[#This Row],[AVANCE 1°. TRIM]]/TABLA_AVANCE_INDICADORES[[#This Row],[PROGR. 1° TRIM]])*100,"0")</f>
        <v>0</v>
      </c>
      <c r="Z7"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7" s="118">
        <v>0</v>
      </c>
      <c r="AB7" s="119">
        <v>0</v>
      </c>
      <c r="AC7" s="40" t="str">
        <f t="shared" si="0"/>
        <v>0</v>
      </c>
      <c r="AD7" s="39" t="str">
        <f t="shared" si="1"/>
        <v>NO PROG.</v>
      </c>
      <c r="AE7" s="118">
        <v>0</v>
      </c>
      <c r="AF7" s="119">
        <v>0</v>
      </c>
      <c r="AG7" s="40" t="str">
        <f>IFERROR((TABLA_AVANCE_INDICADORES[[#This Row],[AVANCE 3°. TRIM]]/TABLA_AVANCE_INDICADORES[[#This Row],[PROGR. 3° TRIM]])*100,"0")</f>
        <v>0</v>
      </c>
      <c r="AH7"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7" s="118">
        <v>0</v>
      </c>
      <c r="AJ7" s="119">
        <v>0</v>
      </c>
      <c r="AK7" s="40" t="str">
        <f>IFERROR((TABLA_AVANCE_INDICADORES[[#This Row],[AVANCE 4°. TRIM]]/TABLA_AVANCE_INDICADORES[[#This Row],[PROGR. 4° TRIM]])*100,"0")</f>
        <v>0</v>
      </c>
      <c r="AL7"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NO PROG.</v>
      </c>
      <c r="AM7"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0</v>
      </c>
      <c r="AN7"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O7" s="40" t="str">
        <f>IFERROR((TABLA_AVANCE_INDICADORES[[#This Row],[AVANCE ACUM. TRIM.]]/TABLA_AVANCE_INDICADORES[[#This Row],[PROG. ACUM]])*100,"N/A")</f>
        <v>N/A</v>
      </c>
      <c r="AP7"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NO PROG.</v>
      </c>
      <c r="AQ7" s="121">
        <f>TABLA_AVANCE_INDICADORES[[#This Row],[AVANCE ACUM. TRIM.]]-TABLA_AVANCE_INDICADORES[[#This Row],[PROG. ACUM]]</f>
        <v>0</v>
      </c>
      <c r="AR7" s="46" t="str">
        <f>IFERROR((TABLA_AVANCE_INDICADORES[[#This Row],[DIFERENCIA ABSOLUTA SEMESTRAL]]/TABLA_AVANCE_INDICADORES[[#This Row],[PROG. ACUM]])*100,"N/A")</f>
        <v>N/A</v>
      </c>
      <c r="AS7"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T7" s="40" t="str">
        <f>IFERROR((TABLA_AVANCE_INDICADORES[[#This Row],[AVANCE ACUM. ANUAL]]/TABLA_AVANCE_INDICADORES[[#This Row],[PROGRAMADO ANUAL]])*100,"N/A")</f>
        <v>N/A</v>
      </c>
      <c r="AU7"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NO PROG.</v>
      </c>
      <c r="AV7" s="121">
        <f>TABLA_AVANCE_INDICADORES[[#This Row],[AVANCE ACUM. ANUAL]]-TABLA_AVANCE_INDICADORES[[#This Row],[PROGRAMADO ANUAL]]</f>
        <v>0</v>
      </c>
      <c r="AW7" s="46" t="str">
        <f>IFERROR((TABLA_AVANCE_INDICADORES[[#This Row],[DIFERENCIA ABSOLUTA ANUAL]]/TABLA_AVANCE_INDICADORES[[#This Row],[PROGRAMADO ANUAL]])*100,"N/A")</f>
        <v>N/A</v>
      </c>
      <c r="AX7" s="123" t="s">
        <v>63</v>
      </c>
      <c r="AY7" s="49" t="s">
        <v>63</v>
      </c>
      <c r="AZ7" s="50"/>
      <c r="BA7" s="50"/>
      <c r="BB7"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8" spans="1:54" ht="63" hidden="1" customHeight="1" x14ac:dyDescent="0.3">
      <c r="A8" s="31" t="s">
        <v>742</v>
      </c>
      <c r="B8" s="113" t="s">
        <v>611</v>
      </c>
      <c r="C8" s="32" t="s">
        <v>612</v>
      </c>
      <c r="D8" s="114" t="s">
        <v>613</v>
      </c>
      <c r="E8" s="32" t="s">
        <v>614</v>
      </c>
      <c r="F8" s="115" t="s">
        <v>615</v>
      </c>
      <c r="G8" s="94" t="s">
        <v>616</v>
      </c>
      <c r="H8" s="94" t="s">
        <v>722</v>
      </c>
      <c r="I8" s="34" t="s">
        <v>723</v>
      </c>
      <c r="J8" s="34" t="s">
        <v>617</v>
      </c>
      <c r="K8" s="94" t="s">
        <v>618</v>
      </c>
      <c r="L8" s="34" t="s">
        <v>619</v>
      </c>
      <c r="M8" s="94" t="s">
        <v>620</v>
      </c>
      <c r="N8" s="33">
        <v>1</v>
      </c>
      <c r="O8" s="33" t="s">
        <v>743</v>
      </c>
      <c r="P8" s="125" t="s">
        <v>744</v>
      </c>
      <c r="Q8" s="125" t="s">
        <v>745</v>
      </c>
      <c r="R8" s="125" t="s">
        <v>746</v>
      </c>
      <c r="S8" s="56" t="s">
        <v>732</v>
      </c>
      <c r="T8" s="56" t="s">
        <v>728</v>
      </c>
      <c r="U8" s="56" t="s">
        <v>747</v>
      </c>
      <c r="V8" s="36">
        <v>60</v>
      </c>
      <c r="W8" s="36">
        <v>0</v>
      </c>
      <c r="X8" s="117">
        <v>0</v>
      </c>
      <c r="Y8" s="38" t="str">
        <f>IFERROR((TABLA_AVANCE_INDICADORES[[#This Row],[AVANCE 1°. TRIM]]/TABLA_AVANCE_INDICADORES[[#This Row],[PROGR. 1° TRIM]])*100,"0")</f>
        <v>0</v>
      </c>
      <c r="Z8"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8" s="118">
        <v>30</v>
      </c>
      <c r="AB8" s="119">
        <v>30</v>
      </c>
      <c r="AC8" s="40">
        <f t="shared" si="0"/>
        <v>100</v>
      </c>
      <c r="AD8" s="39" t="str">
        <f t="shared" si="1"/>
        <v>ADECUADO</v>
      </c>
      <c r="AE8" s="118">
        <v>0</v>
      </c>
      <c r="AF8" s="119">
        <v>0</v>
      </c>
      <c r="AG8" s="40" t="str">
        <f>IFERROR((TABLA_AVANCE_INDICADORES[[#This Row],[AVANCE 3°. TRIM]]/TABLA_AVANCE_INDICADORES[[#This Row],[PROGR. 3° TRIM]])*100,"0")</f>
        <v>0</v>
      </c>
      <c r="AH8"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8" s="118">
        <v>30</v>
      </c>
      <c r="AJ8" s="119">
        <v>0</v>
      </c>
      <c r="AK8" s="40">
        <f>IFERROR((TABLA_AVANCE_INDICADORES[[#This Row],[AVANCE 4°. TRIM]]/TABLA_AVANCE_INDICADORES[[#This Row],[PROGR. 4° TRIM]])*100,"0")</f>
        <v>0</v>
      </c>
      <c r="AL8"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8"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30</v>
      </c>
      <c r="AN8"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30</v>
      </c>
      <c r="AO8" s="40">
        <f>IFERROR((TABLA_AVANCE_INDICADORES[[#This Row],[AVANCE ACUM. TRIM.]]/TABLA_AVANCE_INDICADORES[[#This Row],[PROG. ACUM]])*100,"N/A")</f>
        <v>100</v>
      </c>
      <c r="AP8"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8" s="121">
        <f>TABLA_AVANCE_INDICADORES[[#This Row],[AVANCE ACUM. TRIM.]]-TABLA_AVANCE_INDICADORES[[#This Row],[PROG. ACUM]]</f>
        <v>0</v>
      </c>
      <c r="AR8" s="46">
        <f>IFERROR((TABLA_AVANCE_INDICADORES[[#This Row],[DIFERENCIA ABSOLUTA SEMESTRAL]]/TABLA_AVANCE_INDICADORES[[#This Row],[PROG. ACUM]])*100,"N/A")</f>
        <v>0</v>
      </c>
      <c r="AS8"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30</v>
      </c>
      <c r="AT8" s="40">
        <f>IFERROR((TABLA_AVANCE_INDICADORES[[#This Row],[AVANCE ACUM. ANUAL]]/TABLA_AVANCE_INDICADORES[[#This Row],[PROGRAMADO ANUAL]])*100,"N/A")</f>
        <v>50</v>
      </c>
      <c r="AU8"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8" s="121">
        <f>TABLA_AVANCE_INDICADORES[[#This Row],[AVANCE ACUM. ANUAL]]-TABLA_AVANCE_INDICADORES[[#This Row],[PROGRAMADO ANUAL]]</f>
        <v>-30</v>
      </c>
      <c r="AW8" s="46">
        <f>IFERROR((TABLA_AVANCE_INDICADORES[[#This Row],[DIFERENCIA ABSOLUTA ANUAL]]/TABLA_AVANCE_INDICADORES[[#This Row],[PROGRAMADO ANUAL]])*100,"N/A")</f>
        <v>-50</v>
      </c>
      <c r="AX8" s="123" t="s">
        <v>63</v>
      </c>
      <c r="AY8" s="49" t="s">
        <v>63</v>
      </c>
      <c r="AZ8" s="50"/>
      <c r="BA8" s="50"/>
      <c r="BB8"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9" spans="1:54" ht="63" hidden="1" customHeight="1" x14ac:dyDescent="0.3">
      <c r="A9" s="31" t="s">
        <v>748</v>
      </c>
      <c r="B9" s="113" t="s">
        <v>611</v>
      </c>
      <c r="C9" s="32" t="s">
        <v>612</v>
      </c>
      <c r="D9" s="114" t="s">
        <v>613</v>
      </c>
      <c r="E9" s="32" t="s">
        <v>614</v>
      </c>
      <c r="F9" s="115" t="s">
        <v>615</v>
      </c>
      <c r="G9" s="94" t="s">
        <v>616</v>
      </c>
      <c r="H9" s="94" t="s">
        <v>722</v>
      </c>
      <c r="I9" s="34" t="s">
        <v>723</v>
      </c>
      <c r="J9" s="34" t="s">
        <v>617</v>
      </c>
      <c r="K9" s="94" t="s">
        <v>618</v>
      </c>
      <c r="L9" s="34" t="s">
        <v>619</v>
      </c>
      <c r="M9" s="94" t="s">
        <v>620</v>
      </c>
      <c r="N9" s="33">
        <v>2</v>
      </c>
      <c r="O9" s="33" t="s">
        <v>743</v>
      </c>
      <c r="P9" s="125" t="s">
        <v>744</v>
      </c>
      <c r="Q9" s="125" t="s">
        <v>749</v>
      </c>
      <c r="R9" s="125" t="s">
        <v>746</v>
      </c>
      <c r="S9" s="56" t="s">
        <v>732</v>
      </c>
      <c r="T9" s="56" t="s">
        <v>728</v>
      </c>
      <c r="U9" s="56" t="s">
        <v>747</v>
      </c>
      <c r="V9" s="36">
        <v>60</v>
      </c>
      <c r="W9" s="36">
        <v>0</v>
      </c>
      <c r="X9" s="127">
        <v>0</v>
      </c>
      <c r="Y9" s="38" t="str">
        <f>IFERROR((TABLA_AVANCE_INDICADORES[[#This Row],[AVANCE 1°. TRIM]]/TABLA_AVANCE_INDICADORES[[#This Row],[PROGR. 1° TRIM]])*100,"0")</f>
        <v>0</v>
      </c>
      <c r="Z9"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9" s="118">
        <v>30</v>
      </c>
      <c r="AB9" s="128">
        <v>30</v>
      </c>
      <c r="AC9" s="40">
        <f t="shared" si="0"/>
        <v>100</v>
      </c>
      <c r="AD9" s="39" t="str">
        <f t="shared" si="1"/>
        <v>ADECUADO</v>
      </c>
      <c r="AE9" s="118">
        <v>0</v>
      </c>
      <c r="AF9" s="128">
        <f>AE9</f>
        <v>0</v>
      </c>
      <c r="AG9" s="40" t="str">
        <f>IFERROR((TABLA_AVANCE_INDICADORES[[#This Row],[AVANCE 3°. TRIM]]/TABLA_AVANCE_INDICADORES[[#This Row],[PROGR. 3° TRIM]])*100,"0")</f>
        <v>0</v>
      </c>
      <c r="AH9"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9" s="118">
        <v>30</v>
      </c>
      <c r="AJ9" s="128">
        <f>AI9</f>
        <v>30</v>
      </c>
      <c r="AK9" s="40">
        <f>IFERROR((TABLA_AVANCE_INDICADORES[[#This Row],[AVANCE 4°. TRIM]]/TABLA_AVANCE_INDICADORES[[#This Row],[PROGR. 4° TRIM]])*100,"0")</f>
        <v>100</v>
      </c>
      <c r="AL9"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ADECUADO</v>
      </c>
      <c r="AM9"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30</v>
      </c>
      <c r="AN9"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30</v>
      </c>
      <c r="AO9" s="40">
        <f>IFERROR((TABLA_AVANCE_INDICADORES[[#This Row],[AVANCE ACUM. TRIM.]]/TABLA_AVANCE_INDICADORES[[#This Row],[PROG. ACUM]])*100,"N/A")</f>
        <v>100</v>
      </c>
      <c r="AP9"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9" s="121">
        <f>TABLA_AVANCE_INDICADORES[[#This Row],[AVANCE ACUM. TRIM.]]-TABLA_AVANCE_INDICADORES[[#This Row],[PROG. ACUM]]</f>
        <v>0</v>
      </c>
      <c r="AR9" s="46">
        <f>IFERROR((TABLA_AVANCE_INDICADORES[[#This Row],[DIFERENCIA ABSOLUTA SEMESTRAL]]/TABLA_AVANCE_INDICADORES[[#This Row],[PROG. ACUM]])*100,"N/A")</f>
        <v>0</v>
      </c>
      <c r="AS9"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30</v>
      </c>
      <c r="AT9" s="40">
        <f>IFERROR((TABLA_AVANCE_INDICADORES[[#This Row],[AVANCE ACUM. ANUAL]]/TABLA_AVANCE_INDICADORES[[#This Row],[PROGRAMADO ANUAL]])*100,"N/A")</f>
        <v>50</v>
      </c>
      <c r="AU9"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9" s="121">
        <f>TABLA_AVANCE_INDICADORES[[#This Row],[AVANCE ACUM. ANUAL]]-TABLA_AVANCE_INDICADORES[[#This Row],[PROGRAMADO ANUAL]]</f>
        <v>-30</v>
      </c>
      <c r="AW9" s="46">
        <f>IFERROR((TABLA_AVANCE_INDICADORES[[#This Row],[DIFERENCIA ABSOLUTA ANUAL]]/TABLA_AVANCE_INDICADORES[[#This Row],[PROGRAMADO ANUAL]])*100,"N/A")</f>
        <v>-50</v>
      </c>
      <c r="AX9" s="123" t="s">
        <v>63</v>
      </c>
      <c r="AY9" s="49" t="s">
        <v>63</v>
      </c>
      <c r="AZ9" s="50"/>
      <c r="BA9" s="50"/>
      <c r="BB9"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0" spans="1:54" ht="63" hidden="1" customHeight="1" x14ac:dyDescent="0.3">
      <c r="A10" s="31" t="s">
        <v>750</v>
      </c>
      <c r="B10" s="113" t="s">
        <v>611</v>
      </c>
      <c r="C10" s="32" t="s">
        <v>612</v>
      </c>
      <c r="D10" s="114" t="s">
        <v>613</v>
      </c>
      <c r="E10" s="32" t="s">
        <v>614</v>
      </c>
      <c r="F10" s="115" t="s">
        <v>615</v>
      </c>
      <c r="G10" s="94" t="s">
        <v>616</v>
      </c>
      <c r="H10" s="94" t="s">
        <v>722</v>
      </c>
      <c r="I10" s="34" t="s">
        <v>723</v>
      </c>
      <c r="J10" s="34" t="s">
        <v>617</v>
      </c>
      <c r="K10" s="94" t="s">
        <v>618</v>
      </c>
      <c r="L10" s="34" t="s">
        <v>619</v>
      </c>
      <c r="M10" s="94" t="s">
        <v>620</v>
      </c>
      <c r="N10" s="33">
        <v>1</v>
      </c>
      <c r="O10" s="33" t="s">
        <v>751</v>
      </c>
      <c r="P10" s="125" t="s">
        <v>752</v>
      </c>
      <c r="Q10" s="125" t="s">
        <v>753</v>
      </c>
      <c r="R10" s="125" t="s">
        <v>754</v>
      </c>
      <c r="S10" s="56" t="s">
        <v>204</v>
      </c>
      <c r="T10" s="56" t="s">
        <v>728</v>
      </c>
      <c r="U10" s="56" t="s">
        <v>755</v>
      </c>
      <c r="V10" s="36">
        <v>10</v>
      </c>
      <c r="W10" s="36">
        <v>3</v>
      </c>
      <c r="X10" s="117">
        <v>3</v>
      </c>
      <c r="Y10" s="38">
        <f>IFERROR((TABLA_AVANCE_INDICADORES[[#This Row],[AVANCE 1°. TRIM]]/TABLA_AVANCE_INDICADORES[[#This Row],[PROGR. 1° TRIM]])*100,"0")</f>
        <v>100</v>
      </c>
      <c r="Z10"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10" s="118">
        <v>2</v>
      </c>
      <c r="AB10" s="119">
        <v>2</v>
      </c>
      <c r="AC10" s="40">
        <f t="shared" si="0"/>
        <v>100</v>
      </c>
      <c r="AD10" s="39" t="str">
        <f t="shared" si="1"/>
        <v>ADECUADO</v>
      </c>
      <c r="AE10" s="118">
        <v>3</v>
      </c>
      <c r="AF10" s="119">
        <v>0</v>
      </c>
      <c r="AG10" s="40">
        <f>IFERROR((TABLA_AVANCE_INDICADORES[[#This Row],[AVANCE 3°. TRIM]]/TABLA_AVANCE_INDICADORES[[#This Row],[PROGR. 3° TRIM]])*100,"0")</f>
        <v>0</v>
      </c>
      <c r="AH10"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CRÍTICO</v>
      </c>
      <c r="AI10" s="118">
        <v>2</v>
      </c>
      <c r="AJ10" s="119">
        <v>0</v>
      </c>
      <c r="AK10" s="40">
        <f>IFERROR((TABLA_AVANCE_INDICADORES[[#This Row],[AVANCE 4°. TRIM]]/TABLA_AVANCE_INDICADORES[[#This Row],[PROGR. 4° TRIM]])*100,"0")</f>
        <v>0</v>
      </c>
      <c r="AL10"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10"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5</v>
      </c>
      <c r="AN10"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5</v>
      </c>
      <c r="AO10" s="40">
        <f>IFERROR((TABLA_AVANCE_INDICADORES[[#This Row],[AVANCE ACUM. TRIM.]]/TABLA_AVANCE_INDICADORES[[#This Row],[PROG. ACUM]])*100,"N/A")</f>
        <v>100</v>
      </c>
      <c r="AP10"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10" s="121">
        <f>TABLA_AVANCE_INDICADORES[[#This Row],[AVANCE ACUM. TRIM.]]-TABLA_AVANCE_INDICADORES[[#This Row],[PROG. ACUM]]</f>
        <v>0</v>
      </c>
      <c r="AR10" s="46">
        <f>IFERROR((TABLA_AVANCE_INDICADORES[[#This Row],[DIFERENCIA ABSOLUTA SEMESTRAL]]/TABLA_AVANCE_INDICADORES[[#This Row],[PROG. ACUM]])*100,"N/A")</f>
        <v>0</v>
      </c>
      <c r="AS10"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5</v>
      </c>
      <c r="AT10" s="40">
        <f>IFERROR((TABLA_AVANCE_INDICADORES[[#This Row],[AVANCE ACUM. ANUAL]]/TABLA_AVANCE_INDICADORES[[#This Row],[PROGRAMADO ANUAL]])*100,"N/A")</f>
        <v>50</v>
      </c>
      <c r="AU10"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10" s="121">
        <f>TABLA_AVANCE_INDICADORES[[#This Row],[AVANCE ACUM. ANUAL]]-TABLA_AVANCE_INDICADORES[[#This Row],[PROGRAMADO ANUAL]]</f>
        <v>-5</v>
      </c>
      <c r="AW10" s="46">
        <f>IFERROR((TABLA_AVANCE_INDICADORES[[#This Row],[DIFERENCIA ABSOLUTA ANUAL]]/TABLA_AVANCE_INDICADORES[[#This Row],[PROGRAMADO ANUAL]])*100,"N/A")</f>
        <v>-50</v>
      </c>
      <c r="AX10" s="123" t="s">
        <v>63</v>
      </c>
      <c r="AY10" s="49" t="s">
        <v>63</v>
      </c>
      <c r="AZ10" s="50"/>
      <c r="BA10" s="50"/>
      <c r="BB10"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1" spans="1:54" ht="63" hidden="1" customHeight="1" x14ac:dyDescent="0.3">
      <c r="A11" s="31" t="s">
        <v>756</v>
      </c>
      <c r="B11" s="113" t="s">
        <v>611</v>
      </c>
      <c r="C11" s="32" t="s">
        <v>612</v>
      </c>
      <c r="D11" s="114" t="s">
        <v>613</v>
      </c>
      <c r="E11" s="32" t="s">
        <v>614</v>
      </c>
      <c r="F11" s="115" t="s">
        <v>615</v>
      </c>
      <c r="G11" s="94" t="s">
        <v>616</v>
      </c>
      <c r="H11" s="94" t="s">
        <v>722</v>
      </c>
      <c r="I11" s="34" t="s">
        <v>723</v>
      </c>
      <c r="J11" s="34" t="s">
        <v>617</v>
      </c>
      <c r="K11" s="94" t="s">
        <v>618</v>
      </c>
      <c r="L11" s="34" t="s">
        <v>619</v>
      </c>
      <c r="M11" s="94" t="s">
        <v>620</v>
      </c>
      <c r="N11" s="33">
        <v>2</v>
      </c>
      <c r="O11" s="33" t="s">
        <v>751</v>
      </c>
      <c r="P11" s="116" t="s">
        <v>752</v>
      </c>
      <c r="Q11" s="116" t="s">
        <v>757</v>
      </c>
      <c r="R11" s="116" t="s">
        <v>754</v>
      </c>
      <c r="S11" s="56" t="s">
        <v>204</v>
      </c>
      <c r="T11" s="56" t="s">
        <v>728</v>
      </c>
      <c r="U11" s="56" t="s">
        <v>755</v>
      </c>
      <c r="V11" s="36">
        <v>10</v>
      </c>
      <c r="W11" s="36">
        <v>3</v>
      </c>
      <c r="X11" s="117">
        <v>3</v>
      </c>
      <c r="Y11" s="38">
        <f>IFERROR((TABLA_AVANCE_INDICADORES[[#This Row],[AVANCE 1°. TRIM]]/TABLA_AVANCE_INDICADORES[[#This Row],[PROGR. 1° TRIM]])*100,"0")</f>
        <v>100</v>
      </c>
      <c r="Z11"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11" s="118">
        <v>2</v>
      </c>
      <c r="AB11" s="119">
        <v>2</v>
      </c>
      <c r="AC11" s="40">
        <f t="shared" si="0"/>
        <v>100</v>
      </c>
      <c r="AD11" s="39" t="str">
        <f t="shared" si="1"/>
        <v>ADECUADO</v>
      </c>
      <c r="AE11" s="118">
        <v>3</v>
      </c>
      <c r="AF11" s="119">
        <v>0</v>
      </c>
      <c r="AG11" s="40">
        <f>IFERROR((TABLA_AVANCE_INDICADORES[[#This Row],[AVANCE 3°. TRIM]]/TABLA_AVANCE_INDICADORES[[#This Row],[PROGR. 3° TRIM]])*100,"0")</f>
        <v>0</v>
      </c>
      <c r="AH11"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CRÍTICO</v>
      </c>
      <c r="AI11" s="118">
        <v>2</v>
      </c>
      <c r="AJ11" s="119">
        <v>0</v>
      </c>
      <c r="AK11" s="40">
        <f>IFERROR((TABLA_AVANCE_INDICADORES[[#This Row],[AVANCE 4°. TRIM]]/TABLA_AVANCE_INDICADORES[[#This Row],[PROGR. 4° TRIM]])*100,"0")</f>
        <v>0</v>
      </c>
      <c r="AL11"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11"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5</v>
      </c>
      <c r="AN11"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5</v>
      </c>
      <c r="AO11" s="40">
        <f>IFERROR((TABLA_AVANCE_INDICADORES[[#This Row],[AVANCE ACUM. TRIM.]]/TABLA_AVANCE_INDICADORES[[#This Row],[PROG. ACUM]])*100,"N/A")</f>
        <v>100</v>
      </c>
      <c r="AP11"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11" s="121">
        <f>TABLA_AVANCE_INDICADORES[[#This Row],[AVANCE ACUM. TRIM.]]-TABLA_AVANCE_INDICADORES[[#This Row],[PROG. ACUM]]</f>
        <v>0</v>
      </c>
      <c r="AR11" s="46">
        <f>IFERROR((TABLA_AVANCE_INDICADORES[[#This Row],[DIFERENCIA ABSOLUTA SEMESTRAL]]/TABLA_AVANCE_INDICADORES[[#This Row],[PROG. ACUM]])*100,"N/A")</f>
        <v>0</v>
      </c>
      <c r="AS11"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5</v>
      </c>
      <c r="AT11" s="40">
        <f>IFERROR((TABLA_AVANCE_INDICADORES[[#This Row],[AVANCE ACUM. ANUAL]]/TABLA_AVANCE_INDICADORES[[#This Row],[PROGRAMADO ANUAL]])*100,"N/A")</f>
        <v>50</v>
      </c>
      <c r="AU11"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11" s="121">
        <f>TABLA_AVANCE_INDICADORES[[#This Row],[AVANCE ACUM. ANUAL]]-TABLA_AVANCE_INDICADORES[[#This Row],[PROGRAMADO ANUAL]]</f>
        <v>-5</v>
      </c>
      <c r="AW11" s="46">
        <f>IFERROR((TABLA_AVANCE_INDICADORES[[#This Row],[DIFERENCIA ABSOLUTA ANUAL]]/TABLA_AVANCE_INDICADORES[[#This Row],[PROGRAMADO ANUAL]])*100,"N/A")</f>
        <v>-50</v>
      </c>
      <c r="AX11" s="123" t="s">
        <v>63</v>
      </c>
      <c r="AY11" s="49" t="s">
        <v>63</v>
      </c>
      <c r="AZ11" s="50"/>
      <c r="BA11" s="50"/>
      <c r="BB11"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2" spans="1:54" ht="63" hidden="1" customHeight="1" x14ac:dyDescent="0.3">
      <c r="A12" s="31" t="s">
        <v>758</v>
      </c>
      <c r="B12" s="113" t="s">
        <v>611</v>
      </c>
      <c r="C12" s="32" t="s">
        <v>612</v>
      </c>
      <c r="D12" s="114" t="s">
        <v>613</v>
      </c>
      <c r="E12" s="32" t="s">
        <v>614</v>
      </c>
      <c r="F12" s="115" t="s">
        <v>615</v>
      </c>
      <c r="G12" s="94" t="s">
        <v>616</v>
      </c>
      <c r="H12" s="94" t="s">
        <v>722</v>
      </c>
      <c r="I12" s="34" t="s">
        <v>723</v>
      </c>
      <c r="J12" s="34" t="s">
        <v>617</v>
      </c>
      <c r="K12" s="94" t="s">
        <v>618</v>
      </c>
      <c r="L12" s="34" t="s">
        <v>619</v>
      </c>
      <c r="M12" s="94" t="s">
        <v>620</v>
      </c>
      <c r="N12" s="33">
        <v>1</v>
      </c>
      <c r="O12" s="33" t="s">
        <v>759</v>
      </c>
      <c r="P12" s="116" t="s">
        <v>760</v>
      </c>
      <c r="Q12" s="116" t="s">
        <v>761</v>
      </c>
      <c r="R12" s="116" t="s">
        <v>762</v>
      </c>
      <c r="S12" s="56" t="s">
        <v>204</v>
      </c>
      <c r="T12" s="56" t="s">
        <v>728</v>
      </c>
      <c r="U12" s="56" t="s">
        <v>755</v>
      </c>
      <c r="V12" s="36">
        <v>10</v>
      </c>
      <c r="W12" s="36">
        <v>3</v>
      </c>
      <c r="X12" s="117">
        <v>3</v>
      </c>
      <c r="Y12" s="38">
        <f>IFERROR((TABLA_AVANCE_INDICADORES[[#This Row],[AVANCE 1°. TRIM]]/TABLA_AVANCE_INDICADORES[[#This Row],[PROGR. 1° TRIM]])*100,"0")</f>
        <v>100</v>
      </c>
      <c r="Z12"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12" s="118">
        <v>2</v>
      </c>
      <c r="AB12" s="119">
        <v>2</v>
      </c>
      <c r="AC12" s="40">
        <f t="shared" si="0"/>
        <v>100</v>
      </c>
      <c r="AD12" s="39" t="str">
        <f t="shared" si="1"/>
        <v>ADECUADO</v>
      </c>
      <c r="AE12" s="118">
        <v>3</v>
      </c>
      <c r="AF12" s="119">
        <v>0</v>
      </c>
      <c r="AG12" s="40">
        <f>IFERROR((TABLA_AVANCE_INDICADORES[[#This Row],[AVANCE 3°. TRIM]]/TABLA_AVANCE_INDICADORES[[#This Row],[PROGR. 3° TRIM]])*100,"0")</f>
        <v>0</v>
      </c>
      <c r="AH12"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CRÍTICO</v>
      </c>
      <c r="AI12" s="118">
        <v>2</v>
      </c>
      <c r="AJ12" s="119">
        <v>0</v>
      </c>
      <c r="AK12" s="40">
        <f>IFERROR((TABLA_AVANCE_INDICADORES[[#This Row],[AVANCE 4°. TRIM]]/TABLA_AVANCE_INDICADORES[[#This Row],[PROGR. 4° TRIM]])*100,"0")</f>
        <v>0</v>
      </c>
      <c r="AL12"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12"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5</v>
      </c>
      <c r="AN12"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5</v>
      </c>
      <c r="AO12" s="40">
        <f>IFERROR((TABLA_AVANCE_INDICADORES[[#This Row],[AVANCE ACUM. TRIM.]]/TABLA_AVANCE_INDICADORES[[#This Row],[PROG. ACUM]])*100,"N/A")</f>
        <v>100</v>
      </c>
      <c r="AP12"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12" s="121">
        <f>TABLA_AVANCE_INDICADORES[[#This Row],[AVANCE ACUM. TRIM.]]-TABLA_AVANCE_INDICADORES[[#This Row],[PROG. ACUM]]</f>
        <v>0</v>
      </c>
      <c r="AR12" s="46">
        <f>IFERROR((TABLA_AVANCE_INDICADORES[[#This Row],[DIFERENCIA ABSOLUTA SEMESTRAL]]/TABLA_AVANCE_INDICADORES[[#This Row],[PROG. ACUM]])*100,"N/A")</f>
        <v>0</v>
      </c>
      <c r="AS12"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5</v>
      </c>
      <c r="AT12" s="40">
        <f>IFERROR((TABLA_AVANCE_INDICADORES[[#This Row],[AVANCE ACUM. ANUAL]]/TABLA_AVANCE_INDICADORES[[#This Row],[PROGRAMADO ANUAL]])*100,"N/A")</f>
        <v>50</v>
      </c>
      <c r="AU12"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12" s="121">
        <f>TABLA_AVANCE_INDICADORES[[#This Row],[AVANCE ACUM. ANUAL]]-TABLA_AVANCE_INDICADORES[[#This Row],[PROGRAMADO ANUAL]]</f>
        <v>-5</v>
      </c>
      <c r="AW12" s="46">
        <f>IFERROR((TABLA_AVANCE_INDICADORES[[#This Row],[DIFERENCIA ABSOLUTA ANUAL]]/TABLA_AVANCE_INDICADORES[[#This Row],[PROGRAMADO ANUAL]])*100,"N/A")</f>
        <v>-50</v>
      </c>
      <c r="AX12" s="123" t="s">
        <v>63</v>
      </c>
      <c r="AY12" s="49" t="s">
        <v>63</v>
      </c>
      <c r="AZ12" s="50"/>
      <c r="BA12" s="50"/>
      <c r="BB12"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3" spans="1:54" ht="63" hidden="1" customHeight="1" x14ac:dyDescent="0.3">
      <c r="A13" s="31" t="s">
        <v>763</v>
      </c>
      <c r="B13" s="113" t="s">
        <v>611</v>
      </c>
      <c r="C13" s="32" t="s">
        <v>612</v>
      </c>
      <c r="D13" s="114" t="s">
        <v>613</v>
      </c>
      <c r="E13" s="32" t="s">
        <v>614</v>
      </c>
      <c r="F13" s="115" t="s">
        <v>615</v>
      </c>
      <c r="G13" s="94" t="s">
        <v>616</v>
      </c>
      <c r="H13" s="94" t="s">
        <v>722</v>
      </c>
      <c r="I13" s="34" t="s">
        <v>723</v>
      </c>
      <c r="J13" s="34" t="s">
        <v>617</v>
      </c>
      <c r="K13" s="94" t="s">
        <v>618</v>
      </c>
      <c r="L13" s="34" t="s">
        <v>619</v>
      </c>
      <c r="M13" s="94" t="s">
        <v>620</v>
      </c>
      <c r="N13" s="33">
        <v>2</v>
      </c>
      <c r="O13" s="33" t="s">
        <v>759</v>
      </c>
      <c r="P13" s="116" t="s">
        <v>760</v>
      </c>
      <c r="Q13" s="116" t="s">
        <v>764</v>
      </c>
      <c r="R13" s="116" t="s">
        <v>762</v>
      </c>
      <c r="S13" s="56" t="s">
        <v>204</v>
      </c>
      <c r="T13" s="56" t="s">
        <v>728</v>
      </c>
      <c r="U13" s="56" t="s">
        <v>755</v>
      </c>
      <c r="V13" s="36">
        <v>10</v>
      </c>
      <c r="W13" s="36">
        <v>3</v>
      </c>
      <c r="X13" s="127">
        <v>3</v>
      </c>
      <c r="Y13" s="38">
        <f>IFERROR((TABLA_AVANCE_INDICADORES[[#This Row],[AVANCE 1°. TRIM]]/TABLA_AVANCE_INDICADORES[[#This Row],[PROGR. 1° TRIM]])*100,"0")</f>
        <v>100</v>
      </c>
      <c r="Z13"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13" s="118">
        <v>2</v>
      </c>
      <c r="AB13" s="128">
        <v>2</v>
      </c>
      <c r="AC13" s="40">
        <f t="shared" si="0"/>
        <v>100</v>
      </c>
      <c r="AD13" s="39" t="str">
        <f t="shared" si="1"/>
        <v>ADECUADO</v>
      </c>
      <c r="AE13" s="118">
        <v>3</v>
      </c>
      <c r="AF13" s="128">
        <f>AE13</f>
        <v>3</v>
      </c>
      <c r="AG13" s="40">
        <f>IFERROR((TABLA_AVANCE_INDICADORES[[#This Row],[AVANCE 3°. TRIM]]/TABLA_AVANCE_INDICADORES[[#This Row],[PROGR. 3° TRIM]])*100,"0")</f>
        <v>100</v>
      </c>
      <c r="AH13"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ADECUADO</v>
      </c>
      <c r="AI13" s="118">
        <v>2</v>
      </c>
      <c r="AJ13" s="128">
        <f>AI13</f>
        <v>2</v>
      </c>
      <c r="AK13" s="40">
        <f>IFERROR((TABLA_AVANCE_INDICADORES[[#This Row],[AVANCE 4°. TRIM]]/TABLA_AVANCE_INDICADORES[[#This Row],[PROGR. 4° TRIM]])*100,"0")</f>
        <v>100</v>
      </c>
      <c r="AL13"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ADECUADO</v>
      </c>
      <c r="AM13"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5</v>
      </c>
      <c r="AN13"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5</v>
      </c>
      <c r="AO13" s="40">
        <f>IFERROR((TABLA_AVANCE_INDICADORES[[#This Row],[AVANCE ACUM. TRIM.]]/TABLA_AVANCE_INDICADORES[[#This Row],[PROG. ACUM]])*100,"N/A")</f>
        <v>100</v>
      </c>
      <c r="AP13"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13" s="121">
        <f>TABLA_AVANCE_INDICADORES[[#This Row],[AVANCE ACUM. TRIM.]]-TABLA_AVANCE_INDICADORES[[#This Row],[PROG. ACUM]]</f>
        <v>0</v>
      </c>
      <c r="AR13" s="46">
        <f>IFERROR((TABLA_AVANCE_INDICADORES[[#This Row],[DIFERENCIA ABSOLUTA SEMESTRAL]]/TABLA_AVANCE_INDICADORES[[#This Row],[PROG. ACUM]])*100,"N/A")</f>
        <v>0</v>
      </c>
      <c r="AS13"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5</v>
      </c>
      <c r="AT13" s="40">
        <f>IFERROR((TABLA_AVANCE_INDICADORES[[#This Row],[AVANCE ACUM. ANUAL]]/TABLA_AVANCE_INDICADORES[[#This Row],[PROGRAMADO ANUAL]])*100,"N/A")</f>
        <v>50</v>
      </c>
      <c r="AU13"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13" s="121">
        <f>TABLA_AVANCE_INDICADORES[[#This Row],[AVANCE ACUM. ANUAL]]-TABLA_AVANCE_INDICADORES[[#This Row],[PROGRAMADO ANUAL]]</f>
        <v>-5</v>
      </c>
      <c r="AW13" s="46">
        <f>IFERROR((TABLA_AVANCE_INDICADORES[[#This Row],[DIFERENCIA ABSOLUTA ANUAL]]/TABLA_AVANCE_INDICADORES[[#This Row],[PROGRAMADO ANUAL]])*100,"N/A")</f>
        <v>-50</v>
      </c>
      <c r="AX13" s="123" t="s">
        <v>63</v>
      </c>
      <c r="AY13" s="49" t="s">
        <v>63</v>
      </c>
      <c r="AZ13" s="50"/>
      <c r="BA13" s="50"/>
      <c r="BB13"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4" spans="1:54" ht="63" hidden="1" customHeight="1" x14ac:dyDescent="0.3">
      <c r="A14" s="31" t="s">
        <v>765</v>
      </c>
      <c r="B14" s="113" t="s">
        <v>611</v>
      </c>
      <c r="C14" s="32" t="s">
        <v>612</v>
      </c>
      <c r="D14" s="114" t="s">
        <v>613</v>
      </c>
      <c r="E14" s="32" t="s">
        <v>614</v>
      </c>
      <c r="F14" s="115" t="s">
        <v>615</v>
      </c>
      <c r="G14" s="94" t="s">
        <v>616</v>
      </c>
      <c r="H14" s="94" t="s">
        <v>722</v>
      </c>
      <c r="I14" s="34" t="s">
        <v>723</v>
      </c>
      <c r="J14" s="34" t="s">
        <v>617</v>
      </c>
      <c r="K14" s="94" t="s">
        <v>618</v>
      </c>
      <c r="L14" s="34" t="s">
        <v>619</v>
      </c>
      <c r="M14" s="94" t="s">
        <v>620</v>
      </c>
      <c r="N14" s="33">
        <v>1</v>
      </c>
      <c r="O14" s="33" t="s">
        <v>766</v>
      </c>
      <c r="P14" s="116" t="s">
        <v>767</v>
      </c>
      <c r="Q14" s="116" t="s">
        <v>768</v>
      </c>
      <c r="R14" s="116" t="s">
        <v>769</v>
      </c>
      <c r="S14" s="56" t="s">
        <v>240</v>
      </c>
      <c r="T14" s="56" t="s">
        <v>728</v>
      </c>
      <c r="U14" s="56" t="s">
        <v>747</v>
      </c>
      <c r="V14" s="36">
        <v>16</v>
      </c>
      <c r="W14" s="36">
        <v>0</v>
      </c>
      <c r="X14" s="117">
        <v>0</v>
      </c>
      <c r="Y14" s="38" t="str">
        <f>IFERROR((TABLA_AVANCE_INDICADORES[[#This Row],[AVANCE 1°. TRIM]]/TABLA_AVANCE_INDICADORES[[#This Row],[PROGR. 1° TRIM]])*100,"0")</f>
        <v>0</v>
      </c>
      <c r="Z14"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14" s="118">
        <v>8</v>
      </c>
      <c r="AB14" s="119">
        <v>8</v>
      </c>
      <c r="AC14" s="40">
        <f t="shared" si="0"/>
        <v>100</v>
      </c>
      <c r="AD14" s="39" t="str">
        <f t="shared" si="1"/>
        <v>ADECUADO</v>
      </c>
      <c r="AE14" s="118">
        <v>0</v>
      </c>
      <c r="AF14" s="119">
        <v>0</v>
      </c>
      <c r="AG14" s="40" t="str">
        <f>IFERROR((TABLA_AVANCE_INDICADORES[[#This Row],[AVANCE 3°. TRIM]]/TABLA_AVANCE_INDICADORES[[#This Row],[PROGR. 3° TRIM]])*100,"0")</f>
        <v>0</v>
      </c>
      <c r="AH14"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14" s="118">
        <v>8</v>
      </c>
      <c r="AJ14" s="119">
        <v>0</v>
      </c>
      <c r="AK14" s="40">
        <f>IFERROR((TABLA_AVANCE_INDICADORES[[#This Row],[AVANCE 4°. TRIM]]/TABLA_AVANCE_INDICADORES[[#This Row],[PROGR. 4° TRIM]])*100,"0")</f>
        <v>0</v>
      </c>
      <c r="AL14"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14"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8</v>
      </c>
      <c r="AN14"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8</v>
      </c>
      <c r="AO14" s="40">
        <f>IFERROR((TABLA_AVANCE_INDICADORES[[#This Row],[AVANCE ACUM. TRIM.]]/TABLA_AVANCE_INDICADORES[[#This Row],[PROG. ACUM]])*100,"N/A")</f>
        <v>100</v>
      </c>
      <c r="AP14"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14" s="121">
        <f>TABLA_AVANCE_INDICADORES[[#This Row],[AVANCE ACUM. TRIM.]]-TABLA_AVANCE_INDICADORES[[#This Row],[PROG. ACUM]]</f>
        <v>0</v>
      </c>
      <c r="AR14" s="46">
        <f>IFERROR((TABLA_AVANCE_INDICADORES[[#This Row],[DIFERENCIA ABSOLUTA SEMESTRAL]]/TABLA_AVANCE_INDICADORES[[#This Row],[PROG. ACUM]])*100,"N/A")</f>
        <v>0</v>
      </c>
      <c r="AS14"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8</v>
      </c>
      <c r="AT14" s="40">
        <f>IFERROR((TABLA_AVANCE_INDICADORES[[#This Row],[AVANCE ACUM. ANUAL]]/TABLA_AVANCE_INDICADORES[[#This Row],[PROGRAMADO ANUAL]])*100,"N/A")</f>
        <v>50</v>
      </c>
      <c r="AU14"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14" s="121">
        <f>TABLA_AVANCE_INDICADORES[[#This Row],[AVANCE ACUM. ANUAL]]-TABLA_AVANCE_INDICADORES[[#This Row],[PROGRAMADO ANUAL]]</f>
        <v>-8</v>
      </c>
      <c r="AW14" s="46">
        <f>IFERROR((TABLA_AVANCE_INDICADORES[[#This Row],[DIFERENCIA ABSOLUTA ANUAL]]/TABLA_AVANCE_INDICADORES[[#This Row],[PROGRAMADO ANUAL]])*100,"N/A")</f>
        <v>-50</v>
      </c>
      <c r="AX14" s="123" t="s">
        <v>63</v>
      </c>
      <c r="AY14" s="49" t="s">
        <v>63</v>
      </c>
      <c r="AZ14" s="50"/>
      <c r="BA14" s="50"/>
      <c r="BB14"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5" spans="1:54" s="60" customFormat="1" ht="63" hidden="1" customHeight="1" x14ac:dyDescent="0.3">
      <c r="A15" s="31" t="s">
        <v>770</v>
      </c>
      <c r="B15" s="113" t="s">
        <v>611</v>
      </c>
      <c r="C15" s="32" t="s">
        <v>612</v>
      </c>
      <c r="D15" s="114" t="s">
        <v>613</v>
      </c>
      <c r="E15" s="32" t="s">
        <v>614</v>
      </c>
      <c r="F15" s="115" t="s">
        <v>615</v>
      </c>
      <c r="G15" s="94" t="s">
        <v>616</v>
      </c>
      <c r="H15" s="94" t="s">
        <v>722</v>
      </c>
      <c r="I15" s="34" t="s">
        <v>723</v>
      </c>
      <c r="J15" s="34" t="s">
        <v>617</v>
      </c>
      <c r="K15" s="94" t="s">
        <v>618</v>
      </c>
      <c r="L15" s="34" t="s">
        <v>619</v>
      </c>
      <c r="M15" s="94" t="s">
        <v>620</v>
      </c>
      <c r="N15" s="33">
        <v>2</v>
      </c>
      <c r="O15" s="33" t="s">
        <v>766</v>
      </c>
      <c r="P15" s="116" t="s">
        <v>767</v>
      </c>
      <c r="Q15" s="116" t="s">
        <v>771</v>
      </c>
      <c r="R15" s="116" t="s">
        <v>769</v>
      </c>
      <c r="S15" s="56" t="s">
        <v>240</v>
      </c>
      <c r="T15" s="56" t="s">
        <v>728</v>
      </c>
      <c r="U15" s="56" t="s">
        <v>747</v>
      </c>
      <c r="V15" s="36">
        <v>16</v>
      </c>
      <c r="W15" s="36">
        <v>0</v>
      </c>
      <c r="X15" s="117">
        <v>0</v>
      </c>
      <c r="Y15" s="38" t="str">
        <f>IFERROR((TABLA_AVANCE_INDICADORES[[#This Row],[AVANCE 1°. TRIM]]/TABLA_AVANCE_INDICADORES[[#This Row],[PROGR. 1° TRIM]])*100,"0")</f>
        <v>0</v>
      </c>
      <c r="Z15"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15" s="118">
        <v>8</v>
      </c>
      <c r="AB15" s="119">
        <v>8</v>
      </c>
      <c r="AC15" s="40">
        <f t="shared" si="0"/>
        <v>100</v>
      </c>
      <c r="AD15" s="39" t="str">
        <f t="shared" si="1"/>
        <v>ADECUADO</v>
      </c>
      <c r="AE15" s="118">
        <v>0</v>
      </c>
      <c r="AF15" s="119">
        <v>0</v>
      </c>
      <c r="AG15" s="40" t="str">
        <f>IFERROR((TABLA_AVANCE_INDICADORES[[#This Row],[AVANCE 3°. TRIM]]/TABLA_AVANCE_INDICADORES[[#This Row],[PROGR. 3° TRIM]])*100,"0")</f>
        <v>0</v>
      </c>
      <c r="AH15"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15" s="118">
        <v>8</v>
      </c>
      <c r="AJ15" s="119">
        <v>0</v>
      </c>
      <c r="AK15" s="40">
        <f>IFERROR((TABLA_AVANCE_INDICADORES[[#This Row],[AVANCE 4°. TRIM]]/TABLA_AVANCE_INDICADORES[[#This Row],[PROGR. 4° TRIM]])*100,"0")</f>
        <v>0</v>
      </c>
      <c r="AL15"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15"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8</v>
      </c>
      <c r="AN15"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8</v>
      </c>
      <c r="AO15" s="40">
        <f>IFERROR((TABLA_AVANCE_INDICADORES[[#This Row],[AVANCE ACUM. TRIM.]]/TABLA_AVANCE_INDICADORES[[#This Row],[PROG. ACUM]])*100,"N/A")</f>
        <v>100</v>
      </c>
      <c r="AP15"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15" s="121">
        <f>TABLA_AVANCE_INDICADORES[[#This Row],[AVANCE ACUM. TRIM.]]-TABLA_AVANCE_INDICADORES[[#This Row],[PROG. ACUM]]</f>
        <v>0</v>
      </c>
      <c r="AR15" s="46">
        <f>IFERROR((TABLA_AVANCE_INDICADORES[[#This Row],[DIFERENCIA ABSOLUTA SEMESTRAL]]/TABLA_AVANCE_INDICADORES[[#This Row],[PROG. ACUM]])*100,"N/A")</f>
        <v>0</v>
      </c>
      <c r="AS15"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8</v>
      </c>
      <c r="AT15" s="40">
        <f>IFERROR((TABLA_AVANCE_INDICADORES[[#This Row],[AVANCE ACUM. ANUAL]]/TABLA_AVANCE_INDICADORES[[#This Row],[PROGRAMADO ANUAL]])*100,"N/A")</f>
        <v>50</v>
      </c>
      <c r="AU15"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15" s="121">
        <f>TABLA_AVANCE_INDICADORES[[#This Row],[AVANCE ACUM. ANUAL]]-TABLA_AVANCE_INDICADORES[[#This Row],[PROGRAMADO ANUAL]]</f>
        <v>-8</v>
      </c>
      <c r="AW15" s="46">
        <f>IFERROR((TABLA_AVANCE_INDICADORES[[#This Row],[DIFERENCIA ABSOLUTA ANUAL]]/TABLA_AVANCE_INDICADORES[[#This Row],[PROGRAMADO ANUAL]])*100,"N/A")</f>
        <v>-50</v>
      </c>
      <c r="AX15" s="123" t="s">
        <v>63</v>
      </c>
      <c r="AY15" s="49" t="s">
        <v>63</v>
      </c>
      <c r="AZ15" s="50"/>
      <c r="BA15" s="50"/>
      <c r="BB15"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6" spans="1:54" s="60" customFormat="1" ht="63" hidden="1" customHeight="1" x14ac:dyDescent="0.3">
      <c r="A16" s="31" t="s">
        <v>772</v>
      </c>
      <c r="B16" s="113" t="s">
        <v>105</v>
      </c>
      <c r="C16" s="32" t="s">
        <v>75</v>
      </c>
      <c r="D16" s="114" t="s">
        <v>76</v>
      </c>
      <c r="E16" s="32" t="s">
        <v>106</v>
      </c>
      <c r="F16" s="115" t="s">
        <v>107</v>
      </c>
      <c r="G16" s="94" t="s">
        <v>108</v>
      </c>
      <c r="H16" s="94" t="s">
        <v>773</v>
      </c>
      <c r="I16" s="34" t="s">
        <v>723</v>
      </c>
      <c r="J16" s="34" t="s">
        <v>109</v>
      </c>
      <c r="K16" s="94" t="s">
        <v>110</v>
      </c>
      <c r="L16" s="34" t="s">
        <v>111</v>
      </c>
      <c r="M16" s="94" t="s">
        <v>112</v>
      </c>
      <c r="N16" s="33">
        <v>1</v>
      </c>
      <c r="O16" s="33" t="s">
        <v>724</v>
      </c>
      <c r="P16" s="116" t="s">
        <v>774</v>
      </c>
      <c r="Q16" s="116" t="s">
        <v>775</v>
      </c>
      <c r="R16" s="116" t="s">
        <v>776</v>
      </c>
      <c r="S16" s="56" t="s">
        <v>114</v>
      </c>
      <c r="T16" s="56" t="s">
        <v>728</v>
      </c>
      <c r="U16" s="56" t="s">
        <v>739</v>
      </c>
      <c r="V16" s="36">
        <v>12</v>
      </c>
      <c r="W16" s="36">
        <v>0</v>
      </c>
      <c r="X16" s="117">
        <v>0</v>
      </c>
      <c r="Y16" s="38" t="str">
        <f>IFERROR((TABLA_AVANCE_INDICADORES[[#This Row],[AVANCE 1°. TRIM]]/TABLA_AVANCE_INDICADORES[[#This Row],[PROGR. 1° TRIM]])*100,"0")</f>
        <v>0</v>
      </c>
      <c r="Z16"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16" s="118">
        <v>0</v>
      </c>
      <c r="AB16" s="119">
        <v>0</v>
      </c>
      <c r="AC16" s="40" t="str">
        <f t="shared" si="0"/>
        <v>0</v>
      </c>
      <c r="AD16" s="39" t="str">
        <f t="shared" si="1"/>
        <v>NO PROG.</v>
      </c>
      <c r="AE16" s="118">
        <v>0</v>
      </c>
      <c r="AF16" s="119">
        <v>0</v>
      </c>
      <c r="AG16" s="40" t="str">
        <f>IFERROR((TABLA_AVANCE_INDICADORES[[#This Row],[AVANCE 3°. TRIM]]/TABLA_AVANCE_INDICADORES[[#This Row],[PROGR. 3° TRIM]])*100,"0")</f>
        <v>0</v>
      </c>
      <c r="AH16"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16" s="118">
        <v>12</v>
      </c>
      <c r="AJ16" s="119">
        <v>0</v>
      </c>
      <c r="AK16" s="40">
        <f>IFERROR((TABLA_AVANCE_INDICADORES[[#This Row],[AVANCE 4°. TRIM]]/TABLA_AVANCE_INDICADORES[[#This Row],[PROGR. 4° TRIM]])*100,"0")</f>
        <v>0</v>
      </c>
      <c r="AL16"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16"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0</v>
      </c>
      <c r="AN16"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O16" s="40" t="str">
        <f>IFERROR((TABLA_AVANCE_INDICADORES[[#This Row],[AVANCE ACUM. TRIM.]]/TABLA_AVANCE_INDICADORES[[#This Row],[PROG. ACUM]])*100,"N/A")</f>
        <v>N/A</v>
      </c>
      <c r="AP16"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NO PROG.</v>
      </c>
      <c r="AQ16" s="121">
        <f>TABLA_AVANCE_INDICADORES[[#This Row],[AVANCE ACUM. TRIM.]]-TABLA_AVANCE_INDICADORES[[#This Row],[PROG. ACUM]]</f>
        <v>0</v>
      </c>
      <c r="AR16" s="46" t="str">
        <f>IFERROR((TABLA_AVANCE_INDICADORES[[#This Row],[DIFERENCIA ABSOLUTA SEMESTRAL]]/TABLA_AVANCE_INDICADORES[[#This Row],[PROG. ACUM]])*100,"N/A")</f>
        <v>N/A</v>
      </c>
      <c r="AS16"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T16" s="40">
        <f>IFERROR((TABLA_AVANCE_INDICADORES[[#This Row],[AVANCE ACUM. ANUAL]]/TABLA_AVANCE_INDICADORES[[#This Row],[PROGRAMADO ANUAL]])*100,"N/A")</f>
        <v>0</v>
      </c>
      <c r="AU16"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16" s="121">
        <f>TABLA_AVANCE_INDICADORES[[#This Row],[AVANCE ACUM. ANUAL]]-TABLA_AVANCE_INDICADORES[[#This Row],[PROGRAMADO ANUAL]]</f>
        <v>-12</v>
      </c>
      <c r="AW16" s="46">
        <f>IFERROR((TABLA_AVANCE_INDICADORES[[#This Row],[DIFERENCIA ABSOLUTA ANUAL]]/TABLA_AVANCE_INDICADORES[[#This Row],[PROGRAMADO ANUAL]])*100,"N/A")</f>
        <v>-100</v>
      </c>
      <c r="AX16" s="123" t="s">
        <v>63</v>
      </c>
      <c r="AY16" s="49" t="s">
        <v>63</v>
      </c>
      <c r="AZ16" s="50"/>
      <c r="BA16" s="50"/>
      <c r="BB16"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7" spans="1:54" s="60" customFormat="1" ht="63" hidden="1" customHeight="1" x14ac:dyDescent="0.3">
      <c r="A17" s="31" t="s">
        <v>777</v>
      </c>
      <c r="B17" s="113" t="s">
        <v>105</v>
      </c>
      <c r="C17" s="32" t="s">
        <v>75</v>
      </c>
      <c r="D17" s="114" t="s">
        <v>76</v>
      </c>
      <c r="E17" s="32" t="s">
        <v>106</v>
      </c>
      <c r="F17" s="115" t="s">
        <v>107</v>
      </c>
      <c r="G17" s="94" t="s">
        <v>108</v>
      </c>
      <c r="H17" s="94" t="s">
        <v>773</v>
      </c>
      <c r="I17" s="34" t="s">
        <v>723</v>
      </c>
      <c r="J17" s="34" t="s">
        <v>109</v>
      </c>
      <c r="K17" s="94" t="s">
        <v>110</v>
      </c>
      <c r="L17" s="34" t="s">
        <v>111</v>
      </c>
      <c r="M17" s="94" t="s">
        <v>112</v>
      </c>
      <c r="N17" s="33">
        <v>2</v>
      </c>
      <c r="O17" s="33" t="s">
        <v>724</v>
      </c>
      <c r="P17" s="116" t="s">
        <v>774</v>
      </c>
      <c r="Q17" s="116" t="s">
        <v>778</v>
      </c>
      <c r="R17" s="116" t="s">
        <v>776</v>
      </c>
      <c r="S17" s="56" t="s">
        <v>114</v>
      </c>
      <c r="T17" s="56" t="s">
        <v>728</v>
      </c>
      <c r="U17" s="56" t="s">
        <v>739</v>
      </c>
      <c r="V17" s="36">
        <v>12</v>
      </c>
      <c r="W17" s="36">
        <v>0</v>
      </c>
      <c r="X17" s="117">
        <v>0</v>
      </c>
      <c r="Y17" s="38" t="str">
        <f>IFERROR((TABLA_AVANCE_INDICADORES[[#This Row],[AVANCE 1°. TRIM]]/TABLA_AVANCE_INDICADORES[[#This Row],[PROGR. 1° TRIM]])*100,"0")</f>
        <v>0</v>
      </c>
      <c r="Z17"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17" s="118">
        <v>0</v>
      </c>
      <c r="AB17" s="119">
        <v>0</v>
      </c>
      <c r="AC17" s="40" t="str">
        <f t="shared" si="0"/>
        <v>0</v>
      </c>
      <c r="AD17" s="39" t="str">
        <f t="shared" si="1"/>
        <v>NO PROG.</v>
      </c>
      <c r="AE17" s="118">
        <v>0</v>
      </c>
      <c r="AF17" s="119">
        <v>0</v>
      </c>
      <c r="AG17" s="40" t="str">
        <f>IFERROR((TABLA_AVANCE_INDICADORES[[#This Row],[AVANCE 3°. TRIM]]/TABLA_AVANCE_INDICADORES[[#This Row],[PROGR. 3° TRIM]])*100,"0")</f>
        <v>0</v>
      </c>
      <c r="AH17"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17" s="118">
        <v>12</v>
      </c>
      <c r="AJ17" s="126">
        <v>12</v>
      </c>
      <c r="AK17" s="40">
        <f>IFERROR((TABLA_AVANCE_INDICADORES[[#This Row],[AVANCE 4°. TRIM]]/TABLA_AVANCE_INDICADORES[[#This Row],[PROGR. 4° TRIM]])*100,"0")</f>
        <v>100</v>
      </c>
      <c r="AL17"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ADECUADO</v>
      </c>
      <c r="AM17"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0</v>
      </c>
      <c r="AN17"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O17" s="40" t="str">
        <f>IFERROR((TABLA_AVANCE_INDICADORES[[#This Row],[AVANCE ACUM. TRIM.]]/TABLA_AVANCE_INDICADORES[[#This Row],[PROG. ACUM]])*100,"N/A")</f>
        <v>N/A</v>
      </c>
      <c r="AP17"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NO PROG.</v>
      </c>
      <c r="AQ17" s="121">
        <f>TABLA_AVANCE_INDICADORES[[#This Row],[AVANCE ACUM. TRIM.]]-TABLA_AVANCE_INDICADORES[[#This Row],[PROG. ACUM]]</f>
        <v>0</v>
      </c>
      <c r="AR17" s="46" t="str">
        <f>IFERROR((TABLA_AVANCE_INDICADORES[[#This Row],[DIFERENCIA ABSOLUTA SEMESTRAL]]/TABLA_AVANCE_INDICADORES[[#This Row],[PROG. ACUM]])*100,"N/A")</f>
        <v>N/A</v>
      </c>
      <c r="AS17"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T17" s="40">
        <f>IFERROR((TABLA_AVANCE_INDICADORES[[#This Row],[AVANCE ACUM. ANUAL]]/TABLA_AVANCE_INDICADORES[[#This Row],[PROGRAMADO ANUAL]])*100,"N/A")</f>
        <v>0</v>
      </c>
      <c r="AU17"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17" s="121">
        <f>TABLA_AVANCE_INDICADORES[[#This Row],[AVANCE ACUM. ANUAL]]-TABLA_AVANCE_INDICADORES[[#This Row],[PROGRAMADO ANUAL]]</f>
        <v>-12</v>
      </c>
      <c r="AW17" s="46">
        <f>IFERROR((TABLA_AVANCE_INDICADORES[[#This Row],[DIFERENCIA ABSOLUTA ANUAL]]/TABLA_AVANCE_INDICADORES[[#This Row],[PROGRAMADO ANUAL]])*100,"N/A")</f>
        <v>-100</v>
      </c>
      <c r="AX17" s="123" t="s">
        <v>63</v>
      </c>
      <c r="AY17" s="49" t="s">
        <v>63</v>
      </c>
      <c r="AZ17" s="50"/>
      <c r="BA17" s="50"/>
      <c r="BB17"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8" spans="1:54" s="60" customFormat="1" ht="63" hidden="1" customHeight="1" x14ac:dyDescent="0.3">
      <c r="A18" s="31" t="s">
        <v>779</v>
      </c>
      <c r="B18" s="113" t="s">
        <v>105</v>
      </c>
      <c r="C18" s="32" t="s">
        <v>75</v>
      </c>
      <c r="D18" s="114" t="s">
        <v>76</v>
      </c>
      <c r="E18" s="32" t="s">
        <v>106</v>
      </c>
      <c r="F18" s="115" t="s">
        <v>107</v>
      </c>
      <c r="G18" s="94" t="s">
        <v>108</v>
      </c>
      <c r="H18" s="94" t="s">
        <v>773</v>
      </c>
      <c r="I18" s="34" t="s">
        <v>723</v>
      </c>
      <c r="J18" s="34" t="s">
        <v>109</v>
      </c>
      <c r="K18" s="94" t="s">
        <v>110</v>
      </c>
      <c r="L18" s="34" t="s">
        <v>111</v>
      </c>
      <c r="M18" s="94" t="s">
        <v>112</v>
      </c>
      <c r="N18" s="33">
        <v>1</v>
      </c>
      <c r="O18" s="33" t="s">
        <v>734</v>
      </c>
      <c r="P18" s="116" t="s">
        <v>780</v>
      </c>
      <c r="Q18" s="116" t="s">
        <v>781</v>
      </c>
      <c r="R18" s="116" t="s">
        <v>782</v>
      </c>
      <c r="S18" s="56" t="s">
        <v>116</v>
      </c>
      <c r="T18" s="56" t="s">
        <v>728</v>
      </c>
      <c r="U18" s="56" t="s">
        <v>739</v>
      </c>
      <c r="V18" s="36">
        <v>1</v>
      </c>
      <c r="W18" s="36">
        <v>0</v>
      </c>
      <c r="X18" s="117">
        <v>0</v>
      </c>
      <c r="Y18" s="38" t="str">
        <f>IFERROR((TABLA_AVANCE_INDICADORES[[#This Row],[AVANCE 1°. TRIM]]/TABLA_AVANCE_INDICADORES[[#This Row],[PROGR. 1° TRIM]])*100,"0")</f>
        <v>0</v>
      </c>
      <c r="Z18"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18" s="118">
        <v>0</v>
      </c>
      <c r="AB18" s="119">
        <v>0</v>
      </c>
      <c r="AC18" s="40" t="str">
        <f t="shared" si="0"/>
        <v>0</v>
      </c>
      <c r="AD18" s="39" t="str">
        <f t="shared" si="1"/>
        <v>NO PROG.</v>
      </c>
      <c r="AE18" s="118">
        <v>0</v>
      </c>
      <c r="AF18" s="119">
        <v>0</v>
      </c>
      <c r="AG18" s="40" t="str">
        <f>IFERROR((TABLA_AVANCE_INDICADORES[[#This Row],[AVANCE 3°. TRIM]]/TABLA_AVANCE_INDICADORES[[#This Row],[PROGR. 3° TRIM]])*100,"0")</f>
        <v>0</v>
      </c>
      <c r="AH18"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18" s="118">
        <v>1</v>
      </c>
      <c r="AJ18" s="119">
        <v>0</v>
      </c>
      <c r="AK18" s="40">
        <f>IFERROR((TABLA_AVANCE_INDICADORES[[#This Row],[AVANCE 4°. TRIM]]/TABLA_AVANCE_INDICADORES[[#This Row],[PROGR. 4° TRIM]])*100,"0")</f>
        <v>0</v>
      </c>
      <c r="AL18"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18"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0</v>
      </c>
      <c r="AN18"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O18" s="40" t="str">
        <f>IFERROR((TABLA_AVANCE_INDICADORES[[#This Row],[AVANCE ACUM. TRIM.]]/TABLA_AVANCE_INDICADORES[[#This Row],[PROG. ACUM]])*100,"N/A")</f>
        <v>N/A</v>
      </c>
      <c r="AP18"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NO PROG.</v>
      </c>
      <c r="AQ18" s="121">
        <f>TABLA_AVANCE_INDICADORES[[#This Row],[AVANCE ACUM. TRIM.]]-TABLA_AVANCE_INDICADORES[[#This Row],[PROG. ACUM]]</f>
        <v>0</v>
      </c>
      <c r="AR18" s="46" t="str">
        <f>IFERROR((TABLA_AVANCE_INDICADORES[[#This Row],[DIFERENCIA ABSOLUTA SEMESTRAL]]/TABLA_AVANCE_INDICADORES[[#This Row],[PROG. ACUM]])*100,"N/A")</f>
        <v>N/A</v>
      </c>
      <c r="AS18"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T18" s="40">
        <f>IFERROR((TABLA_AVANCE_INDICADORES[[#This Row],[AVANCE ACUM. ANUAL]]/TABLA_AVANCE_INDICADORES[[#This Row],[PROGRAMADO ANUAL]])*100,"N/A")</f>
        <v>0</v>
      </c>
      <c r="AU18"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18" s="121">
        <f>TABLA_AVANCE_INDICADORES[[#This Row],[AVANCE ACUM. ANUAL]]-TABLA_AVANCE_INDICADORES[[#This Row],[PROGRAMADO ANUAL]]</f>
        <v>-1</v>
      </c>
      <c r="AW18" s="46">
        <f>IFERROR((TABLA_AVANCE_INDICADORES[[#This Row],[DIFERENCIA ABSOLUTA ANUAL]]/TABLA_AVANCE_INDICADORES[[#This Row],[PROGRAMADO ANUAL]])*100,"N/A")</f>
        <v>-100</v>
      </c>
      <c r="AX18" s="123" t="s">
        <v>63</v>
      </c>
      <c r="AY18" s="49" t="s">
        <v>63</v>
      </c>
      <c r="AZ18" s="50"/>
      <c r="BA18" s="50"/>
      <c r="BB18"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9" spans="1:54" s="60" customFormat="1" ht="63" hidden="1" customHeight="1" x14ac:dyDescent="0.3">
      <c r="A19" s="31" t="s">
        <v>783</v>
      </c>
      <c r="B19" s="113" t="s">
        <v>105</v>
      </c>
      <c r="C19" s="32" t="s">
        <v>75</v>
      </c>
      <c r="D19" s="114" t="s">
        <v>76</v>
      </c>
      <c r="E19" s="32" t="s">
        <v>106</v>
      </c>
      <c r="F19" s="115" t="s">
        <v>107</v>
      </c>
      <c r="G19" s="94" t="s">
        <v>108</v>
      </c>
      <c r="H19" s="94" t="s">
        <v>773</v>
      </c>
      <c r="I19" s="34" t="s">
        <v>723</v>
      </c>
      <c r="J19" s="34" t="s">
        <v>109</v>
      </c>
      <c r="K19" s="94" t="s">
        <v>110</v>
      </c>
      <c r="L19" s="34" t="s">
        <v>111</v>
      </c>
      <c r="M19" s="94" t="s">
        <v>112</v>
      </c>
      <c r="N19" s="33">
        <v>2</v>
      </c>
      <c r="O19" s="33" t="s">
        <v>734</v>
      </c>
      <c r="P19" s="116" t="s">
        <v>780</v>
      </c>
      <c r="Q19" s="116" t="s">
        <v>784</v>
      </c>
      <c r="R19" s="116" t="s">
        <v>782</v>
      </c>
      <c r="S19" s="56" t="s">
        <v>116</v>
      </c>
      <c r="T19" s="56" t="s">
        <v>728</v>
      </c>
      <c r="U19" s="56" t="s">
        <v>739</v>
      </c>
      <c r="V19" s="36">
        <v>2</v>
      </c>
      <c r="W19" s="36">
        <v>0</v>
      </c>
      <c r="X19" s="117">
        <v>0</v>
      </c>
      <c r="Y19" s="38" t="str">
        <f>IFERROR((TABLA_AVANCE_INDICADORES[[#This Row],[AVANCE 1°. TRIM]]/TABLA_AVANCE_INDICADORES[[#This Row],[PROGR. 1° TRIM]])*100,"0")</f>
        <v>0</v>
      </c>
      <c r="Z19"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19" s="118">
        <v>0</v>
      </c>
      <c r="AB19" s="119">
        <v>0</v>
      </c>
      <c r="AC19" s="40" t="str">
        <f t="shared" si="0"/>
        <v>0</v>
      </c>
      <c r="AD19" s="39" t="str">
        <f t="shared" si="1"/>
        <v>NO PROG.</v>
      </c>
      <c r="AE19" s="118">
        <v>0</v>
      </c>
      <c r="AF19" s="119">
        <v>0</v>
      </c>
      <c r="AG19" s="40" t="str">
        <f>IFERROR((TABLA_AVANCE_INDICADORES[[#This Row],[AVANCE 3°. TRIM]]/TABLA_AVANCE_INDICADORES[[#This Row],[PROGR. 3° TRIM]])*100,"0")</f>
        <v>0</v>
      </c>
      <c r="AH19"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19" s="118">
        <v>2</v>
      </c>
      <c r="AJ19" s="126">
        <v>2</v>
      </c>
      <c r="AK19" s="40">
        <f>IFERROR((TABLA_AVANCE_INDICADORES[[#This Row],[AVANCE 4°. TRIM]]/TABLA_AVANCE_INDICADORES[[#This Row],[PROGR. 4° TRIM]])*100,"0")</f>
        <v>100</v>
      </c>
      <c r="AL19"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ADECUADO</v>
      </c>
      <c r="AM19"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0</v>
      </c>
      <c r="AN19"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O19" s="40" t="str">
        <f>IFERROR((TABLA_AVANCE_INDICADORES[[#This Row],[AVANCE ACUM. TRIM.]]/TABLA_AVANCE_INDICADORES[[#This Row],[PROG. ACUM]])*100,"N/A")</f>
        <v>N/A</v>
      </c>
      <c r="AP19"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NO PROG.</v>
      </c>
      <c r="AQ19" s="121">
        <f>TABLA_AVANCE_INDICADORES[[#This Row],[AVANCE ACUM. TRIM.]]-TABLA_AVANCE_INDICADORES[[#This Row],[PROG. ACUM]]</f>
        <v>0</v>
      </c>
      <c r="AR19" s="46" t="str">
        <f>IFERROR((TABLA_AVANCE_INDICADORES[[#This Row],[DIFERENCIA ABSOLUTA SEMESTRAL]]/TABLA_AVANCE_INDICADORES[[#This Row],[PROG. ACUM]])*100,"N/A")</f>
        <v>N/A</v>
      </c>
      <c r="AS19"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T19" s="40">
        <f>IFERROR((TABLA_AVANCE_INDICADORES[[#This Row],[AVANCE ACUM. ANUAL]]/TABLA_AVANCE_INDICADORES[[#This Row],[PROGRAMADO ANUAL]])*100,"N/A")</f>
        <v>0</v>
      </c>
      <c r="AU19"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19" s="121">
        <f>TABLA_AVANCE_INDICADORES[[#This Row],[AVANCE ACUM. ANUAL]]-TABLA_AVANCE_INDICADORES[[#This Row],[PROGRAMADO ANUAL]]</f>
        <v>-2</v>
      </c>
      <c r="AW19" s="46">
        <f>IFERROR((TABLA_AVANCE_INDICADORES[[#This Row],[DIFERENCIA ABSOLUTA ANUAL]]/TABLA_AVANCE_INDICADORES[[#This Row],[PROGRAMADO ANUAL]])*100,"N/A")</f>
        <v>-100</v>
      </c>
      <c r="AX19" s="123" t="s">
        <v>63</v>
      </c>
      <c r="AY19" s="49" t="s">
        <v>63</v>
      </c>
      <c r="AZ19" s="50"/>
      <c r="BA19" s="50"/>
      <c r="BB19"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20" spans="1:54" s="60" customFormat="1" ht="63" hidden="1" customHeight="1" x14ac:dyDescent="0.3">
      <c r="A20" s="31" t="s">
        <v>785</v>
      </c>
      <c r="B20" s="113" t="s">
        <v>105</v>
      </c>
      <c r="C20" s="32" t="s">
        <v>75</v>
      </c>
      <c r="D20" s="114" t="s">
        <v>76</v>
      </c>
      <c r="E20" s="32" t="s">
        <v>106</v>
      </c>
      <c r="F20" s="115" t="s">
        <v>107</v>
      </c>
      <c r="G20" s="94" t="s">
        <v>108</v>
      </c>
      <c r="H20" s="94" t="s">
        <v>773</v>
      </c>
      <c r="I20" s="34" t="s">
        <v>723</v>
      </c>
      <c r="J20" s="34" t="s">
        <v>109</v>
      </c>
      <c r="K20" s="94" t="s">
        <v>110</v>
      </c>
      <c r="L20" s="34" t="s">
        <v>111</v>
      </c>
      <c r="M20" s="94" t="s">
        <v>112</v>
      </c>
      <c r="N20" s="33">
        <v>1</v>
      </c>
      <c r="O20" s="33" t="s">
        <v>786</v>
      </c>
      <c r="P20" s="125" t="s">
        <v>787</v>
      </c>
      <c r="Q20" s="125" t="s">
        <v>788</v>
      </c>
      <c r="R20" s="125" t="s">
        <v>789</v>
      </c>
      <c r="S20" s="56" t="s">
        <v>85</v>
      </c>
      <c r="T20" s="56" t="s">
        <v>728</v>
      </c>
      <c r="U20" s="56" t="s">
        <v>747</v>
      </c>
      <c r="V20" s="36">
        <v>2</v>
      </c>
      <c r="W20" s="36">
        <v>0</v>
      </c>
      <c r="X20" s="117">
        <v>0</v>
      </c>
      <c r="Y20" s="38" t="str">
        <f>IFERROR((TABLA_AVANCE_INDICADORES[[#This Row],[AVANCE 1°. TRIM]]/TABLA_AVANCE_INDICADORES[[#This Row],[PROGR. 1° TRIM]])*100,"0")</f>
        <v>0</v>
      </c>
      <c r="Z20"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20" s="118">
        <v>1</v>
      </c>
      <c r="AB20" s="119">
        <v>1</v>
      </c>
      <c r="AC20" s="40">
        <f t="shared" si="0"/>
        <v>100</v>
      </c>
      <c r="AD20" s="39" t="str">
        <f t="shared" si="1"/>
        <v>ADECUADO</v>
      </c>
      <c r="AE20" s="118">
        <v>0</v>
      </c>
      <c r="AF20" s="119">
        <v>0</v>
      </c>
      <c r="AG20" s="40" t="str">
        <f>IFERROR((TABLA_AVANCE_INDICADORES[[#This Row],[AVANCE 3°. TRIM]]/TABLA_AVANCE_INDICADORES[[#This Row],[PROGR. 3° TRIM]])*100,"0")</f>
        <v>0</v>
      </c>
      <c r="AH20"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20" s="118">
        <v>1</v>
      </c>
      <c r="AJ20" s="119">
        <v>0</v>
      </c>
      <c r="AK20" s="40">
        <f>IFERROR((TABLA_AVANCE_INDICADORES[[#This Row],[AVANCE 4°. TRIM]]/TABLA_AVANCE_INDICADORES[[#This Row],[PROGR. 4° TRIM]])*100,"0")</f>
        <v>0</v>
      </c>
      <c r="AL20"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20"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1</v>
      </c>
      <c r="AN20"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v>
      </c>
      <c r="AO20" s="40">
        <f>IFERROR((TABLA_AVANCE_INDICADORES[[#This Row],[AVANCE ACUM. TRIM.]]/TABLA_AVANCE_INDICADORES[[#This Row],[PROG. ACUM]])*100,"N/A")</f>
        <v>100</v>
      </c>
      <c r="AP20"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20" s="121">
        <f>TABLA_AVANCE_INDICADORES[[#This Row],[AVANCE ACUM. TRIM.]]-TABLA_AVANCE_INDICADORES[[#This Row],[PROG. ACUM]]</f>
        <v>0</v>
      </c>
      <c r="AR20" s="46">
        <f>IFERROR((TABLA_AVANCE_INDICADORES[[#This Row],[DIFERENCIA ABSOLUTA SEMESTRAL]]/TABLA_AVANCE_INDICADORES[[#This Row],[PROG. ACUM]])*100,"N/A")</f>
        <v>0</v>
      </c>
      <c r="AS20"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v>
      </c>
      <c r="AT20" s="40">
        <f>IFERROR((TABLA_AVANCE_INDICADORES[[#This Row],[AVANCE ACUM. ANUAL]]/TABLA_AVANCE_INDICADORES[[#This Row],[PROGRAMADO ANUAL]])*100,"N/A")</f>
        <v>50</v>
      </c>
      <c r="AU20"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20" s="121">
        <f>TABLA_AVANCE_INDICADORES[[#This Row],[AVANCE ACUM. ANUAL]]-TABLA_AVANCE_INDICADORES[[#This Row],[PROGRAMADO ANUAL]]</f>
        <v>-1</v>
      </c>
      <c r="AW20" s="46">
        <f>IFERROR((TABLA_AVANCE_INDICADORES[[#This Row],[DIFERENCIA ABSOLUTA ANUAL]]/TABLA_AVANCE_INDICADORES[[#This Row],[PROGRAMADO ANUAL]])*100,"N/A")</f>
        <v>-50</v>
      </c>
      <c r="AX20" s="123" t="s">
        <v>63</v>
      </c>
      <c r="AY20" s="49" t="s">
        <v>63</v>
      </c>
      <c r="AZ20" s="50"/>
      <c r="BA20" s="50"/>
      <c r="BB20"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21" spans="1:54" s="60" customFormat="1" ht="63" hidden="1" customHeight="1" x14ac:dyDescent="0.3">
      <c r="A21" s="31" t="s">
        <v>790</v>
      </c>
      <c r="B21" s="113" t="s">
        <v>105</v>
      </c>
      <c r="C21" s="32" t="s">
        <v>75</v>
      </c>
      <c r="D21" s="114" t="s">
        <v>76</v>
      </c>
      <c r="E21" s="32" t="s">
        <v>106</v>
      </c>
      <c r="F21" s="115" t="s">
        <v>107</v>
      </c>
      <c r="G21" s="94" t="s">
        <v>108</v>
      </c>
      <c r="H21" s="94" t="s">
        <v>773</v>
      </c>
      <c r="I21" s="34" t="s">
        <v>723</v>
      </c>
      <c r="J21" s="34" t="s">
        <v>109</v>
      </c>
      <c r="K21" s="94" t="s">
        <v>110</v>
      </c>
      <c r="L21" s="34" t="s">
        <v>111</v>
      </c>
      <c r="M21" s="94" t="s">
        <v>112</v>
      </c>
      <c r="N21" s="33">
        <v>2</v>
      </c>
      <c r="O21" s="33" t="s">
        <v>786</v>
      </c>
      <c r="P21" s="125" t="s">
        <v>787</v>
      </c>
      <c r="Q21" s="125" t="s">
        <v>791</v>
      </c>
      <c r="R21" s="125" t="s">
        <v>789</v>
      </c>
      <c r="S21" s="56" t="s">
        <v>85</v>
      </c>
      <c r="T21" s="56" t="s">
        <v>728</v>
      </c>
      <c r="U21" s="56" t="s">
        <v>747</v>
      </c>
      <c r="V21" s="36">
        <v>2</v>
      </c>
      <c r="W21" s="36">
        <v>0</v>
      </c>
      <c r="X21" s="117">
        <v>0</v>
      </c>
      <c r="Y21" s="38" t="str">
        <f>IFERROR((TABLA_AVANCE_INDICADORES[[#This Row],[AVANCE 1°. TRIM]]/TABLA_AVANCE_INDICADORES[[#This Row],[PROGR. 1° TRIM]])*100,"0")</f>
        <v>0</v>
      </c>
      <c r="Z21"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21" s="118">
        <v>1</v>
      </c>
      <c r="AB21" s="119">
        <v>1</v>
      </c>
      <c r="AC21" s="40">
        <f t="shared" si="0"/>
        <v>100</v>
      </c>
      <c r="AD21" s="39" t="str">
        <f t="shared" si="1"/>
        <v>ADECUADO</v>
      </c>
      <c r="AE21" s="118">
        <v>0</v>
      </c>
      <c r="AF21" s="119">
        <v>0</v>
      </c>
      <c r="AG21" s="40" t="str">
        <f>IFERROR((TABLA_AVANCE_INDICADORES[[#This Row],[AVANCE 3°. TRIM]]/TABLA_AVANCE_INDICADORES[[#This Row],[PROGR. 3° TRIM]])*100,"0")</f>
        <v>0</v>
      </c>
      <c r="AH21"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21" s="118">
        <v>1</v>
      </c>
      <c r="AJ21" s="119">
        <v>0</v>
      </c>
      <c r="AK21" s="40">
        <f>IFERROR((TABLA_AVANCE_INDICADORES[[#This Row],[AVANCE 4°. TRIM]]/TABLA_AVANCE_INDICADORES[[#This Row],[PROGR. 4° TRIM]])*100,"0")</f>
        <v>0</v>
      </c>
      <c r="AL21"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21"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1</v>
      </c>
      <c r="AN21"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v>
      </c>
      <c r="AO21" s="40">
        <f>IFERROR((TABLA_AVANCE_INDICADORES[[#This Row],[AVANCE ACUM. TRIM.]]/TABLA_AVANCE_INDICADORES[[#This Row],[PROG. ACUM]])*100,"N/A")</f>
        <v>100</v>
      </c>
      <c r="AP21"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21" s="121">
        <f>TABLA_AVANCE_INDICADORES[[#This Row],[AVANCE ACUM. TRIM.]]-TABLA_AVANCE_INDICADORES[[#This Row],[PROG. ACUM]]</f>
        <v>0</v>
      </c>
      <c r="AR21" s="46">
        <f>IFERROR((TABLA_AVANCE_INDICADORES[[#This Row],[DIFERENCIA ABSOLUTA SEMESTRAL]]/TABLA_AVANCE_INDICADORES[[#This Row],[PROG. ACUM]])*100,"N/A")</f>
        <v>0</v>
      </c>
      <c r="AS21"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v>
      </c>
      <c r="AT21" s="40">
        <f>IFERROR((TABLA_AVANCE_INDICADORES[[#This Row],[AVANCE ACUM. ANUAL]]/TABLA_AVANCE_INDICADORES[[#This Row],[PROGRAMADO ANUAL]])*100,"N/A")</f>
        <v>50</v>
      </c>
      <c r="AU21"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21" s="121">
        <f>TABLA_AVANCE_INDICADORES[[#This Row],[AVANCE ACUM. ANUAL]]-TABLA_AVANCE_INDICADORES[[#This Row],[PROGRAMADO ANUAL]]</f>
        <v>-1</v>
      </c>
      <c r="AW21" s="46">
        <f>IFERROR((TABLA_AVANCE_INDICADORES[[#This Row],[DIFERENCIA ABSOLUTA ANUAL]]/TABLA_AVANCE_INDICADORES[[#This Row],[PROGRAMADO ANUAL]])*100,"N/A")</f>
        <v>-50</v>
      </c>
      <c r="AX21" s="123" t="s">
        <v>63</v>
      </c>
      <c r="AY21" s="49" t="s">
        <v>63</v>
      </c>
      <c r="AZ21" s="50"/>
      <c r="BA21" s="50"/>
      <c r="BB21"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22" spans="1:54" s="60" customFormat="1" ht="63" hidden="1" customHeight="1" x14ac:dyDescent="0.3">
      <c r="A22" s="31" t="s">
        <v>792</v>
      </c>
      <c r="B22" s="113" t="s">
        <v>105</v>
      </c>
      <c r="C22" s="32" t="s">
        <v>75</v>
      </c>
      <c r="D22" s="114" t="s">
        <v>76</v>
      </c>
      <c r="E22" s="32" t="s">
        <v>106</v>
      </c>
      <c r="F22" s="115" t="s">
        <v>107</v>
      </c>
      <c r="G22" s="94" t="s">
        <v>108</v>
      </c>
      <c r="H22" s="94" t="s">
        <v>773</v>
      </c>
      <c r="I22" s="34" t="s">
        <v>723</v>
      </c>
      <c r="J22" s="34" t="s">
        <v>109</v>
      </c>
      <c r="K22" s="94" t="s">
        <v>110</v>
      </c>
      <c r="L22" s="34" t="s">
        <v>111</v>
      </c>
      <c r="M22" s="94" t="s">
        <v>112</v>
      </c>
      <c r="N22" s="33">
        <v>1</v>
      </c>
      <c r="O22" s="33" t="s">
        <v>759</v>
      </c>
      <c r="P22" s="125" t="s">
        <v>793</v>
      </c>
      <c r="Q22" s="125" t="s">
        <v>794</v>
      </c>
      <c r="R22" s="125" t="s">
        <v>795</v>
      </c>
      <c r="S22" s="56" t="s">
        <v>120</v>
      </c>
      <c r="T22" s="56" t="s">
        <v>728</v>
      </c>
      <c r="U22" s="56" t="s">
        <v>755</v>
      </c>
      <c r="V22" s="36">
        <v>40</v>
      </c>
      <c r="W22" s="36">
        <v>10</v>
      </c>
      <c r="X22" s="117">
        <v>10</v>
      </c>
      <c r="Y22" s="38">
        <f>IFERROR((TABLA_AVANCE_INDICADORES[[#This Row],[AVANCE 1°. TRIM]]/TABLA_AVANCE_INDICADORES[[#This Row],[PROGR. 1° TRIM]])*100,"0")</f>
        <v>100</v>
      </c>
      <c r="Z22"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22" s="118">
        <v>10</v>
      </c>
      <c r="AB22" s="119">
        <v>10</v>
      </c>
      <c r="AC22" s="40">
        <f t="shared" si="0"/>
        <v>100</v>
      </c>
      <c r="AD22" s="39" t="str">
        <f t="shared" si="1"/>
        <v>ADECUADO</v>
      </c>
      <c r="AE22" s="118">
        <v>10</v>
      </c>
      <c r="AF22" s="119">
        <v>0</v>
      </c>
      <c r="AG22" s="40">
        <f>IFERROR((TABLA_AVANCE_INDICADORES[[#This Row],[AVANCE 3°. TRIM]]/TABLA_AVANCE_INDICADORES[[#This Row],[PROGR. 3° TRIM]])*100,"0")</f>
        <v>0</v>
      </c>
      <c r="AH22"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CRÍTICO</v>
      </c>
      <c r="AI22" s="118">
        <v>10</v>
      </c>
      <c r="AJ22" s="119">
        <v>0</v>
      </c>
      <c r="AK22" s="40">
        <f>IFERROR((TABLA_AVANCE_INDICADORES[[#This Row],[AVANCE 4°. TRIM]]/TABLA_AVANCE_INDICADORES[[#This Row],[PROGR. 4° TRIM]])*100,"0")</f>
        <v>0</v>
      </c>
      <c r="AL22"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22"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20</v>
      </c>
      <c r="AN22"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20</v>
      </c>
      <c r="AO22" s="40">
        <f>IFERROR((TABLA_AVANCE_INDICADORES[[#This Row],[AVANCE ACUM. TRIM.]]/TABLA_AVANCE_INDICADORES[[#This Row],[PROG. ACUM]])*100,"N/A")</f>
        <v>100</v>
      </c>
      <c r="AP22"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22" s="121">
        <f>TABLA_AVANCE_INDICADORES[[#This Row],[AVANCE ACUM. TRIM.]]-TABLA_AVANCE_INDICADORES[[#This Row],[PROG. ACUM]]</f>
        <v>0</v>
      </c>
      <c r="AR22" s="46">
        <f>IFERROR((TABLA_AVANCE_INDICADORES[[#This Row],[DIFERENCIA ABSOLUTA SEMESTRAL]]/TABLA_AVANCE_INDICADORES[[#This Row],[PROG. ACUM]])*100,"N/A")</f>
        <v>0</v>
      </c>
      <c r="AS22"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20</v>
      </c>
      <c r="AT22" s="40">
        <f>IFERROR((TABLA_AVANCE_INDICADORES[[#This Row],[AVANCE ACUM. ANUAL]]/TABLA_AVANCE_INDICADORES[[#This Row],[PROGRAMADO ANUAL]])*100,"N/A")</f>
        <v>50</v>
      </c>
      <c r="AU22"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22" s="121">
        <f>TABLA_AVANCE_INDICADORES[[#This Row],[AVANCE ACUM. ANUAL]]-TABLA_AVANCE_INDICADORES[[#This Row],[PROGRAMADO ANUAL]]</f>
        <v>-20</v>
      </c>
      <c r="AW22" s="46">
        <f>IFERROR((TABLA_AVANCE_INDICADORES[[#This Row],[DIFERENCIA ABSOLUTA ANUAL]]/TABLA_AVANCE_INDICADORES[[#This Row],[PROGRAMADO ANUAL]])*100,"N/A")</f>
        <v>-50</v>
      </c>
      <c r="AX22" s="123" t="s">
        <v>63</v>
      </c>
      <c r="AY22" s="49" t="s">
        <v>63</v>
      </c>
      <c r="AZ22" s="50"/>
      <c r="BA22" s="50"/>
      <c r="BB22"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23" spans="1:54" s="60" customFormat="1" ht="63" hidden="1" customHeight="1" x14ac:dyDescent="0.3">
      <c r="A23" s="31" t="s">
        <v>796</v>
      </c>
      <c r="B23" s="113" t="s">
        <v>105</v>
      </c>
      <c r="C23" s="32" t="s">
        <v>75</v>
      </c>
      <c r="D23" s="114" t="s">
        <v>76</v>
      </c>
      <c r="E23" s="32" t="s">
        <v>106</v>
      </c>
      <c r="F23" s="115" t="s">
        <v>107</v>
      </c>
      <c r="G23" s="94" t="s">
        <v>108</v>
      </c>
      <c r="H23" s="94" t="s">
        <v>773</v>
      </c>
      <c r="I23" s="34" t="s">
        <v>723</v>
      </c>
      <c r="J23" s="34" t="s">
        <v>109</v>
      </c>
      <c r="K23" s="94" t="s">
        <v>110</v>
      </c>
      <c r="L23" s="34" t="s">
        <v>111</v>
      </c>
      <c r="M23" s="94" t="s">
        <v>112</v>
      </c>
      <c r="N23" s="33">
        <v>2</v>
      </c>
      <c r="O23" s="33" t="s">
        <v>759</v>
      </c>
      <c r="P23" s="116" t="s">
        <v>793</v>
      </c>
      <c r="Q23" s="116" t="s">
        <v>797</v>
      </c>
      <c r="R23" s="116" t="s">
        <v>795</v>
      </c>
      <c r="S23" s="56" t="s">
        <v>120</v>
      </c>
      <c r="T23" s="56" t="s">
        <v>728</v>
      </c>
      <c r="U23" s="56" t="s">
        <v>755</v>
      </c>
      <c r="V23" s="36">
        <v>40</v>
      </c>
      <c r="W23" s="36">
        <v>10</v>
      </c>
      <c r="X23" s="127">
        <v>10</v>
      </c>
      <c r="Y23" s="38">
        <f>IFERROR((TABLA_AVANCE_INDICADORES[[#This Row],[AVANCE 1°. TRIM]]/TABLA_AVANCE_INDICADORES[[#This Row],[PROGR. 1° TRIM]])*100,"0")</f>
        <v>100</v>
      </c>
      <c r="Z23"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23" s="118">
        <v>10</v>
      </c>
      <c r="AB23" s="128">
        <v>10</v>
      </c>
      <c r="AC23" s="40">
        <f t="shared" si="0"/>
        <v>100</v>
      </c>
      <c r="AD23" s="39" t="str">
        <f t="shared" si="1"/>
        <v>ADECUADO</v>
      </c>
      <c r="AE23" s="118">
        <v>10</v>
      </c>
      <c r="AF23" s="128">
        <f>AE23</f>
        <v>10</v>
      </c>
      <c r="AG23" s="40">
        <f>IFERROR((TABLA_AVANCE_INDICADORES[[#This Row],[AVANCE 3°. TRIM]]/TABLA_AVANCE_INDICADORES[[#This Row],[PROGR. 3° TRIM]])*100,"0")</f>
        <v>100</v>
      </c>
      <c r="AH23"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ADECUADO</v>
      </c>
      <c r="AI23" s="118">
        <v>10</v>
      </c>
      <c r="AJ23" s="128">
        <f>AI23</f>
        <v>10</v>
      </c>
      <c r="AK23" s="40">
        <f>IFERROR((TABLA_AVANCE_INDICADORES[[#This Row],[AVANCE 4°. TRIM]]/TABLA_AVANCE_INDICADORES[[#This Row],[PROGR. 4° TRIM]])*100,"0")</f>
        <v>100</v>
      </c>
      <c r="AL23"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ADECUADO</v>
      </c>
      <c r="AM23"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20</v>
      </c>
      <c r="AN23"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20</v>
      </c>
      <c r="AO23" s="40">
        <f>IFERROR((TABLA_AVANCE_INDICADORES[[#This Row],[AVANCE ACUM. TRIM.]]/TABLA_AVANCE_INDICADORES[[#This Row],[PROG. ACUM]])*100,"N/A")</f>
        <v>100</v>
      </c>
      <c r="AP23"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23" s="121">
        <f>TABLA_AVANCE_INDICADORES[[#This Row],[AVANCE ACUM. TRIM.]]-TABLA_AVANCE_INDICADORES[[#This Row],[PROG. ACUM]]</f>
        <v>0</v>
      </c>
      <c r="AR23" s="46">
        <f>IFERROR((TABLA_AVANCE_INDICADORES[[#This Row],[DIFERENCIA ABSOLUTA SEMESTRAL]]/TABLA_AVANCE_INDICADORES[[#This Row],[PROG. ACUM]])*100,"N/A")</f>
        <v>0</v>
      </c>
      <c r="AS23"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20</v>
      </c>
      <c r="AT23" s="40">
        <f>IFERROR((TABLA_AVANCE_INDICADORES[[#This Row],[AVANCE ACUM. ANUAL]]/TABLA_AVANCE_INDICADORES[[#This Row],[PROGRAMADO ANUAL]])*100,"N/A")</f>
        <v>50</v>
      </c>
      <c r="AU23"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23" s="121">
        <f>TABLA_AVANCE_INDICADORES[[#This Row],[AVANCE ACUM. ANUAL]]-TABLA_AVANCE_INDICADORES[[#This Row],[PROGRAMADO ANUAL]]</f>
        <v>-20</v>
      </c>
      <c r="AW23" s="46">
        <f>IFERROR((TABLA_AVANCE_INDICADORES[[#This Row],[DIFERENCIA ABSOLUTA ANUAL]]/TABLA_AVANCE_INDICADORES[[#This Row],[PROGRAMADO ANUAL]])*100,"N/A")</f>
        <v>-50</v>
      </c>
      <c r="AX23" s="123" t="s">
        <v>63</v>
      </c>
      <c r="AY23" s="49" t="s">
        <v>63</v>
      </c>
      <c r="AZ23" s="50"/>
      <c r="BA23" s="50"/>
      <c r="BB23"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24" spans="1:54" s="60" customFormat="1" ht="63" hidden="1" customHeight="1" x14ac:dyDescent="0.3">
      <c r="A24" s="31" t="s">
        <v>798</v>
      </c>
      <c r="B24" s="113" t="s">
        <v>105</v>
      </c>
      <c r="C24" s="32" t="s">
        <v>75</v>
      </c>
      <c r="D24" s="114" t="s">
        <v>76</v>
      </c>
      <c r="E24" s="32" t="s">
        <v>106</v>
      </c>
      <c r="F24" s="115" t="s">
        <v>107</v>
      </c>
      <c r="G24" s="94" t="s">
        <v>108</v>
      </c>
      <c r="H24" s="94" t="s">
        <v>773</v>
      </c>
      <c r="I24" s="34" t="s">
        <v>723</v>
      </c>
      <c r="J24" s="34" t="s">
        <v>109</v>
      </c>
      <c r="K24" s="94" t="s">
        <v>110</v>
      </c>
      <c r="L24" s="34" t="s">
        <v>111</v>
      </c>
      <c r="M24" s="94" t="s">
        <v>112</v>
      </c>
      <c r="N24" s="33">
        <v>1</v>
      </c>
      <c r="O24" s="33" t="s">
        <v>799</v>
      </c>
      <c r="P24" s="116" t="s">
        <v>800</v>
      </c>
      <c r="Q24" s="116" t="s">
        <v>801</v>
      </c>
      <c r="R24" s="116" t="s">
        <v>802</v>
      </c>
      <c r="S24" s="56" t="s">
        <v>122</v>
      </c>
      <c r="T24" s="56" t="s">
        <v>728</v>
      </c>
      <c r="U24" s="56" t="s">
        <v>755</v>
      </c>
      <c r="V24" s="36">
        <v>80</v>
      </c>
      <c r="W24" s="36">
        <v>20</v>
      </c>
      <c r="X24" s="117">
        <v>20</v>
      </c>
      <c r="Y24" s="38">
        <f>IFERROR((TABLA_AVANCE_INDICADORES[[#This Row],[AVANCE 1°. TRIM]]/TABLA_AVANCE_INDICADORES[[#This Row],[PROGR. 1° TRIM]])*100,"0")</f>
        <v>100</v>
      </c>
      <c r="Z24"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24" s="118">
        <v>20</v>
      </c>
      <c r="AB24" s="119">
        <v>20</v>
      </c>
      <c r="AC24" s="40">
        <f t="shared" si="0"/>
        <v>100</v>
      </c>
      <c r="AD24" s="39" t="str">
        <f t="shared" si="1"/>
        <v>ADECUADO</v>
      </c>
      <c r="AE24" s="118">
        <v>20</v>
      </c>
      <c r="AF24" s="119">
        <v>0</v>
      </c>
      <c r="AG24" s="40">
        <f>IFERROR((TABLA_AVANCE_INDICADORES[[#This Row],[AVANCE 3°. TRIM]]/TABLA_AVANCE_INDICADORES[[#This Row],[PROGR. 3° TRIM]])*100,"0")</f>
        <v>0</v>
      </c>
      <c r="AH24"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CRÍTICO</v>
      </c>
      <c r="AI24" s="118">
        <v>20</v>
      </c>
      <c r="AJ24" s="119">
        <v>0</v>
      </c>
      <c r="AK24" s="40">
        <f>IFERROR((TABLA_AVANCE_INDICADORES[[#This Row],[AVANCE 4°. TRIM]]/TABLA_AVANCE_INDICADORES[[#This Row],[PROGR. 4° TRIM]])*100,"0")</f>
        <v>0</v>
      </c>
      <c r="AL24"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24"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40</v>
      </c>
      <c r="AN24"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40</v>
      </c>
      <c r="AO24" s="40">
        <f>IFERROR((TABLA_AVANCE_INDICADORES[[#This Row],[AVANCE ACUM. TRIM.]]/TABLA_AVANCE_INDICADORES[[#This Row],[PROG. ACUM]])*100,"N/A")</f>
        <v>100</v>
      </c>
      <c r="AP24"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24" s="121">
        <f>TABLA_AVANCE_INDICADORES[[#This Row],[AVANCE ACUM. TRIM.]]-TABLA_AVANCE_INDICADORES[[#This Row],[PROG. ACUM]]</f>
        <v>0</v>
      </c>
      <c r="AR24" s="46">
        <f>IFERROR((TABLA_AVANCE_INDICADORES[[#This Row],[DIFERENCIA ABSOLUTA SEMESTRAL]]/TABLA_AVANCE_INDICADORES[[#This Row],[PROG. ACUM]])*100,"N/A")</f>
        <v>0</v>
      </c>
      <c r="AS24"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40</v>
      </c>
      <c r="AT24" s="40">
        <f>IFERROR((TABLA_AVANCE_INDICADORES[[#This Row],[AVANCE ACUM. ANUAL]]/TABLA_AVANCE_INDICADORES[[#This Row],[PROGRAMADO ANUAL]])*100,"N/A")</f>
        <v>50</v>
      </c>
      <c r="AU24"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24" s="121">
        <f>TABLA_AVANCE_INDICADORES[[#This Row],[AVANCE ACUM. ANUAL]]-TABLA_AVANCE_INDICADORES[[#This Row],[PROGRAMADO ANUAL]]</f>
        <v>-40</v>
      </c>
      <c r="AW24" s="46">
        <f>IFERROR((TABLA_AVANCE_INDICADORES[[#This Row],[DIFERENCIA ABSOLUTA ANUAL]]/TABLA_AVANCE_INDICADORES[[#This Row],[PROGRAMADO ANUAL]])*100,"N/A")</f>
        <v>-50</v>
      </c>
      <c r="AX24" s="123" t="s">
        <v>63</v>
      </c>
      <c r="AY24" s="49" t="s">
        <v>63</v>
      </c>
      <c r="AZ24" s="50"/>
      <c r="BA24" s="50"/>
      <c r="BB24"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25" spans="1:54" s="60" customFormat="1" ht="63" hidden="1" customHeight="1" x14ac:dyDescent="0.3">
      <c r="A25" s="31" t="s">
        <v>803</v>
      </c>
      <c r="B25" s="113" t="s">
        <v>105</v>
      </c>
      <c r="C25" s="32" t="s">
        <v>75</v>
      </c>
      <c r="D25" s="114" t="s">
        <v>76</v>
      </c>
      <c r="E25" s="32" t="s">
        <v>106</v>
      </c>
      <c r="F25" s="115" t="s">
        <v>107</v>
      </c>
      <c r="G25" s="94" t="s">
        <v>108</v>
      </c>
      <c r="H25" s="94" t="s">
        <v>773</v>
      </c>
      <c r="I25" s="34" t="s">
        <v>723</v>
      </c>
      <c r="J25" s="34" t="s">
        <v>109</v>
      </c>
      <c r="K25" s="94" t="s">
        <v>110</v>
      </c>
      <c r="L25" s="34" t="s">
        <v>111</v>
      </c>
      <c r="M25" s="94" t="s">
        <v>112</v>
      </c>
      <c r="N25" s="33">
        <v>2</v>
      </c>
      <c r="O25" s="33" t="s">
        <v>799</v>
      </c>
      <c r="P25" s="125" t="s">
        <v>800</v>
      </c>
      <c r="Q25" s="125" t="s">
        <v>804</v>
      </c>
      <c r="R25" s="125" t="s">
        <v>802</v>
      </c>
      <c r="S25" s="56" t="s">
        <v>122</v>
      </c>
      <c r="T25" s="56" t="s">
        <v>728</v>
      </c>
      <c r="U25" s="56" t="s">
        <v>755</v>
      </c>
      <c r="V25" s="36">
        <v>80</v>
      </c>
      <c r="W25" s="36">
        <v>20</v>
      </c>
      <c r="X25" s="127">
        <v>20</v>
      </c>
      <c r="Y25" s="38">
        <f>IFERROR((TABLA_AVANCE_INDICADORES[[#This Row],[AVANCE 1°. TRIM]]/TABLA_AVANCE_INDICADORES[[#This Row],[PROGR. 1° TRIM]])*100,"0")</f>
        <v>100</v>
      </c>
      <c r="Z25"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25" s="118">
        <v>20</v>
      </c>
      <c r="AB25" s="128">
        <v>20</v>
      </c>
      <c r="AC25" s="40">
        <f t="shared" si="0"/>
        <v>100</v>
      </c>
      <c r="AD25" s="39" t="str">
        <f t="shared" si="1"/>
        <v>ADECUADO</v>
      </c>
      <c r="AE25" s="118">
        <v>20</v>
      </c>
      <c r="AF25" s="128">
        <f>AE25</f>
        <v>20</v>
      </c>
      <c r="AG25" s="40">
        <f>IFERROR((TABLA_AVANCE_INDICADORES[[#This Row],[AVANCE 3°. TRIM]]/TABLA_AVANCE_INDICADORES[[#This Row],[PROGR. 3° TRIM]])*100,"0")</f>
        <v>100</v>
      </c>
      <c r="AH25"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ADECUADO</v>
      </c>
      <c r="AI25" s="118">
        <v>20</v>
      </c>
      <c r="AJ25" s="128">
        <f>AI25</f>
        <v>20</v>
      </c>
      <c r="AK25" s="40">
        <f>IFERROR((TABLA_AVANCE_INDICADORES[[#This Row],[AVANCE 4°. TRIM]]/TABLA_AVANCE_INDICADORES[[#This Row],[PROGR. 4° TRIM]])*100,"0")</f>
        <v>100</v>
      </c>
      <c r="AL25"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ADECUADO</v>
      </c>
      <c r="AM25"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40</v>
      </c>
      <c r="AN25"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40</v>
      </c>
      <c r="AO25" s="40">
        <f>IFERROR((TABLA_AVANCE_INDICADORES[[#This Row],[AVANCE ACUM. TRIM.]]/TABLA_AVANCE_INDICADORES[[#This Row],[PROG. ACUM]])*100,"N/A")</f>
        <v>100</v>
      </c>
      <c r="AP25"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25" s="121">
        <f>TABLA_AVANCE_INDICADORES[[#This Row],[AVANCE ACUM. TRIM.]]-TABLA_AVANCE_INDICADORES[[#This Row],[PROG. ACUM]]</f>
        <v>0</v>
      </c>
      <c r="AR25" s="46">
        <f>IFERROR((TABLA_AVANCE_INDICADORES[[#This Row],[DIFERENCIA ABSOLUTA SEMESTRAL]]/TABLA_AVANCE_INDICADORES[[#This Row],[PROG. ACUM]])*100,"N/A")</f>
        <v>0</v>
      </c>
      <c r="AS25"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40</v>
      </c>
      <c r="AT25" s="40">
        <f>IFERROR((TABLA_AVANCE_INDICADORES[[#This Row],[AVANCE ACUM. ANUAL]]/TABLA_AVANCE_INDICADORES[[#This Row],[PROGRAMADO ANUAL]])*100,"N/A")</f>
        <v>50</v>
      </c>
      <c r="AU25"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25" s="121">
        <f>TABLA_AVANCE_INDICADORES[[#This Row],[AVANCE ACUM. ANUAL]]-TABLA_AVANCE_INDICADORES[[#This Row],[PROGRAMADO ANUAL]]</f>
        <v>-40</v>
      </c>
      <c r="AW25" s="46">
        <f>IFERROR((TABLA_AVANCE_INDICADORES[[#This Row],[DIFERENCIA ABSOLUTA ANUAL]]/TABLA_AVANCE_INDICADORES[[#This Row],[PROGRAMADO ANUAL]])*100,"N/A")</f>
        <v>-50</v>
      </c>
      <c r="AX25" s="123" t="s">
        <v>63</v>
      </c>
      <c r="AY25" s="49" t="s">
        <v>63</v>
      </c>
      <c r="AZ25" s="50"/>
      <c r="BA25" s="50"/>
      <c r="BB25"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26" spans="1:54" ht="63" hidden="1" customHeight="1" x14ac:dyDescent="0.3">
      <c r="A26" s="31" t="s">
        <v>805</v>
      </c>
      <c r="B26" s="113" t="s">
        <v>105</v>
      </c>
      <c r="C26" s="32" t="s">
        <v>75</v>
      </c>
      <c r="D26" s="114" t="s">
        <v>76</v>
      </c>
      <c r="E26" s="32" t="s">
        <v>106</v>
      </c>
      <c r="F26" s="115" t="s">
        <v>107</v>
      </c>
      <c r="G26" s="94" t="s">
        <v>108</v>
      </c>
      <c r="H26" s="94" t="s">
        <v>773</v>
      </c>
      <c r="I26" s="34" t="s">
        <v>723</v>
      </c>
      <c r="J26" s="34" t="s">
        <v>109</v>
      </c>
      <c r="K26" s="94" t="s">
        <v>110</v>
      </c>
      <c r="L26" s="34" t="s">
        <v>111</v>
      </c>
      <c r="M26" s="94" t="s">
        <v>112</v>
      </c>
      <c r="N26" s="33">
        <v>1</v>
      </c>
      <c r="O26" s="33" t="s">
        <v>806</v>
      </c>
      <c r="P26" s="125" t="s">
        <v>807</v>
      </c>
      <c r="Q26" s="125" t="s">
        <v>808</v>
      </c>
      <c r="R26" s="125" t="s">
        <v>809</v>
      </c>
      <c r="S26" s="56" t="s">
        <v>124</v>
      </c>
      <c r="T26" s="56" t="s">
        <v>728</v>
      </c>
      <c r="U26" s="56" t="s">
        <v>755</v>
      </c>
      <c r="V26" s="36">
        <v>560</v>
      </c>
      <c r="W26" s="36">
        <v>140</v>
      </c>
      <c r="X26" s="129">
        <v>141</v>
      </c>
      <c r="Y26" s="38">
        <f>IFERROR((TABLA_AVANCE_INDICADORES[[#This Row],[AVANCE 1°. TRIM]]/TABLA_AVANCE_INDICADORES[[#This Row],[PROGR. 1° TRIM]])*100,"0")</f>
        <v>100.71428571428571</v>
      </c>
      <c r="Z26"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26" s="118">
        <v>140</v>
      </c>
      <c r="AB26" s="119">
        <v>142</v>
      </c>
      <c r="AC26" s="40">
        <f t="shared" si="0"/>
        <v>101.42857142857142</v>
      </c>
      <c r="AD26" s="39" t="str">
        <f t="shared" si="1"/>
        <v>ADECUADO</v>
      </c>
      <c r="AE26" s="118">
        <v>140</v>
      </c>
      <c r="AF26" s="119">
        <v>0</v>
      </c>
      <c r="AG26" s="40">
        <f>IFERROR((TABLA_AVANCE_INDICADORES[[#This Row],[AVANCE 3°. TRIM]]/TABLA_AVANCE_INDICADORES[[#This Row],[PROGR. 3° TRIM]])*100,"0")</f>
        <v>0</v>
      </c>
      <c r="AH26"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CRÍTICO</v>
      </c>
      <c r="AI26" s="118">
        <v>140</v>
      </c>
      <c r="AJ26" s="119">
        <v>0</v>
      </c>
      <c r="AK26" s="40">
        <f>IFERROR((TABLA_AVANCE_INDICADORES[[#This Row],[AVANCE 4°. TRIM]]/TABLA_AVANCE_INDICADORES[[#This Row],[PROGR. 4° TRIM]])*100,"0")</f>
        <v>0</v>
      </c>
      <c r="AL26"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26"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280</v>
      </c>
      <c r="AN26"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283</v>
      </c>
      <c r="AO26" s="40">
        <f>IFERROR((TABLA_AVANCE_INDICADORES[[#This Row],[AVANCE ACUM. TRIM.]]/TABLA_AVANCE_INDICADORES[[#This Row],[PROG. ACUM]])*100,"N/A")</f>
        <v>101.07142857142857</v>
      </c>
      <c r="AP26"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26" s="121">
        <f>TABLA_AVANCE_INDICADORES[[#This Row],[AVANCE ACUM. TRIM.]]-TABLA_AVANCE_INDICADORES[[#This Row],[PROG. ACUM]]</f>
        <v>3</v>
      </c>
      <c r="AR26" s="46">
        <f>IFERROR((TABLA_AVANCE_INDICADORES[[#This Row],[DIFERENCIA ABSOLUTA SEMESTRAL]]/TABLA_AVANCE_INDICADORES[[#This Row],[PROG. ACUM]])*100,"N/A")</f>
        <v>1.0714285714285714</v>
      </c>
      <c r="AS26"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283</v>
      </c>
      <c r="AT26" s="40">
        <f>IFERROR((TABLA_AVANCE_INDICADORES[[#This Row],[AVANCE ACUM. ANUAL]]/TABLA_AVANCE_INDICADORES[[#This Row],[PROGRAMADO ANUAL]])*100,"N/A")</f>
        <v>50.535714285714285</v>
      </c>
      <c r="AU26"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26" s="121">
        <f>TABLA_AVANCE_INDICADORES[[#This Row],[AVANCE ACUM. ANUAL]]-TABLA_AVANCE_INDICADORES[[#This Row],[PROGRAMADO ANUAL]]</f>
        <v>-277</v>
      </c>
      <c r="AW26" s="46">
        <f>IFERROR((TABLA_AVANCE_INDICADORES[[#This Row],[DIFERENCIA ABSOLUTA ANUAL]]/TABLA_AVANCE_INDICADORES[[#This Row],[PROGRAMADO ANUAL]])*100,"N/A")</f>
        <v>-49.464285714285715</v>
      </c>
      <c r="AX26" s="123" t="s">
        <v>63</v>
      </c>
      <c r="AY26" s="49" t="s">
        <v>63</v>
      </c>
      <c r="AZ26" s="50"/>
      <c r="BA26" s="50"/>
      <c r="BB26"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27" spans="1:54" ht="63" hidden="1" customHeight="1" x14ac:dyDescent="0.3">
      <c r="A27" s="31" t="s">
        <v>810</v>
      </c>
      <c r="B27" s="113" t="s">
        <v>105</v>
      </c>
      <c r="C27" s="32" t="s">
        <v>75</v>
      </c>
      <c r="D27" s="114" t="s">
        <v>76</v>
      </c>
      <c r="E27" s="32" t="s">
        <v>106</v>
      </c>
      <c r="F27" s="115" t="s">
        <v>107</v>
      </c>
      <c r="G27" s="94" t="s">
        <v>108</v>
      </c>
      <c r="H27" s="94" t="s">
        <v>773</v>
      </c>
      <c r="I27" s="34" t="s">
        <v>723</v>
      </c>
      <c r="J27" s="34" t="s">
        <v>109</v>
      </c>
      <c r="K27" s="94" t="s">
        <v>110</v>
      </c>
      <c r="L27" s="34" t="s">
        <v>111</v>
      </c>
      <c r="M27" s="94" t="s">
        <v>112</v>
      </c>
      <c r="N27" s="33">
        <v>2</v>
      </c>
      <c r="O27" s="33" t="s">
        <v>806</v>
      </c>
      <c r="P27" s="116" t="s">
        <v>807</v>
      </c>
      <c r="Q27" s="116" t="s">
        <v>811</v>
      </c>
      <c r="R27" s="116" t="s">
        <v>809</v>
      </c>
      <c r="S27" s="56" t="s">
        <v>124</v>
      </c>
      <c r="T27" s="56" t="s">
        <v>728</v>
      </c>
      <c r="U27" s="56" t="s">
        <v>755</v>
      </c>
      <c r="V27" s="36">
        <v>560</v>
      </c>
      <c r="W27" s="36">
        <v>140</v>
      </c>
      <c r="X27" s="127">
        <v>140</v>
      </c>
      <c r="Y27" s="38">
        <f>IFERROR((TABLA_AVANCE_INDICADORES[[#This Row],[AVANCE 1°. TRIM]]/TABLA_AVANCE_INDICADORES[[#This Row],[PROGR. 1° TRIM]])*100,"0")</f>
        <v>100</v>
      </c>
      <c r="Z27"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27" s="118">
        <v>140</v>
      </c>
      <c r="AB27" s="128">
        <v>140</v>
      </c>
      <c r="AC27" s="40">
        <f t="shared" si="0"/>
        <v>100</v>
      </c>
      <c r="AD27" s="39" t="str">
        <f t="shared" si="1"/>
        <v>ADECUADO</v>
      </c>
      <c r="AE27" s="118">
        <v>140</v>
      </c>
      <c r="AF27" s="128">
        <f>AE27</f>
        <v>140</v>
      </c>
      <c r="AG27" s="40">
        <f>IFERROR((TABLA_AVANCE_INDICADORES[[#This Row],[AVANCE 3°. TRIM]]/TABLA_AVANCE_INDICADORES[[#This Row],[PROGR. 3° TRIM]])*100,"0")</f>
        <v>100</v>
      </c>
      <c r="AH27"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ADECUADO</v>
      </c>
      <c r="AI27" s="118">
        <v>140</v>
      </c>
      <c r="AJ27" s="128">
        <f>AI27</f>
        <v>140</v>
      </c>
      <c r="AK27" s="40">
        <f>IFERROR((TABLA_AVANCE_INDICADORES[[#This Row],[AVANCE 4°. TRIM]]/TABLA_AVANCE_INDICADORES[[#This Row],[PROGR. 4° TRIM]])*100,"0")</f>
        <v>100</v>
      </c>
      <c r="AL27"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ADECUADO</v>
      </c>
      <c r="AM27"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280</v>
      </c>
      <c r="AN27"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280</v>
      </c>
      <c r="AO27" s="40">
        <f>IFERROR((TABLA_AVANCE_INDICADORES[[#This Row],[AVANCE ACUM. TRIM.]]/TABLA_AVANCE_INDICADORES[[#This Row],[PROG. ACUM]])*100,"N/A")</f>
        <v>100</v>
      </c>
      <c r="AP27"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27" s="121">
        <f>TABLA_AVANCE_INDICADORES[[#This Row],[AVANCE ACUM. TRIM.]]-TABLA_AVANCE_INDICADORES[[#This Row],[PROG. ACUM]]</f>
        <v>0</v>
      </c>
      <c r="AR27" s="46">
        <f>IFERROR((TABLA_AVANCE_INDICADORES[[#This Row],[DIFERENCIA ABSOLUTA SEMESTRAL]]/TABLA_AVANCE_INDICADORES[[#This Row],[PROG. ACUM]])*100,"N/A")</f>
        <v>0</v>
      </c>
      <c r="AS27"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280</v>
      </c>
      <c r="AT27" s="40">
        <f>IFERROR((TABLA_AVANCE_INDICADORES[[#This Row],[AVANCE ACUM. ANUAL]]/TABLA_AVANCE_INDICADORES[[#This Row],[PROGRAMADO ANUAL]])*100,"N/A")</f>
        <v>50</v>
      </c>
      <c r="AU27"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27" s="121">
        <f>TABLA_AVANCE_INDICADORES[[#This Row],[AVANCE ACUM. ANUAL]]-TABLA_AVANCE_INDICADORES[[#This Row],[PROGRAMADO ANUAL]]</f>
        <v>-280</v>
      </c>
      <c r="AW27" s="46">
        <f>IFERROR((TABLA_AVANCE_INDICADORES[[#This Row],[DIFERENCIA ABSOLUTA ANUAL]]/TABLA_AVANCE_INDICADORES[[#This Row],[PROGRAMADO ANUAL]])*100,"N/A")</f>
        <v>-50</v>
      </c>
      <c r="AX27" s="123" t="s">
        <v>63</v>
      </c>
      <c r="AY27" s="49" t="s">
        <v>63</v>
      </c>
      <c r="AZ27" s="50"/>
      <c r="BA27" s="50"/>
      <c r="BB27"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28" spans="1:54" ht="63" hidden="1" customHeight="1" x14ac:dyDescent="0.3">
      <c r="A28" s="31" t="s">
        <v>812</v>
      </c>
      <c r="B28" s="113" t="s">
        <v>105</v>
      </c>
      <c r="C28" s="32" t="s">
        <v>75</v>
      </c>
      <c r="D28" s="114" t="s">
        <v>76</v>
      </c>
      <c r="E28" s="32" t="s">
        <v>106</v>
      </c>
      <c r="F28" s="115" t="s">
        <v>107</v>
      </c>
      <c r="G28" s="94" t="s">
        <v>108</v>
      </c>
      <c r="H28" s="94" t="s">
        <v>773</v>
      </c>
      <c r="I28" s="34" t="s">
        <v>723</v>
      </c>
      <c r="J28" s="34" t="s">
        <v>109</v>
      </c>
      <c r="K28" s="94" t="s">
        <v>110</v>
      </c>
      <c r="L28" s="34" t="s">
        <v>111</v>
      </c>
      <c r="M28" s="94" t="s">
        <v>112</v>
      </c>
      <c r="N28" s="33">
        <v>1</v>
      </c>
      <c r="O28" s="33" t="s">
        <v>813</v>
      </c>
      <c r="P28" s="116" t="s">
        <v>814</v>
      </c>
      <c r="Q28" s="116" t="s">
        <v>815</v>
      </c>
      <c r="R28" s="116" t="s">
        <v>816</v>
      </c>
      <c r="S28" s="56" t="s">
        <v>126</v>
      </c>
      <c r="T28" s="56" t="s">
        <v>728</v>
      </c>
      <c r="U28" s="56" t="s">
        <v>755</v>
      </c>
      <c r="V28" s="36">
        <v>80</v>
      </c>
      <c r="W28" s="36">
        <v>20</v>
      </c>
      <c r="X28" s="117">
        <v>20</v>
      </c>
      <c r="Y28" s="38">
        <f>IFERROR((TABLA_AVANCE_INDICADORES[[#This Row],[AVANCE 1°. TRIM]]/TABLA_AVANCE_INDICADORES[[#This Row],[PROGR. 1° TRIM]])*100,"0")</f>
        <v>100</v>
      </c>
      <c r="Z28"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28" s="118">
        <v>20</v>
      </c>
      <c r="AB28" s="119">
        <v>20</v>
      </c>
      <c r="AC28" s="40">
        <f t="shared" si="0"/>
        <v>100</v>
      </c>
      <c r="AD28" s="39" t="str">
        <f t="shared" si="1"/>
        <v>ADECUADO</v>
      </c>
      <c r="AE28" s="118">
        <v>20</v>
      </c>
      <c r="AF28" s="119">
        <v>0</v>
      </c>
      <c r="AG28" s="40">
        <f>IFERROR((TABLA_AVANCE_INDICADORES[[#This Row],[AVANCE 3°. TRIM]]/TABLA_AVANCE_INDICADORES[[#This Row],[PROGR. 3° TRIM]])*100,"0")</f>
        <v>0</v>
      </c>
      <c r="AH28"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CRÍTICO</v>
      </c>
      <c r="AI28" s="118">
        <v>20</v>
      </c>
      <c r="AJ28" s="119">
        <v>0</v>
      </c>
      <c r="AK28" s="40">
        <f>IFERROR((TABLA_AVANCE_INDICADORES[[#This Row],[AVANCE 4°. TRIM]]/TABLA_AVANCE_INDICADORES[[#This Row],[PROGR. 4° TRIM]])*100,"0")</f>
        <v>0</v>
      </c>
      <c r="AL28"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28"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40</v>
      </c>
      <c r="AN28"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40</v>
      </c>
      <c r="AO28" s="40">
        <f>IFERROR((TABLA_AVANCE_INDICADORES[[#This Row],[AVANCE ACUM. TRIM.]]/TABLA_AVANCE_INDICADORES[[#This Row],[PROG. ACUM]])*100,"N/A")</f>
        <v>100</v>
      </c>
      <c r="AP28"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28" s="121">
        <f>TABLA_AVANCE_INDICADORES[[#This Row],[AVANCE ACUM. TRIM.]]-TABLA_AVANCE_INDICADORES[[#This Row],[PROG. ACUM]]</f>
        <v>0</v>
      </c>
      <c r="AR28" s="46">
        <f>IFERROR((TABLA_AVANCE_INDICADORES[[#This Row],[DIFERENCIA ABSOLUTA SEMESTRAL]]/TABLA_AVANCE_INDICADORES[[#This Row],[PROG. ACUM]])*100,"N/A")</f>
        <v>0</v>
      </c>
      <c r="AS28"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40</v>
      </c>
      <c r="AT28" s="40">
        <f>IFERROR((TABLA_AVANCE_INDICADORES[[#This Row],[AVANCE ACUM. ANUAL]]/TABLA_AVANCE_INDICADORES[[#This Row],[PROGRAMADO ANUAL]])*100,"N/A")</f>
        <v>50</v>
      </c>
      <c r="AU28"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28" s="121">
        <f>TABLA_AVANCE_INDICADORES[[#This Row],[AVANCE ACUM. ANUAL]]-TABLA_AVANCE_INDICADORES[[#This Row],[PROGRAMADO ANUAL]]</f>
        <v>-40</v>
      </c>
      <c r="AW28" s="46">
        <f>IFERROR((TABLA_AVANCE_INDICADORES[[#This Row],[DIFERENCIA ABSOLUTA ANUAL]]/TABLA_AVANCE_INDICADORES[[#This Row],[PROGRAMADO ANUAL]])*100,"N/A")</f>
        <v>-50</v>
      </c>
      <c r="AX28" s="123" t="s">
        <v>63</v>
      </c>
      <c r="AY28" s="49" t="s">
        <v>63</v>
      </c>
      <c r="AZ28" s="50"/>
      <c r="BA28" s="50"/>
      <c r="BB28"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29" spans="1:54" ht="63" hidden="1" customHeight="1" x14ac:dyDescent="0.3">
      <c r="A29" s="31" t="s">
        <v>817</v>
      </c>
      <c r="B29" s="113" t="s">
        <v>105</v>
      </c>
      <c r="C29" s="32" t="s">
        <v>75</v>
      </c>
      <c r="D29" s="114" t="s">
        <v>76</v>
      </c>
      <c r="E29" s="32" t="s">
        <v>106</v>
      </c>
      <c r="F29" s="115" t="s">
        <v>107</v>
      </c>
      <c r="G29" s="94" t="s">
        <v>108</v>
      </c>
      <c r="H29" s="94" t="s">
        <v>773</v>
      </c>
      <c r="I29" s="34" t="s">
        <v>723</v>
      </c>
      <c r="J29" s="34" t="s">
        <v>109</v>
      </c>
      <c r="K29" s="94" t="s">
        <v>110</v>
      </c>
      <c r="L29" s="34" t="s">
        <v>111</v>
      </c>
      <c r="M29" s="94" t="s">
        <v>112</v>
      </c>
      <c r="N29" s="33">
        <v>2</v>
      </c>
      <c r="O29" s="33" t="s">
        <v>813</v>
      </c>
      <c r="P29" s="116" t="s">
        <v>814</v>
      </c>
      <c r="Q29" s="116" t="s">
        <v>818</v>
      </c>
      <c r="R29" s="116" t="s">
        <v>816</v>
      </c>
      <c r="S29" s="56" t="s">
        <v>126</v>
      </c>
      <c r="T29" s="56" t="s">
        <v>728</v>
      </c>
      <c r="U29" s="56" t="s">
        <v>755</v>
      </c>
      <c r="V29" s="36">
        <v>80</v>
      </c>
      <c r="W29" s="36">
        <v>20</v>
      </c>
      <c r="X29" s="127">
        <v>20</v>
      </c>
      <c r="Y29" s="38">
        <f>IFERROR((TABLA_AVANCE_INDICADORES[[#This Row],[AVANCE 1°. TRIM]]/TABLA_AVANCE_INDICADORES[[#This Row],[PROGR. 1° TRIM]])*100,"0")</f>
        <v>100</v>
      </c>
      <c r="Z29"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29" s="118">
        <v>20</v>
      </c>
      <c r="AB29" s="128">
        <v>20</v>
      </c>
      <c r="AC29" s="40">
        <f t="shared" si="0"/>
        <v>100</v>
      </c>
      <c r="AD29" s="39" t="str">
        <f t="shared" si="1"/>
        <v>ADECUADO</v>
      </c>
      <c r="AE29" s="118">
        <v>20</v>
      </c>
      <c r="AF29" s="128">
        <f>AE29</f>
        <v>20</v>
      </c>
      <c r="AG29" s="40">
        <f>IFERROR((TABLA_AVANCE_INDICADORES[[#This Row],[AVANCE 3°. TRIM]]/TABLA_AVANCE_INDICADORES[[#This Row],[PROGR. 3° TRIM]])*100,"0")</f>
        <v>100</v>
      </c>
      <c r="AH29"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ADECUADO</v>
      </c>
      <c r="AI29" s="118">
        <v>20</v>
      </c>
      <c r="AJ29" s="128">
        <f>AI29</f>
        <v>20</v>
      </c>
      <c r="AK29" s="40">
        <f>IFERROR((TABLA_AVANCE_INDICADORES[[#This Row],[AVANCE 4°. TRIM]]/TABLA_AVANCE_INDICADORES[[#This Row],[PROGR. 4° TRIM]])*100,"0")</f>
        <v>100</v>
      </c>
      <c r="AL29"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ADECUADO</v>
      </c>
      <c r="AM29"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40</v>
      </c>
      <c r="AN29"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40</v>
      </c>
      <c r="AO29" s="40">
        <f>IFERROR((TABLA_AVANCE_INDICADORES[[#This Row],[AVANCE ACUM. TRIM.]]/TABLA_AVANCE_INDICADORES[[#This Row],[PROG. ACUM]])*100,"N/A")</f>
        <v>100</v>
      </c>
      <c r="AP29"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29" s="121">
        <f>TABLA_AVANCE_INDICADORES[[#This Row],[AVANCE ACUM. TRIM.]]-TABLA_AVANCE_INDICADORES[[#This Row],[PROG. ACUM]]</f>
        <v>0</v>
      </c>
      <c r="AR29" s="46">
        <f>IFERROR((TABLA_AVANCE_INDICADORES[[#This Row],[DIFERENCIA ABSOLUTA SEMESTRAL]]/TABLA_AVANCE_INDICADORES[[#This Row],[PROG. ACUM]])*100,"N/A")</f>
        <v>0</v>
      </c>
      <c r="AS29"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40</v>
      </c>
      <c r="AT29" s="40">
        <f>IFERROR((TABLA_AVANCE_INDICADORES[[#This Row],[AVANCE ACUM. ANUAL]]/TABLA_AVANCE_INDICADORES[[#This Row],[PROGRAMADO ANUAL]])*100,"N/A")</f>
        <v>50</v>
      </c>
      <c r="AU29"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29" s="121">
        <f>TABLA_AVANCE_INDICADORES[[#This Row],[AVANCE ACUM. ANUAL]]-TABLA_AVANCE_INDICADORES[[#This Row],[PROGRAMADO ANUAL]]</f>
        <v>-40</v>
      </c>
      <c r="AW29" s="46">
        <f>IFERROR((TABLA_AVANCE_INDICADORES[[#This Row],[DIFERENCIA ABSOLUTA ANUAL]]/TABLA_AVANCE_INDICADORES[[#This Row],[PROGRAMADO ANUAL]])*100,"N/A")</f>
        <v>-50</v>
      </c>
      <c r="AX29" s="123" t="s">
        <v>63</v>
      </c>
      <c r="AY29" s="49" t="s">
        <v>63</v>
      </c>
      <c r="AZ29" s="50"/>
      <c r="BA29" s="50"/>
      <c r="BB29"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30" spans="1:54" ht="63" hidden="1" customHeight="1" x14ac:dyDescent="0.3">
      <c r="A30" s="31" t="s">
        <v>819</v>
      </c>
      <c r="B30" s="113" t="s">
        <v>105</v>
      </c>
      <c r="C30" s="32" t="s">
        <v>75</v>
      </c>
      <c r="D30" s="114" t="s">
        <v>76</v>
      </c>
      <c r="E30" s="32" t="s">
        <v>106</v>
      </c>
      <c r="F30" s="115" t="s">
        <v>107</v>
      </c>
      <c r="G30" s="94" t="s">
        <v>108</v>
      </c>
      <c r="H30" s="94" t="s">
        <v>773</v>
      </c>
      <c r="I30" s="34" t="s">
        <v>723</v>
      </c>
      <c r="J30" s="34" t="s">
        <v>109</v>
      </c>
      <c r="K30" s="94" t="s">
        <v>110</v>
      </c>
      <c r="L30" s="34" t="s">
        <v>111</v>
      </c>
      <c r="M30" s="94" t="s">
        <v>112</v>
      </c>
      <c r="N30" s="33">
        <v>1</v>
      </c>
      <c r="O30" s="33" t="s">
        <v>820</v>
      </c>
      <c r="P30" s="125" t="s">
        <v>821</v>
      </c>
      <c r="Q30" s="125" t="s">
        <v>822</v>
      </c>
      <c r="R30" s="125" t="s">
        <v>823</v>
      </c>
      <c r="S30" s="56" t="s">
        <v>128</v>
      </c>
      <c r="T30" s="56" t="s">
        <v>728</v>
      </c>
      <c r="U30" s="56" t="s">
        <v>755</v>
      </c>
      <c r="V30" s="36">
        <v>4</v>
      </c>
      <c r="W30" s="36">
        <v>1</v>
      </c>
      <c r="X30" s="117">
        <v>1</v>
      </c>
      <c r="Y30" s="38">
        <f>IFERROR((TABLA_AVANCE_INDICADORES[[#This Row],[AVANCE 1°. TRIM]]/TABLA_AVANCE_INDICADORES[[#This Row],[PROGR. 1° TRIM]])*100,"0")</f>
        <v>100</v>
      </c>
      <c r="Z30"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30" s="118">
        <v>1</v>
      </c>
      <c r="AB30" s="119">
        <v>1</v>
      </c>
      <c r="AC30" s="40">
        <f t="shared" si="0"/>
        <v>100</v>
      </c>
      <c r="AD30" s="39" t="str">
        <f t="shared" si="1"/>
        <v>ADECUADO</v>
      </c>
      <c r="AE30" s="118">
        <v>1</v>
      </c>
      <c r="AF30" s="119">
        <v>0</v>
      </c>
      <c r="AG30" s="40">
        <f>IFERROR((TABLA_AVANCE_INDICADORES[[#This Row],[AVANCE 3°. TRIM]]/TABLA_AVANCE_INDICADORES[[#This Row],[PROGR. 3° TRIM]])*100,"0")</f>
        <v>0</v>
      </c>
      <c r="AH30"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CRÍTICO</v>
      </c>
      <c r="AI30" s="118">
        <v>1</v>
      </c>
      <c r="AJ30" s="119">
        <v>0</v>
      </c>
      <c r="AK30" s="40">
        <f>IFERROR((TABLA_AVANCE_INDICADORES[[#This Row],[AVANCE 4°. TRIM]]/TABLA_AVANCE_INDICADORES[[#This Row],[PROGR. 4° TRIM]])*100,"0")</f>
        <v>0</v>
      </c>
      <c r="AL30"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30"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2</v>
      </c>
      <c r="AN30"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v>
      </c>
      <c r="AO30" s="40">
        <f>IFERROR((TABLA_AVANCE_INDICADORES[[#This Row],[AVANCE ACUM. TRIM.]]/TABLA_AVANCE_INDICADORES[[#This Row],[PROG. ACUM]])*100,"N/A")</f>
        <v>100</v>
      </c>
      <c r="AP30"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30" s="121">
        <f>TABLA_AVANCE_INDICADORES[[#This Row],[AVANCE ACUM. TRIM.]]-TABLA_AVANCE_INDICADORES[[#This Row],[PROG. ACUM]]</f>
        <v>0</v>
      </c>
      <c r="AR30" s="46">
        <f>IFERROR((TABLA_AVANCE_INDICADORES[[#This Row],[DIFERENCIA ABSOLUTA SEMESTRAL]]/TABLA_AVANCE_INDICADORES[[#This Row],[PROG. ACUM]])*100,"N/A")</f>
        <v>0</v>
      </c>
      <c r="AS30"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v>
      </c>
      <c r="AT30" s="40">
        <f>IFERROR((TABLA_AVANCE_INDICADORES[[#This Row],[AVANCE ACUM. ANUAL]]/TABLA_AVANCE_INDICADORES[[#This Row],[PROGRAMADO ANUAL]])*100,"N/A")</f>
        <v>50</v>
      </c>
      <c r="AU30"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30" s="121">
        <f>TABLA_AVANCE_INDICADORES[[#This Row],[AVANCE ACUM. ANUAL]]-TABLA_AVANCE_INDICADORES[[#This Row],[PROGRAMADO ANUAL]]</f>
        <v>-2</v>
      </c>
      <c r="AW30" s="46">
        <f>IFERROR((TABLA_AVANCE_INDICADORES[[#This Row],[DIFERENCIA ABSOLUTA ANUAL]]/TABLA_AVANCE_INDICADORES[[#This Row],[PROGRAMADO ANUAL]])*100,"N/A")</f>
        <v>-50</v>
      </c>
      <c r="AX30" s="123" t="s">
        <v>63</v>
      </c>
      <c r="AY30" s="49" t="s">
        <v>63</v>
      </c>
      <c r="AZ30" s="50"/>
      <c r="BA30" s="50"/>
      <c r="BB30"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31" spans="1:54" ht="63" hidden="1" customHeight="1" x14ac:dyDescent="0.3">
      <c r="A31" s="31" t="s">
        <v>824</v>
      </c>
      <c r="B31" s="113" t="s">
        <v>105</v>
      </c>
      <c r="C31" s="32" t="s">
        <v>75</v>
      </c>
      <c r="D31" s="114" t="s">
        <v>76</v>
      </c>
      <c r="E31" s="32" t="s">
        <v>106</v>
      </c>
      <c r="F31" s="115" t="s">
        <v>107</v>
      </c>
      <c r="G31" s="94" t="s">
        <v>108</v>
      </c>
      <c r="H31" s="94" t="s">
        <v>773</v>
      </c>
      <c r="I31" s="34" t="s">
        <v>723</v>
      </c>
      <c r="J31" s="34" t="s">
        <v>109</v>
      </c>
      <c r="K31" s="94" t="s">
        <v>110</v>
      </c>
      <c r="L31" s="34" t="s">
        <v>111</v>
      </c>
      <c r="M31" s="94" t="s">
        <v>112</v>
      </c>
      <c r="N31" s="33">
        <v>2</v>
      </c>
      <c r="O31" s="33" t="s">
        <v>820</v>
      </c>
      <c r="P31" s="116" t="s">
        <v>821</v>
      </c>
      <c r="Q31" s="116" t="s">
        <v>825</v>
      </c>
      <c r="R31" s="116" t="s">
        <v>823</v>
      </c>
      <c r="S31" s="56" t="s">
        <v>128</v>
      </c>
      <c r="T31" s="56" t="s">
        <v>728</v>
      </c>
      <c r="U31" s="56" t="s">
        <v>755</v>
      </c>
      <c r="V31" s="36">
        <v>4</v>
      </c>
      <c r="W31" s="36">
        <v>1</v>
      </c>
      <c r="X31" s="127">
        <v>1</v>
      </c>
      <c r="Y31" s="38">
        <f>IFERROR((TABLA_AVANCE_INDICADORES[[#This Row],[AVANCE 1°. TRIM]]/TABLA_AVANCE_INDICADORES[[#This Row],[PROGR. 1° TRIM]])*100,"0")</f>
        <v>100</v>
      </c>
      <c r="Z31"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31" s="118">
        <v>1</v>
      </c>
      <c r="AB31" s="128">
        <v>1</v>
      </c>
      <c r="AC31" s="40">
        <f t="shared" si="0"/>
        <v>100</v>
      </c>
      <c r="AD31" s="39" t="str">
        <f t="shared" si="1"/>
        <v>ADECUADO</v>
      </c>
      <c r="AE31" s="118">
        <v>1</v>
      </c>
      <c r="AF31" s="128">
        <f>AE31</f>
        <v>1</v>
      </c>
      <c r="AG31" s="40">
        <f>IFERROR((TABLA_AVANCE_INDICADORES[[#This Row],[AVANCE 3°. TRIM]]/TABLA_AVANCE_INDICADORES[[#This Row],[PROGR. 3° TRIM]])*100,"0")</f>
        <v>100</v>
      </c>
      <c r="AH31"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ADECUADO</v>
      </c>
      <c r="AI31" s="118">
        <v>1</v>
      </c>
      <c r="AJ31" s="128">
        <f>AI31</f>
        <v>1</v>
      </c>
      <c r="AK31" s="40">
        <f>IFERROR((TABLA_AVANCE_INDICADORES[[#This Row],[AVANCE 4°. TRIM]]/TABLA_AVANCE_INDICADORES[[#This Row],[PROGR. 4° TRIM]])*100,"0")</f>
        <v>100</v>
      </c>
      <c r="AL31"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ADECUADO</v>
      </c>
      <c r="AM31"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2</v>
      </c>
      <c r="AN31"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v>
      </c>
      <c r="AO31" s="40">
        <f>IFERROR((TABLA_AVANCE_INDICADORES[[#This Row],[AVANCE ACUM. TRIM.]]/TABLA_AVANCE_INDICADORES[[#This Row],[PROG. ACUM]])*100,"N/A")</f>
        <v>100</v>
      </c>
      <c r="AP31"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31" s="121">
        <f>TABLA_AVANCE_INDICADORES[[#This Row],[AVANCE ACUM. TRIM.]]-TABLA_AVANCE_INDICADORES[[#This Row],[PROG. ACUM]]</f>
        <v>0</v>
      </c>
      <c r="AR31" s="46">
        <f>IFERROR((TABLA_AVANCE_INDICADORES[[#This Row],[DIFERENCIA ABSOLUTA SEMESTRAL]]/TABLA_AVANCE_INDICADORES[[#This Row],[PROG. ACUM]])*100,"N/A")</f>
        <v>0</v>
      </c>
      <c r="AS31"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v>
      </c>
      <c r="AT31" s="40">
        <f>IFERROR((TABLA_AVANCE_INDICADORES[[#This Row],[AVANCE ACUM. ANUAL]]/TABLA_AVANCE_INDICADORES[[#This Row],[PROGRAMADO ANUAL]])*100,"N/A")</f>
        <v>50</v>
      </c>
      <c r="AU31"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31" s="121">
        <f>TABLA_AVANCE_INDICADORES[[#This Row],[AVANCE ACUM. ANUAL]]-TABLA_AVANCE_INDICADORES[[#This Row],[PROGRAMADO ANUAL]]</f>
        <v>-2</v>
      </c>
      <c r="AW31" s="46">
        <f>IFERROR((TABLA_AVANCE_INDICADORES[[#This Row],[DIFERENCIA ABSOLUTA ANUAL]]/TABLA_AVANCE_INDICADORES[[#This Row],[PROGRAMADO ANUAL]])*100,"N/A")</f>
        <v>-50</v>
      </c>
      <c r="AX31" s="123" t="s">
        <v>63</v>
      </c>
      <c r="AY31" s="49" t="s">
        <v>63</v>
      </c>
      <c r="AZ31" s="50"/>
      <c r="BA31" s="50"/>
      <c r="BB31"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32" spans="1:54" ht="63" customHeight="1" x14ac:dyDescent="0.3">
      <c r="A32" s="31" t="s">
        <v>826</v>
      </c>
      <c r="B32" s="113" t="s">
        <v>51</v>
      </c>
      <c r="C32" s="32" t="s">
        <v>52</v>
      </c>
      <c r="D32" s="114" t="s">
        <v>51</v>
      </c>
      <c r="E32" s="32" t="s">
        <v>53</v>
      </c>
      <c r="F32" s="115" t="s">
        <v>54</v>
      </c>
      <c r="G32" s="94" t="s">
        <v>55</v>
      </c>
      <c r="H32" s="94" t="s">
        <v>827</v>
      </c>
      <c r="I32" s="34" t="s">
        <v>723</v>
      </c>
      <c r="J32" s="34" t="s">
        <v>56</v>
      </c>
      <c r="K32" s="94" t="s">
        <v>57</v>
      </c>
      <c r="L32" s="34" t="s">
        <v>58</v>
      </c>
      <c r="M32" s="94" t="s">
        <v>59</v>
      </c>
      <c r="N32" s="33">
        <v>1</v>
      </c>
      <c r="O32" s="33" t="s">
        <v>724</v>
      </c>
      <c r="P32" s="116" t="s">
        <v>828</v>
      </c>
      <c r="Q32" s="116" t="s">
        <v>829</v>
      </c>
      <c r="R32" s="116" t="s">
        <v>830</v>
      </c>
      <c r="S32" s="56" t="s">
        <v>831</v>
      </c>
      <c r="T32" s="56" t="s">
        <v>832</v>
      </c>
      <c r="U32" s="56" t="s">
        <v>739</v>
      </c>
      <c r="V32" s="36">
        <v>2</v>
      </c>
      <c r="W32" s="36">
        <v>0</v>
      </c>
      <c r="X32" s="117">
        <v>0</v>
      </c>
      <c r="Y32" s="38" t="str">
        <f>IFERROR((TABLA_AVANCE_INDICADORES[[#This Row],[AVANCE 1°. TRIM]]/TABLA_AVANCE_INDICADORES[[#This Row],[PROGR. 1° TRIM]])*100,"0")</f>
        <v>0</v>
      </c>
      <c r="Z32"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32" s="118">
        <v>0</v>
      </c>
      <c r="AB32" s="119">
        <v>0</v>
      </c>
      <c r="AC32" s="40" t="str">
        <f t="shared" si="0"/>
        <v>0</v>
      </c>
      <c r="AD32" s="39" t="str">
        <f t="shared" si="1"/>
        <v>NO PROG.</v>
      </c>
      <c r="AE32" s="118">
        <v>0</v>
      </c>
      <c r="AF32" s="119">
        <v>0</v>
      </c>
      <c r="AG32" s="40" t="str">
        <f>IFERROR((TABLA_AVANCE_INDICADORES[[#This Row],[AVANCE 3°. TRIM]]/TABLA_AVANCE_INDICADORES[[#This Row],[PROGR. 3° TRIM]])*100,"0")</f>
        <v>0</v>
      </c>
      <c r="AH32"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32" s="118">
        <v>2</v>
      </c>
      <c r="AJ32" s="119">
        <v>0</v>
      </c>
      <c r="AK32" s="40">
        <f>IFERROR((TABLA_AVANCE_INDICADORES[[#This Row],[AVANCE 4°. TRIM]]/TABLA_AVANCE_INDICADORES[[#This Row],[PROGR. 4° TRIM]])*100,"0")</f>
        <v>0</v>
      </c>
      <c r="AL32"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32"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0</v>
      </c>
      <c r="AN32"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O32" s="40" t="str">
        <f>IFERROR((TABLA_AVANCE_INDICADORES[[#This Row],[AVANCE ACUM. TRIM.]]/TABLA_AVANCE_INDICADORES[[#This Row],[PROG. ACUM]])*100,"N/A")</f>
        <v>N/A</v>
      </c>
      <c r="AP32"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NO PROG.</v>
      </c>
      <c r="AQ32" s="121">
        <f>TABLA_AVANCE_INDICADORES[[#This Row],[AVANCE ACUM. TRIM.]]-TABLA_AVANCE_INDICADORES[[#This Row],[PROG. ACUM]]</f>
        <v>0</v>
      </c>
      <c r="AR32" s="46" t="str">
        <f>IFERROR((TABLA_AVANCE_INDICADORES[[#This Row],[DIFERENCIA ABSOLUTA SEMESTRAL]]/TABLA_AVANCE_INDICADORES[[#This Row],[PROG. ACUM]])*100,"N/A")</f>
        <v>N/A</v>
      </c>
      <c r="AS32"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T32" s="40">
        <f>IFERROR((TABLA_AVANCE_INDICADORES[[#This Row],[AVANCE ACUM. ANUAL]]/TABLA_AVANCE_INDICADORES[[#This Row],[PROGRAMADO ANUAL]])*100,"N/A")</f>
        <v>0</v>
      </c>
      <c r="AU32"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32" s="121">
        <f>TABLA_AVANCE_INDICADORES[[#This Row],[AVANCE ACUM. ANUAL]]-TABLA_AVANCE_INDICADORES[[#This Row],[PROGRAMADO ANUAL]]</f>
        <v>-2</v>
      </c>
      <c r="AW32" s="46">
        <f>IFERROR((TABLA_AVANCE_INDICADORES[[#This Row],[DIFERENCIA ABSOLUTA ANUAL]]/TABLA_AVANCE_INDICADORES[[#This Row],[PROGRAMADO ANUAL]])*100,"N/A")</f>
        <v>-100</v>
      </c>
      <c r="AX32" s="123" t="s">
        <v>63</v>
      </c>
      <c r="AY32" s="49" t="s">
        <v>63</v>
      </c>
      <c r="AZ32" s="50"/>
      <c r="BA32" s="50"/>
      <c r="BB32" s="124">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0</v>
      </c>
    </row>
    <row r="33" spans="1:54" ht="63" customHeight="1" x14ac:dyDescent="0.3">
      <c r="A33" s="31" t="s">
        <v>833</v>
      </c>
      <c r="B33" s="113" t="s">
        <v>51</v>
      </c>
      <c r="C33" s="32" t="s">
        <v>52</v>
      </c>
      <c r="D33" s="114" t="s">
        <v>51</v>
      </c>
      <c r="E33" s="32" t="s">
        <v>53</v>
      </c>
      <c r="F33" s="115" t="s">
        <v>54</v>
      </c>
      <c r="G33" s="94" t="s">
        <v>55</v>
      </c>
      <c r="H33" s="94" t="s">
        <v>827</v>
      </c>
      <c r="I33" s="34" t="s">
        <v>723</v>
      </c>
      <c r="J33" s="34" t="s">
        <v>56</v>
      </c>
      <c r="K33" s="94" t="s">
        <v>57</v>
      </c>
      <c r="L33" s="34" t="s">
        <v>58</v>
      </c>
      <c r="M33" s="94" t="s">
        <v>59</v>
      </c>
      <c r="N33" s="33">
        <v>2</v>
      </c>
      <c r="O33" s="33" t="s">
        <v>724</v>
      </c>
      <c r="P33" s="116" t="s">
        <v>828</v>
      </c>
      <c r="Q33" s="116" t="s">
        <v>834</v>
      </c>
      <c r="R33" s="116" t="s">
        <v>830</v>
      </c>
      <c r="S33" s="56" t="s">
        <v>831</v>
      </c>
      <c r="T33" s="56" t="s">
        <v>832</v>
      </c>
      <c r="U33" s="56" t="s">
        <v>739</v>
      </c>
      <c r="V33" s="36">
        <v>12</v>
      </c>
      <c r="W33" s="36">
        <v>0</v>
      </c>
      <c r="X33" s="117">
        <v>0</v>
      </c>
      <c r="Y33" s="38" t="str">
        <f>IFERROR((TABLA_AVANCE_INDICADORES[[#This Row],[AVANCE 1°. TRIM]]/TABLA_AVANCE_INDICADORES[[#This Row],[PROGR. 1° TRIM]])*100,"0")</f>
        <v>0</v>
      </c>
      <c r="Z33"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33" s="118">
        <v>0</v>
      </c>
      <c r="AB33" s="119">
        <v>0</v>
      </c>
      <c r="AC33" s="40" t="str">
        <f t="shared" si="0"/>
        <v>0</v>
      </c>
      <c r="AD33" s="39" t="str">
        <f t="shared" si="1"/>
        <v>NO PROG.</v>
      </c>
      <c r="AE33" s="118">
        <v>0</v>
      </c>
      <c r="AF33" s="119">
        <v>0</v>
      </c>
      <c r="AG33" s="40" t="str">
        <f>IFERROR((TABLA_AVANCE_INDICADORES[[#This Row],[AVANCE 3°. TRIM]]/TABLA_AVANCE_INDICADORES[[#This Row],[PROGR. 3° TRIM]])*100,"0")</f>
        <v>0</v>
      </c>
      <c r="AH33"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33" s="118">
        <v>12</v>
      </c>
      <c r="AJ33" s="126">
        <v>12</v>
      </c>
      <c r="AK33" s="40">
        <f>IFERROR((TABLA_AVANCE_INDICADORES[[#This Row],[AVANCE 4°. TRIM]]/TABLA_AVANCE_INDICADORES[[#This Row],[PROGR. 4° TRIM]])*100,"0")</f>
        <v>100</v>
      </c>
      <c r="AL33"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ADECUADO</v>
      </c>
      <c r="AM33"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0</v>
      </c>
      <c r="AN33"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O33" s="40" t="str">
        <f>IFERROR((TABLA_AVANCE_INDICADORES[[#This Row],[AVANCE ACUM. TRIM.]]/TABLA_AVANCE_INDICADORES[[#This Row],[PROG. ACUM]])*100,"N/A")</f>
        <v>N/A</v>
      </c>
      <c r="AP33"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NO PROG.</v>
      </c>
      <c r="AQ33" s="121">
        <f>TABLA_AVANCE_INDICADORES[[#This Row],[AVANCE ACUM. TRIM.]]-TABLA_AVANCE_INDICADORES[[#This Row],[PROG. ACUM]]</f>
        <v>0</v>
      </c>
      <c r="AR33" s="46" t="str">
        <f>IFERROR((TABLA_AVANCE_INDICADORES[[#This Row],[DIFERENCIA ABSOLUTA SEMESTRAL]]/TABLA_AVANCE_INDICADORES[[#This Row],[PROG. ACUM]])*100,"N/A")</f>
        <v>N/A</v>
      </c>
      <c r="AS33"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T33" s="40">
        <f>IFERROR((TABLA_AVANCE_INDICADORES[[#This Row],[AVANCE ACUM. ANUAL]]/TABLA_AVANCE_INDICADORES[[#This Row],[PROGRAMADO ANUAL]])*100,"N/A")</f>
        <v>0</v>
      </c>
      <c r="AU33"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33" s="121">
        <f>TABLA_AVANCE_INDICADORES[[#This Row],[AVANCE ACUM. ANUAL]]-TABLA_AVANCE_INDICADORES[[#This Row],[PROGRAMADO ANUAL]]</f>
        <v>-12</v>
      </c>
      <c r="AW33" s="46">
        <f>IFERROR((TABLA_AVANCE_INDICADORES[[#This Row],[DIFERENCIA ABSOLUTA ANUAL]]/TABLA_AVANCE_INDICADORES[[#This Row],[PROGRAMADO ANUAL]])*100,"N/A")</f>
        <v>-100</v>
      </c>
      <c r="AX33" s="123" t="s">
        <v>63</v>
      </c>
      <c r="AY33" s="49" t="s">
        <v>63</v>
      </c>
      <c r="AZ33" s="50"/>
      <c r="BA33" s="50"/>
      <c r="BB33" s="124">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0</v>
      </c>
    </row>
    <row r="34" spans="1:54" ht="63" hidden="1" customHeight="1" x14ac:dyDescent="0.3">
      <c r="A34" s="31" t="s">
        <v>835</v>
      </c>
      <c r="B34" s="113" t="s">
        <v>74</v>
      </c>
      <c r="C34" s="32" t="s">
        <v>75</v>
      </c>
      <c r="D34" s="114" t="s">
        <v>76</v>
      </c>
      <c r="E34" s="32" t="s">
        <v>77</v>
      </c>
      <c r="F34" s="115" t="s">
        <v>78</v>
      </c>
      <c r="G34" s="94" t="s">
        <v>79</v>
      </c>
      <c r="H34" s="94" t="s">
        <v>836</v>
      </c>
      <c r="I34" s="34" t="s">
        <v>723</v>
      </c>
      <c r="J34" s="34" t="s">
        <v>56</v>
      </c>
      <c r="K34" s="94" t="s">
        <v>57</v>
      </c>
      <c r="L34" s="34" t="s">
        <v>80</v>
      </c>
      <c r="M34" s="94" t="s">
        <v>81</v>
      </c>
      <c r="N34" s="33">
        <v>1</v>
      </c>
      <c r="O34" s="33" t="s">
        <v>734</v>
      </c>
      <c r="P34" s="116" t="s">
        <v>837</v>
      </c>
      <c r="Q34" s="116" t="s">
        <v>838</v>
      </c>
      <c r="R34" s="116" t="s">
        <v>839</v>
      </c>
      <c r="S34" s="56" t="s">
        <v>87</v>
      </c>
      <c r="T34" s="56" t="s">
        <v>728</v>
      </c>
      <c r="U34" s="56" t="s">
        <v>739</v>
      </c>
      <c r="V34" s="36">
        <v>1500</v>
      </c>
      <c r="W34" s="36">
        <v>0</v>
      </c>
      <c r="X34" s="117">
        <v>0</v>
      </c>
      <c r="Y34" s="38" t="str">
        <f>IFERROR((TABLA_AVANCE_INDICADORES[[#This Row],[AVANCE 1°. TRIM]]/TABLA_AVANCE_INDICADORES[[#This Row],[PROGR. 1° TRIM]])*100,"0")</f>
        <v>0</v>
      </c>
      <c r="Z34"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34" s="118">
        <v>0</v>
      </c>
      <c r="AB34" s="119">
        <v>0</v>
      </c>
      <c r="AC34" s="40" t="str">
        <f t="shared" si="0"/>
        <v>0</v>
      </c>
      <c r="AD34" s="39" t="str">
        <f t="shared" si="1"/>
        <v>NO PROG.</v>
      </c>
      <c r="AE34" s="118">
        <v>0</v>
      </c>
      <c r="AF34" s="119">
        <v>0</v>
      </c>
      <c r="AG34" s="40" t="str">
        <f>IFERROR((TABLA_AVANCE_INDICADORES[[#This Row],[AVANCE 3°. TRIM]]/TABLA_AVANCE_INDICADORES[[#This Row],[PROGR. 3° TRIM]])*100,"0")</f>
        <v>0</v>
      </c>
      <c r="AH34"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34" s="118">
        <v>1500</v>
      </c>
      <c r="AJ34" s="119">
        <v>0</v>
      </c>
      <c r="AK34" s="40">
        <f>IFERROR((TABLA_AVANCE_INDICADORES[[#This Row],[AVANCE 4°. TRIM]]/TABLA_AVANCE_INDICADORES[[#This Row],[PROGR. 4° TRIM]])*100,"0")</f>
        <v>0</v>
      </c>
      <c r="AL34"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34"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0</v>
      </c>
      <c r="AN34"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O34" s="40" t="str">
        <f>IFERROR((TABLA_AVANCE_INDICADORES[[#This Row],[AVANCE ACUM. TRIM.]]/TABLA_AVANCE_INDICADORES[[#This Row],[PROG. ACUM]])*100,"N/A")</f>
        <v>N/A</v>
      </c>
      <c r="AP34"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NO PROG.</v>
      </c>
      <c r="AQ34" s="121">
        <f>TABLA_AVANCE_INDICADORES[[#This Row],[AVANCE ACUM. TRIM.]]-TABLA_AVANCE_INDICADORES[[#This Row],[PROG. ACUM]]</f>
        <v>0</v>
      </c>
      <c r="AR34" s="46" t="str">
        <f>IFERROR((TABLA_AVANCE_INDICADORES[[#This Row],[DIFERENCIA ABSOLUTA SEMESTRAL]]/TABLA_AVANCE_INDICADORES[[#This Row],[PROG. ACUM]])*100,"N/A")</f>
        <v>N/A</v>
      </c>
      <c r="AS34"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T34" s="40">
        <f>IFERROR((TABLA_AVANCE_INDICADORES[[#This Row],[AVANCE ACUM. ANUAL]]/TABLA_AVANCE_INDICADORES[[#This Row],[PROGRAMADO ANUAL]])*100,"N/A")</f>
        <v>0</v>
      </c>
      <c r="AU34"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34" s="121">
        <f>TABLA_AVANCE_INDICADORES[[#This Row],[AVANCE ACUM. ANUAL]]-TABLA_AVANCE_INDICADORES[[#This Row],[PROGRAMADO ANUAL]]</f>
        <v>-1500</v>
      </c>
      <c r="AW34" s="46">
        <f>IFERROR((TABLA_AVANCE_INDICADORES[[#This Row],[DIFERENCIA ABSOLUTA ANUAL]]/TABLA_AVANCE_INDICADORES[[#This Row],[PROGRAMADO ANUAL]])*100,"N/A")</f>
        <v>-100</v>
      </c>
      <c r="AX34" s="123" t="s">
        <v>63</v>
      </c>
      <c r="AY34" s="49" t="s">
        <v>63</v>
      </c>
      <c r="AZ34" s="50"/>
      <c r="BA34" s="50"/>
      <c r="BB34"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35" spans="1:54" ht="63" hidden="1" customHeight="1" x14ac:dyDescent="0.3">
      <c r="A35" s="31" t="s">
        <v>840</v>
      </c>
      <c r="B35" s="113" t="s">
        <v>74</v>
      </c>
      <c r="C35" s="32" t="s">
        <v>75</v>
      </c>
      <c r="D35" s="114" t="s">
        <v>76</v>
      </c>
      <c r="E35" s="32" t="s">
        <v>77</v>
      </c>
      <c r="F35" s="115" t="s">
        <v>78</v>
      </c>
      <c r="G35" s="94" t="s">
        <v>79</v>
      </c>
      <c r="H35" s="94" t="s">
        <v>836</v>
      </c>
      <c r="I35" s="34" t="s">
        <v>723</v>
      </c>
      <c r="J35" s="34" t="s">
        <v>56</v>
      </c>
      <c r="K35" s="94" t="s">
        <v>57</v>
      </c>
      <c r="L35" s="34" t="s">
        <v>80</v>
      </c>
      <c r="M35" s="94" t="s">
        <v>81</v>
      </c>
      <c r="N35" s="33">
        <v>2</v>
      </c>
      <c r="O35" s="33" t="s">
        <v>734</v>
      </c>
      <c r="P35" s="116" t="s">
        <v>837</v>
      </c>
      <c r="Q35" s="116" t="s">
        <v>841</v>
      </c>
      <c r="R35" s="116" t="s">
        <v>839</v>
      </c>
      <c r="S35" s="56" t="s">
        <v>87</v>
      </c>
      <c r="T35" s="56" t="s">
        <v>728</v>
      </c>
      <c r="U35" s="56" t="s">
        <v>739</v>
      </c>
      <c r="V35" s="36">
        <v>16</v>
      </c>
      <c r="W35" s="36">
        <v>0</v>
      </c>
      <c r="X35" s="117">
        <v>0</v>
      </c>
      <c r="Y35" s="38" t="str">
        <f>IFERROR((TABLA_AVANCE_INDICADORES[[#This Row],[AVANCE 1°. TRIM]]/TABLA_AVANCE_INDICADORES[[#This Row],[PROGR. 1° TRIM]])*100,"0")</f>
        <v>0</v>
      </c>
      <c r="Z35"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35" s="118">
        <v>0</v>
      </c>
      <c r="AB35" s="119">
        <v>0</v>
      </c>
      <c r="AC35" s="40" t="str">
        <f t="shared" si="0"/>
        <v>0</v>
      </c>
      <c r="AD35" s="39" t="str">
        <f t="shared" si="1"/>
        <v>NO PROG.</v>
      </c>
      <c r="AE35" s="118">
        <v>0</v>
      </c>
      <c r="AF35" s="119">
        <v>0</v>
      </c>
      <c r="AG35" s="40" t="str">
        <f>IFERROR((TABLA_AVANCE_INDICADORES[[#This Row],[AVANCE 3°. TRIM]]/TABLA_AVANCE_INDICADORES[[#This Row],[PROGR. 3° TRIM]])*100,"0")</f>
        <v>0</v>
      </c>
      <c r="AH35"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35" s="118">
        <v>16</v>
      </c>
      <c r="AJ35" s="126">
        <v>16</v>
      </c>
      <c r="AK35" s="40">
        <f>IFERROR((TABLA_AVANCE_INDICADORES[[#This Row],[AVANCE 4°. TRIM]]/TABLA_AVANCE_INDICADORES[[#This Row],[PROGR. 4° TRIM]])*100,"0")</f>
        <v>100</v>
      </c>
      <c r="AL35"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ADECUADO</v>
      </c>
      <c r="AM35"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0</v>
      </c>
      <c r="AN35"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O35" s="40" t="str">
        <f>IFERROR((TABLA_AVANCE_INDICADORES[[#This Row],[AVANCE ACUM. TRIM.]]/TABLA_AVANCE_INDICADORES[[#This Row],[PROG. ACUM]])*100,"N/A")</f>
        <v>N/A</v>
      </c>
      <c r="AP35"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NO PROG.</v>
      </c>
      <c r="AQ35" s="121">
        <f>TABLA_AVANCE_INDICADORES[[#This Row],[AVANCE ACUM. TRIM.]]-TABLA_AVANCE_INDICADORES[[#This Row],[PROG. ACUM]]</f>
        <v>0</v>
      </c>
      <c r="AR35" s="46" t="str">
        <f>IFERROR((TABLA_AVANCE_INDICADORES[[#This Row],[DIFERENCIA ABSOLUTA SEMESTRAL]]/TABLA_AVANCE_INDICADORES[[#This Row],[PROG. ACUM]])*100,"N/A")</f>
        <v>N/A</v>
      </c>
      <c r="AS35"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T35" s="40">
        <f>IFERROR((TABLA_AVANCE_INDICADORES[[#This Row],[AVANCE ACUM. ANUAL]]/TABLA_AVANCE_INDICADORES[[#This Row],[PROGRAMADO ANUAL]])*100,"N/A")</f>
        <v>0</v>
      </c>
      <c r="AU35"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35" s="121">
        <f>TABLA_AVANCE_INDICADORES[[#This Row],[AVANCE ACUM. ANUAL]]-TABLA_AVANCE_INDICADORES[[#This Row],[PROGRAMADO ANUAL]]</f>
        <v>-16</v>
      </c>
      <c r="AW35" s="46">
        <f>IFERROR((TABLA_AVANCE_INDICADORES[[#This Row],[DIFERENCIA ABSOLUTA ANUAL]]/TABLA_AVANCE_INDICADORES[[#This Row],[PROGRAMADO ANUAL]])*100,"N/A")</f>
        <v>-100</v>
      </c>
      <c r="AX35" s="123" t="s">
        <v>63</v>
      </c>
      <c r="AY35" s="49" t="s">
        <v>63</v>
      </c>
      <c r="AZ35" s="50"/>
      <c r="BA35" s="50"/>
      <c r="BB35"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36" spans="1:54" ht="63" hidden="1" customHeight="1" x14ac:dyDescent="0.3">
      <c r="A36" s="31" t="s">
        <v>842</v>
      </c>
      <c r="B36" s="113" t="s">
        <v>74</v>
      </c>
      <c r="C36" s="32" t="s">
        <v>75</v>
      </c>
      <c r="D36" s="114" t="s">
        <v>76</v>
      </c>
      <c r="E36" s="32" t="s">
        <v>77</v>
      </c>
      <c r="F36" s="115" t="s">
        <v>78</v>
      </c>
      <c r="G36" s="94" t="s">
        <v>79</v>
      </c>
      <c r="H36" s="94" t="s">
        <v>836</v>
      </c>
      <c r="I36" s="34" t="s">
        <v>723</v>
      </c>
      <c r="J36" s="34" t="s">
        <v>56</v>
      </c>
      <c r="K36" s="94" t="s">
        <v>57</v>
      </c>
      <c r="L36" s="34" t="s">
        <v>80</v>
      </c>
      <c r="M36" s="94" t="s">
        <v>81</v>
      </c>
      <c r="N36" s="33">
        <v>1</v>
      </c>
      <c r="O36" s="33" t="s">
        <v>743</v>
      </c>
      <c r="P36" s="116" t="s">
        <v>843</v>
      </c>
      <c r="Q36" s="116" t="s">
        <v>844</v>
      </c>
      <c r="R36" s="116" t="s">
        <v>845</v>
      </c>
      <c r="S36" s="56" t="s">
        <v>846</v>
      </c>
      <c r="T36" s="56" t="s">
        <v>728</v>
      </c>
      <c r="U36" s="56" t="s">
        <v>747</v>
      </c>
      <c r="V36" s="36">
        <v>8</v>
      </c>
      <c r="W36" s="36">
        <v>0</v>
      </c>
      <c r="X36" s="117">
        <v>0</v>
      </c>
      <c r="Y36" s="38" t="str">
        <f>IFERROR((TABLA_AVANCE_INDICADORES[[#This Row],[AVANCE 1°. TRIM]]/TABLA_AVANCE_INDICADORES[[#This Row],[PROGR. 1° TRIM]])*100,"0")</f>
        <v>0</v>
      </c>
      <c r="Z36"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36" s="118">
        <v>4</v>
      </c>
      <c r="AB36" s="119">
        <v>4</v>
      </c>
      <c r="AC36" s="40">
        <f t="shared" si="0"/>
        <v>100</v>
      </c>
      <c r="AD36" s="39" t="str">
        <f>IF(AND(AC36&gt;=0,AC36&lt;=49.9999999999999),"CRÍTICO",IF(AND(AC36&gt;=50,AC36&lt;=69.9999999999999),"DEFICIENTE",IF(AND(AC36&gt;=70,AC36&lt;=89.9999999999999),"REGULAR",IF(AND(AC36&gt;=90,AC36&lt;=110.999999999999),"ADECUADO",IF(AND(AC36&gt;=111,AC36&lt;=999999),"SOBREPASADO","NO PROG.")))))</f>
        <v>ADECUADO</v>
      </c>
      <c r="AE36" s="118">
        <v>0</v>
      </c>
      <c r="AF36" s="119">
        <v>0</v>
      </c>
      <c r="AG36" s="40" t="str">
        <f>IFERROR((TABLA_AVANCE_INDICADORES[[#This Row],[AVANCE 3°. TRIM]]/TABLA_AVANCE_INDICADORES[[#This Row],[PROGR. 3° TRIM]])*100,"0")</f>
        <v>0</v>
      </c>
      <c r="AH36"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36" s="118">
        <v>4</v>
      </c>
      <c r="AJ36" s="119">
        <v>0</v>
      </c>
      <c r="AK36" s="40">
        <f>IFERROR((TABLA_AVANCE_INDICADORES[[#This Row],[AVANCE 4°. TRIM]]/TABLA_AVANCE_INDICADORES[[#This Row],[PROGR. 4° TRIM]])*100,"0")</f>
        <v>0</v>
      </c>
      <c r="AL36"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36"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4</v>
      </c>
      <c r="AN36"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4</v>
      </c>
      <c r="AO36" s="40">
        <f>IFERROR((TABLA_AVANCE_INDICADORES[[#This Row],[AVANCE ACUM. TRIM.]]/TABLA_AVANCE_INDICADORES[[#This Row],[PROG. ACUM]])*100,"N/A")</f>
        <v>100</v>
      </c>
      <c r="AP36"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36" s="121">
        <f>TABLA_AVANCE_INDICADORES[[#This Row],[AVANCE ACUM. TRIM.]]-TABLA_AVANCE_INDICADORES[[#This Row],[PROG. ACUM]]</f>
        <v>0</v>
      </c>
      <c r="AR36" s="46">
        <f>IFERROR((TABLA_AVANCE_INDICADORES[[#This Row],[DIFERENCIA ABSOLUTA SEMESTRAL]]/TABLA_AVANCE_INDICADORES[[#This Row],[PROG. ACUM]])*100,"N/A")</f>
        <v>0</v>
      </c>
      <c r="AS36"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4</v>
      </c>
      <c r="AT36" s="40">
        <f>IFERROR((TABLA_AVANCE_INDICADORES[[#This Row],[AVANCE ACUM. ANUAL]]/TABLA_AVANCE_INDICADORES[[#This Row],[PROGRAMADO ANUAL]])*100,"N/A")</f>
        <v>50</v>
      </c>
      <c r="AU36"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36" s="121">
        <f>TABLA_AVANCE_INDICADORES[[#This Row],[AVANCE ACUM. ANUAL]]-TABLA_AVANCE_INDICADORES[[#This Row],[PROGRAMADO ANUAL]]</f>
        <v>-4</v>
      </c>
      <c r="AW36" s="46">
        <f>IFERROR((TABLA_AVANCE_INDICADORES[[#This Row],[DIFERENCIA ABSOLUTA ANUAL]]/TABLA_AVANCE_INDICADORES[[#This Row],[PROGRAMADO ANUAL]])*100,"N/A")</f>
        <v>-50</v>
      </c>
      <c r="AX36" s="123" t="s">
        <v>63</v>
      </c>
      <c r="AY36" s="49" t="s">
        <v>63</v>
      </c>
      <c r="AZ36" s="50"/>
      <c r="BA36" s="50"/>
      <c r="BB36"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37" spans="1:54" ht="63" hidden="1" customHeight="1" x14ac:dyDescent="0.3">
      <c r="A37" s="31" t="s">
        <v>847</v>
      </c>
      <c r="B37" s="113" t="s">
        <v>74</v>
      </c>
      <c r="C37" s="32" t="s">
        <v>75</v>
      </c>
      <c r="D37" s="114" t="s">
        <v>76</v>
      </c>
      <c r="E37" s="32" t="s">
        <v>77</v>
      </c>
      <c r="F37" s="115" t="s">
        <v>78</v>
      </c>
      <c r="G37" s="94" t="s">
        <v>79</v>
      </c>
      <c r="H37" s="94" t="s">
        <v>836</v>
      </c>
      <c r="I37" s="34" t="s">
        <v>723</v>
      </c>
      <c r="J37" s="34" t="s">
        <v>56</v>
      </c>
      <c r="K37" s="94" t="s">
        <v>57</v>
      </c>
      <c r="L37" s="34" t="s">
        <v>80</v>
      </c>
      <c r="M37" s="94" t="s">
        <v>81</v>
      </c>
      <c r="N37" s="33">
        <v>2</v>
      </c>
      <c r="O37" s="33" t="s">
        <v>743</v>
      </c>
      <c r="P37" s="116" t="s">
        <v>843</v>
      </c>
      <c r="Q37" s="116" t="s">
        <v>848</v>
      </c>
      <c r="R37" s="116" t="s">
        <v>845</v>
      </c>
      <c r="S37" s="56" t="s">
        <v>85</v>
      </c>
      <c r="T37" s="56" t="s">
        <v>728</v>
      </c>
      <c r="U37" s="56" t="s">
        <v>747</v>
      </c>
      <c r="V37" s="36">
        <v>8</v>
      </c>
      <c r="W37" s="36">
        <v>0</v>
      </c>
      <c r="X37" s="117">
        <v>0</v>
      </c>
      <c r="Y37" s="38" t="str">
        <f>IFERROR((TABLA_AVANCE_INDICADORES[[#This Row],[AVANCE 1°. TRIM]]/TABLA_AVANCE_INDICADORES[[#This Row],[PROGR. 1° TRIM]])*100,"0")</f>
        <v>0</v>
      </c>
      <c r="Z37"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37" s="118">
        <v>4</v>
      </c>
      <c r="AB37" s="119">
        <v>4</v>
      </c>
      <c r="AC37" s="40">
        <f t="shared" si="0"/>
        <v>100</v>
      </c>
      <c r="AD37" s="39" t="str">
        <f t="shared" si="1"/>
        <v>ADECUADO</v>
      </c>
      <c r="AE37" s="118">
        <v>0</v>
      </c>
      <c r="AF37" s="119">
        <v>0</v>
      </c>
      <c r="AG37" s="40" t="str">
        <f>IFERROR((TABLA_AVANCE_INDICADORES[[#This Row],[AVANCE 3°. TRIM]]/TABLA_AVANCE_INDICADORES[[#This Row],[PROGR. 3° TRIM]])*100,"0")</f>
        <v>0</v>
      </c>
      <c r="AH37"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37" s="118">
        <v>4</v>
      </c>
      <c r="AJ37" s="119">
        <v>0</v>
      </c>
      <c r="AK37" s="40">
        <f>IFERROR((TABLA_AVANCE_INDICADORES[[#This Row],[AVANCE 4°. TRIM]]/TABLA_AVANCE_INDICADORES[[#This Row],[PROGR. 4° TRIM]])*100,"0")</f>
        <v>0</v>
      </c>
      <c r="AL37"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37"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4</v>
      </c>
      <c r="AN37"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4</v>
      </c>
      <c r="AO37" s="40">
        <f>IFERROR((TABLA_AVANCE_INDICADORES[[#This Row],[AVANCE ACUM. TRIM.]]/TABLA_AVANCE_INDICADORES[[#This Row],[PROG. ACUM]])*100,"N/A")</f>
        <v>100</v>
      </c>
      <c r="AP37"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37" s="121">
        <f>TABLA_AVANCE_INDICADORES[[#This Row],[AVANCE ACUM. TRIM.]]-TABLA_AVANCE_INDICADORES[[#This Row],[PROG. ACUM]]</f>
        <v>0</v>
      </c>
      <c r="AR37" s="46">
        <f>IFERROR((TABLA_AVANCE_INDICADORES[[#This Row],[DIFERENCIA ABSOLUTA SEMESTRAL]]/TABLA_AVANCE_INDICADORES[[#This Row],[PROG. ACUM]])*100,"N/A")</f>
        <v>0</v>
      </c>
      <c r="AS37"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4</v>
      </c>
      <c r="AT37" s="40">
        <f>IFERROR((TABLA_AVANCE_INDICADORES[[#This Row],[AVANCE ACUM. ANUAL]]/TABLA_AVANCE_INDICADORES[[#This Row],[PROGRAMADO ANUAL]])*100,"N/A")</f>
        <v>50</v>
      </c>
      <c r="AU37"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37" s="121">
        <f>TABLA_AVANCE_INDICADORES[[#This Row],[AVANCE ACUM. ANUAL]]-TABLA_AVANCE_INDICADORES[[#This Row],[PROGRAMADO ANUAL]]</f>
        <v>-4</v>
      </c>
      <c r="AW37" s="46">
        <f>IFERROR((TABLA_AVANCE_INDICADORES[[#This Row],[DIFERENCIA ABSOLUTA ANUAL]]/TABLA_AVANCE_INDICADORES[[#This Row],[PROGRAMADO ANUAL]])*100,"N/A")</f>
        <v>-50</v>
      </c>
      <c r="AX37" s="123" t="s">
        <v>63</v>
      </c>
      <c r="AY37" s="49" t="s">
        <v>63</v>
      </c>
      <c r="AZ37" s="50"/>
      <c r="BA37" s="50"/>
      <c r="BB37"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38" spans="1:54" ht="63" hidden="1" customHeight="1" x14ac:dyDescent="0.3">
      <c r="A38" s="31" t="s">
        <v>849</v>
      </c>
      <c r="B38" s="113" t="s">
        <v>74</v>
      </c>
      <c r="C38" s="32" t="s">
        <v>75</v>
      </c>
      <c r="D38" s="114" t="s">
        <v>76</v>
      </c>
      <c r="E38" s="32" t="s">
        <v>77</v>
      </c>
      <c r="F38" s="115" t="s">
        <v>78</v>
      </c>
      <c r="G38" s="94" t="s">
        <v>79</v>
      </c>
      <c r="H38" s="94" t="s">
        <v>836</v>
      </c>
      <c r="I38" s="34" t="s">
        <v>723</v>
      </c>
      <c r="J38" s="34" t="s">
        <v>56</v>
      </c>
      <c r="K38" s="94" t="s">
        <v>57</v>
      </c>
      <c r="L38" s="34" t="s">
        <v>80</v>
      </c>
      <c r="M38" s="94" t="s">
        <v>81</v>
      </c>
      <c r="N38" s="33">
        <v>1</v>
      </c>
      <c r="O38" s="33" t="s">
        <v>850</v>
      </c>
      <c r="P38" s="116" t="s">
        <v>851</v>
      </c>
      <c r="Q38" s="116" t="s">
        <v>852</v>
      </c>
      <c r="R38" s="116" t="s">
        <v>853</v>
      </c>
      <c r="S38" s="56" t="s">
        <v>854</v>
      </c>
      <c r="T38" s="56" t="s">
        <v>728</v>
      </c>
      <c r="U38" s="56" t="s">
        <v>755</v>
      </c>
      <c r="V38" s="36">
        <v>4</v>
      </c>
      <c r="W38" s="36">
        <v>1</v>
      </c>
      <c r="X38" s="117">
        <v>1</v>
      </c>
      <c r="Y38" s="38">
        <f>IFERROR((TABLA_AVANCE_INDICADORES[[#This Row],[AVANCE 1°. TRIM]]/TABLA_AVANCE_INDICADORES[[#This Row],[PROGR. 1° TRIM]])*100,"0")</f>
        <v>100</v>
      </c>
      <c r="Z38"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38" s="36">
        <v>1</v>
      </c>
      <c r="AB38" s="117">
        <v>1</v>
      </c>
      <c r="AC38" s="40">
        <f t="shared" si="0"/>
        <v>100</v>
      </c>
      <c r="AD38" s="39" t="str">
        <f t="shared" si="1"/>
        <v>ADECUADO</v>
      </c>
      <c r="AE38" s="36">
        <v>1</v>
      </c>
      <c r="AF38" s="117">
        <v>0</v>
      </c>
      <c r="AG38" s="40">
        <f>IFERROR((TABLA_AVANCE_INDICADORES[[#This Row],[AVANCE 3°. TRIM]]/TABLA_AVANCE_INDICADORES[[#This Row],[PROGR. 3° TRIM]])*100,"0")</f>
        <v>0</v>
      </c>
      <c r="AH38"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CRÍTICO</v>
      </c>
      <c r="AI38" s="118">
        <v>1</v>
      </c>
      <c r="AJ38" s="117">
        <v>0</v>
      </c>
      <c r="AK38" s="40">
        <f>IFERROR((TABLA_AVANCE_INDICADORES[[#This Row],[AVANCE 4°. TRIM]]/TABLA_AVANCE_INDICADORES[[#This Row],[PROGR. 4° TRIM]])*100,"0")</f>
        <v>0</v>
      </c>
      <c r="AL38"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38"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2</v>
      </c>
      <c r="AN38"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v>
      </c>
      <c r="AO38" s="40">
        <f>IFERROR((TABLA_AVANCE_INDICADORES[[#This Row],[AVANCE ACUM. TRIM.]]/TABLA_AVANCE_INDICADORES[[#This Row],[PROG. ACUM]])*100,"N/A")</f>
        <v>100</v>
      </c>
      <c r="AP38"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38" s="121">
        <f>TABLA_AVANCE_INDICADORES[[#This Row],[AVANCE ACUM. TRIM.]]-TABLA_AVANCE_INDICADORES[[#This Row],[PROG. ACUM]]</f>
        <v>0</v>
      </c>
      <c r="AR38" s="46">
        <f>IFERROR((TABLA_AVANCE_INDICADORES[[#This Row],[DIFERENCIA ABSOLUTA SEMESTRAL]]/TABLA_AVANCE_INDICADORES[[#This Row],[PROG. ACUM]])*100,"N/A")</f>
        <v>0</v>
      </c>
      <c r="AS38"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v>
      </c>
      <c r="AT38" s="40">
        <f>IFERROR((TABLA_AVANCE_INDICADORES[[#This Row],[AVANCE ACUM. ANUAL]]/TABLA_AVANCE_INDICADORES[[#This Row],[PROGRAMADO ANUAL]])*100,"N/A")</f>
        <v>50</v>
      </c>
      <c r="AU38"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38" s="121">
        <f>TABLA_AVANCE_INDICADORES[[#This Row],[AVANCE ACUM. ANUAL]]-TABLA_AVANCE_INDICADORES[[#This Row],[PROGRAMADO ANUAL]]</f>
        <v>-2</v>
      </c>
      <c r="AW38" s="46">
        <f>IFERROR((TABLA_AVANCE_INDICADORES[[#This Row],[DIFERENCIA ABSOLUTA ANUAL]]/TABLA_AVANCE_INDICADORES[[#This Row],[PROGRAMADO ANUAL]])*100,"N/A")</f>
        <v>-50</v>
      </c>
      <c r="AX38" s="123" t="s">
        <v>63</v>
      </c>
      <c r="AY38" s="49" t="s">
        <v>63</v>
      </c>
      <c r="AZ38" s="50"/>
      <c r="BA38" s="50"/>
      <c r="BB38"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39" spans="1:54" ht="63" hidden="1" customHeight="1" x14ac:dyDescent="0.3">
      <c r="A39" s="31" t="s">
        <v>855</v>
      </c>
      <c r="B39" s="113" t="s">
        <v>74</v>
      </c>
      <c r="C39" s="32" t="s">
        <v>75</v>
      </c>
      <c r="D39" s="114" t="s">
        <v>76</v>
      </c>
      <c r="E39" s="32" t="s">
        <v>77</v>
      </c>
      <c r="F39" s="115" t="s">
        <v>78</v>
      </c>
      <c r="G39" s="94" t="s">
        <v>79</v>
      </c>
      <c r="H39" s="94" t="s">
        <v>836</v>
      </c>
      <c r="I39" s="34" t="s">
        <v>723</v>
      </c>
      <c r="J39" s="34" t="s">
        <v>56</v>
      </c>
      <c r="K39" s="94" t="s">
        <v>57</v>
      </c>
      <c r="L39" s="34" t="s">
        <v>80</v>
      </c>
      <c r="M39" s="94" t="s">
        <v>81</v>
      </c>
      <c r="N39" s="33">
        <v>2</v>
      </c>
      <c r="O39" s="33" t="s">
        <v>850</v>
      </c>
      <c r="P39" s="116" t="s">
        <v>851</v>
      </c>
      <c r="Q39" s="116" t="s">
        <v>856</v>
      </c>
      <c r="R39" s="116" t="s">
        <v>853</v>
      </c>
      <c r="S39" s="56" t="s">
        <v>854</v>
      </c>
      <c r="T39" s="56" t="s">
        <v>728</v>
      </c>
      <c r="U39" s="56" t="s">
        <v>755</v>
      </c>
      <c r="V39" s="36">
        <v>4</v>
      </c>
      <c r="W39" s="36">
        <v>1</v>
      </c>
      <c r="X39" s="117">
        <v>1</v>
      </c>
      <c r="Y39" s="38">
        <f>IFERROR((TABLA_AVANCE_INDICADORES[[#This Row],[AVANCE 1°. TRIM]]/TABLA_AVANCE_INDICADORES[[#This Row],[PROGR. 1° TRIM]])*100,"0")</f>
        <v>100</v>
      </c>
      <c r="Z39"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39" s="36">
        <v>1</v>
      </c>
      <c r="AB39" s="117">
        <v>1</v>
      </c>
      <c r="AC39" s="40">
        <f t="shared" si="0"/>
        <v>100</v>
      </c>
      <c r="AD39" s="39" t="str">
        <f t="shared" si="1"/>
        <v>ADECUADO</v>
      </c>
      <c r="AE39" s="36">
        <v>1</v>
      </c>
      <c r="AF39" s="117">
        <v>0</v>
      </c>
      <c r="AG39" s="40">
        <f>IFERROR((TABLA_AVANCE_INDICADORES[[#This Row],[AVANCE 3°. TRIM]]/TABLA_AVANCE_INDICADORES[[#This Row],[PROGR. 3° TRIM]])*100,"0")</f>
        <v>0</v>
      </c>
      <c r="AH39"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CRÍTICO</v>
      </c>
      <c r="AI39" s="118">
        <v>1</v>
      </c>
      <c r="AJ39" s="117">
        <v>0</v>
      </c>
      <c r="AK39" s="40">
        <f>IFERROR((TABLA_AVANCE_INDICADORES[[#This Row],[AVANCE 4°. TRIM]]/TABLA_AVANCE_INDICADORES[[#This Row],[PROGR. 4° TRIM]])*100,"0")</f>
        <v>0</v>
      </c>
      <c r="AL39"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39"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2</v>
      </c>
      <c r="AN39"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v>
      </c>
      <c r="AO39" s="40">
        <f>IFERROR((TABLA_AVANCE_INDICADORES[[#This Row],[AVANCE ACUM. TRIM.]]/TABLA_AVANCE_INDICADORES[[#This Row],[PROG. ACUM]])*100,"N/A")</f>
        <v>100</v>
      </c>
      <c r="AP39"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39" s="121">
        <f>TABLA_AVANCE_INDICADORES[[#This Row],[AVANCE ACUM. TRIM.]]-TABLA_AVANCE_INDICADORES[[#This Row],[PROG. ACUM]]</f>
        <v>0</v>
      </c>
      <c r="AR39" s="46">
        <f>IFERROR((TABLA_AVANCE_INDICADORES[[#This Row],[DIFERENCIA ABSOLUTA SEMESTRAL]]/TABLA_AVANCE_INDICADORES[[#This Row],[PROG. ACUM]])*100,"N/A")</f>
        <v>0</v>
      </c>
      <c r="AS39"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v>
      </c>
      <c r="AT39" s="40">
        <f>IFERROR((TABLA_AVANCE_INDICADORES[[#This Row],[AVANCE ACUM. ANUAL]]/TABLA_AVANCE_INDICADORES[[#This Row],[PROGRAMADO ANUAL]])*100,"N/A")</f>
        <v>50</v>
      </c>
      <c r="AU39"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39" s="121">
        <f>TABLA_AVANCE_INDICADORES[[#This Row],[AVANCE ACUM. ANUAL]]-TABLA_AVANCE_INDICADORES[[#This Row],[PROGRAMADO ANUAL]]</f>
        <v>-2</v>
      </c>
      <c r="AW39" s="46">
        <f>IFERROR((TABLA_AVANCE_INDICADORES[[#This Row],[DIFERENCIA ABSOLUTA ANUAL]]/TABLA_AVANCE_INDICADORES[[#This Row],[PROGRAMADO ANUAL]])*100,"N/A")</f>
        <v>-50</v>
      </c>
      <c r="AX39" s="123" t="s">
        <v>63</v>
      </c>
      <c r="AY39" s="49" t="s">
        <v>63</v>
      </c>
      <c r="AZ39" s="50"/>
      <c r="BA39" s="50"/>
      <c r="BB39"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40" spans="1:54" ht="63" customHeight="1" x14ac:dyDescent="0.3">
      <c r="A40" s="31" t="s">
        <v>857</v>
      </c>
      <c r="B40" s="113" t="s">
        <v>51</v>
      </c>
      <c r="C40" s="32" t="s">
        <v>52</v>
      </c>
      <c r="D40" s="114" t="s">
        <v>51</v>
      </c>
      <c r="E40" s="32" t="s">
        <v>53</v>
      </c>
      <c r="F40" s="115" t="s">
        <v>54</v>
      </c>
      <c r="G40" s="94" t="s">
        <v>55</v>
      </c>
      <c r="H40" s="94" t="s">
        <v>827</v>
      </c>
      <c r="I40" s="34" t="s">
        <v>723</v>
      </c>
      <c r="J40" s="34" t="s">
        <v>56</v>
      </c>
      <c r="K40" s="94" t="s">
        <v>57</v>
      </c>
      <c r="L40" s="34" t="s">
        <v>58</v>
      </c>
      <c r="M40" s="94" t="s">
        <v>59</v>
      </c>
      <c r="N40" s="33">
        <v>1</v>
      </c>
      <c r="O40" s="33" t="s">
        <v>858</v>
      </c>
      <c r="P40" s="116" t="s">
        <v>859</v>
      </c>
      <c r="Q40" s="116" t="s">
        <v>860</v>
      </c>
      <c r="R40" s="116" t="s">
        <v>861</v>
      </c>
      <c r="S40" s="56" t="s">
        <v>862</v>
      </c>
      <c r="T40" s="56" t="s">
        <v>728</v>
      </c>
      <c r="U40" s="56" t="s">
        <v>755</v>
      </c>
      <c r="V40" s="36">
        <v>12</v>
      </c>
      <c r="W40" s="36">
        <v>3</v>
      </c>
      <c r="X40" s="117">
        <v>3</v>
      </c>
      <c r="Y40" s="38">
        <f>IFERROR((TABLA_AVANCE_INDICADORES[[#This Row],[AVANCE 1°. TRIM]]/TABLA_AVANCE_INDICADORES[[#This Row],[PROGR. 1° TRIM]])*100,"0")</f>
        <v>100</v>
      </c>
      <c r="Z40"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40" s="118">
        <v>3</v>
      </c>
      <c r="AB40" s="119">
        <v>3</v>
      </c>
      <c r="AC40" s="40">
        <f t="shared" si="0"/>
        <v>100</v>
      </c>
      <c r="AD40" s="39" t="str">
        <f t="shared" si="1"/>
        <v>ADECUADO</v>
      </c>
      <c r="AE40" s="118">
        <v>3</v>
      </c>
      <c r="AF40" s="119">
        <v>0</v>
      </c>
      <c r="AG40" s="40">
        <f>IFERROR((TABLA_AVANCE_INDICADORES[[#This Row],[AVANCE 3°. TRIM]]/TABLA_AVANCE_INDICADORES[[#This Row],[PROGR. 3° TRIM]])*100,"0")</f>
        <v>0</v>
      </c>
      <c r="AH40"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CRÍTICO</v>
      </c>
      <c r="AI40" s="118">
        <v>3</v>
      </c>
      <c r="AJ40" s="119">
        <v>0</v>
      </c>
      <c r="AK40" s="40">
        <f>IFERROR((TABLA_AVANCE_INDICADORES[[#This Row],[AVANCE 4°. TRIM]]/TABLA_AVANCE_INDICADORES[[#This Row],[PROGR. 4° TRIM]])*100,"0")</f>
        <v>0</v>
      </c>
      <c r="AL40"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40"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6</v>
      </c>
      <c r="AN40"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6</v>
      </c>
      <c r="AO40" s="40">
        <f>IFERROR((TABLA_AVANCE_INDICADORES[[#This Row],[AVANCE ACUM. TRIM.]]/TABLA_AVANCE_INDICADORES[[#This Row],[PROG. ACUM]])*100,"N/A")</f>
        <v>100</v>
      </c>
      <c r="AP40"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40" s="121">
        <f>TABLA_AVANCE_INDICADORES[[#This Row],[AVANCE ACUM. TRIM.]]-TABLA_AVANCE_INDICADORES[[#This Row],[PROG. ACUM]]</f>
        <v>0</v>
      </c>
      <c r="AR40" s="46">
        <f>IFERROR((TABLA_AVANCE_INDICADORES[[#This Row],[DIFERENCIA ABSOLUTA SEMESTRAL]]/TABLA_AVANCE_INDICADORES[[#This Row],[PROG. ACUM]])*100,"N/A")</f>
        <v>0</v>
      </c>
      <c r="AS40"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6</v>
      </c>
      <c r="AT40" s="40">
        <f>IFERROR((TABLA_AVANCE_INDICADORES[[#This Row],[AVANCE ACUM. ANUAL]]/TABLA_AVANCE_INDICADORES[[#This Row],[PROGRAMADO ANUAL]])*100,"N/A")</f>
        <v>50</v>
      </c>
      <c r="AU40"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40" s="121">
        <f>TABLA_AVANCE_INDICADORES[[#This Row],[AVANCE ACUM. ANUAL]]-TABLA_AVANCE_INDICADORES[[#This Row],[PROGRAMADO ANUAL]]</f>
        <v>-6</v>
      </c>
      <c r="AW40" s="46">
        <f>IFERROR((TABLA_AVANCE_INDICADORES[[#This Row],[DIFERENCIA ABSOLUTA ANUAL]]/TABLA_AVANCE_INDICADORES[[#This Row],[PROGRAMADO ANUAL]])*100,"N/A")</f>
        <v>-50</v>
      </c>
      <c r="AX40" s="123" t="s">
        <v>63</v>
      </c>
      <c r="AY40" s="49" t="s">
        <v>63</v>
      </c>
      <c r="AZ40" s="50"/>
      <c r="BA40" s="50"/>
      <c r="BB40"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41" spans="1:54" ht="63" customHeight="1" x14ac:dyDescent="0.3">
      <c r="A41" s="31" t="s">
        <v>863</v>
      </c>
      <c r="B41" s="113" t="s">
        <v>51</v>
      </c>
      <c r="C41" s="32" t="s">
        <v>52</v>
      </c>
      <c r="D41" s="114" t="s">
        <v>51</v>
      </c>
      <c r="E41" s="32" t="s">
        <v>53</v>
      </c>
      <c r="F41" s="115" t="s">
        <v>54</v>
      </c>
      <c r="G41" s="94" t="s">
        <v>55</v>
      </c>
      <c r="H41" s="94" t="s">
        <v>827</v>
      </c>
      <c r="I41" s="34" t="s">
        <v>723</v>
      </c>
      <c r="J41" s="34" t="s">
        <v>56</v>
      </c>
      <c r="K41" s="94" t="s">
        <v>57</v>
      </c>
      <c r="L41" s="34" t="s">
        <v>58</v>
      </c>
      <c r="M41" s="94" t="s">
        <v>59</v>
      </c>
      <c r="N41" s="33">
        <v>2</v>
      </c>
      <c r="O41" s="33" t="s">
        <v>858</v>
      </c>
      <c r="P41" s="116" t="s">
        <v>859</v>
      </c>
      <c r="Q41" s="116" t="s">
        <v>864</v>
      </c>
      <c r="R41" s="116" t="s">
        <v>861</v>
      </c>
      <c r="S41" s="56" t="s">
        <v>862</v>
      </c>
      <c r="T41" s="56" t="s">
        <v>728</v>
      </c>
      <c r="U41" s="56" t="s">
        <v>755</v>
      </c>
      <c r="V41" s="36">
        <v>12</v>
      </c>
      <c r="W41" s="36">
        <v>3</v>
      </c>
      <c r="X41" s="127">
        <v>3</v>
      </c>
      <c r="Y41" s="38">
        <f>IFERROR((TABLA_AVANCE_INDICADORES[[#This Row],[AVANCE 1°. TRIM]]/TABLA_AVANCE_INDICADORES[[#This Row],[PROGR. 1° TRIM]])*100,"0")</f>
        <v>100</v>
      </c>
      <c r="Z41"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41" s="118">
        <v>3</v>
      </c>
      <c r="AB41" s="128">
        <v>3</v>
      </c>
      <c r="AC41" s="40">
        <f t="shared" si="0"/>
        <v>100</v>
      </c>
      <c r="AD41" s="39" t="str">
        <f t="shared" si="1"/>
        <v>ADECUADO</v>
      </c>
      <c r="AE41" s="118">
        <v>3</v>
      </c>
      <c r="AF41" s="128">
        <f>AE41</f>
        <v>3</v>
      </c>
      <c r="AG41" s="40">
        <f>IFERROR((TABLA_AVANCE_INDICADORES[[#This Row],[AVANCE 3°. TRIM]]/TABLA_AVANCE_INDICADORES[[#This Row],[PROGR. 3° TRIM]])*100,"0")</f>
        <v>100</v>
      </c>
      <c r="AH41"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ADECUADO</v>
      </c>
      <c r="AI41" s="118">
        <v>3</v>
      </c>
      <c r="AJ41" s="128">
        <f>AI41</f>
        <v>3</v>
      </c>
      <c r="AK41" s="40">
        <f>IFERROR((TABLA_AVANCE_INDICADORES[[#This Row],[AVANCE 4°. TRIM]]/TABLA_AVANCE_INDICADORES[[#This Row],[PROGR. 4° TRIM]])*100,"0")</f>
        <v>100</v>
      </c>
      <c r="AL41"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ADECUADO</v>
      </c>
      <c r="AM41"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6</v>
      </c>
      <c r="AN41"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6</v>
      </c>
      <c r="AO41" s="40">
        <f>IFERROR((TABLA_AVANCE_INDICADORES[[#This Row],[AVANCE ACUM. TRIM.]]/TABLA_AVANCE_INDICADORES[[#This Row],[PROG. ACUM]])*100,"N/A")</f>
        <v>100</v>
      </c>
      <c r="AP41"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41" s="121">
        <f>TABLA_AVANCE_INDICADORES[[#This Row],[AVANCE ACUM. TRIM.]]-TABLA_AVANCE_INDICADORES[[#This Row],[PROG. ACUM]]</f>
        <v>0</v>
      </c>
      <c r="AR41" s="46">
        <f>IFERROR((TABLA_AVANCE_INDICADORES[[#This Row],[DIFERENCIA ABSOLUTA SEMESTRAL]]/TABLA_AVANCE_INDICADORES[[#This Row],[PROG. ACUM]])*100,"N/A")</f>
        <v>0</v>
      </c>
      <c r="AS41"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6</v>
      </c>
      <c r="AT41" s="40">
        <f>IFERROR((TABLA_AVANCE_INDICADORES[[#This Row],[AVANCE ACUM. ANUAL]]/TABLA_AVANCE_INDICADORES[[#This Row],[PROGRAMADO ANUAL]])*100,"N/A")</f>
        <v>50</v>
      </c>
      <c r="AU41"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41" s="121">
        <f>TABLA_AVANCE_INDICADORES[[#This Row],[AVANCE ACUM. ANUAL]]-TABLA_AVANCE_INDICADORES[[#This Row],[PROGRAMADO ANUAL]]</f>
        <v>-6</v>
      </c>
      <c r="AW41" s="46">
        <f>IFERROR((TABLA_AVANCE_INDICADORES[[#This Row],[DIFERENCIA ABSOLUTA ANUAL]]/TABLA_AVANCE_INDICADORES[[#This Row],[PROGRAMADO ANUAL]])*100,"N/A")</f>
        <v>-50</v>
      </c>
      <c r="AX41" s="123" t="s">
        <v>63</v>
      </c>
      <c r="AY41" s="49" t="s">
        <v>63</v>
      </c>
      <c r="AZ41" s="50"/>
      <c r="BA41" s="50"/>
      <c r="BB41"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42" spans="1:54" ht="63" hidden="1" customHeight="1" x14ac:dyDescent="0.3">
      <c r="A42" s="31" t="s">
        <v>865</v>
      </c>
      <c r="B42" s="113" t="s">
        <v>242</v>
      </c>
      <c r="C42" s="32" t="s">
        <v>214</v>
      </c>
      <c r="D42" s="114" t="s">
        <v>215</v>
      </c>
      <c r="E42" s="32" t="s">
        <v>243</v>
      </c>
      <c r="F42" s="115" t="s">
        <v>244</v>
      </c>
      <c r="G42" s="94" t="s">
        <v>245</v>
      </c>
      <c r="H42" s="94" t="s">
        <v>866</v>
      </c>
      <c r="I42" s="34" t="s">
        <v>723</v>
      </c>
      <c r="J42" s="34" t="s">
        <v>140</v>
      </c>
      <c r="K42" s="94" t="s">
        <v>141</v>
      </c>
      <c r="L42" s="34" t="s">
        <v>228</v>
      </c>
      <c r="M42" s="94" t="s">
        <v>229</v>
      </c>
      <c r="N42" s="33">
        <v>1</v>
      </c>
      <c r="O42" s="33" t="s">
        <v>724</v>
      </c>
      <c r="P42" s="125" t="s">
        <v>867</v>
      </c>
      <c r="Q42" s="125" t="s">
        <v>868</v>
      </c>
      <c r="R42" s="125" t="s">
        <v>869</v>
      </c>
      <c r="S42" s="56" t="s">
        <v>870</v>
      </c>
      <c r="T42" s="56" t="s">
        <v>728</v>
      </c>
      <c r="U42" s="56" t="s">
        <v>739</v>
      </c>
      <c r="V42" s="36">
        <v>419081362.79000002</v>
      </c>
      <c r="W42" s="36">
        <v>0</v>
      </c>
      <c r="X42" s="117">
        <v>0</v>
      </c>
      <c r="Y42" s="38" t="str">
        <f>IFERROR((TABLA_AVANCE_INDICADORES[[#This Row],[AVANCE 1°. TRIM]]/TABLA_AVANCE_INDICADORES[[#This Row],[PROGR. 1° TRIM]])*100,"0")</f>
        <v>0</v>
      </c>
      <c r="Z42"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42" s="118">
        <v>0</v>
      </c>
      <c r="AB42" s="119">
        <v>0</v>
      </c>
      <c r="AC42" s="40" t="str">
        <f t="shared" si="0"/>
        <v>0</v>
      </c>
      <c r="AD42" s="39" t="str">
        <f t="shared" si="1"/>
        <v>NO PROG.</v>
      </c>
      <c r="AE42" s="118">
        <v>0</v>
      </c>
      <c r="AF42" s="119">
        <v>0</v>
      </c>
      <c r="AG42" s="40" t="str">
        <f>IFERROR((TABLA_AVANCE_INDICADORES[[#This Row],[AVANCE 3°. TRIM]]/TABLA_AVANCE_INDICADORES[[#This Row],[PROGR. 3° TRIM]])*100,"0")</f>
        <v>0</v>
      </c>
      <c r="AH42"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42" s="118">
        <v>419081362.79000002</v>
      </c>
      <c r="AJ42" s="119">
        <v>0</v>
      </c>
      <c r="AK42" s="40">
        <f>IFERROR((TABLA_AVANCE_INDICADORES[[#This Row],[AVANCE 4°. TRIM]]/TABLA_AVANCE_INDICADORES[[#This Row],[PROGR. 4° TRIM]])*100,"0")</f>
        <v>0</v>
      </c>
      <c r="AL42"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42"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0</v>
      </c>
      <c r="AN42"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O42" s="40" t="str">
        <f>IFERROR((TABLA_AVANCE_INDICADORES[[#This Row],[AVANCE ACUM. TRIM.]]/TABLA_AVANCE_INDICADORES[[#This Row],[PROG. ACUM]])*100,"N/A")</f>
        <v>N/A</v>
      </c>
      <c r="AP42"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NO PROG.</v>
      </c>
      <c r="AQ42" s="121">
        <f>TABLA_AVANCE_INDICADORES[[#This Row],[AVANCE ACUM. TRIM.]]-TABLA_AVANCE_INDICADORES[[#This Row],[PROG. ACUM]]</f>
        <v>0</v>
      </c>
      <c r="AR42" s="46" t="str">
        <f>IFERROR((TABLA_AVANCE_INDICADORES[[#This Row],[DIFERENCIA ABSOLUTA SEMESTRAL]]/TABLA_AVANCE_INDICADORES[[#This Row],[PROG. ACUM]])*100,"N/A")</f>
        <v>N/A</v>
      </c>
      <c r="AS42"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T42" s="40">
        <f>IFERROR((TABLA_AVANCE_INDICADORES[[#This Row],[AVANCE ACUM. ANUAL]]/TABLA_AVANCE_INDICADORES[[#This Row],[PROGRAMADO ANUAL]])*100,"N/A")</f>
        <v>0</v>
      </c>
      <c r="AU42"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42" s="121">
        <f>TABLA_AVANCE_INDICADORES[[#This Row],[AVANCE ACUM. ANUAL]]-TABLA_AVANCE_INDICADORES[[#This Row],[PROGRAMADO ANUAL]]</f>
        <v>-419081362.79000002</v>
      </c>
      <c r="AW42" s="46">
        <f>IFERROR((TABLA_AVANCE_INDICADORES[[#This Row],[DIFERENCIA ABSOLUTA ANUAL]]/TABLA_AVANCE_INDICADORES[[#This Row],[PROGRAMADO ANUAL]])*100,"N/A")</f>
        <v>-100</v>
      </c>
      <c r="AX42" s="123"/>
      <c r="AY42" s="49" t="s">
        <v>63</v>
      </c>
      <c r="AZ42" s="50"/>
      <c r="BA42" s="50"/>
      <c r="BB42"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43" spans="1:54" ht="63" hidden="1" customHeight="1" x14ac:dyDescent="0.3">
      <c r="A43" s="31" t="s">
        <v>871</v>
      </c>
      <c r="B43" s="113" t="s">
        <v>242</v>
      </c>
      <c r="C43" s="32" t="s">
        <v>214</v>
      </c>
      <c r="D43" s="114" t="s">
        <v>215</v>
      </c>
      <c r="E43" s="32" t="s">
        <v>243</v>
      </c>
      <c r="F43" s="115" t="s">
        <v>244</v>
      </c>
      <c r="G43" s="94" t="s">
        <v>245</v>
      </c>
      <c r="H43" s="94" t="s">
        <v>866</v>
      </c>
      <c r="I43" s="34" t="s">
        <v>723</v>
      </c>
      <c r="J43" s="34" t="s">
        <v>140</v>
      </c>
      <c r="K43" s="94" t="s">
        <v>141</v>
      </c>
      <c r="L43" s="34" t="s">
        <v>228</v>
      </c>
      <c r="M43" s="94" t="s">
        <v>229</v>
      </c>
      <c r="N43" s="33">
        <v>2</v>
      </c>
      <c r="O43" s="33" t="s">
        <v>724</v>
      </c>
      <c r="P43" s="116" t="s">
        <v>867</v>
      </c>
      <c r="Q43" s="116" t="s">
        <v>872</v>
      </c>
      <c r="R43" s="116" t="s">
        <v>869</v>
      </c>
      <c r="S43" s="56" t="s">
        <v>870</v>
      </c>
      <c r="T43" s="56" t="s">
        <v>728</v>
      </c>
      <c r="U43" s="56" t="s">
        <v>739</v>
      </c>
      <c r="V43" s="36">
        <v>0</v>
      </c>
      <c r="W43" s="36">
        <v>0</v>
      </c>
      <c r="X43" s="117">
        <v>0</v>
      </c>
      <c r="Y43" s="38" t="str">
        <f>IFERROR((TABLA_AVANCE_INDICADORES[[#This Row],[AVANCE 1°. TRIM]]/TABLA_AVANCE_INDICADORES[[#This Row],[PROGR. 1° TRIM]])*100,"0")</f>
        <v>0</v>
      </c>
      <c r="Z43"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43" s="118">
        <v>0</v>
      </c>
      <c r="AB43" s="119">
        <v>0</v>
      </c>
      <c r="AC43" s="40" t="str">
        <f t="shared" si="0"/>
        <v>0</v>
      </c>
      <c r="AD43" s="39" t="str">
        <f t="shared" si="1"/>
        <v>NO PROG.</v>
      </c>
      <c r="AE43" s="118">
        <v>0</v>
      </c>
      <c r="AF43" s="119">
        <v>0</v>
      </c>
      <c r="AG43" s="40" t="str">
        <f>IFERROR((TABLA_AVANCE_INDICADORES[[#This Row],[AVANCE 3°. TRIM]]/TABLA_AVANCE_INDICADORES[[#This Row],[PROGR. 3° TRIM]])*100,"0")</f>
        <v>0</v>
      </c>
      <c r="AH43"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43" s="118">
        <v>0</v>
      </c>
      <c r="AJ43" s="126">
        <v>0</v>
      </c>
      <c r="AK43" s="40" t="str">
        <f>IFERROR((TABLA_AVANCE_INDICADORES[[#This Row],[AVANCE 4°. TRIM]]/TABLA_AVANCE_INDICADORES[[#This Row],[PROGR. 4° TRIM]])*100,"0")</f>
        <v>0</v>
      </c>
      <c r="AL43"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NO PROG.</v>
      </c>
      <c r="AM43"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0</v>
      </c>
      <c r="AN43"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O43" s="40" t="str">
        <f>IFERROR((TABLA_AVANCE_INDICADORES[[#This Row],[AVANCE ACUM. TRIM.]]/TABLA_AVANCE_INDICADORES[[#This Row],[PROG. ACUM]])*100,"N/A")</f>
        <v>N/A</v>
      </c>
      <c r="AP43"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NO PROG.</v>
      </c>
      <c r="AQ43" s="121">
        <f>TABLA_AVANCE_INDICADORES[[#This Row],[AVANCE ACUM. TRIM.]]-TABLA_AVANCE_INDICADORES[[#This Row],[PROG. ACUM]]</f>
        <v>0</v>
      </c>
      <c r="AR43" s="46" t="str">
        <f>IFERROR((TABLA_AVANCE_INDICADORES[[#This Row],[DIFERENCIA ABSOLUTA SEMESTRAL]]/TABLA_AVANCE_INDICADORES[[#This Row],[PROG. ACUM]])*100,"N/A")</f>
        <v>N/A</v>
      </c>
      <c r="AS43"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T43" s="40" t="str">
        <f>IFERROR((TABLA_AVANCE_INDICADORES[[#This Row],[AVANCE ACUM. ANUAL]]/TABLA_AVANCE_INDICADORES[[#This Row],[PROGRAMADO ANUAL]])*100,"N/A")</f>
        <v>N/A</v>
      </c>
      <c r="AU43"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NO PROG.</v>
      </c>
      <c r="AV43" s="121">
        <f>TABLA_AVANCE_INDICADORES[[#This Row],[AVANCE ACUM. ANUAL]]-TABLA_AVANCE_INDICADORES[[#This Row],[PROGRAMADO ANUAL]]</f>
        <v>0</v>
      </c>
      <c r="AW43" s="46" t="str">
        <f>IFERROR((TABLA_AVANCE_INDICADORES[[#This Row],[DIFERENCIA ABSOLUTA ANUAL]]/TABLA_AVANCE_INDICADORES[[#This Row],[PROGRAMADO ANUAL]])*100,"N/A")</f>
        <v>N/A</v>
      </c>
      <c r="AX43" s="123"/>
      <c r="AY43" s="49" t="s">
        <v>63</v>
      </c>
      <c r="AZ43" s="50"/>
      <c r="BA43" s="50"/>
      <c r="BB43"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44" spans="1:54" s="64" customFormat="1" ht="63" hidden="1" customHeight="1" x14ac:dyDescent="0.3">
      <c r="A44" s="31" t="s">
        <v>873</v>
      </c>
      <c r="B44" s="113" t="s">
        <v>242</v>
      </c>
      <c r="C44" s="32" t="s">
        <v>214</v>
      </c>
      <c r="D44" s="114" t="s">
        <v>215</v>
      </c>
      <c r="E44" s="32" t="s">
        <v>243</v>
      </c>
      <c r="F44" s="115" t="s">
        <v>244</v>
      </c>
      <c r="G44" s="94" t="s">
        <v>245</v>
      </c>
      <c r="H44" s="94" t="s">
        <v>866</v>
      </c>
      <c r="I44" s="34" t="s">
        <v>723</v>
      </c>
      <c r="J44" s="34" t="s">
        <v>140</v>
      </c>
      <c r="K44" s="94" t="s">
        <v>141</v>
      </c>
      <c r="L44" s="34" t="s">
        <v>228</v>
      </c>
      <c r="M44" s="94" t="s">
        <v>229</v>
      </c>
      <c r="N44" s="33">
        <v>1</v>
      </c>
      <c r="O44" s="33" t="s">
        <v>734</v>
      </c>
      <c r="P44" s="116" t="s">
        <v>874</v>
      </c>
      <c r="Q44" s="116" t="s">
        <v>875</v>
      </c>
      <c r="R44" s="116" t="s">
        <v>876</v>
      </c>
      <c r="S44" s="56" t="s">
        <v>870</v>
      </c>
      <c r="T44" s="56" t="s">
        <v>728</v>
      </c>
      <c r="U44" s="56" t="s">
        <v>739</v>
      </c>
      <c r="V44" s="36">
        <v>419081362.79000002</v>
      </c>
      <c r="W44" s="36">
        <v>0</v>
      </c>
      <c r="X44" s="117">
        <v>0</v>
      </c>
      <c r="Y44" s="38" t="str">
        <f>IFERROR((TABLA_AVANCE_INDICADORES[[#This Row],[AVANCE 1°. TRIM]]/TABLA_AVANCE_INDICADORES[[#This Row],[PROGR. 1° TRIM]])*100,"0")</f>
        <v>0</v>
      </c>
      <c r="Z44"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44" s="118">
        <v>0</v>
      </c>
      <c r="AB44" s="119">
        <v>0</v>
      </c>
      <c r="AC44" s="40" t="str">
        <f t="shared" si="0"/>
        <v>0</v>
      </c>
      <c r="AD44" s="39" t="str">
        <f t="shared" si="1"/>
        <v>NO PROG.</v>
      </c>
      <c r="AE44" s="118">
        <v>0</v>
      </c>
      <c r="AF44" s="119">
        <v>0</v>
      </c>
      <c r="AG44" s="40" t="str">
        <f>IFERROR((TABLA_AVANCE_INDICADORES[[#This Row],[AVANCE 3°. TRIM]]/TABLA_AVANCE_INDICADORES[[#This Row],[PROGR. 3° TRIM]])*100,"0")</f>
        <v>0</v>
      </c>
      <c r="AH44"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44" s="118">
        <v>419081362.79000002</v>
      </c>
      <c r="AJ44" s="119">
        <v>0</v>
      </c>
      <c r="AK44" s="40">
        <f>IFERROR((TABLA_AVANCE_INDICADORES[[#This Row],[AVANCE 4°. TRIM]]/TABLA_AVANCE_INDICADORES[[#This Row],[PROGR. 4° TRIM]])*100,"0")</f>
        <v>0</v>
      </c>
      <c r="AL44"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44"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0</v>
      </c>
      <c r="AN44"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O44" s="40" t="str">
        <f>IFERROR((TABLA_AVANCE_INDICADORES[[#This Row],[AVANCE ACUM. TRIM.]]/TABLA_AVANCE_INDICADORES[[#This Row],[PROG. ACUM]])*100,"N/A")</f>
        <v>N/A</v>
      </c>
      <c r="AP44"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NO PROG.</v>
      </c>
      <c r="AQ44" s="121">
        <f>TABLA_AVANCE_INDICADORES[[#This Row],[AVANCE ACUM. TRIM.]]-TABLA_AVANCE_INDICADORES[[#This Row],[PROG. ACUM]]</f>
        <v>0</v>
      </c>
      <c r="AR44" s="46" t="str">
        <f>IFERROR((TABLA_AVANCE_INDICADORES[[#This Row],[DIFERENCIA ABSOLUTA SEMESTRAL]]/TABLA_AVANCE_INDICADORES[[#This Row],[PROG. ACUM]])*100,"N/A")</f>
        <v>N/A</v>
      </c>
      <c r="AS44"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T44" s="40">
        <f>IFERROR((TABLA_AVANCE_INDICADORES[[#This Row],[AVANCE ACUM. ANUAL]]/TABLA_AVANCE_INDICADORES[[#This Row],[PROGRAMADO ANUAL]])*100,"N/A")</f>
        <v>0</v>
      </c>
      <c r="AU44"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44" s="121">
        <f>TABLA_AVANCE_INDICADORES[[#This Row],[AVANCE ACUM. ANUAL]]-TABLA_AVANCE_INDICADORES[[#This Row],[PROGRAMADO ANUAL]]</f>
        <v>-419081362.79000002</v>
      </c>
      <c r="AW44" s="46">
        <f>IFERROR((TABLA_AVANCE_INDICADORES[[#This Row],[DIFERENCIA ABSOLUTA ANUAL]]/TABLA_AVANCE_INDICADORES[[#This Row],[PROGRAMADO ANUAL]])*100,"N/A")</f>
        <v>-100</v>
      </c>
      <c r="AX44" s="123"/>
      <c r="AY44" s="49" t="s">
        <v>63</v>
      </c>
      <c r="AZ44" s="50"/>
      <c r="BA44" s="50"/>
      <c r="BB44"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45" spans="1:54" ht="63" hidden="1" customHeight="1" x14ac:dyDescent="0.3">
      <c r="A45" s="31" t="s">
        <v>877</v>
      </c>
      <c r="B45" s="113" t="s">
        <v>242</v>
      </c>
      <c r="C45" s="32" t="s">
        <v>214</v>
      </c>
      <c r="D45" s="114" t="s">
        <v>215</v>
      </c>
      <c r="E45" s="32" t="s">
        <v>243</v>
      </c>
      <c r="F45" s="115" t="s">
        <v>244</v>
      </c>
      <c r="G45" s="94" t="s">
        <v>245</v>
      </c>
      <c r="H45" s="94" t="s">
        <v>866</v>
      </c>
      <c r="I45" s="34" t="s">
        <v>723</v>
      </c>
      <c r="J45" s="34" t="s">
        <v>140</v>
      </c>
      <c r="K45" s="94" t="s">
        <v>141</v>
      </c>
      <c r="L45" s="34" t="s">
        <v>228</v>
      </c>
      <c r="M45" s="94" t="s">
        <v>229</v>
      </c>
      <c r="N45" s="33">
        <v>2</v>
      </c>
      <c r="O45" s="33" t="s">
        <v>734</v>
      </c>
      <c r="P45" s="116" t="s">
        <v>874</v>
      </c>
      <c r="Q45" s="116" t="s">
        <v>878</v>
      </c>
      <c r="R45" s="116" t="s">
        <v>876</v>
      </c>
      <c r="S45" s="56" t="s">
        <v>870</v>
      </c>
      <c r="T45" s="56" t="s">
        <v>728</v>
      </c>
      <c r="U45" s="56" t="s">
        <v>739</v>
      </c>
      <c r="V45" s="36">
        <v>419081362.79000002</v>
      </c>
      <c r="W45" s="36">
        <v>0</v>
      </c>
      <c r="X45" s="117">
        <v>0</v>
      </c>
      <c r="Y45" s="38" t="str">
        <f>IFERROR((TABLA_AVANCE_INDICADORES[[#This Row],[AVANCE 1°. TRIM]]/TABLA_AVANCE_INDICADORES[[#This Row],[PROGR. 1° TRIM]])*100,"0")</f>
        <v>0</v>
      </c>
      <c r="Z45"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45" s="118">
        <v>0</v>
      </c>
      <c r="AB45" s="119">
        <v>0</v>
      </c>
      <c r="AC45" s="40" t="str">
        <f t="shared" si="0"/>
        <v>0</v>
      </c>
      <c r="AD45" s="39" t="str">
        <f t="shared" si="1"/>
        <v>NO PROG.</v>
      </c>
      <c r="AE45" s="118">
        <v>0</v>
      </c>
      <c r="AF45" s="119">
        <v>0</v>
      </c>
      <c r="AG45" s="40" t="str">
        <f>IFERROR((TABLA_AVANCE_INDICADORES[[#This Row],[AVANCE 3°. TRIM]]/TABLA_AVANCE_INDICADORES[[#This Row],[PROGR. 3° TRIM]])*100,"0")</f>
        <v>0</v>
      </c>
      <c r="AH45"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45" s="118">
        <v>419081362.79000002</v>
      </c>
      <c r="AJ45" s="119">
        <v>0</v>
      </c>
      <c r="AK45" s="40">
        <f>IFERROR((TABLA_AVANCE_INDICADORES[[#This Row],[AVANCE 4°. TRIM]]/TABLA_AVANCE_INDICADORES[[#This Row],[PROGR. 4° TRIM]])*100,"0")</f>
        <v>0</v>
      </c>
      <c r="AL45"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45"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0</v>
      </c>
      <c r="AN45"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O45" s="40" t="str">
        <f>IFERROR((TABLA_AVANCE_INDICADORES[[#This Row],[AVANCE ACUM. TRIM.]]/TABLA_AVANCE_INDICADORES[[#This Row],[PROG. ACUM]])*100,"N/A")</f>
        <v>N/A</v>
      </c>
      <c r="AP45"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NO PROG.</v>
      </c>
      <c r="AQ45" s="121">
        <f>TABLA_AVANCE_INDICADORES[[#This Row],[AVANCE ACUM. TRIM.]]-TABLA_AVANCE_INDICADORES[[#This Row],[PROG. ACUM]]</f>
        <v>0</v>
      </c>
      <c r="AR45" s="46" t="str">
        <f>IFERROR((TABLA_AVANCE_INDICADORES[[#This Row],[DIFERENCIA ABSOLUTA SEMESTRAL]]/TABLA_AVANCE_INDICADORES[[#This Row],[PROG. ACUM]])*100,"N/A")</f>
        <v>N/A</v>
      </c>
      <c r="AS45"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T45" s="40">
        <f>IFERROR((TABLA_AVANCE_INDICADORES[[#This Row],[AVANCE ACUM. ANUAL]]/TABLA_AVANCE_INDICADORES[[#This Row],[PROGRAMADO ANUAL]])*100,"N/A")</f>
        <v>0</v>
      </c>
      <c r="AU45"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45" s="121">
        <f>TABLA_AVANCE_INDICADORES[[#This Row],[AVANCE ACUM. ANUAL]]-TABLA_AVANCE_INDICADORES[[#This Row],[PROGRAMADO ANUAL]]</f>
        <v>-419081362.79000002</v>
      </c>
      <c r="AW45" s="46">
        <f>IFERROR((TABLA_AVANCE_INDICADORES[[#This Row],[DIFERENCIA ABSOLUTA ANUAL]]/TABLA_AVANCE_INDICADORES[[#This Row],[PROGRAMADO ANUAL]])*100,"N/A")</f>
        <v>-100</v>
      </c>
      <c r="AX45" s="123"/>
      <c r="AY45" s="49" t="s">
        <v>63</v>
      </c>
      <c r="AZ45" s="50"/>
      <c r="BA45" s="50"/>
      <c r="BB45"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46" spans="1:54" ht="63" hidden="1" customHeight="1" x14ac:dyDescent="0.3">
      <c r="A46" s="31" t="s">
        <v>879</v>
      </c>
      <c r="B46" s="113" t="s">
        <v>213</v>
      </c>
      <c r="C46" s="32" t="s">
        <v>214</v>
      </c>
      <c r="D46" s="114" t="s">
        <v>215</v>
      </c>
      <c r="E46" s="32" t="s">
        <v>254</v>
      </c>
      <c r="F46" s="115" t="s">
        <v>255</v>
      </c>
      <c r="G46" s="94" t="s">
        <v>256</v>
      </c>
      <c r="H46" s="94" t="s">
        <v>880</v>
      </c>
      <c r="I46" s="34" t="s">
        <v>723</v>
      </c>
      <c r="J46" s="34" t="s">
        <v>140</v>
      </c>
      <c r="K46" s="94" t="s">
        <v>141</v>
      </c>
      <c r="L46" s="34" t="s">
        <v>257</v>
      </c>
      <c r="M46" s="94" t="s">
        <v>258</v>
      </c>
      <c r="N46" s="33">
        <v>1</v>
      </c>
      <c r="O46" s="33" t="s">
        <v>743</v>
      </c>
      <c r="P46" s="125" t="s">
        <v>881</v>
      </c>
      <c r="Q46" s="125" t="s">
        <v>882</v>
      </c>
      <c r="R46" s="125" t="s">
        <v>883</v>
      </c>
      <c r="S46" s="56" t="s">
        <v>884</v>
      </c>
      <c r="T46" s="56" t="s">
        <v>885</v>
      </c>
      <c r="U46" s="56" t="s">
        <v>747</v>
      </c>
      <c r="V46" s="36">
        <v>710</v>
      </c>
      <c r="W46" s="36">
        <v>0</v>
      </c>
      <c r="X46" s="117">
        <v>0</v>
      </c>
      <c r="Y46" s="38" t="str">
        <f>IFERROR((TABLA_AVANCE_INDICADORES[[#This Row],[AVANCE 1°. TRIM]]/TABLA_AVANCE_INDICADORES[[#This Row],[PROGR. 1° TRIM]])*100,"0")</f>
        <v>0</v>
      </c>
      <c r="Z46"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46" s="118">
        <v>710</v>
      </c>
      <c r="AB46" s="119">
        <v>713</v>
      </c>
      <c r="AC46" s="40">
        <f t="shared" si="0"/>
        <v>100.4225352112676</v>
      </c>
      <c r="AD46" s="39" t="str">
        <f t="shared" si="1"/>
        <v>ADECUADO</v>
      </c>
      <c r="AE46" s="118">
        <v>0</v>
      </c>
      <c r="AF46" s="119">
        <v>0</v>
      </c>
      <c r="AG46" s="40" t="str">
        <f>IFERROR((TABLA_AVANCE_INDICADORES[[#This Row],[AVANCE 3°. TRIM]]/TABLA_AVANCE_INDICADORES[[#This Row],[PROGR. 3° TRIM]])*100,"0")</f>
        <v>0</v>
      </c>
      <c r="AH46"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46" s="118">
        <v>710</v>
      </c>
      <c r="AJ46" s="119">
        <v>0</v>
      </c>
      <c r="AK46" s="40">
        <f>IFERROR((TABLA_AVANCE_INDICADORES[[#This Row],[AVANCE 4°. TRIM]]/TABLA_AVANCE_INDICADORES[[#This Row],[PROGR. 4° TRIM]])*100,"0")</f>
        <v>0</v>
      </c>
      <c r="AL46"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46"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710</v>
      </c>
      <c r="AN46"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713</v>
      </c>
      <c r="AO46" s="40">
        <f>IFERROR((TABLA_AVANCE_INDICADORES[[#This Row],[AVANCE ACUM. TRIM.]]/TABLA_AVANCE_INDICADORES[[#This Row],[PROG. ACUM]])*100,"N/A")</f>
        <v>100.4225352112676</v>
      </c>
      <c r="AP46"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46" s="121">
        <f>TABLA_AVANCE_INDICADORES[[#This Row],[AVANCE ACUM. TRIM.]]-TABLA_AVANCE_INDICADORES[[#This Row],[PROG. ACUM]]</f>
        <v>3</v>
      </c>
      <c r="AR46" s="46">
        <f>IFERROR((TABLA_AVANCE_INDICADORES[[#This Row],[DIFERENCIA ABSOLUTA SEMESTRAL]]/TABLA_AVANCE_INDICADORES[[#This Row],[PROG. ACUM]])*100,"N/A")</f>
        <v>0.42253521126760557</v>
      </c>
      <c r="AS46"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713</v>
      </c>
      <c r="AT46" s="40">
        <f>IFERROR((TABLA_AVANCE_INDICADORES[[#This Row],[AVANCE ACUM. ANUAL]]/TABLA_AVANCE_INDICADORES[[#This Row],[PROGRAMADO ANUAL]])*100,"N/A")</f>
        <v>100.4225352112676</v>
      </c>
      <c r="AU46"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ADECUADO</v>
      </c>
      <c r="AV46" s="121">
        <f>TABLA_AVANCE_INDICADORES[[#This Row],[AVANCE ACUM. ANUAL]]-TABLA_AVANCE_INDICADORES[[#This Row],[PROGRAMADO ANUAL]]</f>
        <v>3</v>
      </c>
      <c r="AW46" s="46">
        <f>IFERROR((TABLA_AVANCE_INDICADORES[[#This Row],[DIFERENCIA ABSOLUTA ANUAL]]/TABLA_AVANCE_INDICADORES[[#This Row],[PROGRAMADO ANUAL]])*100,"N/A")</f>
        <v>0.42253521126760557</v>
      </c>
      <c r="AX46" s="123" t="s">
        <v>63</v>
      </c>
      <c r="AY46" s="49" t="s">
        <v>63</v>
      </c>
      <c r="AZ46" s="50"/>
      <c r="BA46" s="50"/>
      <c r="BB46" s="124">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710</v>
      </c>
    </row>
    <row r="47" spans="1:54" ht="63" hidden="1" customHeight="1" x14ac:dyDescent="0.3">
      <c r="A47" s="31" t="s">
        <v>886</v>
      </c>
      <c r="B47" s="113" t="s">
        <v>213</v>
      </c>
      <c r="C47" s="32" t="s">
        <v>214</v>
      </c>
      <c r="D47" s="114" t="s">
        <v>215</v>
      </c>
      <c r="E47" s="32" t="s">
        <v>254</v>
      </c>
      <c r="F47" s="115" t="s">
        <v>255</v>
      </c>
      <c r="G47" s="94" t="s">
        <v>256</v>
      </c>
      <c r="H47" s="94" t="s">
        <v>880</v>
      </c>
      <c r="I47" s="34" t="s">
        <v>723</v>
      </c>
      <c r="J47" s="34" t="s">
        <v>140</v>
      </c>
      <c r="K47" s="94" t="s">
        <v>141</v>
      </c>
      <c r="L47" s="34" t="s">
        <v>257</v>
      </c>
      <c r="M47" s="94" t="s">
        <v>258</v>
      </c>
      <c r="N47" s="33">
        <v>2</v>
      </c>
      <c r="O47" s="33" t="s">
        <v>743</v>
      </c>
      <c r="P47" s="125" t="s">
        <v>881</v>
      </c>
      <c r="Q47" s="125" t="s">
        <v>887</v>
      </c>
      <c r="R47" s="125" t="s">
        <v>883</v>
      </c>
      <c r="S47" s="56" t="s">
        <v>884</v>
      </c>
      <c r="T47" s="56" t="s">
        <v>888</v>
      </c>
      <c r="U47" s="56" t="s">
        <v>747</v>
      </c>
      <c r="V47" s="36">
        <v>718</v>
      </c>
      <c r="W47" s="36">
        <v>0</v>
      </c>
      <c r="X47" s="117">
        <v>0</v>
      </c>
      <c r="Y47" s="38" t="str">
        <f>IFERROR((TABLA_AVANCE_INDICADORES[[#This Row],[AVANCE 1°. TRIM]]/TABLA_AVANCE_INDICADORES[[#This Row],[PROGR. 1° TRIM]])*100,"0")</f>
        <v>0</v>
      </c>
      <c r="Z47"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47" s="118">
        <v>718</v>
      </c>
      <c r="AB47" s="126">
        <v>718</v>
      </c>
      <c r="AC47" s="40">
        <f t="shared" si="0"/>
        <v>100</v>
      </c>
      <c r="AD47" s="39" t="str">
        <f t="shared" si="1"/>
        <v>ADECUADO</v>
      </c>
      <c r="AE47" s="118">
        <v>0</v>
      </c>
      <c r="AF47" s="119">
        <v>0</v>
      </c>
      <c r="AG47" s="40" t="str">
        <f>IFERROR((TABLA_AVANCE_INDICADORES[[#This Row],[AVANCE 3°. TRIM]]/TABLA_AVANCE_INDICADORES[[#This Row],[PROGR. 3° TRIM]])*100,"0")</f>
        <v>0</v>
      </c>
      <c r="AH47"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47" s="118">
        <v>710</v>
      </c>
      <c r="AJ47" s="126">
        <f>AB46</f>
        <v>713</v>
      </c>
      <c r="AK47" s="40">
        <f>IFERROR((TABLA_AVANCE_INDICADORES[[#This Row],[AVANCE 4°. TRIM]]/TABLA_AVANCE_INDICADORES[[#This Row],[PROGR. 4° TRIM]])*100,"0")</f>
        <v>100.4225352112676</v>
      </c>
      <c r="AL47"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ADECUADO</v>
      </c>
      <c r="AM47"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718</v>
      </c>
      <c r="AN47"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718</v>
      </c>
      <c r="AO47" s="40">
        <f>IFERROR((TABLA_AVANCE_INDICADORES[[#This Row],[AVANCE ACUM. TRIM.]]/TABLA_AVANCE_INDICADORES[[#This Row],[PROG. ACUM]])*100,"N/A")</f>
        <v>100</v>
      </c>
      <c r="AP47"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47" s="121">
        <f>TABLA_AVANCE_INDICADORES[[#This Row],[AVANCE ACUM. TRIM.]]-TABLA_AVANCE_INDICADORES[[#This Row],[PROG. ACUM]]</f>
        <v>0</v>
      </c>
      <c r="AR47" s="46">
        <f>IFERROR((TABLA_AVANCE_INDICADORES[[#This Row],[DIFERENCIA ABSOLUTA SEMESTRAL]]/TABLA_AVANCE_INDICADORES[[#This Row],[PROG. ACUM]])*100,"N/A")</f>
        <v>0</v>
      </c>
      <c r="AS47"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718</v>
      </c>
      <c r="AT47" s="40">
        <f>IFERROR((TABLA_AVANCE_INDICADORES[[#This Row],[AVANCE ACUM. ANUAL]]/TABLA_AVANCE_INDICADORES[[#This Row],[PROGRAMADO ANUAL]])*100,"N/A")</f>
        <v>100</v>
      </c>
      <c r="AU47"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ADECUADO</v>
      </c>
      <c r="AV47" s="121">
        <f>TABLA_AVANCE_INDICADORES[[#This Row],[AVANCE ACUM. ANUAL]]-TABLA_AVANCE_INDICADORES[[#This Row],[PROGRAMADO ANUAL]]</f>
        <v>0</v>
      </c>
      <c r="AW47" s="46">
        <f>IFERROR((TABLA_AVANCE_INDICADORES[[#This Row],[DIFERENCIA ABSOLUTA ANUAL]]/TABLA_AVANCE_INDICADORES[[#This Row],[PROGRAMADO ANUAL]])*100,"N/A")</f>
        <v>0</v>
      </c>
      <c r="AX47" s="123" t="s">
        <v>63</v>
      </c>
      <c r="AY47" s="49" t="s">
        <v>63</v>
      </c>
      <c r="AZ47" s="50"/>
      <c r="BA47" s="50"/>
      <c r="BB47" s="124">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718</v>
      </c>
    </row>
    <row r="48" spans="1:54" ht="63" hidden="1" customHeight="1" x14ac:dyDescent="0.3">
      <c r="A48" s="65" t="s">
        <v>889</v>
      </c>
      <c r="B48" s="130" t="s">
        <v>242</v>
      </c>
      <c r="C48" s="66" t="s">
        <v>214</v>
      </c>
      <c r="D48" s="131" t="s">
        <v>215</v>
      </c>
      <c r="E48" s="66" t="s">
        <v>243</v>
      </c>
      <c r="F48" s="132" t="s">
        <v>244</v>
      </c>
      <c r="G48" s="133" t="s">
        <v>245</v>
      </c>
      <c r="H48" s="133" t="s">
        <v>866</v>
      </c>
      <c r="I48" s="68" t="s">
        <v>723</v>
      </c>
      <c r="J48" s="68" t="s">
        <v>140</v>
      </c>
      <c r="K48" s="133" t="s">
        <v>141</v>
      </c>
      <c r="L48" s="68" t="s">
        <v>228</v>
      </c>
      <c r="M48" s="133" t="s">
        <v>229</v>
      </c>
      <c r="N48" s="67">
        <v>1</v>
      </c>
      <c r="O48" s="67" t="s">
        <v>786</v>
      </c>
      <c r="P48" s="134" t="s">
        <v>890</v>
      </c>
      <c r="Q48" s="134" t="s">
        <v>891</v>
      </c>
      <c r="R48" s="134" t="s">
        <v>892</v>
      </c>
      <c r="S48" s="86" t="s">
        <v>893</v>
      </c>
      <c r="T48" s="86" t="s">
        <v>728</v>
      </c>
      <c r="U48" s="86" t="s">
        <v>747</v>
      </c>
      <c r="V48" s="70">
        <v>200905150.84999999</v>
      </c>
      <c r="W48" s="70">
        <v>0</v>
      </c>
      <c r="X48" s="135">
        <v>0</v>
      </c>
      <c r="Y48" s="71" t="str">
        <f>IFERROR((TABLA_AVANCE_INDICADORES[[#This Row],[AVANCE 1°. TRIM]]/TABLA_AVANCE_INDICADORES[[#This Row],[PROGR. 1° TRIM]])*100,"0")</f>
        <v>0</v>
      </c>
      <c r="Z48" s="72"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48" s="136">
        <v>17793150.43</v>
      </c>
      <c r="AB48" s="137">
        <v>0</v>
      </c>
      <c r="AC48" s="73">
        <f t="shared" si="0"/>
        <v>0</v>
      </c>
      <c r="AD48" s="72" t="str">
        <f t="shared" si="1"/>
        <v>CRÍTICO</v>
      </c>
      <c r="AE48" s="136">
        <v>0</v>
      </c>
      <c r="AF48" s="137">
        <v>0</v>
      </c>
      <c r="AG48" s="73" t="str">
        <f>IFERROR((TABLA_AVANCE_INDICADORES[[#This Row],[AVANCE 3°. TRIM]]/TABLA_AVANCE_INDICADORES[[#This Row],[PROGR. 3° TRIM]])*100,"0")</f>
        <v>0</v>
      </c>
      <c r="AH48" s="72"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48" s="136">
        <v>183112000.41999999</v>
      </c>
      <c r="AJ48" s="137">
        <v>0</v>
      </c>
      <c r="AK48" s="73">
        <f>IFERROR((TABLA_AVANCE_INDICADORES[[#This Row],[AVANCE 4°. TRIM]]/TABLA_AVANCE_INDICADORES[[#This Row],[PROGR. 4° TRIM]])*100,"0")</f>
        <v>0</v>
      </c>
      <c r="AL48" s="74"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48" s="89">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17793150.43</v>
      </c>
      <c r="AN48" s="7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O48" s="73">
        <f>IFERROR((TABLA_AVANCE_INDICADORES[[#This Row],[AVANCE ACUM. TRIM.]]/TABLA_AVANCE_INDICADORES[[#This Row],[PROG. ACUM]])*100,"N/A")</f>
        <v>0</v>
      </c>
      <c r="AP48" s="72"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CRÍTICO</v>
      </c>
      <c r="AQ48" s="138">
        <f>TABLA_AVANCE_INDICADORES[[#This Row],[AVANCE ACUM. TRIM.]]-TABLA_AVANCE_INDICADORES[[#This Row],[PROG. ACUM]]</f>
        <v>-17793150.43</v>
      </c>
      <c r="AR48" s="76">
        <f>IFERROR((TABLA_AVANCE_INDICADORES[[#This Row],[DIFERENCIA ABSOLUTA SEMESTRAL]]/TABLA_AVANCE_INDICADORES[[#This Row],[PROG. ACUM]])*100,"N/A")</f>
        <v>-100</v>
      </c>
      <c r="AS48" s="7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T48" s="73">
        <f>IFERROR((TABLA_AVANCE_INDICADORES[[#This Row],[AVANCE ACUM. ANUAL]]/TABLA_AVANCE_INDICADORES[[#This Row],[PROGRAMADO ANUAL]])*100,"N/A")</f>
        <v>0</v>
      </c>
      <c r="AU48" s="72"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48" s="138">
        <f>TABLA_AVANCE_INDICADORES[[#This Row],[AVANCE ACUM. ANUAL]]-TABLA_AVANCE_INDICADORES[[#This Row],[PROGRAMADO ANUAL]]</f>
        <v>-200905150.84999999</v>
      </c>
      <c r="AW48" s="76">
        <f>IFERROR((TABLA_AVANCE_INDICADORES[[#This Row],[DIFERENCIA ABSOLUTA ANUAL]]/TABLA_AVANCE_INDICADORES[[#This Row],[PROGRAMADO ANUAL]])*100,"N/A")</f>
        <v>-100</v>
      </c>
      <c r="AX48" s="139"/>
      <c r="AY48" s="80" t="s">
        <v>63</v>
      </c>
      <c r="AZ48" s="93"/>
      <c r="BA48" s="93"/>
      <c r="BB48" s="65"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49" spans="1:54" ht="63" hidden="1" customHeight="1" x14ac:dyDescent="0.3">
      <c r="A49" s="65" t="s">
        <v>894</v>
      </c>
      <c r="B49" s="130" t="s">
        <v>242</v>
      </c>
      <c r="C49" s="66" t="s">
        <v>214</v>
      </c>
      <c r="D49" s="131" t="s">
        <v>215</v>
      </c>
      <c r="E49" s="66" t="s">
        <v>243</v>
      </c>
      <c r="F49" s="132" t="s">
        <v>244</v>
      </c>
      <c r="G49" s="133" t="s">
        <v>245</v>
      </c>
      <c r="H49" s="133" t="s">
        <v>866</v>
      </c>
      <c r="I49" s="68" t="s">
        <v>723</v>
      </c>
      <c r="J49" s="68" t="s">
        <v>140</v>
      </c>
      <c r="K49" s="133" t="s">
        <v>141</v>
      </c>
      <c r="L49" s="68" t="s">
        <v>228</v>
      </c>
      <c r="M49" s="133" t="s">
        <v>229</v>
      </c>
      <c r="N49" s="67">
        <v>2</v>
      </c>
      <c r="O49" s="67" t="s">
        <v>786</v>
      </c>
      <c r="P49" s="140" t="s">
        <v>890</v>
      </c>
      <c r="Q49" s="140" t="s">
        <v>895</v>
      </c>
      <c r="R49" s="140" t="s">
        <v>892</v>
      </c>
      <c r="S49" s="86" t="s">
        <v>893</v>
      </c>
      <c r="T49" s="86" t="s">
        <v>728</v>
      </c>
      <c r="U49" s="86" t="s">
        <v>747</v>
      </c>
      <c r="V49" s="70">
        <v>217513427.17999998</v>
      </c>
      <c r="W49" s="70">
        <v>0</v>
      </c>
      <c r="X49" s="135">
        <v>0</v>
      </c>
      <c r="Y49" s="71" t="str">
        <f>IFERROR((TABLA_AVANCE_INDICADORES[[#This Row],[AVANCE 1°. TRIM]]/TABLA_AVANCE_INDICADORES[[#This Row],[PROGR. 1° TRIM]])*100,"0")</f>
        <v>0</v>
      </c>
      <c r="Z49" s="72"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49" s="136">
        <v>34401426.759999998</v>
      </c>
      <c r="AB49" s="137">
        <v>34401426.759999998</v>
      </c>
      <c r="AC49" s="73">
        <f t="shared" si="0"/>
        <v>100</v>
      </c>
      <c r="AD49" s="72" t="str">
        <f t="shared" si="1"/>
        <v>ADECUADO</v>
      </c>
      <c r="AE49" s="136">
        <v>0</v>
      </c>
      <c r="AF49" s="137">
        <v>0</v>
      </c>
      <c r="AG49" s="73" t="str">
        <f>IFERROR((TABLA_AVANCE_INDICADORES[[#This Row],[AVANCE 3°. TRIM]]/TABLA_AVANCE_INDICADORES[[#This Row],[PROGR. 3° TRIM]])*100,"0")</f>
        <v>0</v>
      </c>
      <c r="AH49" s="72"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49" s="136">
        <v>183112000.41999999</v>
      </c>
      <c r="AJ49" s="137">
        <f>AB48</f>
        <v>0</v>
      </c>
      <c r="AK49" s="73">
        <f>IFERROR((TABLA_AVANCE_INDICADORES[[#This Row],[AVANCE 4°. TRIM]]/TABLA_AVANCE_INDICADORES[[#This Row],[PROGR. 4° TRIM]])*100,"0")</f>
        <v>0</v>
      </c>
      <c r="AL49" s="74"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49" s="89">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34401426.759999998</v>
      </c>
      <c r="AN49" s="7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34401426.759999998</v>
      </c>
      <c r="AO49" s="73">
        <f>IFERROR((TABLA_AVANCE_INDICADORES[[#This Row],[AVANCE ACUM. TRIM.]]/TABLA_AVANCE_INDICADORES[[#This Row],[PROG. ACUM]])*100,"N/A")</f>
        <v>100</v>
      </c>
      <c r="AP49" s="72"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49" s="138">
        <f>TABLA_AVANCE_INDICADORES[[#This Row],[AVANCE ACUM. TRIM.]]-TABLA_AVANCE_INDICADORES[[#This Row],[PROG. ACUM]]</f>
        <v>0</v>
      </c>
      <c r="AR49" s="76">
        <f>IFERROR((TABLA_AVANCE_INDICADORES[[#This Row],[DIFERENCIA ABSOLUTA SEMESTRAL]]/TABLA_AVANCE_INDICADORES[[#This Row],[PROG. ACUM]])*100,"N/A")</f>
        <v>0</v>
      </c>
      <c r="AS49" s="7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34401426.759999998</v>
      </c>
      <c r="AT49" s="73">
        <f>IFERROR((TABLA_AVANCE_INDICADORES[[#This Row],[AVANCE ACUM. ANUAL]]/TABLA_AVANCE_INDICADORES[[#This Row],[PROGRAMADO ANUAL]])*100,"N/A")</f>
        <v>15.815771562245494</v>
      </c>
      <c r="AU49" s="72"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49" s="138">
        <f>TABLA_AVANCE_INDICADORES[[#This Row],[AVANCE ACUM. ANUAL]]-TABLA_AVANCE_INDICADORES[[#This Row],[PROGRAMADO ANUAL]]</f>
        <v>-183112000.41999999</v>
      </c>
      <c r="AW49" s="76">
        <f>IFERROR((TABLA_AVANCE_INDICADORES[[#This Row],[DIFERENCIA ABSOLUTA ANUAL]]/TABLA_AVANCE_INDICADORES[[#This Row],[PROGRAMADO ANUAL]])*100,"N/A")</f>
        <v>-84.184228437754498</v>
      </c>
      <c r="AX49" s="139"/>
      <c r="AY49" s="80" t="s">
        <v>63</v>
      </c>
      <c r="AZ49" s="93"/>
      <c r="BA49" s="93"/>
      <c r="BB49" s="65"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50" spans="1:54" ht="63" hidden="1" customHeight="1" x14ac:dyDescent="0.3">
      <c r="A50" s="31" t="s">
        <v>896</v>
      </c>
      <c r="B50" s="113" t="s">
        <v>136</v>
      </c>
      <c r="C50" s="32" t="s">
        <v>75</v>
      </c>
      <c r="D50" s="114" t="s">
        <v>76</v>
      </c>
      <c r="E50" s="32" t="s">
        <v>137</v>
      </c>
      <c r="F50" s="115" t="s">
        <v>138</v>
      </c>
      <c r="G50" s="94" t="s">
        <v>139</v>
      </c>
      <c r="H50" s="94" t="s">
        <v>897</v>
      </c>
      <c r="I50" s="34" t="s">
        <v>723</v>
      </c>
      <c r="J50" s="34" t="s">
        <v>140</v>
      </c>
      <c r="K50" s="94" t="s">
        <v>141</v>
      </c>
      <c r="L50" s="34" t="s">
        <v>142</v>
      </c>
      <c r="M50" s="94" t="s">
        <v>143</v>
      </c>
      <c r="N50" s="33">
        <v>1</v>
      </c>
      <c r="O50" s="33" t="s">
        <v>898</v>
      </c>
      <c r="P50" s="125" t="s">
        <v>899</v>
      </c>
      <c r="Q50" s="125" t="s">
        <v>900</v>
      </c>
      <c r="R50" s="125" t="s">
        <v>901</v>
      </c>
      <c r="S50" s="56" t="s">
        <v>145</v>
      </c>
      <c r="T50" s="56" t="s">
        <v>832</v>
      </c>
      <c r="U50" s="56" t="s">
        <v>747</v>
      </c>
      <c r="V50" s="36">
        <v>1</v>
      </c>
      <c r="W50" s="36">
        <v>0</v>
      </c>
      <c r="X50" s="117">
        <v>0</v>
      </c>
      <c r="Y50" s="38" t="str">
        <f>IFERROR((TABLA_AVANCE_INDICADORES[[#This Row],[AVANCE 1°. TRIM]]/TABLA_AVANCE_INDICADORES[[#This Row],[PROGR. 1° TRIM]])*100,"0")</f>
        <v>0</v>
      </c>
      <c r="Z50"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50" s="118">
        <v>1</v>
      </c>
      <c r="AB50" s="119">
        <v>1</v>
      </c>
      <c r="AC50" s="40">
        <f t="shared" si="0"/>
        <v>100</v>
      </c>
      <c r="AD50" s="39" t="str">
        <f t="shared" si="1"/>
        <v>ADECUADO</v>
      </c>
      <c r="AE50" s="118">
        <v>0</v>
      </c>
      <c r="AF50" s="119">
        <v>0</v>
      </c>
      <c r="AG50" s="40" t="str">
        <f>IFERROR((TABLA_AVANCE_INDICADORES[[#This Row],[AVANCE 3°. TRIM]]/TABLA_AVANCE_INDICADORES[[#This Row],[PROGR. 3° TRIM]])*100,"0")</f>
        <v>0</v>
      </c>
      <c r="AH50"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50" s="118">
        <v>1</v>
      </c>
      <c r="AJ50" s="119">
        <v>0</v>
      </c>
      <c r="AK50" s="40">
        <f>IFERROR((TABLA_AVANCE_INDICADORES[[#This Row],[AVANCE 4°. TRIM]]/TABLA_AVANCE_INDICADORES[[#This Row],[PROGR. 4° TRIM]])*100,"0")</f>
        <v>0</v>
      </c>
      <c r="AL50"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50"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1</v>
      </c>
      <c r="AN50"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v>
      </c>
      <c r="AO50" s="40">
        <f>IFERROR((TABLA_AVANCE_INDICADORES[[#This Row],[AVANCE ACUM. TRIM.]]/TABLA_AVANCE_INDICADORES[[#This Row],[PROG. ACUM]])*100,"N/A")</f>
        <v>100</v>
      </c>
      <c r="AP50"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50" s="121">
        <f>TABLA_AVANCE_INDICADORES[[#This Row],[AVANCE ACUM. TRIM.]]-TABLA_AVANCE_INDICADORES[[#This Row],[PROG. ACUM]]</f>
        <v>0</v>
      </c>
      <c r="AR50" s="46">
        <f>IFERROR((TABLA_AVANCE_INDICADORES[[#This Row],[DIFERENCIA ABSOLUTA SEMESTRAL]]/TABLA_AVANCE_INDICADORES[[#This Row],[PROG. ACUM]])*100,"N/A")</f>
        <v>0</v>
      </c>
      <c r="AS50"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v>
      </c>
      <c r="AT50" s="40">
        <f>IFERROR((TABLA_AVANCE_INDICADORES[[#This Row],[AVANCE ACUM. ANUAL]]/TABLA_AVANCE_INDICADORES[[#This Row],[PROGRAMADO ANUAL]])*100,"N/A")</f>
        <v>100</v>
      </c>
      <c r="AU50"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ADECUADO</v>
      </c>
      <c r="AV50" s="121">
        <f>TABLA_AVANCE_INDICADORES[[#This Row],[AVANCE ACUM. ANUAL]]-TABLA_AVANCE_INDICADORES[[#This Row],[PROGRAMADO ANUAL]]</f>
        <v>0</v>
      </c>
      <c r="AW50" s="46">
        <f>IFERROR((TABLA_AVANCE_INDICADORES[[#This Row],[DIFERENCIA ABSOLUTA ANUAL]]/TABLA_AVANCE_INDICADORES[[#This Row],[PROGRAMADO ANUAL]])*100,"N/A")</f>
        <v>0</v>
      </c>
      <c r="AX50" s="123" t="s">
        <v>63</v>
      </c>
      <c r="AY50" s="49" t="e">
        <v>#N/A</v>
      </c>
      <c r="AZ50" s="50"/>
      <c r="BA50" s="50"/>
      <c r="BB50" s="124">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1</v>
      </c>
    </row>
    <row r="51" spans="1:54" ht="63" hidden="1" customHeight="1" x14ac:dyDescent="0.3">
      <c r="A51" s="31" t="s">
        <v>902</v>
      </c>
      <c r="B51" s="113" t="s">
        <v>136</v>
      </c>
      <c r="C51" s="32" t="s">
        <v>75</v>
      </c>
      <c r="D51" s="114" t="s">
        <v>76</v>
      </c>
      <c r="E51" s="32" t="s">
        <v>137</v>
      </c>
      <c r="F51" s="115" t="s">
        <v>138</v>
      </c>
      <c r="G51" s="94" t="s">
        <v>139</v>
      </c>
      <c r="H51" s="94" t="s">
        <v>897</v>
      </c>
      <c r="I51" s="34" t="s">
        <v>723</v>
      </c>
      <c r="J51" s="34" t="s">
        <v>140</v>
      </c>
      <c r="K51" s="94" t="s">
        <v>141</v>
      </c>
      <c r="L51" s="34" t="s">
        <v>142</v>
      </c>
      <c r="M51" s="94" t="s">
        <v>143</v>
      </c>
      <c r="N51" s="33">
        <v>2</v>
      </c>
      <c r="O51" s="33" t="s">
        <v>898</v>
      </c>
      <c r="P51" s="116" t="s">
        <v>899</v>
      </c>
      <c r="Q51" s="116" t="s">
        <v>903</v>
      </c>
      <c r="R51" s="116" t="s">
        <v>901</v>
      </c>
      <c r="S51" s="56" t="s">
        <v>145</v>
      </c>
      <c r="T51" s="56" t="s">
        <v>832</v>
      </c>
      <c r="U51" s="56" t="s">
        <v>747</v>
      </c>
      <c r="V51" s="36">
        <v>2</v>
      </c>
      <c r="W51" s="36">
        <v>0</v>
      </c>
      <c r="X51" s="117">
        <v>0</v>
      </c>
      <c r="Y51" s="38" t="str">
        <f>IFERROR((TABLA_AVANCE_INDICADORES[[#This Row],[AVANCE 1°. TRIM]]/TABLA_AVANCE_INDICADORES[[#This Row],[PROGR. 1° TRIM]])*100,"0")</f>
        <v>0</v>
      </c>
      <c r="Z51"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51" s="118">
        <v>1</v>
      </c>
      <c r="AB51" s="126">
        <v>1</v>
      </c>
      <c r="AC51" s="40">
        <f t="shared" si="0"/>
        <v>100</v>
      </c>
      <c r="AD51" s="39" t="str">
        <f t="shared" si="1"/>
        <v>ADECUADO</v>
      </c>
      <c r="AE51" s="118">
        <v>0</v>
      </c>
      <c r="AF51" s="119">
        <v>0</v>
      </c>
      <c r="AG51" s="40" t="str">
        <f>IFERROR((TABLA_AVANCE_INDICADORES[[#This Row],[AVANCE 3°. TRIM]]/TABLA_AVANCE_INDICADORES[[#This Row],[PROGR. 3° TRIM]])*100,"0")</f>
        <v>0</v>
      </c>
      <c r="AH51"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51" s="118">
        <v>1</v>
      </c>
      <c r="AJ51" s="126">
        <f>AB50</f>
        <v>1</v>
      </c>
      <c r="AK51" s="40">
        <f>IFERROR((TABLA_AVANCE_INDICADORES[[#This Row],[AVANCE 4°. TRIM]]/TABLA_AVANCE_INDICADORES[[#This Row],[PROGR. 4° TRIM]])*100,"0")</f>
        <v>100</v>
      </c>
      <c r="AL51"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ADECUADO</v>
      </c>
      <c r="AM51"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1</v>
      </c>
      <c r="AN51"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v>
      </c>
      <c r="AO51" s="40">
        <f>IFERROR((TABLA_AVANCE_INDICADORES[[#This Row],[AVANCE ACUM. TRIM.]]/TABLA_AVANCE_INDICADORES[[#This Row],[PROG. ACUM]])*100,"N/A")</f>
        <v>100</v>
      </c>
      <c r="AP51"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51" s="121">
        <f>TABLA_AVANCE_INDICADORES[[#This Row],[AVANCE ACUM. TRIM.]]-TABLA_AVANCE_INDICADORES[[#This Row],[PROG. ACUM]]</f>
        <v>0</v>
      </c>
      <c r="AR51" s="46">
        <f>IFERROR((TABLA_AVANCE_INDICADORES[[#This Row],[DIFERENCIA ABSOLUTA SEMESTRAL]]/TABLA_AVANCE_INDICADORES[[#This Row],[PROG. ACUM]])*100,"N/A")</f>
        <v>0</v>
      </c>
      <c r="AS51"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v>
      </c>
      <c r="AT51" s="40">
        <f>IFERROR((TABLA_AVANCE_INDICADORES[[#This Row],[AVANCE ACUM. ANUAL]]/TABLA_AVANCE_INDICADORES[[#This Row],[PROGRAMADO ANUAL]])*100,"N/A")</f>
        <v>50</v>
      </c>
      <c r="AU51"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51" s="121">
        <f>TABLA_AVANCE_INDICADORES[[#This Row],[AVANCE ACUM. ANUAL]]-TABLA_AVANCE_INDICADORES[[#This Row],[PROGRAMADO ANUAL]]</f>
        <v>-1</v>
      </c>
      <c r="AW51" s="46">
        <f>IFERROR((TABLA_AVANCE_INDICADORES[[#This Row],[DIFERENCIA ABSOLUTA ANUAL]]/TABLA_AVANCE_INDICADORES[[#This Row],[PROGRAMADO ANUAL]])*100,"N/A")</f>
        <v>-50</v>
      </c>
      <c r="AX51" s="123" t="s">
        <v>63</v>
      </c>
      <c r="AY51" s="49" t="e">
        <v>#N/A</v>
      </c>
      <c r="AZ51" s="50"/>
      <c r="BA51" s="50"/>
      <c r="BB51" s="124">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1</v>
      </c>
    </row>
    <row r="52" spans="1:54" ht="63" hidden="1" customHeight="1" x14ac:dyDescent="0.3">
      <c r="A52" s="31" t="s">
        <v>904</v>
      </c>
      <c r="B52" s="113" t="s">
        <v>158</v>
      </c>
      <c r="C52" s="32" t="s">
        <v>75</v>
      </c>
      <c r="D52" s="114" t="s">
        <v>76</v>
      </c>
      <c r="E52" s="32" t="s">
        <v>159</v>
      </c>
      <c r="F52" s="115" t="s">
        <v>160</v>
      </c>
      <c r="G52" s="94" t="s">
        <v>161</v>
      </c>
      <c r="H52" s="94" t="s">
        <v>905</v>
      </c>
      <c r="I52" s="34" t="s">
        <v>723</v>
      </c>
      <c r="J52" s="34" t="s">
        <v>140</v>
      </c>
      <c r="K52" s="94" t="s">
        <v>141</v>
      </c>
      <c r="L52" s="34" t="s">
        <v>162</v>
      </c>
      <c r="M52" s="94" t="s">
        <v>163</v>
      </c>
      <c r="N52" s="33">
        <v>1</v>
      </c>
      <c r="O52" s="33" t="s">
        <v>906</v>
      </c>
      <c r="P52" s="116" t="s">
        <v>907</v>
      </c>
      <c r="Q52" s="116" t="s">
        <v>908</v>
      </c>
      <c r="R52" s="116" t="s">
        <v>909</v>
      </c>
      <c r="S52" s="56" t="s">
        <v>155</v>
      </c>
      <c r="T52" s="56" t="s">
        <v>832</v>
      </c>
      <c r="U52" s="56" t="s">
        <v>755</v>
      </c>
      <c r="V52" s="36">
        <v>1</v>
      </c>
      <c r="W52" s="36">
        <v>0</v>
      </c>
      <c r="X52" s="117">
        <v>0</v>
      </c>
      <c r="Y52" s="38" t="str">
        <f>IFERROR((TABLA_AVANCE_INDICADORES[[#This Row],[AVANCE 1°. TRIM]]/TABLA_AVANCE_INDICADORES[[#This Row],[PROGR. 1° TRIM]])*100,"0")</f>
        <v>0</v>
      </c>
      <c r="Z52"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52" s="118">
        <v>0</v>
      </c>
      <c r="AB52" s="119">
        <v>0</v>
      </c>
      <c r="AC52" s="40" t="str">
        <f t="shared" si="0"/>
        <v>0</v>
      </c>
      <c r="AD52" s="39" t="str">
        <f t="shared" si="1"/>
        <v>NO PROG.</v>
      </c>
      <c r="AE52" s="118">
        <v>0</v>
      </c>
      <c r="AF52" s="119">
        <v>0</v>
      </c>
      <c r="AG52" s="40" t="str">
        <f>IFERROR((TABLA_AVANCE_INDICADORES[[#This Row],[AVANCE 3°. TRIM]]/TABLA_AVANCE_INDICADORES[[#This Row],[PROGR. 3° TRIM]])*100,"0")</f>
        <v>0</v>
      </c>
      <c r="AH52"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52" s="118">
        <v>1</v>
      </c>
      <c r="AJ52" s="119">
        <v>0</v>
      </c>
      <c r="AK52" s="40">
        <f>IFERROR((TABLA_AVANCE_INDICADORES[[#This Row],[AVANCE 4°. TRIM]]/TABLA_AVANCE_INDICADORES[[#This Row],[PROGR. 4° TRIM]])*100,"0")</f>
        <v>0</v>
      </c>
      <c r="AL52"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52"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0</v>
      </c>
      <c r="AN52"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O52" s="40" t="str">
        <f>IFERROR((TABLA_AVANCE_INDICADORES[[#This Row],[AVANCE ACUM. TRIM.]]/TABLA_AVANCE_INDICADORES[[#This Row],[PROG. ACUM]])*100,"N/A")</f>
        <v>N/A</v>
      </c>
      <c r="AP52"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NO PROG.</v>
      </c>
      <c r="AQ52" s="121">
        <f>TABLA_AVANCE_INDICADORES[[#This Row],[AVANCE ACUM. TRIM.]]-TABLA_AVANCE_INDICADORES[[#This Row],[PROG. ACUM]]</f>
        <v>0</v>
      </c>
      <c r="AR52" s="46" t="str">
        <f>IFERROR((TABLA_AVANCE_INDICADORES[[#This Row],[DIFERENCIA ABSOLUTA SEMESTRAL]]/TABLA_AVANCE_INDICADORES[[#This Row],[PROG. ACUM]])*100,"N/A")</f>
        <v>N/A</v>
      </c>
      <c r="AS52"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T52" s="40">
        <f>IFERROR((TABLA_AVANCE_INDICADORES[[#This Row],[AVANCE ACUM. ANUAL]]/TABLA_AVANCE_INDICADORES[[#This Row],[PROGRAMADO ANUAL]])*100,"N/A")</f>
        <v>0</v>
      </c>
      <c r="AU52"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52" s="121">
        <f>TABLA_AVANCE_INDICADORES[[#This Row],[AVANCE ACUM. ANUAL]]-TABLA_AVANCE_INDICADORES[[#This Row],[PROGRAMADO ANUAL]]</f>
        <v>-1</v>
      </c>
      <c r="AW52" s="46">
        <f>IFERROR((TABLA_AVANCE_INDICADORES[[#This Row],[DIFERENCIA ABSOLUTA ANUAL]]/TABLA_AVANCE_INDICADORES[[#This Row],[PROGRAMADO ANUAL]])*100,"N/A")</f>
        <v>-100</v>
      </c>
      <c r="AX52" s="123" t="s">
        <v>63</v>
      </c>
      <c r="AY52" s="49" t="s">
        <v>63</v>
      </c>
      <c r="AZ52" s="50"/>
      <c r="BA52" s="50"/>
      <c r="BB52" s="124">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0</v>
      </c>
    </row>
    <row r="53" spans="1:54" ht="63" hidden="1" customHeight="1" x14ac:dyDescent="0.3">
      <c r="A53" s="31" t="s">
        <v>910</v>
      </c>
      <c r="B53" s="113" t="s">
        <v>158</v>
      </c>
      <c r="C53" s="32" t="s">
        <v>75</v>
      </c>
      <c r="D53" s="114" t="s">
        <v>76</v>
      </c>
      <c r="E53" s="32" t="s">
        <v>159</v>
      </c>
      <c r="F53" s="115" t="s">
        <v>160</v>
      </c>
      <c r="G53" s="94" t="s">
        <v>161</v>
      </c>
      <c r="H53" s="94" t="s">
        <v>905</v>
      </c>
      <c r="I53" s="34" t="s">
        <v>723</v>
      </c>
      <c r="J53" s="34" t="s">
        <v>140</v>
      </c>
      <c r="K53" s="94" t="s">
        <v>141</v>
      </c>
      <c r="L53" s="34" t="s">
        <v>162</v>
      </c>
      <c r="M53" s="94" t="s">
        <v>163</v>
      </c>
      <c r="N53" s="33">
        <v>2</v>
      </c>
      <c r="O53" s="33" t="s">
        <v>906</v>
      </c>
      <c r="P53" s="116" t="s">
        <v>907</v>
      </c>
      <c r="Q53" s="116" t="s">
        <v>911</v>
      </c>
      <c r="R53" s="116" t="s">
        <v>909</v>
      </c>
      <c r="S53" s="56" t="s">
        <v>155</v>
      </c>
      <c r="T53" s="56" t="s">
        <v>832</v>
      </c>
      <c r="U53" s="56" t="s">
        <v>755</v>
      </c>
      <c r="V53" s="36">
        <v>1</v>
      </c>
      <c r="W53" s="36">
        <v>0</v>
      </c>
      <c r="X53" s="117">
        <v>0</v>
      </c>
      <c r="Y53" s="38" t="str">
        <f>IFERROR((TABLA_AVANCE_INDICADORES[[#This Row],[AVANCE 1°. TRIM]]/TABLA_AVANCE_INDICADORES[[#This Row],[PROGR. 1° TRIM]])*100,"0")</f>
        <v>0</v>
      </c>
      <c r="Z53"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53" s="118">
        <v>1</v>
      </c>
      <c r="AB53" s="119">
        <v>1</v>
      </c>
      <c r="AC53" s="40">
        <f t="shared" si="0"/>
        <v>100</v>
      </c>
      <c r="AD53" s="39" t="str">
        <f t="shared" si="1"/>
        <v>ADECUADO</v>
      </c>
      <c r="AE53" s="118">
        <v>0</v>
      </c>
      <c r="AF53" s="119">
        <v>0</v>
      </c>
      <c r="AG53" s="40" t="str">
        <f>IFERROR((TABLA_AVANCE_INDICADORES[[#This Row],[AVANCE 3°. TRIM]]/TABLA_AVANCE_INDICADORES[[#This Row],[PROGR. 3° TRIM]])*100,"0")</f>
        <v>0</v>
      </c>
      <c r="AH53"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53" s="118">
        <v>0</v>
      </c>
      <c r="AJ53" s="119">
        <v>0</v>
      </c>
      <c r="AK53" s="40" t="str">
        <f>IFERROR((TABLA_AVANCE_INDICADORES[[#This Row],[AVANCE 4°. TRIM]]/TABLA_AVANCE_INDICADORES[[#This Row],[PROGR. 4° TRIM]])*100,"0")</f>
        <v>0</v>
      </c>
      <c r="AL53"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NO PROG.</v>
      </c>
      <c r="AM53"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1</v>
      </c>
      <c r="AN53"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v>
      </c>
      <c r="AO53" s="40">
        <f>IFERROR((TABLA_AVANCE_INDICADORES[[#This Row],[AVANCE ACUM. TRIM.]]/TABLA_AVANCE_INDICADORES[[#This Row],[PROG. ACUM]])*100,"N/A")</f>
        <v>100</v>
      </c>
      <c r="AP53"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53" s="121">
        <f>TABLA_AVANCE_INDICADORES[[#This Row],[AVANCE ACUM. TRIM.]]-TABLA_AVANCE_INDICADORES[[#This Row],[PROG. ACUM]]</f>
        <v>0</v>
      </c>
      <c r="AR53" s="46">
        <f>IFERROR((TABLA_AVANCE_INDICADORES[[#This Row],[DIFERENCIA ABSOLUTA SEMESTRAL]]/TABLA_AVANCE_INDICADORES[[#This Row],[PROG. ACUM]])*100,"N/A")</f>
        <v>0</v>
      </c>
      <c r="AS53"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v>
      </c>
      <c r="AT53" s="40">
        <f>IFERROR((TABLA_AVANCE_INDICADORES[[#This Row],[AVANCE ACUM. ANUAL]]/TABLA_AVANCE_INDICADORES[[#This Row],[PROGRAMADO ANUAL]])*100,"N/A")</f>
        <v>100</v>
      </c>
      <c r="AU53"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ADECUADO</v>
      </c>
      <c r="AV53" s="121">
        <f>TABLA_AVANCE_INDICADORES[[#This Row],[AVANCE ACUM. ANUAL]]-TABLA_AVANCE_INDICADORES[[#This Row],[PROGRAMADO ANUAL]]</f>
        <v>0</v>
      </c>
      <c r="AW53" s="46">
        <f>IFERROR((TABLA_AVANCE_INDICADORES[[#This Row],[DIFERENCIA ABSOLUTA ANUAL]]/TABLA_AVANCE_INDICADORES[[#This Row],[PROGRAMADO ANUAL]])*100,"N/A")</f>
        <v>0</v>
      </c>
      <c r="AX53" s="123" t="s">
        <v>63</v>
      </c>
      <c r="AY53" s="49" t="s">
        <v>63</v>
      </c>
      <c r="AZ53" s="50"/>
      <c r="BA53" s="50"/>
      <c r="BB53" s="124">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1</v>
      </c>
    </row>
    <row r="54" spans="1:54" ht="63" hidden="1" customHeight="1" x14ac:dyDescent="0.3">
      <c r="A54" s="31" t="s">
        <v>912</v>
      </c>
      <c r="B54" s="113" t="s">
        <v>136</v>
      </c>
      <c r="C54" s="32" t="s">
        <v>75</v>
      </c>
      <c r="D54" s="114" t="s">
        <v>76</v>
      </c>
      <c r="E54" s="32" t="s">
        <v>137</v>
      </c>
      <c r="F54" s="115" t="s">
        <v>138</v>
      </c>
      <c r="G54" s="94" t="s">
        <v>139</v>
      </c>
      <c r="H54" s="94" t="s">
        <v>897</v>
      </c>
      <c r="I54" s="34" t="s">
        <v>723</v>
      </c>
      <c r="J54" s="34" t="s">
        <v>140</v>
      </c>
      <c r="K54" s="94" t="s">
        <v>141</v>
      </c>
      <c r="L54" s="34" t="s">
        <v>142</v>
      </c>
      <c r="M54" s="94" t="s">
        <v>143</v>
      </c>
      <c r="N54" s="33">
        <v>1</v>
      </c>
      <c r="O54" s="33" t="s">
        <v>913</v>
      </c>
      <c r="P54" s="116" t="s">
        <v>914</v>
      </c>
      <c r="Q54" s="116" t="s">
        <v>915</v>
      </c>
      <c r="R54" s="116" t="s">
        <v>916</v>
      </c>
      <c r="S54" s="56" t="s">
        <v>151</v>
      </c>
      <c r="T54" s="56" t="s">
        <v>832</v>
      </c>
      <c r="U54" s="56" t="s">
        <v>755</v>
      </c>
      <c r="V54" s="36">
        <v>1</v>
      </c>
      <c r="W54" s="36">
        <v>1</v>
      </c>
      <c r="X54" s="117">
        <v>1</v>
      </c>
      <c r="Y54" s="38">
        <f>IFERROR((TABLA_AVANCE_INDICADORES[[#This Row],[AVANCE 1°. TRIM]]/TABLA_AVANCE_INDICADORES[[#This Row],[PROGR. 1° TRIM]])*100,"0")</f>
        <v>100</v>
      </c>
      <c r="Z54"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54" s="118">
        <v>1</v>
      </c>
      <c r="AB54" s="119">
        <v>1</v>
      </c>
      <c r="AC54" s="40">
        <f t="shared" si="0"/>
        <v>100</v>
      </c>
      <c r="AD54" s="39" t="str">
        <f t="shared" si="1"/>
        <v>ADECUADO</v>
      </c>
      <c r="AE54" s="118">
        <v>1</v>
      </c>
      <c r="AF54" s="119">
        <v>0</v>
      </c>
      <c r="AG54" s="40">
        <f>IFERROR((TABLA_AVANCE_INDICADORES[[#This Row],[AVANCE 3°. TRIM]]/TABLA_AVANCE_INDICADORES[[#This Row],[PROGR. 3° TRIM]])*100,"0")</f>
        <v>0</v>
      </c>
      <c r="AH54"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CRÍTICO</v>
      </c>
      <c r="AI54" s="118">
        <v>1</v>
      </c>
      <c r="AJ54" s="119">
        <v>0</v>
      </c>
      <c r="AK54" s="40">
        <f>IFERROR((TABLA_AVANCE_INDICADORES[[#This Row],[AVANCE 4°. TRIM]]/TABLA_AVANCE_INDICADORES[[#This Row],[PROGR. 4° TRIM]])*100,"0")</f>
        <v>0</v>
      </c>
      <c r="AL54"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54"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1</v>
      </c>
      <c r="AN54"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v>
      </c>
      <c r="AO54" s="40">
        <f>IFERROR((TABLA_AVANCE_INDICADORES[[#This Row],[AVANCE ACUM. TRIM.]]/TABLA_AVANCE_INDICADORES[[#This Row],[PROG. ACUM]])*100,"N/A")</f>
        <v>100</v>
      </c>
      <c r="AP54"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54" s="121">
        <f>TABLA_AVANCE_INDICADORES[[#This Row],[AVANCE ACUM. TRIM.]]-TABLA_AVANCE_INDICADORES[[#This Row],[PROG. ACUM]]</f>
        <v>0</v>
      </c>
      <c r="AR54" s="46">
        <f>IFERROR((TABLA_AVANCE_INDICADORES[[#This Row],[DIFERENCIA ABSOLUTA SEMESTRAL]]/TABLA_AVANCE_INDICADORES[[#This Row],[PROG. ACUM]])*100,"N/A")</f>
        <v>0</v>
      </c>
      <c r="AS54"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v>
      </c>
      <c r="AT54" s="40">
        <f>IFERROR((TABLA_AVANCE_INDICADORES[[#This Row],[AVANCE ACUM. ANUAL]]/TABLA_AVANCE_INDICADORES[[#This Row],[PROGRAMADO ANUAL]])*100,"N/A")</f>
        <v>100</v>
      </c>
      <c r="AU54"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ADECUADO</v>
      </c>
      <c r="AV54" s="121">
        <f>TABLA_AVANCE_INDICADORES[[#This Row],[AVANCE ACUM. ANUAL]]-TABLA_AVANCE_INDICADORES[[#This Row],[PROGRAMADO ANUAL]]</f>
        <v>0</v>
      </c>
      <c r="AW54" s="46">
        <f>IFERROR((TABLA_AVANCE_INDICADORES[[#This Row],[DIFERENCIA ABSOLUTA ANUAL]]/TABLA_AVANCE_INDICADORES[[#This Row],[PROGRAMADO ANUAL]])*100,"N/A")</f>
        <v>0</v>
      </c>
      <c r="AX54" s="123" t="s">
        <v>63</v>
      </c>
      <c r="AY54" s="49" t="e">
        <v>#N/A</v>
      </c>
      <c r="AZ54" s="50"/>
      <c r="BA54" s="50"/>
      <c r="BB54" s="124">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1</v>
      </c>
    </row>
    <row r="55" spans="1:54" ht="63" hidden="1" customHeight="1" x14ac:dyDescent="0.3">
      <c r="A55" s="31" t="s">
        <v>917</v>
      </c>
      <c r="B55" s="113" t="s">
        <v>136</v>
      </c>
      <c r="C55" s="32" t="s">
        <v>75</v>
      </c>
      <c r="D55" s="114" t="s">
        <v>76</v>
      </c>
      <c r="E55" s="32" t="s">
        <v>137</v>
      </c>
      <c r="F55" s="115" t="s">
        <v>138</v>
      </c>
      <c r="G55" s="94" t="s">
        <v>139</v>
      </c>
      <c r="H55" s="94" t="s">
        <v>897</v>
      </c>
      <c r="I55" s="34" t="s">
        <v>723</v>
      </c>
      <c r="J55" s="34" t="s">
        <v>140</v>
      </c>
      <c r="K55" s="94" t="s">
        <v>141</v>
      </c>
      <c r="L55" s="34" t="s">
        <v>142</v>
      </c>
      <c r="M55" s="94" t="s">
        <v>143</v>
      </c>
      <c r="N55" s="33">
        <v>2</v>
      </c>
      <c r="O55" s="33" t="s">
        <v>913</v>
      </c>
      <c r="P55" s="116" t="s">
        <v>914</v>
      </c>
      <c r="Q55" s="116" t="s">
        <v>918</v>
      </c>
      <c r="R55" s="116" t="s">
        <v>916</v>
      </c>
      <c r="S55" s="56" t="s">
        <v>151</v>
      </c>
      <c r="T55" s="56" t="s">
        <v>832</v>
      </c>
      <c r="U55" s="56" t="s">
        <v>755</v>
      </c>
      <c r="V55" s="36">
        <v>1</v>
      </c>
      <c r="W55" s="36">
        <v>1</v>
      </c>
      <c r="X55" s="127">
        <v>1</v>
      </c>
      <c r="Y55" s="38">
        <f>IFERROR((TABLA_AVANCE_INDICADORES[[#This Row],[AVANCE 1°. TRIM]]/TABLA_AVANCE_INDICADORES[[#This Row],[PROGR. 1° TRIM]])*100,"0")</f>
        <v>100</v>
      </c>
      <c r="Z55"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55" s="118">
        <v>1</v>
      </c>
      <c r="AB55" s="128">
        <v>1</v>
      </c>
      <c r="AC55" s="40">
        <f t="shared" si="0"/>
        <v>100</v>
      </c>
      <c r="AD55" s="39" t="str">
        <f t="shared" si="1"/>
        <v>ADECUADO</v>
      </c>
      <c r="AE55" s="118">
        <v>1</v>
      </c>
      <c r="AF55" s="128">
        <f>AE55</f>
        <v>1</v>
      </c>
      <c r="AG55" s="40">
        <f>IFERROR((TABLA_AVANCE_INDICADORES[[#This Row],[AVANCE 3°. TRIM]]/TABLA_AVANCE_INDICADORES[[#This Row],[PROGR. 3° TRIM]])*100,"0")</f>
        <v>100</v>
      </c>
      <c r="AH55"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ADECUADO</v>
      </c>
      <c r="AI55" s="118">
        <v>1</v>
      </c>
      <c r="AJ55" s="128">
        <f>AI55</f>
        <v>1</v>
      </c>
      <c r="AK55" s="40">
        <f>IFERROR((TABLA_AVANCE_INDICADORES[[#This Row],[AVANCE 4°. TRIM]]/TABLA_AVANCE_INDICADORES[[#This Row],[PROGR. 4° TRIM]])*100,"0")</f>
        <v>100</v>
      </c>
      <c r="AL55"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ADECUADO</v>
      </c>
      <c r="AM55"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1</v>
      </c>
      <c r="AN55"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v>
      </c>
      <c r="AO55" s="40">
        <f>IFERROR((TABLA_AVANCE_INDICADORES[[#This Row],[AVANCE ACUM. TRIM.]]/TABLA_AVANCE_INDICADORES[[#This Row],[PROG. ACUM]])*100,"N/A")</f>
        <v>100</v>
      </c>
      <c r="AP55"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55" s="121">
        <f>TABLA_AVANCE_INDICADORES[[#This Row],[AVANCE ACUM. TRIM.]]-TABLA_AVANCE_INDICADORES[[#This Row],[PROG. ACUM]]</f>
        <v>0</v>
      </c>
      <c r="AR55" s="46">
        <f>IFERROR((TABLA_AVANCE_INDICADORES[[#This Row],[DIFERENCIA ABSOLUTA SEMESTRAL]]/TABLA_AVANCE_INDICADORES[[#This Row],[PROG. ACUM]])*100,"N/A")</f>
        <v>0</v>
      </c>
      <c r="AS55"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v>
      </c>
      <c r="AT55" s="40">
        <f>IFERROR((TABLA_AVANCE_INDICADORES[[#This Row],[AVANCE ACUM. ANUAL]]/TABLA_AVANCE_INDICADORES[[#This Row],[PROGRAMADO ANUAL]])*100,"N/A")</f>
        <v>100</v>
      </c>
      <c r="AU55"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ADECUADO</v>
      </c>
      <c r="AV55" s="121">
        <f>TABLA_AVANCE_INDICADORES[[#This Row],[AVANCE ACUM. ANUAL]]-TABLA_AVANCE_INDICADORES[[#This Row],[PROGRAMADO ANUAL]]</f>
        <v>0</v>
      </c>
      <c r="AW55" s="46">
        <f>IFERROR((TABLA_AVANCE_INDICADORES[[#This Row],[DIFERENCIA ABSOLUTA ANUAL]]/TABLA_AVANCE_INDICADORES[[#This Row],[PROGRAMADO ANUAL]])*100,"N/A")</f>
        <v>0</v>
      </c>
      <c r="AX55" s="123" t="s">
        <v>63</v>
      </c>
      <c r="AY55" s="49" t="e">
        <v>#N/A</v>
      </c>
      <c r="AZ55" s="50"/>
      <c r="BA55" s="50"/>
      <c r="BB55" s="124">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1</v>
      </c>
    </row>
    <row r="56" spans="1:54" ht="63" hidden="1" customHeight="1" x14ac:dyDescent="0.3">
      <c r="A56" s="31" t="s">
        <v>919</v>
      </c>
      <c r="B56" s="113" t="s">
        <v>213</v>
      </c>
      <c r="C56" s="32" t="s">
        <v>214</v>
      </c>
      <c r="D56" s="114" t="s">
        <v>215</v>
      </c>
      <c r="E56" s="32" t="s">
        <v>254</v>
      </c>
      <c r="F56" s="115" t="s">
        <v>255</v>
      </c>
      <c r="G56" s="94" t="s">
        <v>256</v>
      </c>
      <c r="H56" s="94" t="s">
        <v>880</v>
      </c>
      <c r="I56" s="34" t="s">
        <v>723</v>
      </c>
      <c r="J56" s="34" t="s">
        <v>140</v>
      </c>
      <c r="K56" s="94" t="s">
        <v>141</v>
      </c>
      <c r="L56" s="34" t="s">
        <v>257</v>
      </c>
      <c r="M56" s="94" t="s">
        <v>258</v>
      </c>
      <c r="N56" s="33">
        <v>1</v>
      </c>
      <c r="O56" s="33" t="s">
        <v>751</v>
      </c>
      <c r="P56" s="116" t="s">
        <v>920</v>
      </c>
      <c r="Q56" s="116" t="s">
        <v>921</v>
      </c>
      <c r="R56" s="116" t="s">
        <v>922</v>
      </c>
      <c r="S56" s="56" t="s">
        <v>469</v>
      </c>
      <c r="T56" s="56" t="s">
        <v>728</v>
      </c>
      <c r="U56" s="56" t="s">
        <v>755</v>
      </c>
      <c r="V56" s="36">
        <v>10</v>
      </c>
      <c r="W56" s="36">
        <v>1</v>
      </c>
      <c r="X56" s="117">
        <v>1</v>
      </c>
      <c r="Y56" s="38">
        <f>IFERROR((TABLA_AVANCE_INDICADORES[[#This Row],[AVANCE 1°. TRIM]]/TABLA_AVANCE_INDICADORES[[#This Row],[PROGR. 1° TRIM]])*100,"0")</f>
        <v>100</v>
      </c>
      <c r="Z56"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56" s="118">
        <v>3</v>
      </c>
      <c r="AB56" s="119">
        <v>3</v>
      </c>
      <c r="AC56" s="40">
        <f t="shared" si="0"/>
        <v>100</v>
      </c>
      <c r="AD56" s="39" t="str">
        <f t="shared" si="1"/>
        <v>ADECUADO</v>
      </c>
      <c r="AE56" s="118">
        <v>3</v>
      </c>
      <c r="AF56" s="119">
        <v>0</v>
      </c>
      <c r="AG56" s="40">
        <f>IFERROR((TABLA_AVANCE_INDICADORES[[#This Row],[AVANCE 3°. TRIM]]/TABLA_AVANCE_INDICADORES[[#This Row],[PROGR. 3° TRIM]])*100,"0")</f>
        <v>0</v>
      </c>
      <c r="AH56"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CRÍTICO</v>
      </c>
      <c r="AI56" s="118">
        <v>3</v>
      </c>
      <c r="AJ56" s="119">
        <v>0</v>
      </c>
      <c r="AK56" s="40">
        <f>IFERROR((TABLA_AVANCE_INDICADORES[[#This Row],[AVANCE 4°. TRIM]]/TABLA_AVANCE_INDICADORES[[#This Row],[PROGR. 4° TRIM]])*100,"0")</f>
        <v>0</v>
      </c>
      <c r="AL56"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56"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4</v>
      </c>
      <c r="AN56"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4</v>
      </c>
      <c r="AO56" s="40">
        <f>IFERROR((TABLA_AVANCE_INDICADORES[[#This Row],[AVANCE ACUM. TRIM.]]/TABLA_AVANCE_INDICADORES[[#This Row],[PROG. ACUM]])*100,"N/A")</f>
        <v>100</v>
      </c>
      <c r="AP56"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56" s="121">
        <f>TABLA_AVANCE_INDICADORES[[#This Row],[AVANCE ACUM. TRIM.]]-TABLA_AVANCE_INDICADORES[[#This Row],[PROG. ACUM]]</f>
        <v>0</v>
      </c>
      <c r="AR56" s="46">
        <f>IFERROR((TABLA_AVANCE_INDICADORES[[#This Row],[DIFERENCIA ABSOLUTA SEMESTRAL]]/TABLA_AVANCE_INDICADORES[[#This Row],[PROG. ACUM]])*100,"N/A")</f>
        <v>0</v>
      </c>
      <c r="AS56"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4</v>
      </c>
      <c r="AT56" s="40">
        <f>IFERROR((TABLA_AVANCE_INDICADORES[[#This Row],[AVANCE ACUM. ANUAL]]/TABLA_AVANCE_INDICADORES[[#This Row],[PROGRAMADO ANUAL]])*100,"N/A")</f>
        <v>40</v>
      </c>
      <c r="AU56"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56" s="121">
        <f>TABLA_AVANCE_INDICADORES[[#This Row],[AVANCE ACUM. ANUAL]]-TABLA_AVANCE_INDICADORES[[#This Row],[PROGRAMADO ANUAL]]</f>
        <v>-6</v>
      </c>
      <c r="AW56" s="46">
        <f>IFERROR((TABLA_AVANCE_INDICADORES[[#This Row],[DIFERENCIA ABSOLUTA ANUAL]]/TABLA_AVANCE_INDICADORES[[#This Row],[PROGRAMADO ANUAL]])*100,"N/A")</f>
        <v>-60</v>
      </c>
      <c r="AX56" s="123" t="s">
        <v>63</v>
      </c>
      <c r="AY56" s="49" t="s">
        <v>63</v>
      </c>
      <c r="AZ56" s="50"/>
      <c r="BA56" s="50"/>
      <c r="BB56"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57" spans="1:54" ht="63" hidden="1" customHeight="1" x14ac:dyDescent="0.3">
      <c r="A57" s="31" t="s">
        <v>923</v>
      </c>
      <c r="B57" s="113" t="s">
        <v>213</v>
      </c>
      <c r="C57" s="32" t="s">
        <v>214</v>
      </c>
      <c r="D57" s="114" t="s">
        <v>215</v>
      </c>
      <c r="E57" s="32" t="s">
        <v>254</v>
      </c>
      <c r="F57" s="115" t="s">
        <v>255</v>
      </c>
      <c r="G57" s="94" t="s">
        <v>256</v>
      </c>
      <c r="H57" s="94" t="s">
        <v>880</v>
      </c>
      <c r="I57" s="34" t="s">
        <v>723</v>
      </c>
      <c r="J57" s="34" t="s">
        <v>140</v>
      </c>
      <c r="K57" s="94" t="s">
        <v>141</v>
      </c>
      <c r="L57" s="34" t="s">
        <v>257</v>
      </c>
      <c r="M57" s="94" t="s">
        <v>258</v>
      </c>
      <c r="N57" s="33">
        <v>2</v>
      </c>
      <c r="O57" s="33" t="s">
        <v>751</v>
      </c>
      <c r="P57" s="116" t="s">
        <v>920</v>
      </c>
      <c r="Q57" s="116" t="s">
        <v>924</v>
      </c>
      <c r="R57" s="116" t="s">
        <v>922</v>
      </c>
      <c r="S57" s="56" t="s">
        <v>469</v>
      </c>
      <c r="T57" s="56" t="s">
        <v>728</v>
      </c>
      <c r="U57" s="56" t="s">
        <v>755</v>
      </c>
      <c r="V57" s="36">
        <v>10</v>
      </c>
      <c r="W57" s="36">
        <v>1</v>
      </c>
      <c r="X57" s="127">
        <v>1</v>
      </c>
      <c r="Y57" s="38">
        <f>IFERROR((TABLA_AVANCE_INDICADORES[[#This Row],[AVANCE 1°. TRIM]]/TABLA_AVANCE_INDICADORES[[#This Row],[PROGR. 1° TRIM]])*100,"0")</f>
        <v>100</v>
      </c>
      <c r="Z57"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57" s="118">
        <v>3</v>
      </c>
      <c r="AB57" s="128">
        <v>3</v>
      </c>
      <c r="AC57" s="40">
        <f t="shared" si="0"/>
        <v>100</v>
      </c>
      <c r="AD57" s="39" t="str">
        <f t="shared" si="1"/>
        <v>ADECUADO</v>
      </c>
      <c r="AE57" s="118">
        <v>3</v>
      </c>
      <c r="AF57" s="128">
        <f>AE57</f>
        <v>3</v>
      </c>
      <c r="AG57" s="40">
        <f>IFERROR((TABLA_AVANCE_INDICADORES[[#This Row],[AVANCE 3°. TRIM]]/TABLA_AVANCE_INDICADORES[[#This Row],[PROGR. 3° TRIM]])*100,"0")</f>
        <v>100</v>
      </c>
      <c r="AH57"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ADECUADO</v>
      </c>
      <c r="AI57" s="118">
        <v>3</v>
      </c>
      <c r="AJ57" s="128">
        <f>AI57</f>
        <v>3</v>
      </c>
      <c r="AK57" s="40">
        <f>IFERROR((TABLA_AVANCE_INDICADORES[[#This Row],[AVANCE 4°. TRIM]]/TABLA_AVANCE_INDICADORES[[#This Row],[PROGR. 4° TRIM]])*100,"0")</f>
        <v>100</v>
      </c>
      <c r="AL57"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ADECUADO</v>
      </c>
      <c r="AM57"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4</v>
      </c>
      <c r="AN57"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4</v>
      </c>
      <c r="AO57" s="40">
        <f>IFERROR((TABLA_AVANCE_INDICADORES[[#This Row],[AVANCE ACUM. TRIM.]]/TABLA_AVANCE_INDICADORES[[#This Row],[PROG. ACUM]])*100,"N/A")</f>
        <v>100</v>
      </c>
      <c r="AP57"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57" s="121">
        <f>TABLA_AVANCE_INDICADORES[[#This Row],[AVANCE ACUM. TRIM.]]-TABLA_AVANCE_INDICADORES[[#This Row],[PROG. ACUM]]</f>
        <v>0</v>
      </c>
      <c r="AR57" s="46">
        <f>IFERROR((TABLA_AVANCE_INDICADORES[[#This Row],[DIFERENCIA ABSOLUTA SEMESTRAL]]/TABLA_AVANCE_INDICADORES[[#This Row],[PROG. ACUM]])*100,"N/A")</f>
        <v>0</v>
      </c>
      <c r="AS57"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4</v>
      </c>
      <c r="AT57" s="40">
        <f>IFERROR((TABLA_AVANCE_INDICADORES[[#This Row],[AVANCE ACUM. ANUAL]]/TABLA_AVANCE_INDICADORES[[#This Row],[PROGRAMADO ANUAL]])*100,"N/A")</f>
        <v>40</v>
      </c>
      <c r="AU57"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57" s="121">
        <f>TABLA_AVANCE_INDICADORES[[#This Row],[AVANCE ACUM. ANUAL]]-TABLA_AVANCE_INDICADORES[[#This Row],[PROGRAMADO ANUAL]]</f>
        <v>-6</v>
      </c>
      <c r="AW57" s="46">
        <f>IFERROR((TABLA_AVANCE_INDICADORES[[#This Row],[DIFERENCIA ABSOLUTA ANUAL]]/TABLA_AVANCE_INDICADORES[[#This Row],[PROGRAMADO ANUAL]])*100,"N/A")</f>
        <v>-60</v>
      </c>
      <c r="AX57" s="123" t="s">
        <v>63</v>
      </c>
      <c r="AY57" s="49" t="s">
        <v>63</v>
      </c>
      <c r="AZ57" s="50"/>
      <c r="BA57" s="50"/>
      <c r="BB57"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58" spans="1:54" ht="63" hidden="1" customHeight="1" x14ac:dyDescent="0.3">
      <c r="A58" s="31" t="s">
        <v>925</v>
      </c>
      <c r="B58" s="113" t="s">
        <v>213</v>
      </c>
      <c r="C58" s="32" t="s">
        <v>214</v>
      </c>
      <c r="D58" s="114" t="s">
        <v>215</v>
      </c>
      <c r="E58" s="32" t="s">
        <v>254</v>
      </c>
      <c r="F58" s="115" t="s">
        <v>255</v>
      </c>
      <c r="G58" s="94" t="s">
        <v>256</v>
      </c>
      <c r="H58" s="94" t="s">
        <v>880</v>
      </c>
      <c r="I58" s="34" t="s">
        <v>723</v>
      </c>
      <c r="J58" s="34" t="s">
        <v>140</v>
      </c>
      <c r="K58" s="94" t="s">
        <v>141</v>
      </c>
      <c r="L58" s="34" t="s">
        <v>257</v>
      </c>
      <c r="M58" s="94" t="s">
        <v>258</v>
      </c>
      <c r="N58" s="33">
        <v>1</v>
      </c>
      <c r="O58" s="33" t="s">
        <v>858</v>
      </c>
      <c r="P58" s="141" t="s">
        <v>926</v>
      </c>
      <c r="Q58" s="116" t="s">
        <v>927</v>
      </c>
      <c r="R58" s="116" t="s">
        <v>928</v>
      </c>
      <c r="S58" s="56" t="s">
        <v>204</v>
      </c>
      <c r="T58" s="56" t="s">
        <v>728</v>
      </c>
      <c r="U58" s="56" t="s">
        <v>747</v>
      </c>
      <c r="V58" s="36">
        <v>260</v>
      </c>
      <c r="W58" s="36">
        <v>0</v>
      </c>
      <c r="X58" s="117">
        <v>0</v>
      </c>
      <c r="Y58" s="38" t="str">
        <f>IFERROR((TABLA_AVANCE_INDICADORES[[#This Row],[AVANCE 1°. TRIM]]/TABLA_AVANCE_INDICADORES[[#This Row],[PROGR. 1° TRIM]])*100,"0")</f>
        <v>0</v>
      </c>
      <c r="Z58"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58" s="118">
        <v>180</v>
      </c>
      <c r="AB58" s="119">
        <v>139</v>
      </c>
      <c r="AC58" s="40">
        <f t="shared" si="0"/>
        <v>77.222222222222229</v>
      </c>
      <c r="AD58" s="39" t="str">
        <f t="shared" si="1"/>
        <v>REGULAR</v>
      </c>
      <c r="AE58" s="118">
        <v>0</v>
      </c>
      <c r="AF58" s="119">
        <v>0</v>
      </c>
      <c r="AG58" s="40" t="str">
        <f>IFERROR((TABLA_AVANCE_INDICADORES[[#This Row],[AVANCE 3°. TRIM]]/TABLA_AVANCE_INDICADORES[[#This Row],[PROGR. 3° TRIM]])*100,"0")</f>
        <v>0</v>
      </c>
      <c r="AH58"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58" s="118">
        <v>80</v>
      </c>
      <c r="AJ58" s="119">
        <v>0</v>
      </c>
      <c r="AK58" s="40">
        <f>IFERROR((TABLA_AVANCE_INDICADORES[[#This Row],[AVANCE 4°. TRIM]]/TABLA_AVANCE_INDICADORES[[#This Row],[PROGR. 4° TRIM]])*100,"0")</f>
        <v>0</v>
      </c>
      <c r="AL58"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58"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180</v>
      </c>
      <c r="AN58"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139</v>
      </c>
      <c r="AO58" s="40">
        <f>IFERROR((TABLA_AVANCE_INDICADORES[[#This Row],[AVANCE ACUM. TRIM.]]/TABLA_AVANCE_INDICADORES[[#This Row],[PROG. ACUM]])*100,"N/A")</f>
        <v>77.222222222222229</v>
      </c>
      <c r="AP58"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REGULAR</v>
      </c>
      <c r="AQ58" s="121">
        <f>TABLA_AVANCE_INDICADORES[[#This Row],[AVANCE ACUM. TRIM.]]-TABLA_AVANCE_INDICADORES[[#This Row],[PROG. ACUM]]</f>
        <v>-41</v>
      </c>
      <c r="AR58" s="46">
        <f>IFERROR((TABLA_AVANCE_INDICADORES[[#This Row],[DIFERENCIA ABSOLUTA SEMESTRAL]]/TABLA_AVANCE_INDICADORES[[#This Row],[PROG. ACUM]])*100,"N/A")</f>
        <v>-22.777777777777779</v>
      </c>
      <c r="AS58"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139</v>
      </c>
      <c r="AT58" s="40">
        <f>IFERROR((TABLA_AVANCE_INDICADORES[[#This Row],[AVANCE ACUM. ANUAL]]/TABLA_AVANCE_INDICADORES[[#This Row],[PROGRAMADO ANUAL]])*100,"N/A")</f>
        <v>53.46153846153846</v>
      </c>
      <c r="AU58"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58" s="121">
        <f>TABLA_AVANCE_INDICADORES[[#This Row],[AVANCE ACUM. ANUAL]]-TABLA_AVANCE_INDICADORES[[#This Row],[PROGRAMADO ANUAL]]</f>
        <v>-121</v>
      </c>
      <c r="AW58" s="46">
        <f>IFERROR((TABLA_AVANCE_INDICADORES[[#This Row],[DIFERENCIA ABSOLUTA ANUAL]]/TABLA_AVANCE_INDICADORES[[#This Row],[PROGRAMADO ANUAL]])*100,"N/A")</f>
        <v>-46.53846153846154</v>
      </c>
      <c r="AX58" s="123" t="s">
        <v>63</v>
      </c>
      <c r="AY58" s="49" t="s">
        <v>63</v>
      </c>
      <c r="AZ58" s="50"/>
      <c r="BA58" s="50"/>
      <c r="BB58"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59" spans="1:54" ht="63" hidden="1" customHeight="1" x14ac:dyDescent="0.3">
      <c r="A59" s="31" t="s">
        <v>929</v>
      </c>
      <c r="B59" s="113" t="s">
        <v>213</v>
      </c>
      <c r="C59" s="32" t="s">
        <v>214</v>
      </c>
      <c r="D59" s="114" t="s">
        <v>215</v>
      </c>
      <c r="E59" s="32" t="s">
        <v>254</v>
      </c>
      <c r="F59" s="115" t="s">
        <v>255</v>
      </c>
      <c r="G59" s="94" t="s">
        <v>256</v>
      </c>
      <c r="H59" s="94" t="s">
        <v>880</v>
      </c>
      <c r="I59" s="34" t="s">
        <v>723</v>
      </c>
      <c r="J59" s="34" t="s">
        <v>140</v>
      </c>
      <c r="K59" s="94" t="s">
        <v>141</v>
      </c>
      <c r="L59" s="34" t="s">
        <v>257</v>
      </c>
      <c r="M59" s="94" t="s">
        <v>258</v>
      </c>
      <c r="N59" s="33">
        <v>2</v>
      </c>
      <c r="O59" s="33" t="s">
        <v>858</v>
      </c>
      <c r="P59" s="141" t="s">
        <v>926</v>
      </c>
      <c r="Q59" s="116" t="s">
        <v>930</v>
      </c>
      <c r="R59" s="116" t="s">
        <v>928</v>
      </c>
      <c r="S59" s="56" t="s">
        <v>204</v>
      </c>
      <c r="T59" s="56" t="s">
        <v>728</v>
      </c>
      <c r="U59" s="56" t="s">
        <v>747</v>
      </c>
      <c r="V59" s="36">
        <v>260</v>
      </c>
      <c r="W59" s="36">
        <v>0</v>
      </c>
      <c r="X59" s="117">
        <v>0</v>
      </c>
      <c r="Y59" s="38" t="str">
        <f>IFERROR((TABLA_AVANCE_INDICADORES[[#This Row],[AVANCE 1°. TRIM]]/TABLA_AVANCE_INDICADORES[[#This Row],[PROGR. 1° TRIM]])*100,"0")</f>
        <v>0</v>
      </c>
      <c r="Z59"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59" s="118">
        <v>180</v>
      </c>
      <c r="AB59" s="119">
        <v>139</v>
      </c>
      <c r="AC59" s="40">
        <f t="shared" si="0"/>
        <v>77.222222222222229</v>
      </c>
      <c r="AD59" s="39" t="str">
        <f t="shared" si="1"/>
        <v>REGULAR</v>
      </c>
      <c r="AE59" s="118">
        <v>0</v>
      </c>
      <c r="AF59" s="119">
        <v>0</v>
      </c>
      <c r="AG59" s="40" t="str">
        <f>IFERROR((TABLA_AVANCE_INDICADORES[[#This Row],[AVANCE 3°. TRIM]]/TABLA_AVANCE_INDICADORES[[#This Row],[PROGR. 3° TRIM]])*100,"0")</f>
        <v>0</v>
      </c>
      <c r="AH59"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59" s="118">
        <v>80</v>
      </c>
      <c r="AJ59" s="119">
        <v>0</v>
      </c>
      <c r="AK59" s="40">
        <f>IFERROR((TABLA_AVANCE_INDICADORES[[#This Row],[AVANCE 4°. TRIM]]/TABLA_AVANCE_INDICADORES[[#This Row],[PROGR. 4° TRIM]])*100,"0")</f>
        <v>0</v>
      </c>
      <c r="AL59"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59"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180</v>
      </c>
      <c r="AN59"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139</v>
      </c>
      <c r="AO59" s="40">
        <f>IFERROR((TABLA_AVANCE_INDICADORES[[#This Row],[AVANCE ACUM. TRIM.]]/TABLA_AVANCE_INDICADORES[[#This Row],[PROG. ACUM]])*100,"N/A")</f>
        <v>77.222222222222229</v>
      </c>
      <c r="AP59"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REGULAR</v>
      </c>
      <c r="AQ59" s="121">
        <f>TABLA_AVANCE_INDICADORES[[#This Row],[AVANCE ACUM. TRIM.]]-TABLA_AVANCE_INDICADORES[[#This Row],[PROG. ACUM]]</f>
        <v>-41</v>
      </c>
      <c r="AR59" s="46">
        <f>IFERROR((TABLA_AVANCE_INDICADORES[[#This Row],[DIFERENCIA ABSOLUTA SEMESTRAL]]/TABLA_AVANCE_INDICADORES[[#This Row],[PROG. ACUM]])*100,"N/A")</f>
        <v>-22.777777777777779</v>
      </c>
      <c r="AS59"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139</v>
      </c>
      <c r="AT59" s="40">
        <f>IFERROR((TABLA_AVANCE_INDICADORES[[#This Row],[AVANCE ACUM. ANUAL]]/TABLA_AVANCE_INDICADORES[[#This Row],[PROGRAMADO ANUAL]])*100,"N/A")</f>
        <v>53.46153846153846</v>
      </c>
      <c r="AU59"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59" s="121">
        <f>TABLA_AVANCE_INDICADORES[[#This Row],[AVANCE ACUM. ANUAL]]-TABLA_AVANCE_INDICADORES[[#This Row],[PROGRAMADO ANUAL]]</f>
        <v>-121</v>
      </c>
      <c r="AW59" s="46">
        <f>IFERROR((TABLA_AVANCE_INDICADORES[[#This Row],[DIFERENCIA ABSOLUTA ANUAL]]/TABLA_AVANCE_INDICADORES[[#This Row],[PROGRAMADO ANUAL]])*100,"N/A")</f>
        <v>-46.53846153846154</v>
      </c>
      <c r="AX59" s="123" t="s">
        <v>63</v>
      </c>
      <c r="AY59" s="49" t="s">
        <v>63</v>
      </c>
      <c r="AZ59" s="50"/>
      <c r="BA59" s="50"/>
      <c r="BB59"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60" spans="1:54" ht="63" hidden="1" customHeight="1" x14ac:dyDescent="0.3">
      <c r="A60" s="65" t="s">
        <v>931</v>
      </c>
      <c r="B60" s="130" t="s">
        <v>242</v>
      </c>
      <c r="C60" s="66" t="s">
        <v>214</v>
      </c>
      <c r="D60" s="131" t="s">
        <v>215</v>
      </c>
      <c r="E60" s="66" t="s">
        <v>243</v>
      </c>
      <c r="F60" s="132" t="s">
        <v>244</v>
      </c>
      <c r="G60" s="133" t="s">
        <v>245</v>
      </c>
      <c r="H60" s="133" t="s">
        <v>866</v>
      </c>
      <c r="I60" s="68" t="s">
        <v>723</v>
      </c>
      <c r="J60" s="68" t="s">
        <v>140</v>
      </c>
      <c r="K60" s="133" t="s">
        <v>141</v>
      </c>
      <c r="L60" s="68" t="s">
        <v>228</v>
      </c>
      <c r="M60" s="133" t="s">
        <v>229</v>
      </c>
      <c r="N60" s="67">
        <v>1</v>
      </c>
      <c r="O60" s="67" t="s">
        <v>759</v>
      </c>
      <c r="P60" s="140" t="s">
        <v>932</v>
      </c>
      <c r="Q60" s="140" t="s">
        <v>933</v>
      </c>
      <c r="R60" s="140" t="s">
        <v>934</v>
      </c>
      <c r="S60" s="86" t="s">
        <v>249</v>
      </c>
      <c r="T60" s="86" t="s">
        <v>728</v>
      </c>
      <c r="U60" s="86" t="s">
        <v>755</v>
      </c>
      <c r="V60" s="70">
        <v>45649883.75</v>
      </c>
      <c r="W60" s="70">
        <v>50</v>
      </c>
      <c r="X60" s="135">
        <v>0</v>
      </c>
      <c r="Y60" s="71">
        <f>IFERROR((TABLA_AVANCE_INDICADORES[[#This Row],[AVANCE 1°. TRIM]]/TABLA_AVANCE_INDICADORES[[#This Row],[PROGR. 1° TRIM]])*100,"0")</f>
        <v>0</v>
      </c>
      <c r="Z60" s="72"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CRÍTICO</v>
      </c>
      <c r="AA60" s="136">
        <v>3656283.93</v>
      </c>
      <c r="AB60" s="137">
        <v>0</v>
      </c>
      <c r="AC60" s="73">
        <f t="shared" si="0"/>
        <v>0</v>
      </c>
      <c r="AD60" s="72" t="str">
        <f t="shared" si="1"/>
        <v>CRÍTICO</v>
      </c>
      <c r="AE60" s="136">
        <v>31296796.239999998</v>
      </c>
      <c r="AF60" s="137">
        <v>0</v>
      </c>
      <c r="AG60" s="73">
        <f>IFERROR((TABLA_AVANCE_INDICADORES[[#This Row],[AVANCE 3°. TRIM]]/TABLA_AVANCE_INDICADORES[[#This Row],[PROGR. 3° TRIM]])*100,"0")</f>
        <v>0</v>
      </c>
      <c r="AH60" s="72"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CRÍTICO</v>
      </c>
      <c r="AI60" s="136">
        <v>10696753.58</v>
      </c>
      <c r="AJ60" s="137">
        <v>0</v>
      </c>
      <c r="AK60" s="73">
        <f>IFERROR((TABLA_AVANCE_INDICADORES[[#This Row],[AVANCE 4°. TRIM]]/TABLA_AVANCE_INDICADORES[[#This Row],[PROGR. 4° TRIM]])*100,"0")</f>
        <v>0</v>
      </c>
      <c r="AL60" s="74"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60" s="89">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3656333.93</v>
      </c>
      <c r="AN60" s="7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O60" s="73">
        <f>IFERROR((TABLA_AVANCE_INDICADORES[[#This Row],[AVANCE ACUM. TRIM.]]/TABLA_AVANCE_INDICADORES[[#This Row],[PROG. ACUM]])*100,"N/A")</f>
        <v>0</v>
      </c>
      <c r="AP60" s="72"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CRÍTICO</v>
      </c>
      <c r="AQ60" s="138">
        <f>TABLA_AVANCE_INDICADORES[[#This Row],[AVANCE ACUM. TRIM.]]-TABLA_AVANCE_INDICADORES[[#This Row],[PROG. ACUM]]</f>
        <v>-3656333.93</v>
      </c>
      <c r="AR60" s="76">
        <f>IFERROR((TABLA_AVANCE_INDICADORES[[#This Row],[DIFERENCIA ABSOLUTA SEMESTRAL]]/TABLA_AVANCE_INDICADORES[[#This Row],[PROG. ACUM]])*100,"N/A")</f>
        <v>-100</v>
      </c>
      <c r="AS60" s="7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T60" s="73">
        <f>IFERROR((TABLA_AVANCE_INDICADORES[[#This Row],[AVANCE ACUM. ANUAL]]/TABLA_AVANCE_INDICADORES[[#This Row],[PROGRAMADO ANUAL]])*100,"N/A")</f>
        <v>0</v>
      </c>
      <c r="AU60" s="72"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60" s="138">
        <f>TABLA_AVANCE_INDICADORES[[#This Row],[AVANCE ACUM. ANUAL]]-TABLA_AVANCE_INDICADORES[[#This Row],[PROGRAMADO ANUAL]]</f>
        <v>-45649883.75</v>
      </c>
      <c r="AW60" s="76">
        <f>IFERROR((TABLA_AVANCE_INDICADORES[[#This Row],[DIFERENCIA ABSOLUTA ANUAL]]/TABLA_AVANCE_INDICADORES[[#This Row],[PROGRAMADO ANUAL]])*100,"N/A")</f>
        <v>-100</v>
      </c>
      <c r="AX60" s="139" t="e">
        <v>#N/A</v>
      </c>
      <c r="AY60" s="80" t="s">
        <v>63</v>
      </c>
      <c r="AZ60" s="93"/>
      <c r="BA60" s="93"/>
      <c r="BB60" s="65"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61" spans="1:54" ht="63" hidden="1" customHeight="1" x14ac:dyDescent="0.3">
      <c r="A61" s="65" t="s">
        <v>935</v>
      </c>
      <c r="B61" s="130" t="s">
        <v>242</v>
      </c>
      <c r="C61" s="66" t="s">
        <v>214</v>
      </c>
      <c r="D61" s="131" t="s">
        <v>215</v>
      </c>
      <c r="E61" s="66" t="s">
        <v>243</v>
      </c>
      <c r="F61" s="132" t="s">
        <v>244</v>
      </c>
      <c r="G61" s="133" t="s">
        <v>245</v>
      </c>
      <c r="H61" s="133" t="s">
        <v>866</v>
      </c>
      <c r="I61" s="68" t="s">
        <v>723</v>
      </c>
      <c r="J61" s="68" t="s">
        <v>140</v>
      </c>
      <c r="K61" s="133" t="s">
        <v>141</v>
      </c>
      <c r="L61" s="68" t="s">
        <v>228</v>
      </c>
      <c r="M61" s="133" t="s">
        <v>229</v>
      </c>
      <c r="N61" s="67">
        <v>2</v>
      </c>
      <c r="O61" s="67" t="s">
        <v>759</v>
      </c>
      <c r="P61" s="140" t="s">
        <v>932</v>
      </c>
      <c r="Q61" s="140" t="s">
        <v>936</v>
      </c>
      <c r="R61" s="140" t="s">
        <v>934</v>
      </c>
      <c r="S61" s="86" t="s">
        <v>249</v>
      </c>
      <c r="T61" s="86" t="s">
        <v>728</v>
      </c>
      <c r="U61" s="86" t="s">
        <v>755</v>
      </c>
      <c r="V61" s="70">
        <v>45649883.75</v>
      </c>
      <c r="W61" s="70">
        <v>50</v>
      </c>
      <c r="X61" s="135">
        <v>50</v>
      </c>
      <c r="Y61" s="71">
        <f>IFERROR((TABLA_AVANCE_INDICADORES[[#This Row],[AVANCE 1°. TRIM]]/TABLA_AVANCE_INDICADORES[[#This Row],[PROGR. 1° TRIM]])*100,"0")</f>
        <v>100</v>
      </c>
      <c r="Z61" s="72"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61" s="136">
        <v>3656283.93</v>
      </c>
      <c r="AB61" s="137">
        <v>3656283.93</v>
      </c>
      <c r="AC61" s="73">
        <f t="shared" si="0"/>
        <v>100</v>
      </c>
      <c r="AD61" s="72" t="str">
        <f t="shared" si="1"/>
        <v>ADECUADO</v>
      </c>
      <c r="AE61" s="136">
        <v>31296796.239999998</v>
      </c>
      <c r="AF61" s="137">
        <f>AE61</f>
        <v>31296796.239999998</v>
      </c>
      <c r="AG61" s="73">
        <f>IFERROR((TABLA_AVANCE_INDICADORES[[#This Row],[AVANCE 3°. TRIM]]/TABLA_AVANCE_INDICADORES[[#This Row],[PROGR. 3° TRIM]])*100,"0")</f>
        <v>100</v>
      </c>
      <c r="AH61" s="72"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ADECUADO</v>
      </c>
      <c r="AI61" s="136">
        <v>10696753.58</v>
      </c>
      <c r="AJ61" s="137">
        <v>10696753.58</v>
      </c>
      <c r="AK61" s="73">
        <f>IFERROR((TABLA_AVANCE_INDICADORES[[#This Row],[AVANCE 4°. TRIM]]/TABLA_AVANCE_INDICADORES[[#This Row],[PROGR. 4° TRIM]])*100,"0")</f>
        <v>100</v>
      </c>
      <c r="AL61" s="74"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ADECUADO</v>
      </c>
      <c r="AM61" s="89">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3656333.93</v>
      </c>
      <c r="AN61" s="7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3656333.93</v>
      </c>
      <c r="AO61" s="73">
        <f>IFERROR((TABLA_AVANCE_INDICADORES[[#This Row],[AVANCE ACUM. TRIM.]]/TABLA_AVANCE_INDICADORES[[#This Row],[PROG. ACUM]])*100,"N/A")</f>
        <v>100</v>
      </c>
      <c r="AP61" s="72"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61" s="138">
        <f>TABLA_AVANCE_INDICADORES[[#This Row],[AVANCE ACUM. TRIM.]]-TABLA_AVANCE_INDICADORES[[#This Row],[PROG. ACUM]]</f>
        <v>0</v>
      </c>
      <c r="AR61" s="76">
        <f>IFERROR((TABLA_AVANCE_INDICADORES[[#This Row],[DIFERENCIA ABSOLUTA SEMESTRAL]]/TABLA_AVANCE_INDICADORES[[#This Row],[PROG. ACUM]])*100,"N/A")</f>
        <v>0</v>
      </c>
      <c r="AS61" s="7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3656333.93</v>
      </c>
      <c r="AT61" s="73">
        <f>IFERROR((TABLA_AVANCE_INDICADORES[[#This Row],[AVANCE ACUM. ANUAL]]/TABLA_AVANCE_INDICADORES[[#This Row],[PROGRAMADO ANUAL]])*100,"N/A")</f>
        <v>8.0095142191900983</v>
      </c>
      <c r="AU61" s="72"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61" s="138">
        <f>TABLA_AVANCE_INDICADORES[[#This Row],[AVANCE ACUM. ANUAL]]-TABLA_AVANCE_INDICADORES[[#This Row],[PROGRAMADO ANUAL]]</f>
        <v>-41993549.82</v>
      </c>
      <c r="AW61" s="76">
        <f>IFERROR((TABLA_AVANCE_INDICADORES[[#This Row],[DIFERENCIA ABSOLUTA ANUAL]]/TABLA_AVANCE_INDICADORES[[#This Row],[PROGRAMADO ANUAL]])*100,"N/A")</f>
        <v>-91.990485780809905</v>
      </c>
      <c r="AX61" s="139" t="e">
        <v>#N/A</v>
      </c>
      <c r="AY61" s="80" t="s">
        <v>63</v>
      </c>
      <c r="AZ61" s="93"/>
      <c r="BA61" s="93"/>
      <c r="BB61" s="65"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62" spans="1:54" ht="63" hidden="1" customHeight="1" x14ac:dyDescent="0.3">
      <c r="A62" s="31" t="s">
        <v>937</v>
      </c>
      <c r="B62" s="113" t="s">
        <v>136</v>
      </c>
      <c r="C62" s="32" t="s">
        <v>75</v>
      </c>
      <c r="D62" s="114" t="s">
        <v>76</v>
      </c>
      <c r="E62" s="32" t="s">
        <v>137</v>
      </c>
      <c r="F62" s="115" t="s">
        <v>138</v>
      </c>
      <c r="G62" s="94" t="s">
        <v>139</v>
      </c>
      <c r="H62" s="94" t="s">
        <v>897</v>
      </c>
      <c r="I62" s="34" t="s">
        <v>723</v>
      </c>
      <c r="J62" s="34" t="s">
        <v>140</v>
      </c>
      <c r="K62" s="94" t="s">
        <v>141</v>
      </c>
      <c r="L62" s="34" t="s">
        <v>142</v>
      </c>
      <c r="M62" s="94" t="s">
        <v>143</v>
      </c>
      <c r="N62" s="33">
        <v>1</v>
      </c>
      <c r="O62" s="33" t="s">
        <v>938</v>
      </c>
      <c r="P62" s="116" t="s">
        <v>939</v>
      </c>
      <c r="Q62" s="116" t="s">
        <v>940</v>
      </c>
      <c r="R62" s="116" t="s">
        <v>941</v>
      </c>
      <c r="S62" s="56" t="s">
        <v>145</v>
      </c>
      <c r="T62" s="56" t="s">
        <v>728</v>
      </c>
      <c r="U62" s="56" t="s">
        <v>755</v>
      </c>
      <c r="V62" s="36">
        <v>2</v>
      </c>
      <c r="W62" s="36">
        <v>0</v>
      </c>
      <c r="X62" s="117">
        <v>0</v>
      </c>
      <c r="Y62" s="38" t="str">
        <f>IFERROR((TABLA_AVANCE_INDICADORES[[#This Row],[AVANCE 1°. TRIM]]/TABLA_AVANCE_INDICADORES[[#This Row],[PROGR. 1° TRIM]])*100,"0")</f>
        <v>0</v>
      </c>
      <c r="Z62"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62" s="118">
        <v>1</v>
      </c>
      <c r="AB62" s="119">
        <v>1</v>
      </c>
      <c r="AC62" s="40">
        <f t="shared" si="0"/>
        <v>100</v>
      </c>
      <c r="AD62" s="39" t="str">
        <f t="shared" si="1"/>
        <v>ADECUADO</v>
      </c>
      <c r="AE62" s="118">
        <v>0</v>
      </c>
      <c r="AF62" s="119">
        <v>0</v>
      </c>
      <c r="AG62" s="40" t="str">
        <f>IFERROR((TABLA_AVANCE_INDICADORES[[#This Row],[AVANCE 3°. TRIM]]/TABLA_AVANCE_INDICADORES[[#This Row],[PROGR. 3° TRIM]])*100,"0")</f>
        <v>0</v>
      </c>
      <c r="AH62"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62" s="118">
        <v>1</v>
      </c>
      <c r="AJ62" s="119">
        <v>0</v>
      </c>
      <c r="AK62" s="40">
        <f>IFERROR((TABLA_AVANCE_INDICADORES[[#This Row],[AVANCE 4°. TRIM]]/TABLA_AVANCE_INDICADORES[[#This Row],[PROGR. 4° TRIM]])*100,"0")</f>
        <v>0</v>
      </c>
      <c r="AL62"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62"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1</v>
      </c>
      <c r="AN62"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v>
      </c>
      <c r="AO62" s="40">
        <f>IFERROR((TABLA_AVANCE_INDICADORES[[#This Row],[AVANCE ACUM. TRIM.]]/TABLA_AVANCE_INDICADORES[[#This Row],[PROG. ACUM]])*100,"N/A")</f>
        <v>100</v>
      </c>
      <c r="AP62"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62" s="121">
        <f>TABLA_AVANCE_INDICADORES[[#This Row],[AVANCE ACUM. TRIM.]]-TABLA_AVANCE_INDICADORES[[#This Row],[PROG. ACUM]]</f>
        <v>0</v>
      </c>
      <c r="AR62" s="46">
        <f>IFERROR((TABLA_AVANCE_INDICADORES[[#This Row],[DIFERENCIA ABSOLUTA SEMESTRAL]]/TABLA_AVANCE_INDICADORES[[#This Row],[PROG. ACUM]])*100,"N/A")</f>
        <v>0</v>
      </c>
      <c r="AS62"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v>
      </c>
      <c r="AT62" s="40">
        <f>IFERROR((TABLA_AVANCE_INDICADORES[[#This Row],[AVANCE ACUM. ANUAL]]/TABLA_AVANCE_INDICADORES[[#This Row],[PROGRAMADO ANUAL]])*100,"N/A")</f>
        <v>50</v>
      </c>
      <c r="AU62"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62" s="121">
        <f>TABLA_AVANCE_INDICADORES[[#This Row],[AVANCE ACUM. ANUAL]]-TABLA_AVANCE_INDICADORES[[#This Row],[PROGRAMADO ANUAL]]</f>
        <v>-1</v>
      </c>
      <c r="AW62" s="46">
        <f>IFERROR((TABLA_AVANCE_INDICADORES[[#This Row],[DIFERENCIA ABSOLUTA ANUAL]]/TABLA_AVANCE_INDICADORES[[#This Row],[PROGRAMADO ANUAL]])*100,"N/A")</f>
        <v>-50</v>
      </c>
      <c r="AX62" s="123" t="s">
        <v>63</v>
      </c>
      <c r="AY62" s="49" t="e">
        <v>#N/A</v>
      </c>
      <c r="AZ62" s="50"/>
      <c r="BA62" s="50"/>
      <c r="BB62"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63" spans="1:54" ht="63" hidden="1" customHeight="1" x14ac:dyDescent="0.3">
      <c r="A63" s="31" t="s">
        <v>942</v>
      </c>
      <c r="B63" s="113" t="s">
        <v>136</v>
      </c>
      <c r="C63" s="32" t="s">
        <v>75</v>
      </c>
      <c r="D63" s="114" t="s">
        <v>76</v>
      </c>
      <c r="E63" s="32" t="s">
        <v>137</v>
      </c>
      <c r="F63" s="115" t="s">
        <v>138</v>
      </c>
      <c r="G63" s="94" t="s">
        <v>139</v>
      </c>
      <c r="H63" s="94" t="s">
        <v>897</v>
      </c>
      <c r="I63" s="34" t="s">
        <v>723</v>
      </c>
      <c r="J63" s="34" t="s">
        <v>140</v>
      </c>
      <c r="K63" s="94" t="s">
        <v>141</v>
      </c>
      <c r="L63" s="34" t="s">
        <v>142</v>
      </c>
      <c r="M63" s="94" t="s">
        <v>143</v>
      </c>
      <c r="N63" s="33">
        <v>2</v>
      </c>
      <c r="O63" s="33" t="s">
        <v>938</v>
      </c>
      <c r="P63" s="116" t="s">
        <v>939</v>
      </c>
      <c r="Q63" s="116" t="s">
        <v>943</v>
      </c>
      <c r="R63" s="116" t="s">
        <v>941</v>
      </c>
      <c r="S63" s="56" t="s">
        <v>145</v>
      </c>
      <c r="T63" s="56" t="s">
        <v>728</v>
      </c>
      <c r="U63" s="56" t="s">
        <v>755</v>
      </c>
      <c r="V63" s="36">
        <v>2</v>
      </c>
      <c r="W63" s="36">
        <v>0</v>
      </c>
      <c r="X63" s="127">
        <v>0</v>
      </c>
      <c r="Y63" s="38" t="str">
        <f>IFERROR((TABLA_AVANCE_INDICADORES[[#This Row],[AVANCE 1°. TRIM]]/TABLA_AVANCE_INDICADORES[[#This Row],[PROGR. 1° TRIM]])*100,"0")</f>
        <v>0</v>
      </c>
      <c r="Z63"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63" s="118">
        <v>1</v>
      </c>
      <c r="AB63" s="128">
        <v>1</v>
      </c>
      <c r="AC63" s="40">
        <f t="shared" si="0"/>
        <v>100</v>
      </c>
      <c r="AD63" s="39" t="str">
        <f t="shared" si="1"/>
        <v>ADECUADO</v>
      </c>
      <c r="AE63" s="118">
        <v>0</v>
      </c>
      <c r="AF63" s="128">
        <f>AE63</f>
        <v>0</v>
      </c>
      <c r="AG63" s="40" t="str">
        <f>IFERROR((TABLA_AVANCE_INDICADORES[[#This Row],[AVANCE 3°. TRIM]]/TABLA_AVANCE_INDICADORES[[#This Row],[PROGR. 3° TRIM]])*100,"0")</f>
        <v>0</v>
      </c>
      <c r="AH63"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63" s="118">
        <v>1</v>
      </c>
      <c r="AJ63" s="128">
        <f>AI63</f>
        <v>1</v>
      </c>
      <c r="AK63" s="40">
        <f>IFERROR((TABLA_AVANCE_INDICADORES[[#This Row],[AVANCE 4°. TRIM]]/TABLA_AVANCE_INDICADORES[[#This Row],[PROGR. 4° TRIM]])*100,"0")</f>
        <v>100</v>
      </c>
      <c r="AL63"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ADECUADO</v>
      </c>
      <c r="AM63"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1</v>
      </c>
      <c r="AN63"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v>
      </c>
      <c r="AO63" s="40">
        <f>IFERROR((TABLA_AVANCE_INDICADORES[[#This Row],[AVANCE ACUM. TRIM.]]/TABLA_AVANCE_INDICADORES[[#This Row],[PROG. ACUM]])*100,"N/A")</f>
        <v>100</v>
      </c>
      <c r="AP63"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63" s="121">
        <f>TABLA_AVANCE_INDICADORES[[#This Row],[AVANCE ACUM. TRIM.]]-TABLA_AVANCE_INDICADORES[[#This Row],[PROG. ACUM]]</f>
        <v>0</v>
      </c>
      <c r="AR63" s="46">
        <f>IFERROR((TABLA_AVANCE_INDICADORES[[#This Row],[DIFERENCIA ABSOLUTA SEMESTRAL]]/TABLA_AVANCE_INDICADORES[[#This Row],[PROG. ACUM]])*100,"N/A")</f>
        <v>0</v>
      </c>
      <c r="AS63"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v>
      </c>
      <c r="AT63" s="40">
        <f>IFERROR((TABLA_AVANCE_INDICADORES[[#This Row],[AVANCE ACUM. ANUAL]]/TABLA_AVANCE_INDICADORES[[#This Row],[PROGRAMADO ANUAL]])*100,"N/A")</f>
        <v>50</v>
      </c>
      <c r="AU63"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63" s="121">
        <f>TABLA_AVANCE_INDICADORES[[#This Row],[AVANCE ACUM. ANUAL]]-TABLA_AVANCE_INDICADORES[[#This Row],[PROGRAMADO ANUAL]]</f>
        <v>-1</v>
      </c>
      <c r="AW63" s="46">
        <f>IFERROR((TABLA_AVANCE_INDICADORES[[#This Row],[DIFERENCIA ABSOLUTA ANUAL]]/TABLA_AVANCE_INDICADORES[[#This Row],[PROGRAMADO ANUAL]])*100,"N/A")</f>
        <v>-50</v>
      </c>
      <c r="AX63" s="123" t="s">
        <v>63</v>
      </c>
      <c r="AY63" s="49" t="e">
        <v>#N/A</v>
      </c>
      <c r="AZ63" s="50"/>
      <c r="BA63" s="50"/>
      <c r="BB63"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64" spans="1:54" ht="63" hidden="1" customHeight="1" x14ac:dyDescent="0.3">
      <c r="A64" s="31" t="s">
        <v>944</v>
      </c>
      <c r="B64" s="113" t="s">
        <v>158</v>
      </c>
      <c r="C64" s="32" t="s">
        <v>75</v>
      </c>
      <c r="D64" s="114" t="s">
        <v>76</v>
      </c>
      <c r="E64" s="32" t="s">
        <v>159</v>
      </c>
      <c r="F64" s="115" t="s">
        <v>160</v>
      </c>
      <c r="G64" s="94" t="s">
        <v>161</v>
      </c>
      <c r="H64" s="94" t="s">
        <v>905</v>
      </c>
      <c r="I64" s="34" t="s">
        <v>723</v>
      </c>
      <c r="J64" s="34" t="s">
        <v>140</v>
      </c>
      <c r="K64" s="94" t="s">
        <v>141</v>
      </c>
      <c r="L64" s="34" t="s">
        <v>162</v>
      </c>
      <c r="M64" s="94" t="s">
        <v>163</v>
      </c>
      <c r="N64" s="33">
        <v>1</v>
      </c>
      <c r="O64" s="33" t="s">
        <v>945</v>
      </c>
      <c r="P64" s="125" t="s">
        <v>946</v>
      </c>
      <c r="Q64" s="125" t="s">
        <v>947</v>
      </c>
      <c r="R64" s="125" t="s">
        <v>948</v>
      </c>
      <c r="S64" s="56" t="s">
        <v>155</v>
      </c>
      <c r="T64" s="56" t="s">
        <v>728</v>
      </c>
      <c r="U64" s="56" t="s">
        <v>755</v>
      </c>
      <c r="V64" s="36">
        <v>1</v>
      </c>
      <c r="W64" s="36">
        <v>1</v>
      </c>
      <c r="X64" s="117">
        <v>1</v>
      </c>
      <c r="Y64" s="38">
        <f>IFERROR((TABLA_AVANCE_INDICADORES[[#This Row],[AVANCE 1°. TRIM]]/TABLA_AVANCE_INDICADORES[[#This Row],[PROGR. 1° TRIM]])*100,"0")</f>
        <v>100</v>
      </c>
      <c r="Z64"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64" s="118">
        <v>0</v>
      </c>
      <c r="AB64" s="119">
        <v>0</v>
      </c>
      <c r="AC64" s="40" t="str">
        <f t="shared" si="0"/>
        <v>0</v>
      </c>
      <c r="AD64" s="39" t="str">
        <f t="shared" si="1"/>
        <v>NO PROG.</v>
      </c>
      <c r="AE64" s="118">
        <v>0</v>
      </c>
      <c r="AF64" s="119">
        <v>0</v>
      </c>
      <c r="AG64" s="40" t="str">
        <f>IFERROR((TABLA_AVANCE_INDICADORES[[#This Row],[AVANCE 3°. TRIM]]/TABLA_AVANCE_INDICADORES[[#This Row],[PROGR. 3° TRIM]])*100,"0")</f>
        <v>0</v>
      </c>
      <c r="AH64"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64" s="118">
        <v>0</v>
      </c>
      <c r="AJ64" s="119">
        <v>0</v>
      </c>
      <c r="AK64" s="40" t="str">
        <f>IFERROR((TABLA_AVANCE_INDICADORES[[#This Row],[AVANCE 4°. TRIM]]/TABLA_AVANCE_INDICADORES[[#This Row],[PROGR. 4° TRIM]])*100,"0")</f>
        <v>0</v>
      </c>
      <c r="AL64"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NO PROG.</v>
      </c>
      <c r="AM64"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1</v>
      </c>
      <c r="AN64"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v>
      </c>
      <c r="AO64" s="40">
        <f>IFERROR((TABLA_AVANCE_INDICADORES[[#This Row],[AVANCE ACUM. TRIM.]]/TABLA_AVANCE_INDICADORES[[#This Row],[PROG. ACUM]])*100,"N/A")</f>
        <v>100</v>
      </c>
      <c r="AP64"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64" s="121">
        <f>TABLA_AVANCE_INDICADORES[[#This Row],[AVANCE ACUM. TRIM.]]-TABLA_AVANCE_INDICADORES[[#This Row],[PROG. ACUM]]</f>
        <v>0</v>
      </c>
      <c r="AR64" s="46">
        <f>IFERROR((TABLA_AVANCE_INDICADORES[[#This Row],[DIFERENCIA ABSOLUTA SEMESTRAL]]/TABLA_AVANCE_INDICADORES[[#This Row],[PROG. ACUM]])*100,"N/A")</f>
        <v>0</v>
      </c>
      <c r="AS64"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v>
      </c>
      <c r="AT64" s="40">
        <f>IFERROR((TABLA_AVANCE_INDICADORES[[#This Row],[AVANCE ACUM. ANUAL]]/TABLA_AVANCE_INDICADORES[[#This Row],[PROGRAMADO ANUAL]])*100,"N/A")</f>
        <v>100</v>
      </c>
      <c r="AU64"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ADECUADO</v>
      </c>
      <c r="AV64" s="121">
        <f>TABLA_AVANCE_INDICADORES[[#This Row],[AVANCE ACUM. ANUAL]]-TABLA_AVANCE_INDICADORES[[#This Row],[PROGRAMADO ANUAL]]</f>
        <v>0</v>
      </c>
      <c r="AW64" s="46">
        <f>IFERROR((TABLA_AVANCE_INDICADORES[[#This Row],[DIFERENCIA ABSOLUTA ANUAL]]/TABLA_AVANCE_INDICADORES[[#This Row],[PROGRAMADO ANUAL]])*100,"N/A")</f>
        <v>0</v>
      </c>
      <c r="AX64" s="123" t="s">
        <v>63</v>
      </c>
      <c r="AY64" s="49" t="s">
        <v>63</v>
      </c>
      <c r="AZ64" s="50"/>
      <c r="BA64" s="50"/>
      <c r="BB64"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65" spans="1:54" ht="63" hidden="1" customHeight="1" x14ac:dyDescent="0.3">
      <c r="A65" s="31" t="s">
        <v>949</v>
      </c>
      <c r="B65" s="113" t="s">
        <v>158</v>
      </c>
      <c r="C65" s="32" t="s">
        <v>75</v>
      </c>
      <c r="D65" s="114" t="s">
        <v>76</v>
      </c>
      <c r="E65" s="32" t="s">
        <v>159</v>
      </c>
      <c r="F65" s="115" t="s">
        <v>160</v>
      </c>
      <c r="G65" s="94" t="s">
        <v>161</v>
      </c>
      <c r="H65" s="94" t="s">
        <v>905</v>
      </c>
      <c r="I65" s="34" t="s">
        <v>723</v>
      </c>
      <c r="J65" s="34" t="s">
        <v>140</v>
      </c>
      <c r="K65" s="94" t="s">
        <v>141</v>
      </c>
      <c r="L65" s="34" t="s">
        <v>162</v>
      </c>
      <c r="M65" s="94" t="s">
        <v>163</v>
      </c>
      <c r="N65" s="33">
        <v>2</v>
      </c>
      <c r="O65" s="33" t="s">
        <v>945</v>
      </c>
      <c r="P65" s="116" t="s">
        <v>946</v>
      </c>
      <c r="Q65" s="116" t="s">
        <v>950</v>
      </c>
      <c r="R65" s="116" t="s">
        <v>948</v>
      </c>
      <c r="S65" s="56" t="s">
        <v>155</v>
      </c>
      <c r="T65" s="56" t="s">
        <v>728</v>
      </c>
      <c r="U65" s="56" t="s">
        <v>755</v>
      </c>
      <c r="V65" s="36">
        <v>26</v>
      </c>
      <c r="W65" s="36">
        <v>26</v>
      </c>
      <c r="X65" s="117">
        <v>26</v>
      </c>
      <c r="Y65" s="38">
        <f>IFERROR((TABLA_AVANCE_INDICADORES[[#This Row],[AVANCE 1°. TRIM]]/TABLA_AVANCE_INDICADORES[[#This Row],[PROGR. 1° TRIM]])*100,"0")</f>
        <v>100</v>
      </c>
      <c r="Z65"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65" s="118">
        <v>0</v>
      </c>
      <c r="AB65" s="119">
        <v>0</v>
      </c>
      <c r="AC65" s="40" t="str">
        <f t="shared" si="0"/>
        <v>0</v>
      </c>
      <c r="AD65" s="39" t="str">
        <f t="shared" si="1"/>
        <v>NO PROG.</v>
      </c>
      <c r="AE65" s="118">
        <v>0</v>
      </c>
      <c r="AF65" s="119">
        <v>0</v>
      </c>
      <c r="AG65" s="40" t="str">
        <f>IFERROR((TABLA_AVANCE_INDICADORES[[#This Row],[AVANCE 3°. TRIM]]/TABLA_AVANCE_INDICADORES[[#This Row],[PROGR. 3° TRIM]])*100,"0")</f>
        <v>0</v>
      </c>
      <c r="AH65"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65" s="118">
        <v>0</v>
      </c>
      <c r="AJ65" s="119">
        <v>0</v>
      </c>
      <c r="AK65" s="40" t="str">
        <f>IFERROR((TABLA_AVANCE_INDICADORES[[#This Row],[AVANCE 4°. TRIM]]/TABLA_AVANCE_INDICADORES[[#This Row],[PROGR. 4° TRIM]])*100,"0")</f>
        <v>0</v>
      </c>
      <c r="AL65"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NO PROG.</v>
      </c>
      <c r="AM65"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26</v>
      </c>
      <c r="AN65"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26</v>
      </c>
      <c r="AO65" s="40">
        <f>IFERROR((TABLA_AVANCE_INDICADORES[[#This Row],[AVANCE ACUM. TRIM.]]/TABLA_AVANCE_INDICADORES[[#This Row],[PROG. ACUM]])*100,"N/A")</f>
        <v>100</v>
      </c>
      <c r="AP65"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65" s="121">
        <f>TABLA_AVANCE_INDICADORES[[#This Row],[AVANCE ACUM. TRIM.]]-TABLA_AVANCE_INDICADORES[[#This Row],[PROG. ACUM]]</f>
        <v>0</v>
      </c>
      <c r="AR65" s="46">
        <f>IFERROR((TABLA_AVANCE_INDICADORES[[#This Row],[DIFERENCIA ABSOLUTA SEMESTRAL]]/TABLA_AVANCE_INDICADORES[[#This Row],[PROG. ACUM]])*100,"N/A")</f>
        <v>0</v>
      </c>
      <c r="AS65"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26</v>
      </c>
      <c r="AT65" s="40">
        <f>IFERROR((TABLA_AVANCE_INDICADORES[[#This Row],[AVANCE ACUM. ANUAL]]/TABLA_AVANCE_INDICADORES[[#This Row],[PROGRAMADO ANUAL]])*100,"N/A")</f>
        <v>100</v>
      </c>
      <c r="AU65"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ADECUADO</v>
      </c>
      <c r="AV65" s="121">
        <f>TABLA_AVANCE_INDICADORES[[#This Row],[AVANCE ACUM. ANUAL]]-TABLA_AVANCE_INDICADORES[[#This Row],[PROGRAMADO ANUAL]]</f>
        <v>0</v>
      </c>
      <c r="AW65" s="46">
        <f>IFERROR((TABLA_AVANCE_INDICADORES[[#This Row],[DIFERENCIA ABSOLUTA ANUAL]]/TABLA_AVANCE_INDICADORES[[#This Row],[PROGRAMADO ANUAL]])*100,"N/A")</f>
        <v>0</v>
      </c>
      <c r="AX65" s="123" t="s">
        <v>63</v>
      </c>
      <c r="AY65" s="49" t="s">
        <v>63</v>
      </c>
      <c r="AZ65" s="50"/>
      <c r="BA65" s="50"/>
      <c r="BB65"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66" spans="1:54" ht="63" hidden="1" customHeight="1" x14ac:dyDescent="0.3">
      <c r="A66" s="31" t="s">
        <v>951</v>
      </c>
      <c r="B66" s="113" t="s">
        <v>158</v>
      </c>
      <c r="C66" s="32" t="s">
        <v>75</v>
      </c>
      <c r="D66" s="114" t="s">
        <v>76</v>
      </c>
      <c r="E66" s="32" t="s">
        <v>159</v>
      </c>
      <c r="F66" s="115" t="s">
        <v>160</v>
      </c>
      <c r="G66" s="94" t="s">
        <v>161</v>
      </c>
      <c r="H66" s="94" t="s">
        <v>905</v>
      </c>
      <c r="I66" s="34" t="s">
        <v>723</v>
      </c>
      <c r="J66" s="34" t="s">
        <v>140</v>
      </c>
      <c r="K66" s="94" t="s">
        <v>141</v>
      </c>
      <c r="L66" s="34" t="s">
        <v>162</v>
      </c>
      <c r="M66" s="94" t="s">
        <v>163</v>
      </c>
      <c r="N66" s="33">
        <v>1</v>
      </c>
      <c r="O66" s="33" t="s">
        <v>952</v>
      </c>
      <c r="P66" s="125" t="s">
        <v>953</v>
      </c>
      <c r="Q66" s="125" t="s">
        <v>954</v>
      </c>
      <c r="R66" s="125" t="s">
        <v>955</v>
      </c>
      <c r="S66" s="56" t="s">
        <v>149</v>
      </c>
      <c r="T66" s="56" t="s">
        <v>728</v>
      </c>
      <c r="U66" s="56" t="s">
        <v>755</v>
      </c>
      <c r="V66" s="36">
        <v>4</v>
      </c>
      <c r="W66" s="36">
        <v>1</v>
      </c>
      <c r="X66" s="117">
        <v>1</v>
      </c>
      <c r="Y66" s="38">
        <f>IFERROR((TABLA_AVANCE_INDICADORES[[#This Row],[AVANCE 1°. TRIM]]/TABLA_AVANCE_INDICADORES[[#This Row],[PROGR. 1° TRIM]])*100,"0")</f>
        <v>100</v>
      </c>
      <c r="Z66"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66" s="118">
        <v>1</v>
      </c>
      <c r="AB66" s="119">
        <v>1</v>
      </c>
      <c r="AC66" s="40">
        <f t="shared" si="0"/>
        <v>100</v>
      </c>
      <c r="AD66" s="39" t="str">
        <f t="shared" si="1"/>
        <v>ADECUADO</v>
      </c>
      <c r="AE66" s="118">
        <v>1</v>
      </c>
      <c r="AF66" s="119">
        <v>0</v>
      </c>
      <c r="AG66" s="40">
        <f>IFERROR((TABLA_AVANCE_INDICADORES[[#This Row],[AVANCE 3°. TRIM]]/TABLA_AVANCE_INDICADORES[[#This Row],[PROGR. 3° TRIM]])*100,"0")</f>
        <v>0</v>
      </c>
      <c r="AH66"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CRÍTICO</v>
      </c>
      <c r="AI66" s="118">
        <v>1</v>
      </c>
      <c r="AJ66" s="119">
        <v>0</v>
      </c>
      <c r="AK66" s="40">
        <f>IFERROR((TABLA_AVANCE_INDICADORES[[#This Row],[AVANCE 4°. TRIM]]/TABLA_AVANCE_INDICADORES[[#This Row],[PROGR. 4° TRIM]])*100,"0")</f>
        <v>0</v>
      </c>
      <c r="AL66"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66"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2</v>
      </c>
      <c r="AN66"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v>
      </c>
      <c r="AO66" s="40">
        <f>IFERROR((TABLA_AVANCE_INDICADORES[[#This Row],[AVANCE ACUM. TRIM.]]/TABLA_AVANCE_INDICADORES[[#This Row],[PROG. ACUM]])*100,"N/A")</f>
        <v>100</v>
      </c>
      <c r="AP66"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66" s="121">
        <f>TABLA_AVANCE_INDICADORES[[#This Row],[AVANCE ACUM. TRIM.]]-TABLA_AVANCE_INDICADORES[[#This Row],[PROG. ACUM]]</f>
        <v>0</v>
      </c>
      <c r="AR66" s="46">
        <f>IFERROR((TABLA_AVANCE_INDICADORES[[#This Row],[DIFERENCIA ABSOLUTA SEMESTRAL]]/TABLA_AVANCE_INDICADORES[[#This Row],[PROG. ACUM]])*100,"N/A")</f>
        <v>0</v>
      </c>
      <c r="AS66"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v>
      </c>
      <c r="AT66" s="40">
        <f>IFERROR((TABLA_AVANCE_INDICADORES[[#This Row],[AVANCE ACUM. ANUAL]]/TABLA_AVANCE_INDICADORES[[#This Row],[PROGRAMADO ANUAL]])*100,"N/A")</f>
        <v>50</v>
      </c>
      <c r="AU66"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66" s="121">
        <f>TABLA_AVANCE_INDICADORES[[#This Row],[AVANCE ACUM. ANUAL]]-TABLA_AVANCE_INDICADORES[[#This Row],[PROGRAMADO ANUAL]]</f>
        <v>-2</v>
      </c>
      <c r="AW66" s="46">
        <f>IFERROR((TABLA_AVANCE_INDICADORES[[#This Row],[DIFERENCIA ABSOLUTA ANUAL]]/TABLA_AVANCE_INDICADORES[[#This Row],[PROGRAMADO ANUAL]])*100,"N/A")</f>
        <v>-50</v>
      </c>
      <c r="AX66" s="123" t="s">
        <v>63</v>
      </c>
      <c r="AY66" s="49" t="s">
        <v>63</v>
      </c>
      <c r="AZ66" s="50"/>
      <c r="BA66" s="50"/>
      <c r="BB66"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67" spans="1:54" ht="63" hidden="1" customHeight="1" x14ac:dyDescent="0.3">
      <c r="A67" s="31" t="s">
        <v>956</v>
      </c>
      <c r="B67" s="113" t="s">
        <v>158</v>
      </c>
      <c r="C67" s="32" t="s">
        <v>75</v>
      </c>
      <c r="D67" s="114" t="s">
        <v>76</v>
      </c>
      <c r="E67" s="32" t="s">
        <v>159</v>
      </c>
      <c r="F67" s="115" t="s">
        <v>160</v>
      </c>
      <c r="G67" s="94" t="s">
        <v>161</v>
      </c>
      <c r="H67" s="94" t="s">
        <v>905</v>
      </c>
      <c r="I67" s="34" t="s">
        <v>723</v>
      </c>
      <c r="J67" s="34" t="s">
        <v>140</v>
      </c>
      <c r="K67" s="94" t="s">
        <v>141</v>
      </c>
      <c r="L67" s="34" t="s">
        <v>162</v>
      </c>
      <c r="M67" s="94" t="s">
        <v>163</v>
      </c>
      <c r="N67" s="33">
        <v>2</v>
      </c>
      <c r="O67" s="33" t="s">
        <v>952</v>
      </c>
      <c r="P67" s="116" t="s">
        <v>953</v>
      </c>
      <c r="Q67" s="116" t="s">
        <v>957</v>
      </c>
      <c r="R67" s="116" t="s">
        <v>955</v>
      </c>
      <c r="S67" s="56" t="s">
        <v>149</v>
      </c>
      <c r="T67" s="56" t="s">
        <v>728</v>
      </c>
      <c r="U67" s="56" t="s">
        <v>755</v>
      </c>
      <c r="V67" s="36">
        <v>1</v>
      </c>
      <c r="W67" s="36">
        <v>1</v>
      </c>
      <c r="X67" s="117">
        <v>1</v>
      </c>
      <c r="Y67" s="38">
        <f>IFERROR((TABLA_AVANCE_INDICADORES[[#This Row],[AVANCE 1°. TRIM]]/TABLA_AVANCE_INDICADORES[[#This Row],[PROGR. 1° TRIM]])*100,"0")</f>
        <v>100</v>
      </c>
      <c r="Z67"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67" s="118">
        <v>0</v>
      </c>
      <c r="AB67" s="119">
        <v>0</v>
      </c>
      <c r="AC67" s="40" t="str">
        <f t="shared" si="0"/>
        <v>0</v>
      </c>
      <c r="AD67" s="39" t="str">
        <f t="shared" si="1"/>
        <v>NO PROG.</v>
      </c>
      <c r="AE67" s="118">
        <v>0</v>
      </c>
      <c r="AF67" s="119">
        <v>0</v>
      </c>
      <c r="AG67" s="40" t="str">
        <f>IFERROR((TABLA_AVANCE_INDICADORES[[#This Row],[AVANCE 3°. TRIM]]/TABLA_AVANCE_INDICADORES[[#This Row],[PROGR. 3° TRIM]])*100,"0")</f>
        <v>0</v>
      </c>
      <c r="AH67"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67" s="118">
        <v>0</v>
      </c>
      <c r="AJ67" s="119">
        <v>0</v>
      </c>
      <c r="AK67" s="40" t="str">
        <f>IFERROR((TABLA_AVANCE_INDICADORES[[#This Row],[AVANCE 4°. TRIM]]/TABLA_AVANCE_INDICADORES[[#This Row],[PROGR. 4° TRIM]])*100,"0")</f>
        <v>0</v>
      </c>
      <c r="AL67"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NO PROG.</v>
      </c>
      <c r="AM67"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1</v>
      </c>
      <c r="AN67"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v>
      </c>
      <c r="AO67" s="40">
        <f>IFERROR((TABLA_AVANCE_INDICADORES[[#This Row],[AVANCE ACUM. TRIM.]]/TABLA_AVANCE_INDICADORES[[#This Row],[PROG. ACUM]])*100,"N/A")</f>
        <v>100</v>
      </c>
      <c r="AP67"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67" s="121">
        <f>TABLA_AVANCE_INDICADORES[[#This Row],[AVANCE ACUM. TRIM.]]-TABLA_AVANCE_INDICADORES[[#This Row],[PROG. ACUM]]</f>
        <v>0</v>
      </c>
      <c r="AR67" s="46">
        <f>IFERROR((TABLA_AVANCE_INDICADORES[[#This Row],[DIFERENCIA ABSOLUTA SEMESTRAL]]/TABLA_AVANCE_INDICADORES[[#This Row],[PROG. ACUM]])*100,"N/A")</f>
        <v>0</v>
      </c>
      <c r="AS67"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v>
      </c>
      <c r="AT67" s="40">
        <f>IFERROR((TABLA_AVANCE_INDICADORES[[#This Row],[AVANCE ACUM. ANUAL]]/TABLA_AVANCE_INDICADORES[[#This Row],[PROGRAMADO ANUAL]])*100,"N/A")</f>
        <v>100</v>
      </c>
      <c r="AU67"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ADECUADO</v>
      </c>
      <c r="AV67" s="121">
        <f>TABLA_AVANCE_INDICADORES[[#This Row],[AVANCE ACUM. ANUAL]]-TABLA_AVANCE_INDICADORES[[#This Row],[PROGRAMADO ANUAL]]</f>
        <v>0</v>
      </c>
      <c r="AW67" s="46">
        <f>IFERROR((TABLA_AVANCE_INDICADORES[[#This Row],[DIFERENCIA ABSOLUTA ANUAL]]/TABLA_AVANCE_INDICADORES[[#This Row],[PROGRAMADO ANUAL]])*100,"N/A")</f>
        <v>0</v>
      </c>
      <c r="AX67" s="123" t="s">
        <v>63</v>
      </c>
      <c r="AY67" s="49" t="s">
        <v>63</v>
      </c>
      <c r="AZ67" s="50"/>
      <c r="BA67" s="50"/>
      <c r="BB67"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68" spans="1:54" ht="63" hidden="1" customHeight="1" x14ac:dyDescent="0.3">
      <c r="A68" s="31" t="s">
        <v>958</v>
      </c>
      <c r="B68" s="113" t="s">
        <v>158</v>
      </c>
      <c r="C68" s="32" t="s">
        <v>75</v>
      </c>
      <c r="D68" s="114" t="s">
        <v>76</v>
      </c>
      <c r="E68" s="32" t="s">
        <v>159</v>
      </c>
      <c r="F68" s="115" t="s">
        <v>160</v>
      </c>
      <c r="G68" s="94" t="s">
        <v>161</v>
      </c>
      <c r="H68" s="94" t="s">
        <v>905</v>
      </c>
      <c r="I68" s="34" t="s">
        <v>723</v>
      </c>
      <c r="J68" s="34" t="s">
        <v>140</v>
      </c>
      <c r="K68" s="94" t="s">
        <v>141</v>
      </c>
      <c r="L68" s="34" t="s">
        <v>162</v>
      </c>
      <c r="M68" s="94" t="s">
        <v>163</v>
      </c>
      <c r="N68" s="33">
        <v>1</v>
      </c>
      <c r="O68" s="33" t="s">
        <v>959</v>
      </c>
      <c r="P68" s="116" t="s">
        <v>960</v>
      </c>
      <c r="Q68" s="116" t="s">
        <v>961</v>
      </c>
      <c r="R68" s="116" t="s">
        <v>962</v>
      </c>
      <c r="S68" s="56" t="s">
        <v>155</v>
      </c>
      <c r="T68" s="56" t="s">
        <v>728</v>
      </c>
      <c r="U68" s="56" t="s">
        <v>755</v>
      </c>
      <c r="V68" s="36">
        <v>1</v>
      </c>
      <c r="W68" s="36">
        <v>0</v>
      </c>
      <c r="X68" s="117">
        <v>0</v>
      </c>
      <c r="Y68" s="38" t="str">
        <f>IFERROR((TABLA_AVANCE_INDICADORES[[#This Row],[AVANCE 1°. TRIM]]/TABLA_AVANCE_INDICADORES[[#This Row],[PROGR. 1° TRIM]])*100,"0")</f>
        <v>0</v>
      </c>
      <c r="Z68"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68" s="118">
        <v>0</v>
      </c>
      <c r="AB68" s="119">
        <v>0</v>
      </c>
      <c r="AC68" s="40" t="str">
        <f t="shared" ref="AC68:AC118" si="2">IFERROR((AB68/AA68)*100,"0")</f>
        <v>0</v>
      </c>
      <c r="AD68" s="39" t="str">
        <f t="shared" si="1"/>
        <v>NO PROG.</v>
      </c>
      <c r="AE68" s="118">
        <v>0</v>
      </c>
      <c r="AF68" s="119">
        <v>0</v>
      </c>
      <c r="AG68" s="40" t="str">
        <f>IFERROR((TABLA_AVANCE_INDICADORES[[#This Row],[AVANCE 3°. TRIM]]/TABLA_AVANCE_INDICADORES[[#This Row],[PROGR. 3° TRIM]])*100,"0")</f>
        <v>0</v>
      </c>
      <c r="AH68"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68" s="118">
        <v>1</v>
      </c>
      <c r="AJ68" s="119">
        <v>0</v>
      </c>
      <c r="AK68" s="40">
        <f>IFERROR((TABLA_AVANCE_INDICADORES[[#This Row],[AVANCE 4°. TRIM]]/TABLA_AVANCE_INDICADORES[[#This Row],[PROGR. 4° TRIM]])*100,"0")</f>
        <v>0</v>
      </c>
      <c r="AL68"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68"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0</v>
      </c>
      <c r="AN68"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O68" s="40" t="str">
        <f>IFERROR((TABLA_AVANCE_INDICADORES[[#This Row],[AVANCE ACUM. TRIM.]]/TABLA_AVANCE_INDICADORES[[#This Row],[PROG. ACUM]])*100,"N/A")</f>
        <v>N/A</v>
      </c>
      <c r="AP68"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NO PROG.</v>
      </c>
      <c r="AQ68" s="121">
        <f>TABLA_AVANCE_INDICADORES[[#This Row],[AVANCE ACUM. TRIM.]]-TABLA_AVANCE_INDICADORES[[#This Row],[PROG. ACUM]]</f>
        <v>0</v>
      </c>
      <c r="AR68" s="46" t="str">
        <f>IFERROR((TABLA_AVANCE_INDICADORES[[#This Row],[DIFERENCIA ABSOLUTA SEMESTRAL]]/TABLA_AVANCE_INDICADORES[[#This Row],[PROG. ACUM]])*100,"N/A")</f>
        <v>N/A</v>
      </c>
      <c r="AS68"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T68" s="40">
        <f>IFERROR((TABLA_AVANCE_INDICADORES[[#This Row],[AVANCE ACUM. ANUAL]]/TABLA_AVANCE_INDICADORES[[#This Row],[PROGRAMADO ANUAL]])*100,"N/A")</f>
        <v>0</v>
      </c>
      <c r="AU68"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68" s="121">
        <f>TABLA_AVANCE_INDICADORES[[#This Row],[AVANCE ACUM. ANUAL]]-TABLA_AVANCE_INDICADORES[[#This Row],[PROGRAMADO ANUAL]]</f>
        <v>-1</v>
      </c>
      <c r="AW68" s="46">
        <f>IFERROR((TABLA_AVANCE_INDICADORES[[#This Row],[DIFERENCIA ABSOLUTA ANUAL]]/TABLA_AVANCE_INDICADORES[[#This Row],[PROGRAMADO ANUAL]])*100,"N/A")</f>
        <v>-100</v>
      </c>
      <c r="AX68" s="123" t="s">
        <v>63</v>
      </c>
      <c r="AY68" s="49" t="s">
        <v>63</v>
      </c>
      <c r="AZ68" s="50"/>
      <c r="BA68" s="50"/>
      <c r="BB68"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69" spans="1:54" ht="63" hidden="1" customHeight="1" x14ac:dyDescent="0.3">
      <c r="A69" s="31" t="s">
        <v>963</v>
      </c>
      <c r="B69" s="113" t="s">
        <v>158</v>
      </c>
      <c r="C69" s="32" t="s">
        <v>75</v>
      </c>
      <c r="D69" s="114" t="s">
        <v>76</v>
      </c>
      <c r="E69" s="32" t="s">
        <v>159</v>
      </c>
      <c r="F69" s="115" t="s">
        <v>160</v>
      </c>
      <c r="G69" s="94" t="s">
        <v>161</v>
      </c>
      <c r="H69" s="94" t="s">
        <v>905</v>
      </c>
      <c r="I69" s="34" t="s">
        <v>723</v>
      </c>
      <c r="J69" s="34" t="s">
        <v>140</v>
      </c>
      <c r="K69" s="94" t="s">
        <v>141</v>
      </c>
      <c r="L69" s="34" t="s">
        <v>162</v>
      </c>
      <c r="M69" s="94" t="s">
        <v>163</v>
      </c>
      <c r="N69" s="33">
        <v>2</v>
      </c>
      <c r="O69" s="33" t="s">
        <v>959</v>
      </c>
      <c r="P69" s="116" t="s">
        <v>960</v>
      </c>
      <c r="Q69" s="116" t="s">
        <v>918</v>
      </c>
      <c r="R69" s="116" t="s">
        <v>962</v>
      </c>
      <c r="S69" s="56" t="s">
        <v>155</v>
      </c>
      <c r="T69" s="56" t="s">
        <v>728</v>
      </c>
      <c r="U69" s="56" t="s">
        <v>755</v>
      </c>
      <c r="V69" s="36">
        <v>1</v>
      </c>
      <c r="W69" s="36">
        <v>0</v>
      </c>
      <c r="X69" s="127">
        <v>0</v>
      </c>
      <c r="Y69" s="38" t="str">
        <f>IFERROR((TABLA_AVANCE_INDICADORES[[#This Row],[AVANCE 1°. TRIM]]/TABLA_AVANCE_INDICADORES[[#This Row],[PROGR. 1° TRIM]])*100,"0")</f>
        <v>0</v>
      </c>
      <c r="Z69"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69" s="118">
        <v>0</v>
      </c>
      <c r="AB69" s="128">
        <v>0</v>
      </c>
      <c r="AC69" s="40" t="str">
        <f t="shared" si="2"/>
        <v>0</v>
      </c>
      <c r="AD69" s="39" t="str">
        <f t="shared" ref="AD69:AD118" si="3">IF(AND(AC69&gt;=0,AC69&lt;=49.9999999999999),"CRÍTICO",IF(AND(AC69&gt;=50,AC69&lt;=69.9999999999999),"DEFICIENTE",IF(AND(AC69&gt;=70,AC69&lt;=89.9999999999999),"REGULAR",IF(AND(AC69&gt;=90,AC69&lt;=110.999999999999),"ADECUADO",IF(AND(AC69&gt;=111,AC69&lt;=999999),"SOBREPASADO","NO PROG.")))))</f>
        <v>NO PROG.</v>
      </c>
      <c r="AE69" s="118">
        <v>0</v>
      </c>
      <c r="AF69" s="128">
        <f>AE69</f>
        <v>0</v>
      </c>
      <c r="AG69" s="40" t="str">
        <f>IFERROR((TABLA_AVANCE_INDICADORES[[#This Row],[AVANCE 3°. TRIM]]/TABLA_AVANCE_INDICADORES[[#This Row],[PROGR. 3° TRIM]])*100,"0")</f>
        <v>0</v>
      </c>
      <c r="AH69"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69" s="118">
        <v>1</v>
      </c>
      <c r="AJ69" s="128">
        <f>AI69</f>
        <v>1</v>
      </c>
      <c r="AK69" s="40">
        <f>IFERROR((TABLA_AVANCE_INDICADORES[[#This Row],[AVANCE 4°. TRIM]]/TABLA_AVANCE_INDICADORES[[#This Row],[PROGR. 4° TRIM]])*100,"0")</f>
        <v>100</v>
      </c>
      <c r="AL69"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ADECUADO</v>
      </c>
      <c r="AM69"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0</v>
      </c>
      <c r="AN69"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O69" s="40" t="str">
        <f>IFERROR((TABLA_AVANCE_INDICADORES[[#This Row],[AVANCE ACUM. TRIM.]]/TABLA_AVANCE_INDICADORES[[#This Row],[PROG. ACUM]])*100,"N/A")</f>
        <v>N/A</v>
      </c>
      <c r="AP69"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NO PROG.</v>
      </c>
      <c r="AQ69" s="121">
        <f>TABLA_AVANCE_INDICADORES[[#This Row],[AVANCE ACUM. TRIM.]]-TABLA_AVANCE_INDICADORES[[#This Row],[PROG. ACUM]]</f>
        <v>0</v>
      </c>
      <c r="AR69" s="46" t="str">
        <f>IFERROR((TABLA_AVANCE_INDICADORES[[#This Row],[DIFERENCIA ABSOLUTA SEMESTRAL]]/TABLA_AVANCE_INDICADORES[[#This Row],[PROG. ACUM]])*100,"N/A")</f>
        <v>N/A</v>
      </c>
      <c r="AS69"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T69" s="40">
        <f>IFERROR((TABLA_AVANCE_INDICADORES[[#This Row],[AVANCE ACUM. ANUAL]]/TABLA_AVANCE_INDICADORES[[#This Row],[PROGRAMADO ANUAL]])*100,"N/A")</f>
        <v>0</v>
      </c>
      <c r="AU69"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69" s="121">
        <f>TABLA_AVANCE_INDICADORES[[#This Row],[AVANCE ACUM. ANUAL]]-TABLA_AVANCE_INDICADORES[[#This Row],[PROGRAMADO ANUAL]]</f>
        <v>-1</v>
      </c>
      <c r="AW69" s="46">
        <f>IFERROR((TABLA_AVANCE_INDICADORES[[#This Row],[DIFERENCIA ABSOLUTA ANUAL]]/TABLA_AVANCE_INDICADORES[[#This Row],[PROGRAMADO ANUAL]])*100,"N/A")</f>
        <v>-100</v>
      </c>
      <c r="AX69" s="123" t="s">
        <v>63</v>
      </c>
      <c r="AY69" s="49" t="s">
        <v>63</v>
      </c>
      <c r="AZ69" s="50"/>
      <c r="BA69" s="50"/>
      <c r="BB69"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70" spans="1:54" ht="63" hidden="1" customHeight="1" x14ac:dyDescent="0.3">
      <c r="A70" s="31" t="s">
        <v>964</v>
      </c>
      <c r="B70" s="113" t="s">
        <v>136</v>
      </c>
      <c r="C70" s="32" t="s">
        <v>75</v>
      </c>
      <c r="D70" s="114" t="s">
        <v>76</v>
      </c>
      <c r="E70" s="32" t="s">
        <v>137</v>
      </c>
      <c r="F70" s="115" t="s">
        <v>138</v>
      </c>
      <c r="G70" s="94" t="s">
        <v>139</v>
      </c>
      <c r="H70" s="94" t="s">
        <v>897</v>
      </c>
      <c r="I70" s="34" t="s">
        <v>723</v>
      </c>
      <c r="J70" s="34" t="s">
        <v>140</v>
      </c>
      <c r="K70" s="94" t="s">
        <v>141</v>
      </c>
      <c r="L70" s="34" t="s">
        <v>142</v>
      </c>
      <c r="M70" s="94" t="s">
        <v>143</v>
      </c>
      <c r="N70" s="33">
        <v>1</v>
      </c>
      <c r="O70" s="33" t="s">
        <v>965</v>
      </c>
      <c r="P70" s="116" t="s">
        <v>966</v>
      </c>
      <c r="Q70" s="116" t="s">
        <v>967</v>
      </c>
      <c r="R70" s="116" t="s">
        <v>968</v>
      </c>
      <c r="S70" s="56" t="s">
        <v>157</v>
      </c>
      <c r="T70" s="56" t="s">
        <v>728</v>
      </c>
      <c r="U70" s="56" t="s">
        <v>755</v>
      </c>
      <c r="V70" s="36">
        <v>20</v>
      </c>
      <c r="W70" s="36">
        <v>5</v>
      </c>
      <c r="X70" s="117">
        <v>5</v>
      </c>
      <c r="Y70" s="38">
        <f>IFERROR((TABLA_AVANCE_INDICADORES[[#This Row],[AVANCE 1°. TRIM]]/TABLA_AVANCE_INDICADORES[[#This Row],[PROGR. 1° TRIM]])*100,"0")</f>
        <v>100</v>
      </c>
      <c r="Z70"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70" s="118">
        <v>5</v>
      </c>
      <c r="AB70" s="119">
        <v>5</v>
      </c>
      <c r="AC70" s="40">
        <f t="shared" si="2"/>
        <v>100</v>
      </c>
      <c r="AD70" s="39" t="str">
        <f t="shared" si="3"/>
        <v>ADECUADO</v>
      </c>
      <c r="AE70" s="118">
        <v>5</v>
      </c>
      <c r="AF70" s="119">
        <v>0</v>
      </c>
      <c r="AG70" s="40">
        <f>IFERROR((TABLA_AVANCE_INDICADORES[[#This Row],[AVANCE 3°. TRIM]]/TABLA_AVANCE_INDICADORES[[#This Row],[PROGR. 3° TRIM]])*100,"0")</f>
        <v>0</v>
      </c>
      <c r="AH70"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CRÍTICO</v>
      </c>
      <c r="AI70" s="118">
        <v>5</v>
      </c>
      <c r="AJ70" s="119">
        <v>0</v>
      </c>
      <c r="AK70" s="40">
        <f>IFERROR((TABLA_AVANCE_INDICADORES[[#This Row],[AVANCE 4°. TRIM]]/TABLA_AVANCE_INDICADORES[[#This Row],[PROGR. 4° TRIM]])*100,"0")</f>
        <v>0</v>
      </c>
      <c r="AL70"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70"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10</v>
      </c>
      <c r="AN70"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10</v>
      </c>
      <c r="AO70" s="40">
        <f>IFERROR((TABLA_AVANCE_INDICADORES[[#This Row],[AVANCE ACUM. TRIM.]]/TABLA_AVANCE_INDICADORES[[#This Row],[PROG. ACUM]])*100,"N/A")</f>
        <v>100</v>
      </c>
      <c r="AP70"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70" s="121">
        <f>TABLA_AVANCE_INDICADORES[[#This Row],[AVANCE ACUM. TRIM.]]-TABLA_AVANCE_INDICADORES[[#This Row],[PROG. ACUM]]</f>
        <v>0</v>
      </c>
      <c r="AR70" s="46">
        <f>IFERROR((TABLA_AVANCE_INDICADORES[[#This Row],[DIFERENCIA ABSOLUTA SEMESTRAL]]/TABLA_AVANCE_INDICADORES[[#This Row],[PROG. ACUM]])*100,"N/A")</f>
        <v>0</v>
      </c>
      <c r="AS70"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10</v>
      </c>
      <c r="AT70" s="40">
        <f>IFERROR((TABLA_AVANCE_INDICADORES[[#This Row],[AVANCE ACUM. ANUAL]]/TABLA_AVANCE_INDICADORES[[#This Row],[PROGRAMADO ANUAL]])*100,"N/A")</f>
        <v>50</v>
      </c>
      <c r="AU70"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70" s="121">
        <f>TABLA_AVANCE_INDICADORES[[#This Row],[AVANCE ACUM. ANUAL]]-TABLA_AVANCE_INDICADORES[[#This Row],[PROGRAMADO ANUAL]]</f>
        <v>-10</v>
      </c>
      <c r="AW70" s="46">
        <f>IFERROR((TABLA_AVANCE_INDICADORES[[#This Row],[DIFERENCIA ABSOLUTA ANUAL]]/TABLA_AVANCE_INDICADORES[[#This Row],[PROGRAMADO ANUAL]])*100,"N/A")</f>
        <v>-50</v>
      </c>
      <c r="AX70" s="123" t="s">
        <v>63</v>
      </c>
      <c r="AY70" s="49" t="e">
        <v>#N/A</v>
      </c>
      <c r="AZ70" s="50"/>
      <c r="BA70" s="50"/>
      <c r="BB70"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71" spans="1:54" ht="63" hidden="1" customHeight="1" x14ac:dyDescent="0.3">
      <c r="A71" s="31" t="s">
        <v>969</v>
      </c>
      <c r="B71" s="113" t="s">
        <v>136</v>
      </c>
      <c r="C71" s="32" t="s">
        <v>75</v>
      </c>
      <c r="D71" s="114" t="s">
        <v>76</v>
      </c>
      <c r="E71" s="32" t="s">
        <v>137</v>
      </c>
      <c r="F71" s="115" t="s">
        <v>138</v>
      </c>
      <c r="G71" s="94" t="s">
        <v>139</v>
      </c>
      <c r="H71" s="94" t="s">
        <v>897</v>
      </c>
      <c r="I71" s="34" t="s">
        <v>723</v>
      </c>
      <c r="J71" s="34" t="s">
        <v>140</v>
      </c>
      <c r="K71" s="94" t="s">
        <v>141</v>
      </c>
      <c r="L71" s="34" t="s">
        <v>142</v>
      </c>
      <c r="M71" s="94" t="s">
        <v>143</v>
      </c>
      <c r="N71" s="33">
        <v>2</v>
      </c>
      <c r="O71" s="33" t="s">
        <v>965</v>
      </c>
      <c r="P71" s="116" t="s">
        <v>966</v>
      </c>
      <c r="Q71" s="116" t="s">
        <v>970</v>
      </c>
      <c r="R71" s="116" t="s">
        <v>968</v>
      </c>
      <c r="S71" s="56" t="s">
        <v>157</v>
      </c>
      <c r="T71" s="56" t="s">
        <v>728</v>
      </c>
      <c r="U71" s="56" t="s">
        <v>755</v>
      </c>
      <c r="V71" s="36">
        <v>20</v>
      </c>
      <c r="W71" s="36">
        <v>5</v>
      </c>
      <c r="X71" s="127">
        <v>5</v>
      </c>
      <c r="Y71" s="38">
        <f>IFERROR((TABLA_AVANCE_INDICADORES[[#This Row],[AVANCE 1°. TRIM]]/TABLA_AVANCE_INDICADORES[[#This Row],[PROGR. 1° TRIM]])*100,"0")</f>
        <v>100</v>
      </c>
      <c r="Z71"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71" s="118">
        <v>5</v>
      </c>
      <c r="AB71" s="128">
        <v>5</v>
      </c>
      <c r="AC71" s="40">
        <f t="shared" si="2"/>
        <v>100</v>
      </c>
      <c r="AD71" s="39" t="str">
        <f t="shared" si="3"/>
        <v>ADECUADO</v>
      </c>
      <c r="AE71" s="118">
        <v>5</v>
      </c>
      <c r="AF71" s="128">
        <f>AE71</f>
        <v>5</v>
      </c>
      <c r="AG71" s="40">
        <f>IFERROR((TABLA_AVANCE_INDICADORES[[#This Row],[AVANCE 3°. TRIM]]/TABLA_AVANCE_INDICADORES[[#This Row],[PROGR. 3° TRIM]])*100,"0")</f>
        <v>100</v>
      </c>
      <c r="AH71"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ADECUADO</v>
      </c>
      <c r="AI71" s="118">
        <v>5</v>
      </c>
      <c r="AJ71" s="128">
        <f>AI71</f>
        <v>5</v>
      </c>
      <c r="AK71" s="40">
        <f>IFERROR((TABLA_AVANCE_INDICADORES[[#This Row],[AVANCE 4°. TRIM]]/TABLA_AVANCE_INDICADORES[[#This Row],[PROGR. 4° TRIM]])*100,"0")</f>
        <v>100</v>
      </c>
      <c r="AL71"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ADECUADO</v>
      </c>
      <c r="AM71"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10</v>
      </c>
      <c r="AN71"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10</v>
      </c>
      <c r="AO71" s="40">
        <f>IFERROR((TABLA_AVANCE_INDICADORES[[#This Row],[AVANCE ACUM. TRIM.]]/TABLA_AVANCE_INDICADORES[[#This Row],[PROG. ACUM]])*100,"N/A")</f>
        <v>100</v>
      </c>
      <c r="AP71"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71" s="121">
        <f>TABLA_AVANCE_INDICADORES[[#This Row],[AVANCE ACUM. TRIM.]]-TABLA_AVANCE_INDICADORES[[#This Row],[PROG. ACUM]]</f>
        <v>0</v>
      </c>
      <c r="AR71" s="46">
        <f>IFERROR((TABLA_AVANCE_INDICADORES[[#This Row],[DIFERENCIA ABSOLUTA SEMESTRAL]]/TABLA_AVANCE_INDICADORES[[#This Row],[PROG. ACUM]])*100,"N/A")</f>
        <v>0</v>
      </c>
      <c r="AS71"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10</v>
      </c>
      <c r="AT71" s="40">
        <f>IFERROR((TABLA_AVANCE_INDICADORES[[#This Row],[AVANCE ACUM. ANUAL]]/TABLA_AVANCE_INDICADORES[[#This Row],[PROGRAMADO ANUAL]])*100,"N/A")</f>
        <v>50</v>
      </c>
      <c r="AU71"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71" s="121">
        <f>TABLA_AVANCE_INDICADORES[[#This Row],[AVANCE ACUM. ANUAL]]-TABLA_AVANCE_INDICADORES[[#This Row],[PROGRAMADO ANUAL]]</f>
        <v>-10</v>
      </c>
      <c r="AW71" s="46">
        <f>IFERROR((TABLA_AVANCE_INDICADORES[[#This Row],[DIFERENCIA ABSOLUTA ANUAL]]/TABLA_AVANCE_INDICADORES[[#This Row],[PROGRAMADO ANUAL]])*100,"N/A")</f>
        <v>-50</v>
      </c>
      <c r="AX71" s="123" t="s">
        <v>63</v>
      </c>
      <c r="AY71" s="49" t="e">
        <v>#N/A</v>
      </c>
      <c r="AZ71" s="50"/>
      <c r="BA71" s="50"/>
      <c r="BB71"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72" spans="1:54" ht="63" hidden="1" customHeight="1" x14ac:dyDescent="0.3">
      <c r="A72" s="31" t="s">
        <v>971</v>
      </c>
      <c r="B72" s="113" t="s">
        <v>276</v>
      </c>
      <c r="C72" s="32" t="s">
        <v>214</v>
      </c>
      <c r="D72" s="114" t="s">
        <v>215</v>
      </c>
      <c r="E72" s="32" t="s">
        <v>277</v>
      </c>
      <c r="F72" s="115" t="s">
        <v>278</v>
      </c>
      <c r="G72" s="94" t="s">
        <v>279</v>
      </c>
      <c r="H72" s="94" t="s">
        <v>972</v>
      </c>
      <c r="I72" s="34" t="s">
        <v>723</v>
      </c>
      <c r="J72" s="34" t="s">
        <v>280</v>
      </c>
      <c r="K72" s="94" t="s">
        <v>281</v>
      </c>
      <c r="L72" s="34" t="s">
        <v>282</v>
      </c>
      <c r="M72" s="94" t="s">
        <v>283</v>
      </c>
      <c r="N72" s="33">
        <v>1</v>
      </c>
      <c r="O72" s="33" t="s">
        <v>724</v>
      </c>
      <c r="P72" s="116" t="s">
        <v>973</v>
      </c>
      <c r="Q72" s="116" t="s">
        <v>974</v>
      </c>
      <c r="R72" s="116" t="s">
        <v>975</v>
      </c>
      <c r="S72" s="56" t="s">
        <v>976</v>
      </c>
      <c r="T72" s="56" t="s">
        <v>728</v>
      </c>
      <c r="U72" s="56" t="s">
        <v>739</v>
      </c>
      <c r="V72" s="36">
        <v>714968761</v>
      </c>
      <c r="W72" s="36">
        <v>0</v>
      </c>
      <c r="X72" s="117">
        <v>0</v>
      </c>
      <c r="Y72" s="38" t="str">
        <f>IFERROR((TABLA_AVANCE_INDICADORES[[#This Row],[AVANCE 1°. TRIM]]/TABLA_AVANCE_INDICADORES[[#This Row],[PROGR. 1° TRIM]])*100,"0")</f>
        <v>0</v>
      </c>
      <c r="Z72"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72" s="118">
        <v>0</v>
      </c>
      <c r="AB72" s="119">
        <v>0</v>
      </c>
      <c r="AC72" s="40" t="str">
        <f t="shared" si="2"/>
        <v>0</v>
      </c>
      <c r="AD72" s="39" t="str">
        <f t="shared" si="3"/>
        <v>NO PROG.</v>
      </c>
      <c r="AE72" s="118">
        <v>0</v>
      </c>
      <c r="AF72" s="119">
        <v>0</v>
      </c>
      <c r="AG72" s="40" t="str">
        <f>IFERROR((TABLA_AVANCE_INDICADORES[[#This Row],[AVANCE 3°. TRIM]]/TABLA_AVANCE_INDICADORES[[#This Row],[PROGR. 3° TRIM]])*100,"0")</f>
        <v>0</v>
      </c>
      <c r="AH72"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72" s="118">
        <v>714968761</v>
      </c>
      <c r="AJ72" s="119">
        <v>0</v>
      </c>
      <c r="AK72" s="40">
        <f>IFERROR((TABLA_AVANCE_INDICADORES[[#This Row],[AVANCE 4°. TRIM]]/TABLA_AVANCE_INDICADORES[[#This Row],[PROGR. 4° TRIM]])*100,"0")</f>
        <v>0</v>
      </c>
      <c r="AL72"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72"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0</v>
      </c>
      <c r="AN72"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O72" s="40" t="str">
        <f>IFERROR((TABLA_AVANCE_INDICADORES[[#This Row],[AVANCE ACUM. TRIM.]]/TABLA_AVANCE_INDICADORES[[#This Row],[PROG. ACUM]])*100,"N/A")</f>
        <v>N/A</v>
      </c>
      <c r="AP72"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NO PROG.</v>
      </c>
      <c r="AQ72" s="121">
        <f>TABLA_AVANCE_INDICADORES[[#This Row],[AVANCE ACUM. TRIM.]]-TABLA_AVANCE_INDICADORES[[#This Row],[PROG. ACUM]]</f>
        <v>0</v>
      </c>
      <c r="AR72" s="46" t="str">
        <f>IFERROR((TABLA_AVANCE_INDICADORES[[#This Row],[DIFERENCIA ABSOLUTA SEMESTRAL]]/TABLA_AVANCE_INDICADORES[[#This Row],[PROG. ACUM]])*100,"N/A")</f>
        <v>N/A</v>
      </c>
      <c r="AS72"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T72" s="40">
        <f>IFERROR((TABLA_AVANCE_INDICADORES[[#This Row],[AVANCE ACUM. ANUAL]]/TABLA_AVANCE_INDICADORES[[#This Row],[PROGRAMADO ANUAL]])*100,"N/A")</f>
        <v>0</v>
      </c>
      <c r="AU72"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72" s="121">
        <f>TABLA_AVANCE_INDICADORES[[#This Row],[AVANCE ACUM. ANUAL]]-TABLA_AVANCE_INDICADORES[[#This Row],[PROGRAMADO ANUAL]]</f>
        <v>-714968761</v>
      </c>
      <c r="AW72" s="46">
        <f>IFERROR((TABLA_AVANCE_INDICADORES[[#This Row],[DIFERENCIA ABSOLUTA ANUAL]]/TABLA_AVANCE_INDICADORES[[#This Row],[PROGRAMADO ANUAL]])*100,"N/A")</f>
        <v>-100</v>
      </c>
      <c r="AX72" s="123"/>
      <c r="AY72" s="49" t="s">
        <v>63</v>
      </c>
      <c r="AZ72" s="50"/>
      <c r="BA72" s="50"/>
      <c r="BB72"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73" spans="1:54" ht="63" hidden="1" customHeight="1" x14ac:dyDescent="0.3">
      <c r="A73" s="31" t="s">
        <v>977</v>
      </c>
      <c r="B73" s="113" t="s">
        <v>276</v>
      </c>
      <c r="C73" s="32" t="s">
        <v>214</v>
      </c>
      <c r="D73" s="114" t="s">
        <v>215</v>
      </c>
      <c r="E73" s="32" t="s">
        <v>277</v>
      </c>
      <c r="F73" s="115" t="s">
        <v>278</v>
      </c>
      <c r="G73" s="94" t="s">
        <v>279</v>
      </c>
      <c r="H73" s="94" t="s">
        <v>972</v>
      </c>
      <c r="I73" s="34" t="s">
        <v>723</v>
      </c>
      <c r="J73" s="34" t="s">
        <v>280</v>
      </c>
      <c r="K73" s="94" t="s">
        <v>281</v>
      </c>
      <c r="L73" s="34" t="s">
        <v>282</v>
      </c>
      <c r="M73" s="94" t="s">
        <v>283</v>
      </c>
      <c r="N73" s="33">
        <v>2</v>
      </c>
      <c r="O73" s="33" t="s">
        <v>724</v>
      </c>
      <c r="P73" s="116" t="s">
        <v>973</v>
      </c>
      <c r="Q73" s="116" t="s">
        <v>978</v>
      </c>
      <c r="R73" s="116" t="s">
        <v>975</v>
      </c>
      <c r="S73" s="56" t="s">
        <v>976</v>
      </c>
      <c r="T73" s="56" t="s">
        <v>728</v>
      </c>
      <c r="U73" s="56" t="s">
        <v>739</v>
      </c>
      <c r="V73" s="36">
        <v>516981571</v>
      </c>
      <c r="W73" s="36">
        <v>0</v>
      </c>
      <c r="X73" s="117">
        <v>0</v>
      </c>
      <c r="Y73" s="38" t="str">
        <f>IFERROR((TABLA_AVANCE_INDICADORES[[#This Row],[AVANCE 1°. TRIM]]/TABLA_AVANCE_INDICADORES[[#This Row],[PROGR. 1° TRIM]])*100,"0")</f>
        <v>0</v>
      </c>
      <c r="Z73"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73" s="118">
        <v>0</v>
      </c>
      <c r="AB73" s="119">
        <v>0</v>
      </c>
      <c r="AC73" s="40" t="str">
        <f t="shared" si="2"/>
        <v>0</v>
      </c>
      <c r="AD73" s="39" t="str">
        <f t="shared" si="3"/>
        <v>NO PROG.</v>
      </c>
      <c r="AE73" s="118">
        <v>0</v>
      </c>
      <c r="AF73" s="119">
        <v>0</v>
      </c>
      <c r="AG73" s="40" t="str">
        <f>IFERROR((TABLA_AVANCE_INDICADORES[[#This Row],[AVANCE 3°. TRIM]]/TABLA_AVANCE_INDICADORES[[#This Row],[PROGR. 3° TRIM]])*100,"0")</f>
        <v>0</v>
      </c>
      <c r="AH73"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73" s="118">
        <v>516981571</v>
      </c>
      <c r="AJ73" s="126">
        <v>516981571</v>
      </c>
      <c r="AK73" s="40">
        <f>IFERROR((TABLA_AVANCE_INDICADORES[[#This Row],[AVANCE 4°. TRIM]]/TABLA_AVANCE_INDICADORES[[#This Row],[PROGR. 4° TRIM]])*100,"0")</f>
        <v>100</v>
      </c>
      <c r="AL73"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ADECUADO</v>
      </c>
      <c r="AM73"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0</v>
      </c>
      <c r="AN73"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O73" s="40" t="str">
        <f>IFERROR((TABLA_AVANCE_INDICADORES[[#This Row],[AVANCE ACUM. TRIM.]]/TABLA_AVANCE_INDICADORES[[#This Row],[PROG. ACUM]])*100,"N/A")</f>
        <v>N/A</v>
      </c>
      <c r="AP73"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NO PROG.</v>
      </c>
      <c r="AQ73" s="121">
        <f>TABLA_AVANCE_INDICADORES[[#This Row],[AVANCE ACUM. TRIM.]]-TABLA_AVANCE_INDICADORES[[#This Row],[PROG. ACUM]]</f>
        <v>0</v>
      </c>
      <c r="AR73" s="46" t="str">
        <f>IFERROR((TABLA_AVANCE_INDICADORES[[#This Row],[DIFERENCIA ABSOLUTA SEMESTRAL]]/TABLA_AVANCE_INDICADORES[[#This Row],[PROG. ACUM]])*100,"N/A")</f>
        <v>N/A</v>
      </c>
      <c r="AS73"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T73" s="40">
        <f>IFERROR((TABLA_AVANCE_INDICADORES[[#This Row],[AVANCE ACUM. ANUAL]]/TABLA_AVANCE_INDICADORES[[#This Row],[PROGRAMADO ANUAL]])*100,"N/A")</f>
        <v>0</v>
      </c>
      <c r="AU73"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73" s="121">
        <f>TABLA_AVANCE_INDICADORES[[#This Row],[AVANCE ACUM. ANUAL]]-TABLA_AVANCE_INDICADORES[[#This Row],[PROGRAMADO ANUAL]]</f>
        <v>-516981571</v>
      </c>
      <c r="AW73" s="46">
        <f>IFERROR((TABLA_AVANCE_INDICADORES[[#This Row],[DIFERENCIA ABSOLUTA ANUAL]]/TABLA_AVANCE_INDICADORES[[#This Row],[PROGRAMADO ANUAL]])*100,"N/A")</f>
        <v>-100</v>
      </c>
      <c r="AX73" s="123"/>
      <c r="AY73" s="49" t="s">
        <v>63</v>
      </c>
      <c r="AZ73" s="50"/>
      <c r="BA73" s="50"/>
      <c r="BB73"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74" spans="1:54" ht="63" hidden="1" customHeight="1" x14ac:dyDescent="0.3">
      <c r="A74" s="31" t="s">
        <v>979</v>
      </c>
      <c r="B74" s="113" t="s">
        <v>276</v>
      </c>
      <c r="C74" s="32" t="s">
        <v>214</v>
      </c>
      <c r="D74" s="114" t="s">
        <v>215</v>
      </c>
      <c r="E74" s="32" t="s">
        <v>277</v>
      </c>
      <c r="F74" s="115" t="s">
        <v>278</v>
      </c>
      <c r="G74" s="94" t="s">
        <v>279</v>
      </c>
      <c r="H74" s="94" t="s">
        <v>972</v>
      </c>
      <c r="I74" s="34" t="s">
        <v>723</v>
      </c>
      <c r="J74" s="34" t="s">
        <v>280</v>
      </c>
      <c r="K74" s="94" t="s">
        <v>281</v>
      </c>
      <c r="L74" s="34" t="s">
        <v>282</v>
      </c>
      <c r="M74" s="94" t="s">
        <v>283</v>
      </c>
      <c r="N74" s="33">
        <v>1</v>
      </c>
      <c r="O74" s="33" t="s">
        <v>734</v>
      </c>
      <c r="P74" s="116" t="s">
        <v>980</v>
      </c>
      <c r="Q74" s="116" t="s">
        <v>981</v>
      </c>
      <c r="R74" s="116" t="s">
        <v>982</v>
      </c>
      <c r="S74" s="56" t="s">
        <v>983</v>
      </c>
      <c r="T74" s="56" t="s">
        <v>728</v>
      </c>
      <c r="U74" s="56" t="s">
        <v>739</v>
      </c>
      <c r="V74" s="36">
        <v>714968761</v>
      </c>
      <c r="W74" s="36">
        <v>0</v>
      </c>
      <c r="X74" s="117">
        <v>0</v>
      </c>
      <c r="Y74" s="38" t="str">
        <f>IFERROR((TABLA_AVANCE_INDICADORES[[#This Row],[AVANCE 1°. TRIM]]/TABLA_AVANCE_INDICADORES[[#This Row],[PROGR. 1° TRIM]])*100,"0")</f>
        <v>0</v>
      </c>
      <c r="Z74"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74" s="118">
        <v>0</v>
      </c>
      <c r="AB74" s="119">
        <v>0</v>
      </c>
      <c r="AC74" s="40" t="str">
        <f t="shared" si="2"/>
        <v>0</v>
      </c>
      <c r="AD74" s="39" t="str">
        <f t="shared" si="3"/>
        <v>NO PROG.</v>
      </c>
      <c r="AE74" s="118">
        <v>0</v>
      </c>
      <c r="AF74" s="119">
        <v>0</v>
      </c>
      <c r="AG74" s="40" t="str">
        <f>IFERROR((TABLA_AVANCE_INDICADORES[[#This Row],[AVANCE 3°. TRIM]]/TABLA_AVANCE_INDICADORES[[#This Row],[PROGR. 3° TRIM]])*100,"0")</f>
        <v>0</v>
      </c>
      <c r="AH74"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74" s="118">
        <v>714968761</v>
      </c>
      <c r="AJ74" s="119">
        <v>0</v>
      </c>
      <c r="AK74" s="40">
        <f>IFERROR((TABLA_AVANCE_INDICADORES[[#This Row],[AVANCE 4°. TRIM]]/TABLA_AVANCE_INDICADORES[[#This Row],[PROGR. 4° TRIM]])*100,"0")</f>
        <v>0</v>
      </c>
      <c r="AL74"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74"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0</v>
      </c>
      <c r="AN74"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O74" s="40" t="str">
        <f>IFERROR((TABLA_AVANCE_INDICADORES[[#This Row],[AVANCE ACUM. TRIM.]]/TABLA_AVANCE_INDICADORES[[#This Row],[PROG. ACUM]])*100,"N/A")</f>
        <v>N/A</v>
      </c>
      <c r="AP74"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NO PROG.</v>
      </c>
      <c r="AQ74" s="121">
        <f>TABLA_AVANCE_INDICADORES[[#This Row],[AVANCE ACUM. TRIM.]]-TABLA_AVANCE_INDICADORES[[#This Row],[PROG. ACUM]]</f>
        <v>0</v>
      </c>
      <c r="AR74" s="46" t="str">
        <f>IFERROR((TABLA_AVANCE_INDICADORES[[#This Row],[DIFERENCIA ABSOLUTA SEMESTRAL]]/TABLA_AVANCE_INDICADORES[[#This Row],[PROG. ACUM]])*100,"N/A")</f>
        <v>N/A</v>
      </c>
      <c r="AS74"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T74" s="40">
        <f>IFERROR((TABLA_AVANCE_INDICADORES[[#This Row],[AVANCE ACUM. ANUAL]]/TABLA_AVANCE_INDICADORES[[#This Row],[PROGRAMADO ANUAL]])*100,"N/A")</f>
        <v>0</v>
      </c>
      <c r="AU74"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74" s="121">
        <f>TABLA_AVANCE_INDICADORES[[#This Row],[AVANCE ACUM. ANUAL]]-TABLA_AVANCE_INDICADORES[[#This Row],[PROGRAMADO ANUAL]]</f>
        <v>-714968761</v>
      </c>
      <c r="AW74" s="46">
        <f>IFERROR((TABLA_AVANCE_INDICADORES[[#This Row],[DIFERENCIA ABSOLUTA ANUAL]]/TABLA_AVANCE_INDICADORES[[#This Row],[PROGRAMADO ANUAL]])*100,"N/A")</f>
        <v>-100</v>
      </c>
      <c r="AX74" s="123"/>
      <c r="AY74" s="49" t="s">
        <v>63</v>
      </c>
      <c r="AZ74" s="50"/>
      <c r="BA74" s="50"/>
      <c r="BB74"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75" spans="1:54" ht="63" hidden="1" customHeight="1" x14ac:dyDescent="0.3">
      <c r="A75" s="31" t="s">
        <v>984</v>
      </c>
      <c r="B75" s="113" t="s">
        <v>276</v>
      </c>
      <c r="C75" s="32" t="s">
        <v>214</v>
      </c>
      <c r="D75" s="114" t="s">
        <v>215</v>
      </c>
      <c r="E75" s="32" t="s">
        <v>277</v>
      </c>
      <c r="F75" s="115" t="s">
        <v>278</v>
      </c>
      <c r="G75" s="94" t="s">
        <v>279</v>
      </c>
      <c r="H75" s="94" t="s">
        <v>972</v>
      </c>
      <c r="I75" s="34" t="s">
        <v>723</v>
      </c>
      <c r="J75" s="34" t="s">
        <v>280</v>
      </c>
      <c r="K75" s="94" t="s">
        <v>281</v>
      </c>
      <c r="L75" s="34" t="s">
        <v>282</v>
      </c>
      <c r="M75" s="94" t="s">
        <v>283</v>
      </c>
      <c r="N75" s="33">
        <v>2</v>
      </c>
      <c r="O75" s="33" t="s">
        <v>734</v>
      </c>
      <c r="P75" s="116" t="s">
        <v>980</v>
      </c>
      <c r="Q75" s="116" t="s">
        <v>985</v>
      </c>
      <c r="R75" s="116" t="s">
        <v>982</v>
      </c>
      <c r="S75" s="56" t="s">
        <v>983</v>
      </c>
      <c r="T75" s="56" t="s">
        <v>728</v>
      </c>
      <c r="U75" s="56" t="s">
        <v>739</v>
      </c>
      <c r="V75" s="36">
        <v>516981571</v>
      </c>
      <c r="W75" s="36">
        <v>0</v>
      </c>
      <c r="X75" s="117">
        <v>0</v>
      </c>
      <c r="Y75" s="38" t="str">
        <f>IFERROR((TABLA_AVANCE_INDICADORES[[#This Row],[AVANCE 1°. TRIM]]/TABLA_AVANCE_INDICADORES[[#This Row],[PROGR. 1° TRIM]])*100,"0")</f>
        <v>0</v>
      </c>
      <c r="Z75"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75" s="118">
        <v>0</v>
      </c>
      <c r="AB75" s="119">
        <v>0</v>
      </c>
      <c r="AC75" s="40" t="str">
        <f t="shared" si="2"/>
        <v>0</v>
      </c>
      <c r="AD75" s="39" t="str">
        <f t="shared" si="3"/>
        <v>NO PROG.</v>
      </c>
      <c r="AE75" s="118">
        <v>0</v>
      </c>
      <c r="AF75" s="119">
        <v>0</v>
      </c>
      <c r="AG75" s="40" t="str">
        <f>IFERROR((TABLA_AVANCE_INDICADORES[[#This Row],[AVANCE 3°. TRIM]]/TABLA_AVANCE_INDICADORES[[#This Row],[PROGR. 3° TRIM]])*100,"0")</f>
        <v>0</v>
      </c>
      <c r="AH75"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75" s="118">
        <v>516981571</v>
      </c>
      <c r="AJ75" s="126">
        <v>516981571</v>
      </c>
      <c r="AK75" s="40">
        <f>IFERROR((TABLA_AVANCE_INDICADORES[[#This Row],[AVANCE 4°. TRIM]]/TABLA_AVANCE_INDICADORES[[#This Row],[PROGR. 4° TRIM]])*100,"0")</f>
        <v>100</v>
      </c>
      <c r="AL75"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ADECUADO</v>
      </c>
      <c r="AM75"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0</v>
      </c>
      <c r="AN75"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O75" s="40" t="str">
        <f>IFERROR((TABLA_AVANCE_INDICADORES[[#This Row],[AVANCE ACUM. TRIM.]]/TABLA_AVANCE_INDICADORES[[#This Row],[PROG. ACUM]])*100,"N/A")</f>
        <v>N/A</v>
      </c>
      <c r="AP75"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NO PROG.</v>
      </c>
      <c r="AQ75" s="121">
        <f>TABLA_AVANCE_INDICADORES[[#This Row],[AVANCE ACUM. TRIM.]]-TABLA_AVANCE_INDICADORES[[#This Row],[PROG. ACUM]]</f>
        <v>0</v>
      </c>
      <c r="AR75" s="46" t="str">
        <f>IFERROR((TABLA_AVANCE_INDICADORES[[#This Row],[DIFERENCIA ABSOLUTA SEMESTRAL]]/TABLA_AVANCE_INDICADORES[[#This Row],[PROG. ACUM]])*100,"N/A")</f>
        <v>N/A</v>
      </c>
      <c r="AS75"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T75" s="40">
        <f>IFERROR((TABLA_AVANCE_INDICADORES[[#This Row],[AVANCE ACUM. ANUAL]]/TABLA_AVANCE_INDICADORES[[#This Row],[PROGRAMADO ANUAL]])*100,"N/A")</f>
        <v>0</v>
      </c>
      <c r="AU75"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75" s="121">
        <f>TABLA_AVANCE_INDICADORES[[#This Row],[AVANCE ACUM. ANUAL]]-TABLA_AVANCE_INDICADORES[[#This Row],[PROGRAMADO ANUAL]]</f>
        <v>-516981571</v>
      </c>
      <c r="AW75" s="46">
        <f>IFERROR((TABLA_AVANCE_INDICADORES[[#This Row],[DIFERENCIA ABSOLUTA ANUAL]]/TABLA_AVANCE_INDICADORES[[#This Row],[PROGRAMADO ANUAL]])*100,"N/A")</f>
        <v>-100</v>
      </c>
      <c r="AX75" s="123"/>
      <c r="AY75" s="49" t="s">
        <v>63</v>
      </c>
      <c r="AZ75" s="50"/>
      <c r="BA75" s="50"/>
      <c r="BB75"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76" spans="1:54" ht="63" hidden="1" customHeight="1" x14ac:dyDescent="0.3">
      <c r="A76" s="31" t="s">
        <v>986</v>
      </c>
      <c r="B76" s="113" t="s">
        <v>276</v>
      </c>
      <c r="C76" s="32" t="s">
        <v>214</v>
      </c>
      <c r="D76" s="114" t="s">
        <v>215</v>
      </c>
      <c r="E76" s="32" t="s">
        <v>277</v>
      </c>
      <c r="F76" s="115" t="s">
        <v>278</v>
      </c>
      <c r="G76" s="94" t="s">
        <v>279</v>
      </c>
      <c r="H76" s="94" t="s">
        <v>972</v>
      </c>
      <c r="I76" s="34" t="s">
        <v>723</v>
      </c>
      <c r="J76" s="34" t="s">
        <v>280</v>
      </c>
      <c r="K76" s="94" t="s">
        <v>281</v>
      </c>
      <c r="L76" s="34" t="s">
        <v>282</v>
      </c>
      <c r="M76" s="94" t="s">
        <v>283</v>
      </c>
      <c r="N76" s="33">
        <v>1</v>
      </c>
      <c r="O76" s="33" t="s">
        <v>743</v>
      </c>
      <c r="P76" s="116" t="s">
        <v>987</v>
      </c>
      <c r="Q76" s="116" t="s">
        <v>988</v>
      </c>
      <c r="R76" s="116" t="s">
        <v>989</v>
      </c>
      <c r="S76" s="56" t="s">
        <v>990</v>
      </c>
      <c r="T76" s="56" t="s">
        <v>728</v>
      </c>
      <c r="U76" s="56" t="s">
        <v>755</v>
      </c>
      <c r="V76" s="36">
        <v>714968761</v>
      </c>
      <c r="W76" s="36">
        <v>277802255</v>
      </c>
      <c r="X76" s="117">
        <v>258283259.86000001</v>
      </c>
      <c r="Y76" s="38">
        <f>IFERROR((TABLA_AVANCE_INDICADORES[[#This Row],[AVANCE 1°. TRIM]]/TABLA_AVANCE_INDICADORES[[#This Row],[PROGR. 1° TRIM]])*100,"0")</f>
        <v>92.973780885975899</v>
      </c>
      <c r="Z76"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76" s="118">
        <v>154848675</v>
      </c>
      <c r="AB76" s="119">
        <v>159316001</v>
      </c>
      <c r="AC76" s="40">
        <f t="shared" si="2"/>
        <v>102.88496236729181</v>
      </c>
      <c r="AD76" s="39" t="str">
        <f t="shared" si="3"/>
        <v>ADECUADO</v>
      </c>
      <c r="AE76" s="118">
        <v>112497870</v>
      </c>
      <c r="AF76" s="119">
        <v>0</v>
      </c>
      <c r="AG76" s="40">
        <f>IFERROR((TABLA_AVANCE_INDICADORES[[#This Row],[AVANCE 3°. TRIM]]/TABLA_AVANCE_INDICADORES[[#This Row],[PROGR. 3° TRIM]])*100,"0")</f>
        <v>0</v>
      </c>
      <c r="AH76"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CRÍTICO</v>
      </c>
      <c r="AI76" s="118">
        <v>169819961</v>
      </c>
      <c r="AJ76" s="119">
        <v>0</v>
      </c>
      <c r="AK76" s="40">
        <f>IFERROR((TABLA_AVANCE_INDICADORES[[#This Row],[AVANCE 4°. TRIM]]/TABLA_AVANCE_INDICADORES[[#This Row],[PROGR. 4° TRIM]])*100,"0")</f>
        <v>0</v>
      </c>
      <c r="AL76"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76"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432650930</v>
      </c>
      <c r="AN76"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417599260.86000001</v>
      </c>
      <c r="AO76" s="40">
        <f>IFERROR((TABLA_AVANCE_INDICADORES[[#This Row],[AVANCE ACUM. TRIM.]]/TABLA_AVANCE_INDICADORES[[#This Row],[PROG. ACUM]])*100,"N/A")</f>
        <v>96.5210593352937</v>
      </c>
      <c r="AP76"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76" s="121">
        <f>TABLA_AVANCE_INDICADORES[[#This Row],[AVANCE ACUM. TRIM.]]-TABLA_AVANCE_INDICADORES[[#This Row],[PROG. ACUM]]</f>
        <v>-15051669.139999986</v>
      </c>
      <c r="AR76" s="46">
        <f>IFERROR((TABLA_AVANCE_INDICADORES[[#This Row],[DIFERENCIA ABSOLUTA SEMESTRAL]]/TABLA_AVANCE_INDICADORES[[#This Row],[PROG. ACUM]])*100,"N/A")</f>
        <v>-3.4789406647062995</v>
      </c>
      <c r="AS76"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417599260.86000001</v>
      </c>
      <c r="AT76" s="40">
        <f>IFERROR((TABLA_AVANCE_INDICADORES[[#This Row],[AVANCE ACUM. ANUAL]]/TABLA_AVANCE_INDICADORES[[#This Row],[PROGRAMADO ANUAL]])*100,"N/A")</f>
        <v>58.408042929864457</v>
      </c>
      <c r="AU76"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76" s="121">
        <f>TABLA_AVANCE_INDICADORES[[#This Row],[AVANCE ACUM. ANUAL]]-TABLA_AVANCE_INDICADORES[[#This Row],[PROGRAMADO ANUAL]]</f>
        <v>-297369500.13999999</v>
      </c>
      <c r="AW76" s="46">
        <f>IFERROR((TABLA_AVANCE_INDICADORES[[#This Row],[DIFERENCIA ABSOLUTA ANUAL]]/TABLA_AVANCE_INDICADORES[[#This Row],[PROGRAMADO ANUAL]])*100,"N/A")</f>
        <v>-41.591957070135543</v>
      </c>
      <c r="AX76" s="123" t="e">
        <v>#N/A</v>
      </c>
      <c r="AY76" s="49" t="s">
        <v>63</v>
      </c>
      <c r="AZ76" s="50"/>
      <c r="BA76" s="50"/>
      <c r="BB76"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77" spans="1:54" ht="63" hidden="1" customHeight="1" x14ac:dyDescent="0.3">
      <c r="A77" s="31" t="s">
        <v>991</v>
      </c>
      <c r="B77" s="113" t="s">
        <v>276</v>
      </c>
      <c r="C77" s="32" t="s">
        <v>214</v>
      </c>
      <c r="D77" s="114" t="s">
        <v>215</v>
      </c>
      <c r="E77" s="32" t="s">
        <v>277</v>
      </c>
      <c r="F77" s="115" t="s">
        <v>278</v>
      </c>
      <c r="G77" s="94" t="s">
        <v>279</v>
      </c>
      <c r="H77" s="94" t="s">
        <v>972</v>
      </c>
      <c r="I77" s="34" t="s">
        <v>723</v>
      </c>
      <c r="J77" s="34" t="s">
        <v>280</v>
      </c>
      <c r="K77" s="94" t="s">
        <v>281</v>
      </c>
      <c r="L77" s="34" t="s">
        <v>282</v>
      </c>
      <c r="M77" s="94" t="s">
        <v>283</v>
      </c>
      <c r="N77" s="33">
        <v>2</v>
      </c>
      <c r="O77" s="33" t="s">
        <v>743</v>
      </c>
      <c r="P77" s="116" t="s">
        <v>987</v>
      </c>
      <c r="Q77" s="116" t="s">
        <v>992</v>
      </c>
      <c r="R77" s="116" t="s">
        <v>989</v>
      </c>
      <c r="S77" s="56" t="s">
        <v>990</v>
      </c>
      <c r="T77" s="56" t="s">
        <v>728</v>
      </c>
      <c r="U77" s="56" t="s">
        <v>755</v>
      </c>
      <c r="V77" s="36">
        <v>259346972</v>
      </c>
      <c r="W77" s="36">
        <v>142791191</v>
      </c>
      <c r="X77" s="142">
        <v>208727851</v>
      </c>
      <c r="Y77" s="38">
        <f>IFERROR((TABLA_AVANCE_INDICADORES[[#This Row],[AVANCE 1°. TRIM]]/TABLA_AVANCE_INDICADORES[[#This Row],[PROGR. 1° TRIM]])*100,"0")</f>
        <v>146.17698020321154</v>
      </c>
      <c r="Z77"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SOBREPASADO</v>
      </c>
      <c r="AA77" s="118">
        <v>38851927</v>
      </c>
      <c r="AB77" s="126">
        <v>24862055.550000001</v>
      </c>
      <c r="AC77" s="40">
        <f t="shared" si="2"/>
        <v>63.991820920491286</v>
      </c>
      <c r="AD77" s="39" t="str">
        <f t="shared" si="3"/>
        <v>DEFICIENTE</v>
      </c>
      <c r="AE77" s="118">
        <v>38851927</v>
      </c>
      <c r="AF77" s="126">
        <v>69056770</v>
      </c>
      <c r="AG77" s="40">
        <f>IFERROR((TABLA_AVANCE_INDICADORES[[#This Row],[AVANCE 3°. TRIM]]/TABLA_AVANCE_INDICADORES[[#This Row],[PROGR. 3° TRIM]])*100,"0")</f>
        <v>177.74348747232023</v>
      </c>
      <c r="AH77"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SOBREPASADO</v>
      </c>
      <c r="AI77" s="118">
        <v>38851927</v>
      </c>
      <c r="AJ77" s="126">
        <v>142791191</v>
      </c>
      <c r="AK77" s="40">
        <f>IFERROR((TABLA_AVANCE_INDICADORES[[#This Row],[AVANCE 4°. TRIM]]/TABLA_AVANCE_INDICADORES[[#This Row],[PROGR. 4° TRIM]])*100,"0")</f>
        <v>367.52666347797884</v>
      </c>
      <c r="AL77"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SOBREPASADO</v>
      </c>
      <c r="AM77"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181643118</v>
      </c>
      <c r="AN77"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233589906.55000001</v>
      </c>
      <c r="AO77" s="40">
        <f>IFERROR((TABLA_AVANCE_INDICADORES[[#This Row],[AVANCE ACUM. TRIM.]]/TABLA_AVANCE_INDICADORES[[#This Row],[PROG. ACUM]])*100,"N/A")</f>
        <v>128.59826957495852</v>
      </c>
      <c r="AP77"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SOBREPASADO</v>
      </c>
      <c r="AQ77" s="121">
        <f>TABLA_AVANCE_INDICADORES[[#This Row],[AVANCE ACUM. TRIM.]]-TABLA_AVANCE_INDICADORES[[#This Row],[PROG. ACUM]]</f>
        <v>51946788.550000012</v>
      </c>
      <c r="AR77" s="46">
        <f>IFERROR((TABLA_AVANCE_INDICADORES[[#This Row],[DIFERENCIA ABSOLUTA SEMESTRAL]]/TABLA_AVANCE_INDICADORES[[#This Row],[PROG. ACUM]])*100,"N/A")</f>
        <v>28.598269574958522</v>
      </c>
      <c r="AS77"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233589906.55000001</v>
      </c>
      <c r="AT77" s="40">
        <f>IFERROR((TABLA_AVANCE_INDICADORES[[#This Row],[AVANCE ACUM. ANUAL]]/TABLA_AVANCE_INDICADORES[[#This Row],[PROGRAMADO ANUAL]])*100,"N/A")</f>
        <v>90.068491931342081</v>
      </c>
      <c r="AU77"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ADECUADO</v>
      </c>
      <c r="AV77" s="121">
        <f>TABLA_AVANCE_INDICADORES[[#This Row],[AVANCE ACUM. ANUAL]]-TABLA_AVANCE_INDICADORES[[#This Row],[PROGRAMADO ANUAL]]</f>
        <v>-25757065.449999988</v>
      </c>
      <c r="AW77" s="46">
        <f>IFERROR((TABLA_AVANCE_INDICADORES[[#This Row],[DIFERENCIA ABSOLUTA ANUAL]]/TABLA_AVANCE_INDICADORES[[#This Row],[PROGRAMADO ANUAL]])*100,"N/A")</f>
        <v>-9.9315080686579176</v>
      </c>
      <c r="AX77" s="123" t="e">
        <v>#N/A</v>
      </c>
      <c r="AY77" s="49" t="s">
        <v>63</v>
      </c>
      <c r="AZ77" s="50"/>
      <c r="BA77" s="50"/>
      <c r="BB77"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78" spans="1:54" ht="63" hidden="1" customHeight="1" x14ac:dyDescent="0.3">
      <c r="A78" s="31" t="s">
        <v>993</v>
      </c>
      <c r="B78" s="113" t="s">
        <v>276</v>
      </c>
      <c r="C78" s="32" t="s">
        <v>214</v>
      </c>
      <c r="D78" s="114" t="s">
        <v>215</v>
      </c>
      <c r="E78" s="32" t="s">
        <v>277</v>
      </c>
      <c r="F78" s="115" t="s">
        <v>278</v>
      </c>
      <c r="G78" s="94" t="s">
        <v>279</v>
      </c>
      <c r="H78" s="94" t="s">
        <v>972</v>
      </c>
      <c r="I78" s="34" t="s">
        <v>723</v>
      </c>
      <c r="J78" s="34" t="s">
        <v>280</v>
      </c>
      <c r="K78" s="94" t="s">
        <v>281</v>
      </c>
      <c r="L78" s="34" t="s">
        <v>282</v>
      </c>
      <c r="M78" s="94" t="s">
        <v>283</v>
      </c>
      <c r="N78" s="33">
        <v>1</v>
      </c>
      <c r="O78" s="33" t="s">
        <v>786</v>
      </c>
      <c r="P78" s="116" t="s">
        <v>994</v>
      </c>
      <c r="Q78" s="116" t="s">
        <v>995</v>
      </c>
      <c r="R78" s="116" t="s">
        <v>996</v>
      </c>
      <c r="S78" s="56" t="s">
        <v>976</v>
      </c>
      <c r="T78" s="56" t="s">
        <v>728</v>
      </c>
      <c r="U78" s="56" t="s">
        <v>755</v>
      </c>
      <c r="V78" s="36">
        <v>35372896</v>
      </c>
      <c r="W78" s="36">
        <v>5962408</v>
      </c>
      <c r="X78" s="117">
        <v>7812485</v>
      </c>
      <c r="Y78" s="38">
        <f>IFERROR((TABLA_AVANCE_INDICADORES[[#This Row],[AVANCE 1°. TRIM]]/TABLA_AVANCE_INDICADORES[[#This Row],[PROGR. 1° TRIM]])*100,"0")</f>
        <v>131.02902384405763</v>
      </c>
      <c r="Z78"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SOBREPASADO</v>
      </c>
      <c r="AA78" s="118">
        <v>8800000</v>
      </c>
      <c r="AB78" s="119">
        <v>11313052</v>
      </c>
      <c r="AC78" s="40">
        <f t="shared" si="2"/>
        <v>128.55740909090909</v>
      </c>
      <c r="AD78" s="39" t="str">
        <f t="shared" si="3"/>
        <v>SOBREPASADO</v>
      </c>
      <c r="AE78" s="118">
        <v>8000000</v>
      </c>
      <c r="AF78" s="119">
        <v>0</v>
      </c>
      <c r="AG78" s="40">
        <f>IFERROR((TABLA_AVANCE_INDICADORES[[#This Row],[AVANCE 3°. TRIM]]/TABLA_AVANCE_INDICADORES[[#This Row],[PROGR. 3° TRIM]])*100,"0")</f>
        <v>0</v>
      </c>
      <c r="AH78"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CRÍTICO</v>
      </c>
      <c r="AI78" s="118">
        <v>12610488</v>
      </c>
      <c r="AJ78" s="119">
        <v>0</v>
      </c>
      <c r="AK78" s="40">
        <f>IFERROR((TABLA_AVANCE_INDICADORES[[#This Row],[AVANCE 4°. TRIM]]/TABLA_AVANCE_INDICADORES[[#This Row],[PROGR. 4° TRIM]])*100,"0")</f>
        <v>0</v>
      </c>
      <c r="AL78"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78"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14762408</v>
      </c>
      <c r="AN78"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19125537</v>
      </c>
      <c r="AO78" s="40">
        <f>IFERROR((TABLA_AVANCE_INDICADORES[[#This Row],[AVANCE ACUM. TRIM.]]/TABLA_AVANCE_INDICADORES[[#This Row],[PROG. ACUM]])*100,"N/A")</f>
        <v>129.55567276016217</v>
      </c>
      <c r="AP78"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SOBREPASADO</v>
      </c>
      <c r="AQ78" s="121">
        <f>TABLA_AVANCE_INDICADORES[[#This Row],[AVANCE ACUM. TRIM.]]-TABLA_AVANCE_INDICADORES[[#This Row],[PROG. ACUM]]</f>
        <v>4363129</v>
      </c>
      <c r="AR78" s="46">
        <f>IFERROR((TABLA_AVANCE_INDICADORES[[#This Row],[DIFERENCIA ABSOLUTA SEMESTRAL]]/TABLA_AVANCE_INDICADORES[[#This Row],[PROG. ACUM]])*100,"N/A")</f>
        <v>29.55567276016216</v>
      </c>
      <c r="AS78"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19125537</v>
      </c>
      <c r="AT78" s="40">
        <f>IFERROR((TABLA_AVANCE_INDICADORES[[#This Row],[AVANCE ACUM. ANUAL]]/TABLA_AVANCE_INDICADORES[[#This Row],[PROGRAMADO ANUAL]])*100,"N/A")</f>
        <v>54.068338085747911</v>
      </c>
      <c r="AU78"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78" s="121">
        <f>TABLA_AVANCE_INDICADORES[[#This Row],[AVANCE ACUM. ANUAL]]-TABLA_AVANCE_INDICADORES[[#This Row],[PROGRAMADO ANUAL]]</f>
        <v>-16247359</v>
      </c>
      <c r="AW78" s="46">
        <f>IFERROR((TABLA_AVANCE_INDICADORES[[#This Row],[DIFERENCIA ABSOLUTA ANUAL]]/TABLA_AVANCE_INDICADORES[[#This Row],[PROGRAMADO ANUAL]])*100,"N/A")</f>
        <v>-45.931661914252089</v>
      </c>
      <c r="AX78" s="123" t="e">
        <v>#N/A</v>
      </c>
      <c r="AY78" s="49" t="s">
        <v>63</v>
      </c>
      <c r="AZ78" s="50"/>
      <c r="BA78" s="50"/>
      <c r="BB78"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79" spans="1:54" ht="63" hidden="1" customHeight="1" x14ac:dyDescent="0.3">
      <c r="A79" s="31" t="s">
        <v>997</v>
      </c>
      <c r="B79" s="113" t="s">
        <v>276</v>
      </c>
      <c r="C79" s="32" t="s">
        <v>214</v>
      </c>
      <c r="D79" s="114" t="s">
        <v>215</v>
      </c>
      <c r="E79" s="32" t="s">
        <v>277</v>
      </c>
      <c r="F79" s="115" t="s">
        <v>278</v>
      </c>
      <c r="G79" s="94" t="s">
        <v>279</v>
      </c>
      <c r="H79" s="94" t="s">
        <v>972</v>
      </c>
      <c r="I79" s="34" t="s">
        <v>723</v>
      </c>
      <c r="J79" s="34" t="s">
        <v>280</v>
      </c>
      <c r="K79" s="94" t="s">
        <v>281</v>
      </c>
      <c r="L79" s="34" t="s">
        <v>282</v>
      </c>
      <c r="M79" s="94" t="s">
        <v>283</v>
      </c>
      <c r="N79" s="33">
        <v>2</v>
      </c>
      <c r="O79" s="33" t="s">
        <v>786</v>
      </c>
      <c r="P79" s="116" t="s">
        <v>994</v>
      </c>
      <c r="Q79" s="116" t="s">
        <v>998</v>
      </c>
      <c r="R79" s="116" t="s">
        <v>996</v>
      </c>
      <c r="S79" s="56" t="s">
        <v>976</v>
      </c>
      <c r="T79" s="56" t="s">
        <v>728</v>
      </c>
      <c r="U79" s="56" t="s">
        <v>755</v>
      </c>
      <c r="V79" s="36">
        <v>13373342</v>
      </c>
      <c r="W79" s="36">
        <v>10323428</v>
      </c>
      <c r="X79" s="142">
        <v>10323428</v>
      </c>
      <c r="Y79" s="38">
        <f>IFERROR((TABLA_AVANCE_INDICADORES[[#This Row],[AVANCE 1°. TRIM]]/TABLA_AVANCE_INDICADORES[[#This Row],[PROGR. 1° TRIM]])*100,"0")</f>
        <v>100</v>
      </c>
      <c r="Z79"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79" s="118">
        <v>1016638</v>
      </c>
      <c r="AB79" s="143">
        <v>7812485</v>
      </c>
      <c r="AC79" s="40">
        <f t="shared" si="2"/>
        <v>768.4628156728354</v>
      </c>
      <c r="AD79" s="39" t="str">
        <f t="shared" si="3"/>
        <v>SOBREPASADO</v>
      </c>
      <c r="AE79" s="118">
        <v>1016638</v>
      </c>
      <c r="AF79" s="143">
        <f>AB78</f>
        <v>11313052</v>
      </c>
      <c r="AG79" s="40">
        <f>IFERROR((TABLA_AVANCE_INDICADORES[[#This Row],[AVANCE 3°. TRIM]]/TABLA_AVANCE_INDICADORES[[#This Row],[PROGR. 3° TRIM]])*100,"0")</f>
        <v>1112.7905901609029</v>
      </c>
      <c r="AH79"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SOBREPASADO</v>
      </c>
      <c r="AI79" s="118">
        <v>1016638</v>
      </c>
      <c r="AJ79" s="143">
        <f>AF78</f>
        <v>0</v>
      </c>
      <c r="AK79" s="40">
        <f>IFERROR((TABLA_AVANCE_INDICADORES[[#This Row],[AVANCE 4°. TRIM]]/TABLA_AVANCE_INDICADORES[[#This Row],[PROGR. 4° TRIM]])*100,"0")</f>
        <v>0</v>
      </c>
      <c r="AL79"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79"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11340066</v>
      </c>
      <c r="AN79"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18135913</v>
      </c>
      <c r="AO79" s="40">
        <f>IFERROR((TABLA_AVANCE_INDICADORES[[#This Row],[AVANCE ACUM. TRIM.]]/TABLA_AVANCE_INDICADORES[[#This Row],[PROG. ACUM]])*100,"N/A")</f>
        <v>159.92775527056017</v>
      </c>
      <c r="AP79"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SOBREPASADO</v>
      </c>
      <c r="AQ79" s="121">
        <f>TABLA_AVANCE_INDICADORES[[#This Row],[AVANCE ACUM. TRIM.]]-TABLA_AVANCE_INDICADORES[[#This Row],[PROG. ACUM]]</f>
        <v>6795847</v>
      </c>
      <c r="AR79" s="46">
        <f>IFERROR((TABLA_AVANCE_INDICADORES[[#This Row],[DIFERENCIA ABSOLUTA SEMESTRAL]]/TABLA_AVANCE_INDICADORES[[#This Row],[PROG. ACUM]])*100,"N/A")</f>
        <v>59.927755270560155</v>
      </c>
      <c r="AS79"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18135913</v>
      </c>
      <c r="AT79" s="40">
        <f>IFERROR((TABLA_AVANCE_INDICADORES[[#This Row],[AVANCE ACUM. ANUAL]]/TABLA_AVANCE_INDICADORES[[#This Row],[PROGRAMADO ANUAL]])*100,"N/A")</f>
        <v>135.61242208566864</v>
      </c>
      <c r="AU79"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SOBREPASADO</v>
      </c>
      <c r="AV79" s="121">
        <f>TABLA_AVANCE_INDICADORES[[#This Row],[AVANCE ACUM. ANUAL]]-TABLA_AVANCE_INDICADORES[[#This Row],[PROGRAMADO ANUAL]]</f>
        <v>4762571</v>
      </c>
      <c r="AW79" s="46">
        <f>IFERROR((TABLA_AVANCE_INDICADORES[[#This Row],[DIFERENCIA ABSOLUTA ANUAL]]/TABLA_AVANCE_INDICADORES[[#This Row],[PROGRAMADO ANUAL]])*100,"N/A")</f>
        <v>35.612422085668641</v>
      </c>
      <c r="AX79" s="123" t="e">
        <v>#N/A</v>
      </c>
      <c r="AY79" s="49" t="s">
        <v>63</v>
      </c>
      <c r="AZ79" s="50"/>
      <c r="BA79" s="50"/>
      <c r="BB79"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80" spans="1:54" ht="63" hidden="1" customHeight="1" x14ac:dyDescent="0.3">
      <c r="A80" s="31" t="s">
        <v>999</v>
      </c>
      <c r="B80" s="113" t="s">
        <v>387</v>
      </c>
      <c r="C80" s="32" t="s">
        <v>367</v>
      </c>
      <c r="D80" s="114" t="s">
        <v>368</v>
      </c>
      <c r="E80" s="32" t="s">
        <v>388</v>
      </c>
      <c r="F80" s="115" t="s">
        <v>389</v>
      </c>
      <c r="G80" s="94" t="s">
        <v>390</v>
      </c>
      <c r="H80" s="94" t="s">
        <v>1000</v>
      </c>
      <c r="I80" s="34" t="s">
        <v>723</v>
      </c>
      <c r="J80" s="34" t="s">
        <v>280</v>
      </c>
      <c r="K80" s="94" t="s">
        <v>281</v>
      </c>
      <c r="L80" s="34" t="s">
        <v>282</v>
      </c>
      <c r="M80" s="94" t="s">
        <v>283</v>
      </c>
      <c r="N80" s="33">
        <v>1</v>
      </c>
      <c r="O80" s="33" t="s">
        <v>751</v>
      </c>
      <c r="P80" s="116" t="s">
        <v>1001</v>
      </c>
      <c r="Q80" s="116" t="s">
        <v>1002</v>
      </c>
      <c r="R80" s="116" t="s">
        <v>1003</v>
      </c>
      <c r="S80" s="56" t="s">
        <v>1004</v>
      </c>
      <c r="T80" s="56" t="s">
        <v>728</v>
      </c>
      <c r="U80" s="56" t="s">
        <v>747</v>
      </c>
      <c r="V80" s="36">
        <v>3600</v>
      </c>
      <c r="W80" s="36">
        <v>0</v>
      </c>
      <c r="X80" s="117">
        <v>0</v>
      </c>
      <c r="Y80" s="38" t="str">
        <f>IFERROR((TABLA_AVANCE_INDICADORES[[#This Row],[AVANCE 1°. TRIM]]/TABLA_AVANCE_INDICADORES[[#This Row],[PROGR. 1° TRIM]])*100,"0")</f>
        <v>0</v>
      </c>
      <c r="Z80"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80" s="118">
        <v>1800</v>
      </c>
      <c r="AB80" s="119">
        <v>1771</v>
      </c>
      <c r="AC80" s="40">
        <f t="shared" si="2"/>
        <v>98.388888888888886</v>
      </c>
      <c r="AD80" s="39" t="str">
        <f t="shared" si="3"/>
        <v>ADECUADO</v>
      </c>
      <c r="AE80" s="118">
        <v>0</v>
      </c>
      <c r="AF80" s="119">
        <v>0</v>
      </c>
      <c r="AG80" s="40" t="str">
        <f>IFERROR((TABLA_AVANCE_INDICADORES[[#This Row],[AVANCE 3°. TRIM]]/TABLA_AVANCE_INDICADORES[[#This Row],[PROGR. 3° TRIM]])*100,"0")</f>
        <v>0</v>
      </c>
      <c r="AH80"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80" s="118">
        <v>1800</v>
      </c>
      <c r="AJ80" s="119">
        <v>0</v>
      </c>
      <c r="AK80" s="40">
        <f>IFERROR((TABLA_AVANCE_INDICADORES[[#This Row],[AVANCE 4°. TRIM]]/TABLA_AVANCE_INDICADORES[[#This Row],[PROGR. 4° TRIM]])*100,"0")</f>
        <v>0</v>
      </c>
      <c r="AL80"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80"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1800</v>
      </c>
      <c r="AN80"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1771</v>
      </c>
      <c r="AO80" s="40">
        <f>IFERROR((TABLA_AVANCE_INDICADORES[[#This Row],[AVANCE ACUM. TRIM.]]/TABLA_AVANCE_INDICADORES[[#This Row],[PROG. ACUM]])*100,"N/A")</f>
        <v>98.388888888888886</v>
      </c>
      <c r="AP80"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80" s="121">
        <f>TABLA_AVANCE_INDICADORES[[#This Row],[AVANCE ACUM. TRIM.]]-TABLA_AVANCE_INDICADORES[[#This Row],[PROG. ACUM]]</f>
        <v>-29</v>
      </c>
      <c r="AR80" s="46">
        <f>IFERROR((TABLA_AVANCE_INDICADORES[[#This Row],[DIFERENCIA ABSOLUTA SEMESTRAL]]/TABLA_AVANCE_INDICADORES[[#This Row],[PROG. ACUM]])*100,"N/A")</f>
        <v>-1.6111111111111112</v>
      </c>
      <c r="AS80"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1771</v>
      </c>
      <c r="AT80" s="40">
        <f>IFERROR((TABLA_AVANCE_INDICADORES[[#This Row],[AVANCE ACUM. ANUAL]]/TABLA_AVANCE_INDICADORES[[#This Row],[PROGRAMADO ANUAL]])*100,"N/A")</f>
        <v>49.194444444444443</v>
      </c>
      <c r="AU80"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80" s="121">
        <f>TABLA_AVANCE_INDICADORES[[#This Row],[AVANCE ACUM. ANUAL]]-TABLA_AVANCE_INDICADORES[[#This Row],[PROGRAMADO ANUAL]]</f>
        <v>-1829</v>
      </c>
      <c r="AW80" s="46">
        <f>IFERROR((TABLA_AVANCE_INDICADORES[[#This Row],[DIFERENCIA ABSOLUTA ANUAL]]/TABLA_AVANCE_INDICADORES[[#This Row],[PROGRAMADO ANUAL]])*100,"N/A")</f>
        <v>-50.805555555555557</v>
      </c>
      <c r="AX80" s="123" t="s">
        <v>1005</v>
      </c>
      <c r="AY80" s="49" t="s">
        <v>63</v>
      </c>
      <c r="AZ80" s="50"/>
      <c r="BA80" s="50"/>
      <c r="BB80"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81" spans="1:54" ht="63" hidden="1" customHeight="1" x14ac:dyDescent="0.3">
      <c r="A81" s="31" t="s">
        <v>1006</v>
      </c>
      <c r="B81" s="113" t="s">
        <v>387</v>
      </c>
      <c r="C81" s="32" t="s">
        <v>367</v>
      </c>
      <c r="D81" s="114" t="s">
        <v>368</v>
      </c>
      <c r="E81" s="32" t="s">
        <v>388</v>
      </c>
      <c r="F81" s="115" t="s">
        <v>389</v>
      </c>
      <c r="G81" s="94" t="s">
        <v>390</v>
      </c>
      <c r="H81" s="94" t="s">
        <v>1000</v>
      </c>
      <c r="I81" s="34" t="s">
        <v>723</v>
      </c>
      <c r="J81" s="34" t="s">
        <v>280</v>
      </c>
      <c r="K81" s="94" t="s">
        <v>281</v>
      </c>
      <c r="L81" s="34" t="s">
        <v>282</v>
      </c>
      <c r="M81" s="94" t="s">
        <v>283</v>
      </c>
      <c r="N81" s="33">
        <v>2</v>
      </c>
      <c r="O81" s="33" t="s">
        <v>751</v>
      </c>
      <c r="P81" s="116" t="s">
        <v>1001</v>
      </c>
      <c r="Q81" s="116" t="s">
        <v>1007</v>
      </c>
      <c r="R81" s="116" t="s">
        <v>1003</v>
      </c>
      <c r="S81" s="56" t="s">
        <v>1004</v>
      </c>
      <c r="T81" s="56" t="s">
        <v>728</v>
      </c>
      <c r="U81" s="56" t="s">
        <v>747</v>
      </c>
      <c r="V81" s="36">
        <v>2694</v>
      </c>
      <c r="W81" s="36">
        <v>0</v>
      </c>
      <c r="X81" s="117">
        <v>0</v>
      </c>
      <c r="Y81" s="38" t="str">
        <f>IFERROR((TABLA_AVANCE_INDICADORES[[#This Row],[AVANCE 1°. TRIM]]/TABLA_AVANCE_INDICADORES[[#This Row],[PROGR. 1° TRIM]])*100,"0")</f>
        <v>0</v>
      </c>
      <c r="Z81"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81" s="118">
        <v>894</v>
      </c>
      <c r="AB81" s="126">
        <v>894</v>
      </c>
      <c r="AC81" s="40">
        <f t="shared" si="2"/>
        <v>100</v>
      </c>
      <c r="AD81" s="39" t="str">
        <f t="shared" si="3"/>
        <v>ADECUADO</v>
      </c>
      <c r="AE81" s="118">
        <v>0</v>
      </c>
      <c r="AF81" s="119">
        <v>0</v>
      </c>
      <c r="AG81" s="40" t="str">
        <f>IFERROR((TABLA_AVANCE_INDICADORES[[#This Row],[AVANCE 3°. TRIM]]/TABLA_AVANCE_INDICADORES[[#This Row],[PROGR. 3° TRIM]])*100,"0")</f>
        <v>0</v>
      </c>
      <c r="AH81"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81" s="118">
        <v>1800</v>
      </c>
      <c r="AJ81" s="126">
        <f>AB80</f>
        <v>1771</v>
      </c>
      <c r="AK81" s="40">
        <f>IFERROR((TABLA_AVANCE_INDICADORES[[#This Row],[AVANCE 4°. TRIM]]/TABLA_AVANCE_INDICADORES[[#This Row],[PROGR. 4° TRIM]])*100,"0")</f>
        <v>98.388888888888886</v>
      </c>
      <c r="AL81"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ADECUADO</v>
      </c>
      <c r="AM81"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894</v>
      </c>
      <c r="AN81"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894</v>
      </c>
      <c r="AO81" s="40">
        <f>IFERROR((TABLA_AVANCE_INDICADORES[[#This Row],[AVANCE ACUM. TRIM.]]/TABLA_AVANCE_INDICADORES[[#This Row],[PROG. ACUM]])*100,"N/A")</f>
        <v>100</v>
      </c>
      <c r="AP81"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81" s="121">
        <f>TABLA_AVANCE_INDICADORES[[#This Row],[AVANCE ACUM. TRIM.]]-TABLA_AVANCE_INDICADORES[[#This Row],[PROG. ACUM]]</f>
        <v>0</v>
      </c>
      <c r="AR81" s="46">
        <f>IFERROR((TABLA_AVANCE_INDICADORES[[#This Row],[DIFERENCIA ABSOLUTA SEMESTRAL]]/TABLA_AVANCE_INDICADORES[[#This Row],[PROG. ACUM]])*100,"N/A")</f>
        <v>0</v>
      </c>
      <c r="AS81"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894</v>
      </c>
      <c r="AT81" s="40">
        <f>IFERROR((TABLA_AVANCE_INDICADORES[[#This Row],[AVANCE ACUM. ANUAL]]/TABLA_AVANCE_INDICADORES[[#This Row],[PROGRAMADO ANUAL]])*100,"N/A")</f>
        <v>33.184855233853007</v>
      </c>
      <c r="AU81"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81" s="121">
        <f>TABLA_AVANCE_INDICADORES[[#This Row],[AVANCE ACUM. ANUAL]]-TABLA_AVANCE_INDICADORES[[#This Row],[PROGRAMADO ANUAL]]</f>
        <v>-1800</v>
      </c>
      <c r="AW81" s="46">
        <f>IFERROR((TABLA_AVANCE_INDICADORES[[#This Row],[DIFERENCIA ABSOLUTA ANUAL]]/TABLA_AVANCE_INDICADORES[[#This Row],[PROGRAMADO ANUAL]])*100,"N/A")</f>
        <v>-66.815144766147</v>
      </c>
      <c r="AX81" s="123" t="s">
        <v>1008</v>
      </c>
      <c r="AY81" s="49" t="s">
        <v>63</v>
      </c>
      <c r="AZ81" s="50"/>
      <c r="BA81" s="50"/>
      <c r="BB81"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82" spans="1:54" ht="63" hidden="1" customHeight="1" x14ac:dyDescent="0.3">
      <c r="A82" s="31" t="s">
        <v>1009</v>
      </c>
      <c r="B82" s="113" t="s">
        <v>368</v>
      </c>
      <c r="C82" s="32" t="s">
        <v>367</v>
      </c>
      <c r="D82" s="114" t="s">
        <v>368</v>
      </c>
      <c r="E82" s="32" t="s">
        <v>380</v>
      </c>
      <c r="F82" s="115" t="s">
        <v>381</v>
      </c>
      <c r="G82" s="94" t="s">
        <v>382</v>
      </c>
      <c r="H82" s="94" t="s">
        <v>1010</v>
      </c>
      <c r="I82" s="34" t="s">
        <v>723</v>
      </c>
      <c r="J82" s="34" t="s">
        <v>280</v>
      </c>
      <c r="K82" s="94" t="s">
        <v>281</v>
      </c>
      <c r="L82" s="34" t="s">
        <v>282</v>
      </c>
      <c r="M82" s="94" t="s">
        <v>283</v>
      </c>
      <c r="N82" s="33">
        <v>1</v>
      </c>
      <c r="O82" s="33" t="s">
        <v>858</v>
      </c>
      <c r="P82" s="125" t="s">
        <v>1011</v>
      </c>
      <c r="Q82" s="125" t="s">
        <v>1012</v>
      </c>
      <c r="R82" s="125" t="s">
        <v>1013</v>
      </c>
      <c r="S82" s="34" t="s">
        <v>131</v>
      </c>
      <c r="T82" s="56" t="s">
        <v>728</v>
      </c>
      <c r="U82" s="34" t="s">
        <v>755</v>
      </c>
      <c r="V82" s="36">
        <v>2</v>
      </c>
      <c r="W82" s="36">
        <v>1</v>
      </c>
      <c r="X82" s="117">
        <v>1</v>
      </c>
      <c r="Y82" s="38">
        <f>IFERROR((TABLA_AVANCE_INDICADORES[[#This Row],[AVANCE 1°. TRIM]]/TABLA_AVANCE_INDICADORES[[#This Row],[PROGR. 1° TRIM]])*100,"0")</f>
        <v>100</v>
      </c>
      <c r="Z82"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82" s="118">
        <v>0</v>
      </c>
      <c r="AB82" s="119">
        <v>1</v>
      </c>
      <c r="AC82" s="40" t="str">
        <f t="shared" si="2"/>
        <v>0</v>
      </c>
      <c r="AD82" s="39" t="str">
        <f t="shared" si="3"/>
        <v>NO PROG.</v>
      </c>
      <c r="AE82" s="118">
        <v>1</v>
      </c>
      <c r="AF82" s="119">
        <v>0</v>
      </c>
      <c r="AG82" s="40">
        <f>IFERROR((TABLA_AVANCE_INDICADORES[[#This Row],[AVANCE 3°. TRIM]]/TABLA_AVANCE_INDICADORES[[#This Row],[PROGR. 3° TRIM]])*100,"0")</f>
        <v>0</v>
      </c>
      <c r="AH82"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CRÍTICO</v>
      </c>
      <c r="AI82" s="118">
        <v>0</v>
      </c>
      <c r="AJ82" s="119">
        <v>0</v>
      </c>
      <c r="AK82" s="40" t="str">
        <f>IFERROR((TABLA_AVANCE_INDICADORES[[#This Row],[AVANCE 4°. TRIM]]/TABLA_AVANCE_INDICADORES[[#This Row],[PROGR. 4° TRIM]])*100,"0")</f>
        <v>0</v>
      </c>
      <c r="AL82"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NO PROG.</v>
      </c>
      <c r="AM82"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1</v>
      </c>
      <c r="AN82"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v>
      </c>
      <c r="AO82" s="40">
        <f>IFERROR((TABLA_AVANCE_INDICADORES[[#This Row],[AVANCE ACUM. TRIM.]]/TABLA_AVANCE_INDICADORES[[#This Row],[PROG. ACUM]])*100,"N/A")</f>
        <v>200</v>
      </c>
      <c r="AP82"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SOBREPASADO</v>
      </c>
      <c r="AQ82" s="121">
        <f>TABLA_AVANCE_INDICADORES[[#This Row],[AVANCE ACUM. TRIM.]]-TABLA_AVANCE_INDICADORES[[#This Row],[PROG. ACUM]]</f>
        <v>1</v>
      </c>
      <c r="AR82" s="46">
        <f>IFERROR((TABLA_AVANCE_INDICADORES[[#This Row],[DIFERENCIA ABSOLUTA SEMESTRAL]]/TABLA_AVANCE_INDICADORES[[#This Row],[PROG. ACUM]])*100,"N/A")</f>
        <v>100</v>
      </c>
      <c r="AS82"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v>
      </c>
      <c r="AT82" s="40">
        <f>IFERROR((TABLA_AVANCE_INDICADORES[[#This Row],[AVANCE ACUM. ANUAL]]/TABLA_AVANCE_INDICADORES[[#This Row],[PROGRAMADO ANUAL]])*100,"N/A")</f>
        <v>100</v>
      </c>
      <c r="AU82"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ADECUADO</v>
      </c>
      <c r="AV82" s="121">
        <f>TABLA_AVANCE_INDICADORES[[#This Row],[AVANCE ACUM. ANUAL]]-TABLA_AVANCE_INDICADORES[[#This Row],[PROGRAMADO ANUAL]]</f>
        <v>0</v>
      </c>
      <c r="AW82" s="46">
        <f>IFERROR((TABLA_AVANCE_INDICADORES[[#This Row],[DIFERENCIA ABSOLUTA ANUAL]]/TABLA_AVANCE_INDICADORES[[#This Row],[PROGRAMADO ANUAL]])*100,"N/A")</f>
        <v>0</v>
      </c>
      <c r="AX82" s="123" t="s">
        <v>63</v>
      </c>
      <c r="AY82" s="49" t="s">
        <v>1014</v>
      </c>
      <c r="AZ82" s="50"/>
      <c r="BA82" s="50"/>
      <c r="BB82"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83" spans="1:54" ht="63" hidden="1" customHeight="1" x14ac:dyDescent="0.3">
      <c r="A83" s="31" t="s">
        <v>1015</v>
      </c>
      <c r="B83" s="113" t="s">
        <v>368</v>
      </c>
      <c r="C83" s="32" t="s">
        <v>367</v>
      </c>
      <c r="D83" s="114" t="s">
        <v>368</v>
      </c>
      <c r="E83" s="32" t="s">
        <v>380</v>
      </c>
      <c r="F83" s="115" t="s">
        <v>381</v>
      </c>
      <c r="G83" s="94" t="s">
        <v>382</v>
      </c>
      <c r="H83" s="94" t="s">
        <v>1010</v>
      </c>
      <c r="I83" s="34" t="s">
        <v>723</v>
      </c>
      <c r="J83" s="34" t="s">
        <v>280</v>
      </c>
      <c r="K83" s="94" t="s">
        <v>281</v>
      </c>
      <c r="L83" s="34" t="s">
        <v>282</v>
      </c>
      <c r="M83" s="94" t="s">
        <v>283</v>
      </c>
      <c r="N83" s="33">
        <v>2</v>
      </c>
      <c r="O83" s="33" t="s">
        <v>858</v>
      </c>
      <c r="P83" s="116" t="s">
        <v>1011</v>
      </c>
      <c r="Q83" s="116" t="s">
        <v>1016</v>
      </c>
      <c r="R83" s="116" t="s">
        <v>1013</v>
      </c>
      <c r="S83" s="56" t="s">
        <v>1017</v>
      </c>
      <c r="T83" s="56" t="s">
        <v>728</v>
      </c>
      <c r="U83" s="56" t="s">
        <v>755</v>
      </c>
      <c r="V83" s="36">
        <v>2</v>
      </c>
      <c r="W83" s="36">
        <v>1</v>
      </c>
      <c r="X83" s="127">
        <v>1</v>
      </c>
      <c r="Y83" s="38">
        <f>IFERROR((TABLA_AVANCE_INDICADORES[[#This Row],[AVANCE 1°. TRIM]]/TABLA_AVANCE_INDICADORES[[#This Row],[PROGR. 1° TRIM]])*100,"0")</f>
        <v>100</v>
      </c>
      <c r="Z83"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83" s="118">
        <v>0</v>
      </c>
      <c r="AB83" s="128">
        <v>1</v>
      </c>
      <c r="AC83" s="40" t="str">
        <f t="shared" si="2"/>
        <v>0</v>
      </c>
      <c r="AD83" s="39" t="str">
        <f t="shared" si="3"/>
        <v>NO PROG.</v>
      </c>
      <c r="AE83" s="118">
        <v>1</v>
      </c>
      <c r="AF83" s="128">
        <f>AE83</f>
        <v>1</v>
      </c>
      <c r="AG83" s="40">
        <f>IFERROR((TABLA_AVANCE_INDICADORES[[#This Row],[AVANCE 3°. TRIM]]/TABLA_AVANCE_INDICADORES[[#This Row],[PROGR. 3° TRIM]])*100,"0")</f>
        <v>100</v>
      </c>
      <c r="AH83"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ADECUADO</v>
      </c>
      <c r="AI83" s="118">
        <v>0</v>
      </c>
      <c r="AJ83" s="128">
        <f>AI83</f>
        <v>0</v>
      </c>
      <c r="AK83" s="40" t="str">
        <f>IFERROR((TABLA_AVANCE_INDICADORES[[#This Row],[AVANCE 4°. TRIM]]/TABLA_AVANCE_INDICADORES[[#This Row],[PROGR. 4° TRIM]])*100,"0")</f>
        <v>0</v>
      </c>
      <c r="AL83"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NO PROG.</v>
      </c>
      <c r="AM83"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1</v>
      </c>
      <c r="AN83"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v>
      </c>
      <c r="AO83" s="40">
        <f>IFERROR((TABLA_AVANCE_INDICADORES[[#This Row],[AVANCE ACUM. TRIM.]]/TABLA_AVANCE_INDICADORES[[#This Row],[PROG. ACUM]])*100,"N/A")</f>
        <v>200</v>
      </c>
      <c r="AP83"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SOBREPASADO</v>
      </c>
      <c r="AQ83" s="121">
        <f>TABLA_AVANCE_INDICADORES[[#This Row],[AVANCE ACUM. TRIM.]]-TABLA_AVANCE_INDICADORES[[#This Row],[PROG. ACUM]]</f>
        <v>1</v>
      </c>
      <c r="AR83" s="46">
        <f>IFERROR((TABLA_AVANCE_INDICADORES[[#This Row],[DIFERENCIA ABSOLUTA SEMESTRAL]]/TABLA_AVANCE_INDICADORES[[#This Row],[PROG. ACUM]])*100,"N/A")</f>
        <v>100</v>
      </c>
      <c r="AS83"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v>
      </c>
      <c r="AT83" s="40">
        <f>IFERROR((TABLA_AVANCE_INDICADORES[[#This Row],[AVANCE ACUM. ANUAL]]/TABLA_AVANCE_INDICADORES[[#This Row],[PROGRAMADO ANUAL]])*100,"N/A")</f>
        <v>100</v>
      </c>
      <c r="AU83"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ADECUADO</v>
      </c>
      <c r="AV83" s="121">
        <f>TABLA_AVANCE_INDICADORES[[#This Row],[AVANCE ACUM. ANUAL]]-TABLA_AVANCE_INDICADORES[[#This Row],[PROGRAMADO ANUAL]]</f>
        <v>0</v>
      </c>
      <c r="AW83" s="46">
        <f>IFERROR((TABLA_AVANCE_INDICADORES[[#This Row],[DIFERENCIA ABSOLUTA ANUAL]]/TABLA_AVANCE_INDICADORES[[#This Row],[PROGRAMADO ANUAL]])*100,"N/A")</f>
        <v>0</v>
      </c>
      <c r="AX83" s="123" t="s">
        <v>63</v>
      </c>
      <c r="AY83" s="49" t="s">
        <v>63</v>
      </c>
      <c r="AZ83" s="50"/>
      <c r="BA83" s="50"/>
      <c r="BB83"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84" spans="1:54" ht="63" hidden="1" customHeight="1" x14ac:dyDescent="0.3">
      <c r="A84" s="31" t="s">
        <v>1018</v>
      </c>
      <c r="B84" s="113" t="s">
        <v>387</v>
      </c>
      <c r="C84" s="32" t="s">
        <v>367</v>
      </c>
      <c r="D84" s="114" t="s">
        <v>368</v>
      </c>
      <c r="E84" s="32" t="s">
        <v>388</v>
      </c>
      <c r="F84" s="115" t="s">
        <v>389</v>
      </c>
      <c r="G84" s="94" t="s">
        <v>390</v>
      </c>
      <c r="H84" s="94" t="s">
        <v>1000</v>
      </c>
      <c r="I84" s="34" t="s">
        <v>723</v>
      </c>
      <c r="J84" s="34" t="s">
        <v>280</v>
      </c>
      <c r="K84" s="94" t="s">
        <v>281</v>
      </c>
      <c r="L84" s="34" t="s">
        <v>282</v>
      </c>
      <c r="M84" s="94" t="s">
        <v>283</v>
      </c>
      <c r="N84" s="33">
        <v>1</v>
      </c>
      <c r="O84" s="33" t="s">
        <v>759</v>
      </c>
      <c r="P84" s="116" t="s">
        <v>1019</v>
      </c>
      <c r="Q84" s="116" t="s">
        <v>1020</v>
      </c>
      <c r="R84" s="116" t="s">
        <v>1021</v>
      </c>
      <c r="S84" s="56" t="s">
        <v>240</v>
      </c>
      <c r="T84" s="56" t="s">
        <v>728</v>
      </c>
      <c r="U84" s="56" t="s">
        <v>755</v>
      </c>
      <c r="V84" s="36">
        <v>900</v>
      </c>
      <c r="W84" s="36">
        <v>225</v>
      </c>
      <c r="X84" s="117">
        <v>52</v>
      </c>
      <c r="Y84" s="38">
        <f>IFERROR((TABLA_AVANCE_INDICADORES[[#This Row],[AVANCE 1°. TRIM]]/TABLA_AVANCE_INDICADORES[[#This Row],[PROGR. 1° TRIM]])*100,"0")</f>
        <v>23.111111111111111</v>
      </c>
      <c r="Z84"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CRÍTICO</v>
      </c>
      <c r="AA84" s="118">
        <v>225</v>
      </c>
      <c r="AB84" s="119">
        <v>44</v>
      </c>
      <c r="AC84" s="40">
        <f t="shared" si="2"/>
        <v>19.555555555555557</v>
      </c>
      <c r="AD84" s="39" t="str">
        <f t="shared" si="3"/>
        <v>CRÍTICO</v>
      </c>
      <c r="AE84" s="118">
        <v>225</v>
      </c>
      <c r="AF84" s="119">
        <v>0</v>
      </c>
      <c r="AG84" s="40">
        <f>IFERROR((TABLA_AVANCE_INDICADORES[[#This Row],[AVANCE 3°. TRIM]]/TABLA_AVANCE_INDICADORES[[#This Row],[PROGR. 3° TRIM]])*100,"0")</f>
        <v>0</v>
      </c>
      <c r="AH84"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CRÍTICO</v>
      </c>
      <c r="AI84" s="118">
        <v>225</v>
      </c>
      <c r="AJ84" s="119">
        <v>0</v>
      </c>
      <c r="AK84" s="40">
        <f>IFERROR((TABLA_AVANCE_INDICADORES[[#This Row],[AVANCE 4°. TRIM]]/TABLA_AVANCE_INDICADORES[[#This Row],[PROGR. 4° TRIM]])*100,"0")</f>
        <v>0</v>
      </c>
      <c r="AL84"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84"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450</v>
      </c>
      <c r="AN84"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96</v>
      </c>
      <c r="AO84" s="40">
        <f>IFERROR((TABLA_AVANCE_INDICADORES[[#This Row],[AVANCE ACUM. TRIM.]]/TABLA_AVANCE_INDICADORES[[#This Row],[PROG. ACUM]])*100,"N/A")</f>
        <v>21.333333333333336</v>
      </c>
      <c r="AP84"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CRÍTICO</v>
      </c>
      <c r="AQ84" s="121">
        <f>TABLA_AVANCE_INDICADORES[[#This Row],[AVANCE ACUM. TRIM.]]-TABLA_AVANCE_INDICADORES[[#This Row],[PROG. ACUM]]</f>
        <v>-354</v>
      </c>
      <c r="AR84" s="46">
        <f>IFERROR((TABLA_AVANCE_INDICADORES[[#This Row],[DIFERENCIA ABSOLUTA SEMESTRAL]]/TABLA_AVANCE_INDICADORES[[#This Row],[PROG. ACUM]])*100,"N/A")</f>
        <v>-78.666666666666657</v>
      </c>
      <c r="AS84"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96</v>
      </c>
      <c r="AT84" s="40">
        <f>IFERROR((TABLA_AVANCE_INDICADORES[[#This Row],[AVANCE ACUM. ANUAL]]/TABLA_AVANCE_INDICADORES[[#This Row],[PROGRAMADO ANUAL]])*100,"N/A")</f>
        <v>10.666666666666668</v>
      </c>
      <c r="AU84"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84" s="121">
        <f>TABLA_AVANCE_INDICADORES[[#This Row],[AVANCE ACUM. ANUAL]]-TABLA_AVANCE_INDICADORES[[#This Row],[PROGRAMADO ANUAL]]</f>
        <v>-804</v>
      </c>
      <c r="AW84" s="46">
        <f>IFERROR((TABLA_AVANCE_INDICADORES[[#This Row],[DIFERENCIA ABSOLUTA ANUAL]]/TABLA_AVANCE_INDICADORES[[#This Row],[PROGRAMADO ANUAL]])*100,"N/A")</f>
        <v>-89.333333333333329</v>
      </c>
      <c r="AX84" s="123" t="s">
        <v>63</v>
      </c>
      <c r="AY84" s="49" t="s">
        <v>63</v>
      </c>
      <c r="AZ84" s="50"/>
      <c r="BA84" s="50"/>
      <c r="BB84"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85" spans="1:54" ht="63" hidden="1" customHeight="1" x14ac:dyDescent="0.3">
      <c r="A85" s="31" t="s">
        <v>1022</v>
      </c>
      <c r="B85" s="113" t="s">
        <v>387</v>
      </c>
      <c r="C85" s="32" t="s">
        <v>367</v>
      </c>
      <c r="D85" s="114" t="s">
        <v>368</v>
      </c>
      <c r="E85" s="32" t="s">
        <v>388</v>
      </c>
      <c r="F85" s="115" t="s">
        <v>389</v>
      </c>
      <c r="G85" s="94" t="s">
        <v>390</v>
      </c>
      <c r="H85" s="94" t="s">
        <v>1000</v>
      </c>
      <c r="I85" s="34" t="s">
        <v>723</v>
      </c>
      <c r="J85" s="34" t="s">
        <v>280</v>
      </c>
      <c r="K85" s="94" t="s">
        <v>281</v>
      </c>
      <c r="L85" s="34" t="s">
        <v>282</v>
      </c>
      <c r="M85" s="94" t="s">
        <v>283</v>
      </c>
      <c r="N85" s="33">
        <v>2</v>
      </c>
      <c r="O85" s="33" t="s">
        <v>759</v>
      </c>
      <c r="P85" s="116" t="s">
        <v>1019</v>
      </c>
      <c r="Q85" s="116" t="s">
        <v>1023</v>
      </c>
      <c r="R85" s="116" t="s">
        <v>1021</v>
      </c>
      <c r="S85" s="56" t="s">
        <v>240</v>
      </c>
      <c r="T85" s="56" t="s">
        <v>728</v>
      </c>
      <c r="U85" s="56" t="s">
        <v>755</v>
      </c>
      <c r="V85" s="36">
        <v>1000</v>
      </c>
      <c r="W85" s="36">
        <v>325</v>
      </c>
      <c r="X85" s="142">
        <v>164</v>
      </c>
      <c r="Y85" s="38">
        <f>IFERROR((TABLA_AVANCE_INDICADORES[[#This Row],[AVANCE 1°. TRIM]]/TABLA_AVANCE_INDICADORES[[#This Row],[PROGR. 1° TRIM]])*100,"0")</f>
        <v>50.46153846153846</v>
      </c>
      <c r="Z85"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DEFICIENTE</v>
      </c>
      <c r="AA85" s="118">
        <v>225</v>
      </c>
      <c r="AB85" s="126">
        <v>123</v>
      </c>
      <c r="AC85" s="40">
        <f t="shared" si="2"/>
        <v>54.666666666666664</v>
      </c>
      <c r="AD85" s="39" t="str">
        <f t="shared" si="3"/>
        <v>DEFICIENTE</v>
      </c>
      <c r="AE85" s="118">
        <v>225</v>
      </c>
      <c r="AF85" s="126">
        <v>0</v>
      </c>
      <c r="AG85" s="40">
        <f>IFERROR((TABLA_AVANCE_INDICADORES[[#This Row],[AVANCE 3°. TRIM]]/TABLA_AVANCE_INDICADORES[[#This Row],[PROGR. 3° TRIM]])*100,"0")</f>
        <v>0</v>
      </c>
      <c r="AH85"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CRÍTICO</v>
      </c>
      <c r="AI85" s="118">
        <v>225</v>
      </c>
      <c r="AJ85" s="126">
        <v>142791191</v>
      </c>
      <c r="AK85" s="40">
        <f>IFERROR((TABLA_AVANCE_INDICADORES[[#This Row],[AVANCE 4°. TRIM]]/TABLA_AVANCE_INDICADORES[[#This Row],[PROGR. 4° TRIM]])*100,"0")</f>
        <v>63462751.55555556</v>
      </c>
      <c r="AL85"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NO PROG.</v>
      </c>
      <c r="AM85"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550</v>
      </c>
      <c r="AN85"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287</v>
      </c>
      <c r="AO85" s="40">
        <f>IFERROR((TABLA_AVANCE_INDICADORES[[#This Row],[AVANCE ACUM. TRIM.]]/TABLA_AVANCE_INDICADORES[[#This Row],[PROG. ACUM]])*100,"N/A")</f>
        <v>52.181818181818187</v>
      </c>
      <c r="AP85"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DEFICIENTE</v>
      </c>
      <c r="AQ85" s="121">
        <f>TABLA_AVANCE_INDICADORES[[#This Row],[AVANCE ACUM. TRIM.]]-TABLA_AVANCE_INDICADORES[[#This Row],[PROG. ACUM]]</f>
        <v>-263</v>
      </c>
      <c r="AR85" s="46">
        <f>IFERROR((TABLA_AVANCE_INDICADORES[[#This Row],[DIFERENCIA ABSOLUTA SEMESTRAL]]/TABLA_AVANCE_INDICADORES[[#This Row],[PROG. ACUM]])*100,"N/A")</f>
        <v>-47.81818181818182</v>
      </c>
      <c r="AS85"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287</v>
      </c>
      <c r="AT85" s="40">
        <f>IFERROR((TABLA_AVANCE_INDICADORES[[#This Row],[AVANCE ACUM. ANUAL]]/TABLA_AVANCE_INDICADORES[[#This Row],[PROGRAMADO ANUAL]])*100,"N/A")</f>
        <v>28.7</v>
      </c>
      <c r="AU85"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85" s="121">
        <f>TABLA_AVANCE_INDICADORES[[#This Row],[AVANCE ACUM. ANUAL]]-TABLA_AVANCE_INDICADORES[[#This Row],[PROGRAMADO ANUAL]]</f>
        <v>-713</v>
      </c>
      <c r="AW85" s="46">
        <f>IFERROR((TABLA_AVANCE_INDICADORES[[#This Row],[DIFERENCIA ABSOLUTA ANUAL]]/TABLA_AVANCE_INDICADORES[[#This Row],[PROGRAMADO ANUAL]])*100,"N/A")</f>
        <v>-71.3</v>
      </c>
      <c r="AX85" s="123" t="s">
        <v>63</v>
      </c>
      <c r="AY85" s="49" t="s">
        <v>63</v>
      </c>
      <c r="AZ85" s="50"/>
      <c r="BA85" s="50"/>
      <c r="BB85"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86" spans="1:54" ht="63" hidden="1" customHeight="1" x14ac:dyDescent="0.3">
      <c r="A86" s="31" t="s">
        <v>1024</v>
      </c>
      <c r="B86" s="113" t="s">
        <v>409</v>
      </c>
      <c r="C86" s="32" t="s">
        <v>367</v>
      </c>
      <c r="D86" s="114" t="s">
        <v>368</v>
      </c>
      <c r="E86" s="32" t="s">
        <v>410</v>
      </c>
      <c r="F86" s="115" t="s">
        <v>411</v>
      </c>
      <c r="G86" s="94" t="s">
        <v>412</v>
      </c>
      <c r="H86" s="94" t="s">
        <v>1025</v>
      </c>
      <c r="I86" s="34" t="s">
        <v>723</v>
      </c>
      <c r="J86" s="34" t="s">
        <v>280</v>
      </c>
      <c r="K86" s="94" t="s">
        <v>281</v>
      </c>
      <c r="L86" s="34" t="s">
        <v>282</v>
      </c>
      <c r="M86" s="94" t="s">
        <v>283</v>
      </c>
      <c r="N86" s="33">
        <v>1</v>
      </c>
      <c r="O86" s="33" t="s">
        <v>799</v>
      </c>
      <c r="P86" s="116" t="s">
        <v>1026</v>
      </c>
      <c r="Q86" s="116" t="s">
        <v>1027</v>
      </c>
      <c r="R86" s="116" t="s">
        <v>1028</v>
      </c>
      <c r="S86" s="56" t="s">
        <v>504</v>
      </c>
      <c r="T86" s="56" t="s">
        <v>728</v>
      </c>
      <c r="U86" s="56" t="s">
        <v>755</v>
      </c>
      <c r="V86" s="36">
        <v>21500</v>
      </c>
      <c r="W86" s="36">
        <v>3500</v>
      </c>
      <c r="X86" s="129">
        <v>3990</v>
      </c>
      <c r="Y86" s="38">
        <f>IFERROR((TABLA_AVANCE_INDICADORES[[#This Row],[AVANCE 1°. TRIM]]/TABLA_AVANCE_INDICADORES[[#This Row],[PROGR. 1° TRIM]])*100,"0")</f>
        <v>113.99999999999999</v>
      </c>
      <c r="Z86"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SOBREPASADO</v>
      </c>
      <c r="AA86" s="118">
        <v>6000</v>
      </c>
      <c r="AB86" s="119">
        <v>6644</v>
      </c>
      <c r="AC86" s="40">
        <f t="shared" si="2"/>
        <v>110.73333333333333</v>
      </c>
      <c r="AD86" s="39" t="str">
        <f t="shared" si="3"/>
        <v>ADECUADO</v>
      </c>
      <c r="AE86" s="118">
        <v>6000</v>
      </c>
      <c r="AF86" s="119">
        <v>0</v>
      </c>
      <c r="AG86" s="40">
        <f>IFERROR((TABLA_AVANCE_INDICADORES[[#This Row],[AVANCE 3°. TRIM]]/TABLA_AVANCE_INDICADORES[[#This Row],[PROGR. 3° TRIM]])*100,"0")</f>
        <v>0</v>
      </c>
      <c r="AH86"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CRÍTICO</v>
      </c>
      <c r="AI86" s="118">
        <v>6000</v>
      </c>
      <c r="AJ86" s="119">
        <v>0</v>
      </c>
      <c r="AK86" s="40">
        <f>IFERROR((TABLA_AVANCE_INDICADORES[[#This Row],[AVANCE 4°. TRIM]]/TABLA_AVANCE_INDICADORES[[#This Row],[PROGR. 4° TRIM]])*100,"0")</f>
        <v>0</v>
      </c>
      <c r="AL86"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86"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9500</v>
      </c>
      <c r="AN86"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10634</v>
      </c>
      <c r="AO86" s="40">
        <f>IFERROR((TABLA_AVANCE_INDICADORES[[#This Row],[AVANCE ACUM. TRIM.]]/TABLA_AVANCE_INDICADORES[[#This Row],[PROG. ACUM]])*100,"N/A")</f>
        <v>111.93684210526315</v>
      </c>
      <c r="AP86"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SOBREPASADO</v>
      </c>
      <c r="AQ86" s="121">
        <f>TABLA_AVANCE_INDICADORES[[#This Row],[AVANCE ACUM. TRIM.]]-TABLA_AVANCE_INDICADORES[[#This Row],[PROG. ACUM]]</f>
        <v>1134</v>
      </c>
      <c r="AR86" s="46">
        <f>IFERROR((TABLA_AVANCE_INDICADORES[[#This Row],[DIFERENCIA ABSOLUTA SEMESTRAL]]/TABLA_AVANCE_INDICADORES[[#This Row],[PROG. ACUM]])*100,"N/A")</f>
        <v>11.936842105263159</v>
      </c>
      <c r="AS86"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10634</v>
      </c>
      <c r="AT86" s="40">
        <f>IFERROR((TABLA_AVANCE_INDICADORES[[#This Row],[AVANCE ACUM. ANUAL]]/TABLA_AVANCE_INDICADORES[[#This Row],[PROGRAMADO ANUAL]])*100,"N/A")</f>
        <v>49.460465116279067</v>
      </c>
      <c r="AU86"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86" s="121">
        <f>TABLA_AVANCE_INDICADORES[[#This Row],[AVANCE ACUM. ANUAL]]-TABLA_AVANCE_INDICADORES[[#This Row],[PROGRAMADO ANUAL]]</f>
        <v>-10866</v>
      </c>
      <c r="AW86" s="46">
        <f>IFERROR((TABLA_AVANCE_INDICADORES[[#This Row],[DIFERENCIA ABSOLUTA ANUAL]]/TABLA_AVANCE_INDICADORES[[#This Row],[PROGRAMADO ANUAL]])*100,"N/A")</f>
        <v>-50.539534883720926</v>
      </c>
      <c r="AX86" s="123" t="s">
        <v>1029</v>
      </c>
      <c r="AY86" s="49" t="s">
        <v>1030</v>
      </c>
      <c r="AZ86" s="50"/>
      <c r="BA86" s="50"/>
      <c r="BB86"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87" spans="1:54" ht="63" hidden="1" customHeight="1" x14ac:dyDescent="0.3">
      <c r="A87" s="31" t="s">
        <v>1031</v>
      </c>
      <c r="B87" s="113" t="s">
        <v>409</v>
      </c>
      <c r="C87" s="32" t="s">
        <v>367</v>
      </c>
      <c r="D87" s="114" t="s">
        <v>368</v>
      </c>
      <c r="E87" s="32" t="s">
        <v>410</v>
      </c>
      <c r="F87" s="115" t="s">
        <v>411</v>
      </c>
      <c r="G87" s="94" t="s">
        <v>412</v>
      </c>
      <c r="H87" s="94" t="s">
        <v>1025</v>
      </c>
      <c r="I87" s="34" t="s">
        <v>723</v>
      </c>
      <c r="J87" s="34" t="s">
        <v>280</v>
      </c>
      <c r="K87" s="94" t="s">
        <v>281</v>
      </c>
      <c r="L87" s="34" t="s">
        <v>282</v>
      </c>
      <c r="M87" s="94" t="s">
        <v>283</v>
      </c>
      <c r="N87" s="33">
        <v>2</v>
      </c>
      <c r="O87" s="33" t="s">
        <v>799</v>
      </c>
      <c r="P87" s="116" t="s">
        <v>1026</v>
      </c>
      <c r="Q87" s="116" t="s">
        <v>1032</v>
      </c>
      <c r="R87" s="116" t="s">
        <v>1028</v>
      </c>
      <c r="S87" s="56" t="s">
        <v>504</v>
      </c>
      <c r="T87" s="56" t="s">
        <v>728</v>
      </c>
      <c r="U87" s="56" t="s">
        <v>755</v>
      </c>
      <c r="V87" s="36">
        <v>181239</v>
      </c>
      <c r="W87" s="36">
        <v>144839</v>
      </c>
      <c r="X87" s="142">
        <v>144839</v>
      </c>
      <c r="Y87" s="38">
        <f>IFERROR((TABLA_AVANCE_INDICADORES[[#This Row],[AVANCE 1°. TRIM]]/TABLA_AVANCE_INDICADORES[[#This Row],[PROGR. 1° TRIM]])*100,"0")</f>
        <v>100</v>
      </c>
      <c r="Z87"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87" s="118">
        <v>5000</v>
      </c>
      <c r="AB87" s="143">
        <v>3990</v>
      </c>
      <c r="AC87" s="40">
        <f t="shared" si="2"/>
        <v>79.800000000000011</v>
      </c>
      <c r="AD87" s="39" t="str">
        <f t="shared" si="3"/>
        <v>REGULAR</v>
      </c>
      <c r="AE87" s="118">
        <v>16400</v>
      </c>
      <c r="AF87" s="143">
        <f>AB86</f>
        <v>6644</v>
      </c>
      <c r="AG87" s="40">
        <f>IFERROR((TABLA_AVANCE_INDICADORES[[#This Row],[AVANCE 3°. TRIM]]/TABLA_AVANCE_INDICADORES[[#This Row],[PROGR. 3° TRIM]])*100,"0")</f>
        <v>40.512195121951223</v>
      </c>
      <c r="AH87"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CRÍTICO</v>
      </c>
      <c r="AI87" s="118">
        <v>15000</v>
      </c>
      <c r="AJ87" s="143">
        <f>AF86</f>
        <v>0</v>
      </c>
      <c r="AK87" s="40">
        <f>IFERROR((TABLA_AVANCE_INDICADORES[[#This Row],[AVANCE 4°. TRIM]]/TABLA_AVANCE_INDICADORES[[#This Row],[PROGR. 4° TRIM]])*100,"0")</f>
        <v>0</v>
      </c>
      <c r="AL87"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87"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149839</v>
      </c>
      <c r="AN87"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148829</v>
      </c>
      <c r="AO87" s="40">
        <f>IFERROR((TABLA_AVANCE_INDICADORES[[#This Row],[AVANCE ACUM. TRIM.]]/TABLA_AVANCE_INDICADORES[[#This Row],[PROG. ACUM]])*100,"N/A")</f>
        <v>99.325943179012143</v>
      </c>
      <c r="AP87"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87" s="121">
        <f>TABLA_AVANCE_INDICADORES[[#This Row],[AVANCE ACUM. TRIM.]]-TABLA_AVANCE_INDICADORES[[#This Row],[PROG. ACUM]]</f>
        <v>-1010</v>
      </c>
      <c r="AR87" s="46">
        <f>IFERROR((TABLA_AVANCE_INDICADORES[[#This Row],[DIFERENCIA ABSOLUTA SEMESTRAL]]/TABLA_AVANCE_INDICADORES[[#This Row],[PROG. ACUM]])*100,"N/A")</f>
        <v>-0.67405682098786035</v>
      </c>
      <c r="AS87"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148829</v>
      </c>
      <c r="AT87" s="40">
        <f>IFERROR((TABLA_AVANCE_INDICADORES[[#This Row],[AVANCE ACUM. ANUAL]]/TABLA_AVANCE_INDICADORES[[#This Row],[PROGRAMADO ANUAL]])*100,"N/A")</f>
        <v>82.117535409045516</v>
      </c>
      <c r="AU87"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REGULAR</v>
      </c>
      <c r="AV87" s="121">
        <f>TABLA_AVANCE_INDICADORES[[#This Row],[AVANCE ACUM. ANUAL]]-TABLA_AVANCE_INDICADORES[[#This Row],[PROGRAMADO ANUAL]]</f>
        <v>-32410</v>
      </c>
      <c r="AW87" s="46">
        <f>IFERROR((TABLA_AVANCE_INDICADORES[[#This Row],[DIFERENCIA ABSOLUTA ANUAL]]/TABLA_AVANCE_INDICADORES[[#This Row],[PROGRAMADO ANUAL]])*100,"N/A")</f>
        <v>-17.882464590954488</v>
      </c>
      <c r="AX87" s="123" t="s">
        <v>1029</v>
      </c>
      <c r="AY87" s="49" t="s">
        <v>63</v>
      </c>
      <c r="AZ87" s="50"/>
      <c r="BA87" s="50"/>
      <c r="BB87"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88" spans="1:54" ht="63" hidden="1" customHeight="1" x14ac:dyDescent="0.3">
      <c r="A88" s="31" t="s">
        <v>1033</v>
      </c>
      <c r="B88" s="113" t="s">
        <v>409</v>
      </c>
      <c r="C88" s="32" t="s">
        <v>367</v>
      </c>
      <c r="D88" s="114" t="s">
        <v>368</v>
      </c>
      <c r="E88" s="32" t="s">
        <v>410</v>
      </c>
      <c r="F88" s="115" t="s">
        <v>411</v>
      </c>
      <c r="G88" s="94" t="s">
        <v>412</v>
      </c>
      <c r="H88" s="94" t="s">
        <v>1025</v>
      </c>
      <c r="I88" s="34" t="s">
        <v>723</v>
      </c>
      <c r="J88" s="34" t="s">
        <v>280</v>
      </c>
      <c r="K88" s="94" t="s">
        <v>281</v>
      </c>
      <c r="L88" s="34" t="s">
        <v>282</v>
      </c>
      <c r="M88" s="94" t="s">
        <v>283</v>
      </c>
      <c r="N88" s="33">
        <v>1</v>
      </c>
      <c r="O88" s="33" t="s">
        <v>806</v>
      </c>
      <c r="P88" s="116" t="s">
        <v>1034</v>
      </c>
      <c r="Q88" s="116" t="s">
        <v>1035</v>
      </c>
      <c r="R88" s="116" t="s">
        <v>1036</v>
      </c>
      <c r="S88" s="56" t="s">
        <v>1037</v>
      </c>
      <c r="T88" s="56" t="s">
        <v>728</v>
      </c>
      <c r="U88" s="56" t="s">
        <v>755</v>
      </c>
      <c r="V88" s="36">
        <v>27000</v>
      </c>
      <c r="W88" s="36">
        <v>3000</v>
      </c>
      <c r="X88" s="117">
        <v>11046</v>
      </c>
      <c r="Y88" s="38">
        <f>IFERROR((TABLA_AVANCE_INDICADORES[[#This Row],[AVANCE 1°. TRIM]]/TABLA_AVANCE_INDICADORES[[#This Row],[PROGR. 1° TRIM]])*100,"0")</f>
        <v>368.2</v>
      </c>
      <c r="Z88"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SOBREPASADO</v>
      </c>
      <c r="AA88" s="118">
        <v>8000</v>
      </c>
      <c r="AB88" s="119">
        <v>8000</v>
      </c>
      <c r="AC88" s="40">
        <f t="shared" si="2"/>
        <v>100</v>
      </c>
      <c r="AD88" s="39" t="str">
        <f t="shared" si="3"/>
        <v>ADECUADO</v>
      </c>
      <c r="AE88" s="118">
        <v>8000</v>
      </c>
      <c r="AF88" s="119">
        <v>0</v>
      </c>
      <c r="AG88" s="40">
        <f>IFERROR((TABLA_AVANCE_INDICADORES[[#This Row],[AVANCE 3°. TRIM]]/TABLA_AVANCE_INDICADORES[[#This Row],[PROGR. 3° TRIM]])*100,"0")</f>
        <v>0</v>
      </c>
      <c r="AH88"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CRÍTICO</v>
      </c>
      <c r="AI88" s="118">
        <v>8000</v>
      </c>
      <c r="AJ88" s="119">
        <v>0</v>
      </c>
      <c r="AK88" s="40">
        <f>IFERROR((TABLA_AVANCE_INDICADORES[[#This Row],[AVANCE 4°. TRIM]]/TABLA_AVANCE_INDICADORES[[#This Row],[PROGR. 4° TRIM]])*100,"0")</f>
        <v>0</v>
      </c>
      <c r="AL88"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88"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11000</v>
      </c>
      <c r="AN88"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19046</v>
      </c>
      <c r="AO88" s="40">
        <f>IFERROR((TABLA_AVANCE_INDICADORES[[#This Row],[AVANCE ACUM. TRIM.]]/TABLA_AVANCE_INDICADORES[[#This Row],[PROG. ACUM]])*100,"N/A")</f>
        <v>173.14545454545453</v>
      </c>
      <c r="AP88"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SOBREPASADO</v>
      </c>
      <c r="AQ88" s="121">
        <f>TABLA_AVANCE_INDICADORES[[#This Row],[AVANCE ACUM. TRIM.]]-TABLA_AVANCE_INDICADORES[[#This Row],[PROG. ACUM]]</f>
        <v>8046</v>
      </c>
      <c r="AR88" s="46">
        <f>IFERROR((TABLA_AVANCE_INDICADORES[[#This Row],[DIFERENCIA ABSOLUTA SEMESTRAL]]/TABLA_AVANCE_INDICADORES[[#This Row],[PROG. ACUM]])*100,"N/A")</f>
        <v>73.145454545454541</v>
      </c>
      <c r="AS88"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19046</v>
      </c>
      <c r="AT88" s="40">
        <f>IFERROR((TABLA_AVANCE_INDICADORES[[#This Row],[AVANCE ACUM. ANUAL]]/TABLA_AVANCE_INDICADORES[[#This Row],[PROGRAMADO ANUAL]])*100,"N/A")</f>
        <v>70.540740740740731</v>
      </c>
      <c r="AU88"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REGULAR</v>
      </c>
      <c r="AV88" s="121">
        <f>TABLA_AVANCE_INDICADORES[[#This Row],[AVANCE ACUM. ANUAL]]-TABLA_AVANCE_INDICADORES[[#This Row],[PROGRAMADO ANUAL]]</f>
        <v>-7954</v>
      </c>
      <c r="AW88" s="46">
        <f>IFERROR((TABLA_AVANCE_INDICADORES[[#This Row],[DIFERENCIA ABSOLUTA ANUAL]]/TABLA_AVANCE_INDICADORES[[#This Row],[PROGRAMADO ANUAL]])*100,"N/A")</f>
        <v>-29.459259259259259</v>
      </c>
      <c r="AX88" s="123" t="s">
        <v>1029</v>
      </c>
      <c r="AY88" s="49" t="s">
        <v>1038</v>
      </c>
      <c r="AZ88" s="50"/>
      <c r="BA88" s="50"/>
      <c r="BB88"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89" spans="1:54" ht="63" hidden="1" customHeight="1" x14ac:dyDescent="0.3">
      <c r="A89" s="31" t="s">
        <v>1039</v>
      </c>
      <c r="B89" s="113" t="s">
        <v>409</v>
      </c>
      <c r="C89" s="32" t="s">
        <v>367</v>
      </c>
      <c r="D89" s="114" t="s">
        <v>368</v>
      </c>
      <c r="E89" s="32" t="s">
        <v>410</v>
      </c>
      <c r="F89" s="115" t="s">
        <v>411</v>
      </c>
      <c r="G89" s="94" t="s">
        <v>412</v>
      </c>
      <c r="H89" s="94" t="s">
        <v>1025</v>
      </c>
      <c r="I89" s="34" t="s">
        <v>723</v>
      </c>
      <c r="J89" s="34" t="s">
        <v>280</v>
      </c>
      <c r="K89" s="94" t="s">
        <v>281</v>
      </c>
      <c r="L89" s="34" t="s">
        <v>282</v>
      </c>
      <c r="M89" s="94" t="s">
        <v>283</v>
      </c>
      <c r="N89" s="33">
        <v>2</v>
      </c>
      <c r="O89" s="33" t="s">
        <v>806</v>
      </c>
      <c r="P89" s="116" t="s">
        <v>1034</v>
      </c>
      <c r="Q89" s="116" t="s">
        <v>1040</v>
      </c>
      <c r="R89" s="116" t="s">
        <v>1036</v>
      </c>
      <c r="S89" s="56" t="s">
        <v>1037</v>
      </c>
      <c r="T89" s="56" t="s">
        <v>728</v>
      </c>
      <c r="U89" s="56" t="s">
        <v>755</v>
      </c>
      <c r="V89" s="36">
        <v>27000</v>
      </c>
      <c r="W89" s="36">
        <v>3000</v>
      </c>
      <c r="X89" s="117">
        <v>11046</v>
      </c>
      <c r="Y89" s="38">
        <f>IFERROR((TABLA_AVANCE_INDICADORES[[#This Row],[AVANCE 1°. TRIM]]/TABLA_AVANCE_INDICADORES[[#This Row],[PROGR. 1° TRIM]])*100,"0")</f>
        <v>368.2</v>
      </c>
      <c r="Z89"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SOBREPASADO</v>
      </c>
      <c r="AA89" s="118">
        <v>8000</v>
      </c>
      <c r="AB89" s="119">
        <v>8000</v>
      </c>
      <c r="AC89" s="40">
        <f t="shared" si="2"/>
        <v>100</v>
      </c>
      <c r="AD89" s="39" t="str">
        <f t="shared" si="3"/>
        <v>ADECUADO</v>
      </c>
      <c r="AE89" s="118">
        <v>8000</v>
      </c>
      <c r="AF89" s="119">
        <v>0</v>
      </c>
      <c r="AG89" s="40">
        <f>IFERROR((TABLA_AVANCE_INDICADORES[[#This Row],[AVANCE 3°. TRIM]]/TABLA_AVANCE_INDICADORES[[#This Row],[PROGR. 3° TRIM]])*100,"0")</f>
        <v>0</v>
      </c>
      <c r="AH89"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CRÍTICO</v>
      </c>
      <c r="AI89" s="118">
        <v>8000</v>
      </c>
      <c r="AJ89" s="119">
        <v>0</v>
      </c>
      <c r="AK89" s="40">
        <f>IFERROR((TABLA_AVANCE_INDICADORES[[#This Row],[AVANCE 4°. TRIM]]/TABLA_AVANCE_INDICADORES[[#This Row],[PROGR. 4° TRIM]])*100,"0")</f>
        <v>0</v>
      </c>
      <c r="AL89"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89"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11000</v>
      </c>
      <c r="AN89"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19046</v>
      </c>
      <c r="AO89" s="40">
        <f>IFERROR((TABLA_AVANCE_INDICADORES[[#This Row],[AVANCE ACUM. TRIM.]]/TABLA_AVANCE_INDICADORES[[#This Row],[PROG. ACUM]])*100,"N/A")</f>
        <v>173.14545454545453</v>
      </c>
      <c r="AP89"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SOBREPASADO</v>
      </c>
      <c r="AQ89" s="121">
        <f>TABLA_AVANCE_INDICADORES[[#This Row],[AVANCE ACUM. TRIM.]]-TABLA_AVANCE_INDICADORES[[#This Row],[PROG. ACUM]]</f>
        <v>8046</v>
      </c>
      <c r="AR89" s="46">
        <f>IFERROR((TABLA_AVANCE_INDICADORES[[#This Row],[DIFERENCIA ABSOLUTA SEMESTRAL]]/TABLA_AVANCE_INDICADORES[[#This Row],[PROG. ACUM]])*100,"N/A")</f>
        <v>73.145454545454541</v>
      </c>
      <c r="AS89"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19046</v>
      </c>
      <c r="AT89" s="40">
        <f>IFERROR((TABLA_AVANCE_INDICADORES[[#This Row],[AVANCE ACUM. ANUAL]]/TABLA_AVANCE_INDICADORES[[#This Row],[PROGRAMADO ANUAL]])*100,"N/A")</f>
        <v>70.540740740740731</v>
      </c>
      <c r="AU89"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REGULAR</v>
      </c>
      <c r="AV89" s="121">
        <f>TABLA_AVANCE_INDICADORES[[#This Row],[AVANCE ACUM. ANUAL]]-TABLA_AVANCE_INDICADORES[[#This Row],[PROGRAMADO ANUAL]]</f>
        <v>-7954</v>
      </c>
      <c r="AW89" s="46">
        <f>IFERROR((TABLA_AVANCE_INDICADORES[[#This Row],[DIFERENCIA ABSOLUTA ANUAL]]/TABLA_AVANCE_INDICADORES[[#This Row],[PROGRAMADO ANUAL]])*100,"N/A")</f>
        <v>-29.459259259259259</v>
      </c>
      <c r="AX89" s="123" t="s">
        <v>1029</v>
      </c>
      <c r="AY89" s="49" t="s">
        <v>1038</v>
      </c>
      <c r="AZ89" s="50"/>
      <c r="BA89" s="50"/>
      <c r="BB89"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90" spans="1:54" ht="63" hidden="1" customHeight="1" x14ac:dyDescent="0.3">
      <c r="A90" s="31" t="s">
        <v>1041</v>
      </c>
      <c r="B90" s="113" t="s">
        <v>409</v>
      </c>
      <c r="C90" s="32" t="s">
        <v>367</v>
      </c>
      <c r="D90" s="114" t="s">
        <v>368</v>
      </c>
      <c r="E90" s="32" t="s">
        <v>410</v>
      </c>
      <c r="F90" s="115" t="s">
        <v>411</v>
      </c>
      <c r="G90" s="94" t="s">
        <v>412</v>
      </c>
      <c r="H90" s="94" t="s">
        <v>1025</v>
      </c>
      <c r="I90" s="34" t="s">
        <v>723</v>
      </c>
      <c r="J90" s="34" t="s">
        <v>280</v>
      </c>
      <c r="K90" s="94" t="s">
        <v>281</v>
      </c>
      <c r="L90" s="34" t="s">
        <v>282</v>
      </c>
      <c r="M90" s="94" t="s">
        <v>283</v>
      </c>
      <c r="N90" s="33">
        <v>1</v>
      </c>
      <c r="O90" s="33" t="s">
        <v>813</v>
      </c>
      <c r="P90" s="116" t="s">
        <v>1042</v>
      </c>
      <c r="Q90" s="116" t="s">
        <v>1043</v>
      </c>
      <c r="R90" s="116" t="s">
        <v>1044</v>
      </c>
      <c r="S90" s="56" t="s">
        <v>1045</v>
      </c>
      <c r="T90" s="56" t="s">
        <v>728</v>
      </c>
      <c r="U90" s="56" t="s">
        <v>755</v>
      </c>
      <c r="V90" s="36">
        <v>21000</v>
      </c>
      <c r="W90" s="36">
        <v>3000</v>
      </c>
      <c r="X90" s="117">
        <v>10487</v>
      </c>
      <c r="Y90" s="38">
        <f>IFERROR((TABLA_AVANCE_INDICADORES[[#This Row],[AVANCE 1°. TRIM]]/TABLA_AVANCE_INDICADORES[[#This Row],[PROGR. 1° TRIM]])*100,"0")</f>
        <v>349.56666666666666</v>
      </c>
      <c r="Z90"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SOBREPASADO</v>
      </c>
      <c r="AA90" s="118">
        <v>6000</v>
      </c>
      <c r="AB90" s="119">
        <v>10320</v>
      </c>
      <c r="AC90" s="40">
        <f t="shared" si="2"/>
        <v>172</v>
      </c>
      <c r="AD90" s="39" t="str">
        <f t="shared" si="3"/>
        <v>SOBREPASADO</v>
      </c>
      <c r="AE90" s="118">
        <v>6000</v>
      </c>
      <c r="AF90" s="119">
        <v>0</v>
      </c>
      <c r="AG90" s="40">
        <f>IFERROR((TABLA_AVANCE_INDICADORES[[#This Row],[AVANCE 3°. TRIM]]/TABLA_AVANCE_INDICADORES[[#This Row],[PROGR. 3° TRIM]])*100,"0")</f>
        <v>0</v>
      </c>
      <c r="AH90"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CRÍTICO</v>
      </c>
      <c r="AI90" s="118">
        <v>6000</v>
      </c>
      <c r="AJ90" s="119">
        <v>0</v>
      </c>
      <c r="AK90" s="40">
        <f>IFERROR((TABLA_AVANCE_INDICADORES[[#This Row],[AVANCE 4°. TRIM]]/TABLA_AVANCE_INDICADORES[[#This Row],[PROGR. 4° TRIM]])*100,"0")</f>
        <v>0</v>
      </c>
      <c r="AL90"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90"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9000</v>
      </c>
      <c r="AN90"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20807</v>
      </c>
      <c r="AO90" s="40">
        <f>IFERROR((TABLA_AVANCE_INDICADORES[[#This Row],[AVANCE ACUM. TRIM.]]/TABLA_AVANCE_INDICADORES[[#This Row],[PROG. ACUM]])*100,"N/A")</f>
        <v>231.1888888888889</v>
      </c>
      <c r="AP90"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SOBREPASADO</v>
      </c>
      <c r="AQ90" s="121">
        <f>TABLA_AVANCE_INDICADORES[[#This Row],[AVANCE ACUM. TRIM.]]-TABLA_AVANCE_INDICADORES[[#This Row],[PROG. ACUM]]</f>
        <v>11807</v>
      </c>
      <c r="AR90" s="46">
        <f>IFERROR((TABLA_AVANCE_INDICADORES[[#This Row],[DIFERENCIA ABSOLUTA SEMESTRAL]]/TABLA_AVANCE_INDICADORES[[#This Row],[PROG. ACUM]])*100,"N/A")</f>
        <v>131.1888888888889</v>
      </c>
      <c r="AS90"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20807</v>
      </c>
      <c r="AT90" s="40">
        <f>IFERROR((TABLA_AVANCE_INDICADORES[[#This Row],[AVANCE ACUM. ANUAL]]/TABLA_AVANCE_INDICADORES[[#This Row],[PROGRAMADO ANUAL]])*100,"N/A")</f>
        <v>99.080952380952382</v>
      </c>
      <c r="AU90"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ADECUADO</v>
      </c>
      <c r="AV90" s="121">
        <f>TABLA_AVANCE_INDICADORES[[#This Row],[AVANCE ACUM. ANUAL]]-TABLA_AVANCE_INDICADORES[[#This Row],[PROGRAMADO ANUAL]]</f>
        <v>-193</v>
      </c>
      <c r="AW90" s="46">
        <f>IFERROR((TABLA_AVANCE_INDICADORES[[#This Row],[DIFERENCIA ABSOLUTA ANUAL]]/TABLA_AVANCE_INDICADORES[[#This Row],[PROGRAMADO ANUAL]])*100,"N/A")</f>
        <v>-0.919047619047619</v>
      </c>
      <c r="AX90" s="123" t="s">
        <v>1029</v>
      </c>
      <c r="AY90" s="49" t="s">
        <v>1038</v>
      </c>
      <c r="AZ90" s="50"/>
      <c r="BA90" s="50"/>
      <c r="BB90"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91" spans="1:54" ht="63" hidden="1" customHeight="1" x14ac:dyDescent="0.3">
      <c r="A91" s="31" t="s">
        <v>1046</v>
      </c>
      <c r="B91" s="113" t="s">
        <v>409</v>
      </c>
      <c r="C91" s="32" t="s">
        <v>367</v>
      </c>
      <c r="D91" s="114" t="s">
        <v>368</v>
      </c>
      <c r="E91" s="32" t="s">
        <v>410</v>
      </c>
      <c r="F91" s="115" t="s">
        <v>411</v>
      </c>
      <c r="G91" s="94" t="s">
        <v>412</v>
      </c>
      <c r="H91" s="94" t="s">
        <v>1025</v>
      </c>
      <c r="I91" s="34" t="s">
        <v>723</v>
      </c>
      <c r="J91" s="34" t="s">
        <v>280</v>
      </c>
      <c r="K91" s="94" t="s">
        <v>281</v>
      </c>
      <c r="L91" s="34" t="s">
        <v>282</v>
      </c>
      <c r="M91" s="94" t="s">
        <v>283</v>
      </c>
      <c r="N91" s="33">
        <v>2</v>
      </c>
      <c r="O91" s="33" t="s">
        <v>813</v>
      </c>
      <c r="P91" s="116" t="s">
        <v>1042</v>
      </c>
      <c r="Q91" s="116" t="s">
        <v>1047</v>
      </c>
      <c r="R91" s="116" t="s">
        <v>1044</v>
      </c>
      <c r="S91" s="56" t="s">
        <v>416</v>
      </c>
      <c r="T91" s="56" t="s">
        <v>728</v>
      </c>
      <c r="U91" s="56" t="s">
        <v>755</v>
      </c>
      <c r="V91" s="36">
        <v>21000</v>
      </c>
      <c r="W91" s="36">
        <v>3000</v>
      </c>
      <c r="X91" s="117">
        <v>10487</v>
      </c>
      <c r="Y91" s="38">
        <f>IFERROR((TABLA_AVANCE_INDICADORES[[#This Row],[AVANCE 1°. TRIM]]/TABLA_AVANCE_INDICADORES[[#This Row],[PROGR. 1° TRIM]])*100,"0")</f>
        <v>349.56666666666666</v>
      </c>
      <c r="Z91"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SOBREPASADO</v>
      </c>
      <c r="AA91" s="118">
        <v>6000</v>
      </c>
      <c r="AB91" s="119">
        <v>10320</v>
      </c>
      <c r="AC91" s="40">
        <f t="shared" si="2"/>
        <v>172</v>
      </c>
      <c r="AD91" s="39" t="str">
        <f t="shared" si="3"/>
        <v>SOBREPASADO</v>
      </c>
      <c r="AE91" s="118">
        <v>6000</v>
      </c>
      <c r="AF91" s="119">
        <v>0</v>
      </c>
      <c r="AG91" s="40">
        <f>IFERROR((TABLA_AVANCE_INDICADORES[[#This Row],[AVANCE 3°. TRIM]]/TABLA_AVANCE_INDICADORES[[#This Row],[PROGR. 3° TRIM]])*100,"0")</f>
        <v>0</v>
      </c>
      <c r="AH91"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CRÍTICO</v>
      </c>
      <c r="AI91" s="118">
        <v>6000</v>
      </c>
      <c r="AJ91" s="119">
        <v>0</v>
      </c>
      <c r="AK91" s="40">
        <f>IFERROR((TABLA_AVANCE_INDICADORES[[#This Row],[AVANCE 4°. TRIM]]/TABLA_AVANCE_INDICADORES[[#This Row],[PROGR. 4° TRIM]])*100,"0")</f>
        <v>0</v>
      </c>
      <c r="AL91"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91"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9000</v>
      </c>
      <c r="AN91"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20807</v>
      </c>
      <c r="AO91" s="40">
        <f>IFERROR((TABLA_AVANCE_INDICADORES[[#This Row],[AVANCE ACUM. TRIM.]]/TABLA_AVANCE_INDICADORES[[#This Row],[PROG. ACUM]])*100,"N/A")</f>
        <v>231.1888888888889</v>
      </c>
      <c r="AP91"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SOBREPASADO</v>
      </c>
      <c r="AQ91" s="121">
        <f>TABLA_AVANCE_INDICADORES[[#This Row],[AVANCE ACUM. TRIM.]]-TABLA_AVANCE_INDICADORES[[#This Row],[PROG. ACUM]]</f>
        <v>11807</v>
      </c>
      <c r="AR91" s="46">
        <f>IFERROR((TABLA_AVANCE_INDICADORES[[#This Row],[DIFERENCIA ABSOLUTA SEMESTRAL]]/TABLA_AVANCE_INDICADORES[[#This Row],[PROG. ACUM]])*100,"N/A")</f>
        <v>131.1888888888889</v>
      </c>
      <c r="AS91"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20807</v>
      </c>
      <c r="AT91" s="40">
        <f>IFERROR((TABLA_AVANCE_INDICADORES[[#This Row],[AVANCE ACUM. ANUAL]]/TABLA_AVANCE_INDICADORES[[#This Row],[PROGRAMADO ANUAL]])*100,"N/A")</f>
        <v>99.080952380952382</v>
      </c>
      <c r="AU91"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ADECUADO</v>
      </c>
      <c r="AV91" s="121">
        <f>TABLA_AVANCE_INDICADORES[[#This Row],[AVANCE ACUM. ANUAL]]-TABLA_AVANCE_INDICADORES[[#This Row],[PROGRAMADO ANUAL]]</f>
        <v>-193</v>
      </c>
      <c r="AW91" s="46">
        <f>IFERROR((TABLA_AVANCE_INDICADORES[[#This Row],[DIFERENCIA ABSOLUTA ANUAL]]/TABLA_AVANCE_INDICADORES[[#This Row],[PROGRAMADO ANUAL]])*100,"N/A")</f>
        <v>-0.919047619047619</v>
      </c>
      <c r="AX91" s="123" t="s">
        <v>1029</v>
      </c>
      <c r="AY91" s="49" t="s">
        <v>1038</v>
      </c>
      <c r="AZ91" s="50"/>
      <c r="BA91" s="50"/>
      <c r="BB91"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92" spans="1:54" ht="63" hidden="1" customHeight="1" x14ac:dyDescent="0.3">
      <c r="A92" s="31" t="s">
        <v>1048</v>
      </c>
      <c r="B92" s="113" t="s">
        <v>642</v>
      </c>
      <c r="C92" s="32" t="s">
        <v>630</v>
      </c>
      <c r="D92" s="114" t="s">
        <v>629</v>
      </c>
      <c r="E92" s="32" t="s">
        <v>614</v>
      </c>
      <c r="F92" s="115" t="s">
        <v>615</v>
      </c>
      <c r="G92" s="94" t="s">
        <v>643</v>
      </c>
      <c r="H92" s="94" t="s">
        <v>1049</v>
      </c>
      <c r="I92" s="34" t="s">
        <v>723</v>
      </c>
      <c r="J92" s="34" t="s">
        <v>632</v>
      </c>
      <c r="K92" s="94" t="s">
        <v>633</v>
      </c>
      <c r="L92" s="34" t="s">
        <v>644</v>
      </c>
      <c r="M92" s="94" t="s">
        <v>645</v>
      </c>
      <c r="N92" s="33">
        <v>1</v>
      </c>
      <c r="O92" s="33" t="s">
        <v>724</v>
      </c>
      <c r="P92" s="116" t="s">
        <v>1050</v>
      </c>
      <c r="Q92" s="116" t="s">
        <v>1051</v>
      </c>
      <c r="R92" s="116" t="s">
        <v>1052</v>
      </c>
      <c r="S92" s="56" t="s">
        <v>1053</v>
      </c>
      <c r="T92" s="56" t="s">
        <v>728</v>
      </c>
      <c r="U92" s="56" t="s">
        <v>739</v>
      </c>
      <c r="V92" s="36">
        <v>5</v>
      </c>
      <c r="W92" s="36">
        <v>0</v>
      </c>
      <c r="X92" s="117">
        <v>0</v>
      </c>
      <c r="Y92" s="38" t="str">
        <f>IFERROR((TABLA_AVANCE_INDICADORES[[#This Row],[AVANCE 1°. TRIM]]/TABLA_AVANCE_INDICADORES[[#This Row],[PROGR. 1° TRIM]])*100,"0")</f>
        <v>0</v>
      </c>
      <c r="Z92"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92" s="118">
        <v>0</v>
      </c>
      <c r="AB92" s="119">
        <v>0</v>
      </c>
      <c r="AC92" s="40" t="str">
        <f t="shared" si="2"/>
        <v>0</v>
      </c>
      <c r="AD92" s="39" t="str">
        <f t="shared" si="3"/>
        <v>NO PROG.</v>
      </c>
      <c r="AE92" s="118">
        <v>0</v>
      </c>
      <c r="AF92" s="119">
        <v>0</v>
      </c>
      <c r="AG92" s="40" t="str">
        <f>IFERROR((TABLA_AVANCE_INDICADORES[[#This Row],[AVANCE 3°. TRIM]]/TABLA_AVANCE_INDICADORES[[#This Row],[PROGR. 3° TRIM]])*100,"0")</f>
        <v>0</v>
      </c>
      <c r="AH92"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92" s="118">
        <v>5</v>
      </c>
      <c r="AJ92" s="119">
        <v>0</v>
      </c>
      <c r="AK92" s="40">
        <f>IFERROR((TABLA_AVANCE_INDICADORES[[#This Row],[AVANCE 4°. TRIM]]/TABLA_AVANCE_INDICADORES[[#This Row],[PROGR. 4° TRIM]])*100,"0")</f>
        <v>0</v>
      </c>
      <c r="AL92"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92"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0</v>
      </c>
      <c r="AN92"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O92" s="40" t="str">
        <f>IFERROR((TABLA_AVANCE_INDICADORES[[#This Row],[AVANCE ACUM. TRIM.]]/TABLA_AVANCE_INDICADORES[[#This Row],[PROG. ACUM]])*100,"N/A")</f>
        <v>N/A</v>
      </c>
      <c r="AP92"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NO PROG.</v>
      </c>
      <c r="AQ92" s="121">
        <f>TABLA_AVANCE_INDICADORES[[#This Row],[AVANCE ACUM. TRIM.]]-TABLA_AVANCE_INDICADORES[[#This Row],[PROG. ACUM]]</f>
        <v>0</v>
      </c>
      <c r="AR92" s="46" t="str">
        <f>IFERROR((TABLA_AVANCE_INDICADORES[[#This Row],[DIFERENCIA ABSOLUTA SEMESTRAL]]/TABLA_AVANCE_INDICADORES[[#This Row],[PROG. ACUM]])*100,"N/A")</f>
        <v>N/A</v>
      </c>
      <c r="AS92"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T92" s="40">
        <f>IFERROR((TABLA_AVANCE_INDICADORES[[#This Row],[AVANCE ACUM. ANUAL]]/TABLA_AVANCE_INDICADORES[[#This Row],[PROGRAMADO ANUAL]])*100,"N/A")</f>
        <v>0</v>
      </c>
      <c r="AU92"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92" s="121">
        <f>TABLA_AVANCE_INDICADORES[[#This Row],[AVANCE ACUM. ANUAL]]-TABLA_AVANCE_INDICADORES[[#This Row],[PROGRAMADO ANUAL]]</f>
        <v>-5</v>
      </c>
      <c r="AW92" s="46">
        <f>IFERROR((TABLA_AVANCE_INDICADORES[[#This Row],[DIFERENCIA ABSOLUTA ANUAL]]/TABLA_AVANCE_INDICADORES[[#This Row],[PROGRAMADO ANUAL]])*100,"N/A")</f>
        <v>-100</v>
      </c>
      <c r="AX92" s="123"/>
      <c r="AY92" s="49" t="s">
        <v>63</v>
      </c>
      <c r="AZ92" s="50"/>
      <c r="BA92" s="50"/>
      <c r="BB92"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93" spans="1:54" ht="63" hidden="1" customHeight="1" x14ac:dyDescent="0.3">
      <c r="A93" s="31" t="s">
        <v>1054</v>
      </c>
      <c r="B93" s="113" t="s">
        <v>642</v>
      </c>
      <c r="C93" s="32" t="s">
        <v>630</v>
      </c>
      <c r="D93" s="114" t="s">
        <v>629</v>
      </c>
      <c r="E93" s="32" t="s">
        <v>614</v>
      </c>
      <c r="F93" s="115" t="s">
        <v>615</v>
      </c>
      <c r="G93" s="94" t="s">
        <v>643</v>
      </c>
      <c r="H93" s="94" t="s">
        <v>1049</v>
      </c>
      <c r="I93" s="34" t="s">
        <v>723</v>
      </c>
      <c r="J93" s="34" t="s">
        <v>632</v>
      </c>
      <c r="K93" s="94" t="s">
        <v>633</v>
      </c>
      <c r="L93" s="34" t="s">
        <v>644</v>
      </c>
      <c r="M93" s="94" t="s">
        <v>645</v>
      </c>
      <c r="N93" s="33">
        <v>2</v>
      </c>
      <c r="O93" s="33" t="s">
        <v>724</v>
      </c>
      <c r="P93" s="116" t="s">
        <v>1050</v>
      </c>
      <c r="Q93" s="116" t="s">
        <v>1055</v>
      </c>
      <c r="R93" s="116" t="s">
        <v>1052</v>
      </c>
      <c r="S93" s="56" t="s">
        <v>1053</v>
      </c>
      <c r="T93" s="56" t="s">
        <v>728</v>
      </c>
      <c r="U93" s="56" t="s">
        <v>739</v>
      </c>
      <c r="V93" s="36">
        <v>5</v>
      </c>
      <c r="W93" s="36">
        <v>0</v>
      </c>
      <c r="X93" s="117">
        <v>0</v>
      </c>
      <c r="Y93" s="38" t="str">
        <f>IFERROR((TABLA_AVANCE_INDICADORES[[#This Row],[AVANCE 1°. TRIM]]/TABLA_AVANCE_INDICADORES[[#This Row],[PROGR. 1° TRIM]])*100,"0")</f>
        <v>0</v>
      </c>
      <c r="Z93"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93" s="118">
        <v>0</v>
      </c>
      <c r="AB93" s="119">
        <v>0</v>
      </c>
      <c r="AC93" s="40" t="str">
        <f t="shared" si="2"/>
        <v>0</v>
      </c>
      <c r="AD93" s="39" t="str">
        <f t="shared" si="3"/>
        <v>NO PROG.</v>
      </c>
      <c r="AE93" s="118">
        <v>0</v>
      </c>
      <c r="AF93" s="119">
        <v>0</v>
      </c>
      <c r="AG93" s="40" t="str">
        <f>IFERROR((TABLA_AVANCE_INDICADORES[[#This Row],[AVANCE 3°. TRIM]]/TABLA_AVANCE_INDICADORES[[#This Row],[PROGR. 3° TRIM]])*100,"0")</f>
        <v>0</v>
      </c>
      <c r="AH93"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93" s="118">
        <v>5</v>
      </c>
      <c r="AJ93" s="119">
        <v>0</v>
      </c>
      <c r="AK93" s="40">
        <f>IFERROR((TABLA_AVANCE_INDICADORES[[#This Row],[AVANCE 4°. TRIM]]/TABLA_AVANCE_INDICADORES[[#This Row],[PROGR. 4° TRIM]])*100,"0")</f>
        <v>0</v>
      </c>
      <c r="AL93"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93"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0</v>
      </c>
      <c r="AN93"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O93" s="40" t="str">
        <f>IFERROR((TABLA_AVANCE_INDICADORES[[#This Row],[AVANCE ACUM. TRIM.]]/TABLA_AVANCE_INDICADORES[[#This Row],[PROG. ACUM]])*100,"N/A")</f>
        <v>N/A</v>
      </c>
      <c r="AP93"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NO PROG.</v>
      </c>
      <c r="AQ93" s="121">
        <f>TABLA_AVANCE_INDICADORES[[#This Row],[AVANCE ACUM. TRIM.]]-TABLA_AVANCE_INDICADORES[[#This Row],[PROG. ACUM]]</f>
        <v>0</v>
      </c>
      <c r="AR93" s="46" t="str">
        <f>IFERROR((TABLA_AVANCE_INDICADORES[[#This Row],[DIFERENCIA ABSOLUTA SEMESTRAL]]/TABLA_AVANCE_INDICADORES[[#This Row],[PROG. ACUM]])*100,"N/A")</f>
        <v>N/A</v>
      </c>
      <c r="AS93"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T93" s="40">
        <f>IFERROR((TABLA_AVANCE_INDICADORES[[#This Row],[AVANCE ACUM. ANUAL]]/TABLA_AVANCE_INDICADORES[[#This Row],[PROGRAMADO ANUAL]])*100,"N/A")</f>
        <v>0</v>
      </c>
      <c r="AU93"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93" s="121">
        <f>TABLA_AVANCE_INDICADORES[[#This Row],[AVANCE ACUM. ANUAL]]-TABLA_AVANCE_INDICADORES[[#This Row],[PROGRAMADO ANUAL]]</f>
        <v>-5</v>
      </c>
      <c r="AW93" s="46">
        <f>IFERROR((TABLA_AVANCE_INDICADORES[[#This Row],[DIFERENCIA ABSOLUTA ANUAL]]/TABLA_AVANCE_INDICADORES[[#This Row],[PROGRAMADO ANUAL]])*100,"N/A")</f>
        <v>-100</v>
      </c>
      <c r="AX93" s="123"/>
      <c r="AY93" s="49" t="s">
        <v>63</v>
      </c>
      <c r="AZ93" s="50"/>
      <c r="BA93" s="50"/>
      <c r="BB93"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94" spans="1:54" ht="63" hidden="1" customHeight="1" x14ac:dyDescent="0.3">
      <c r="A94" s="31" t="s">
        <v>1056</v>
      </c>
      <c r="B94" s="113" t="s">
        <v>642</v>
      </c>
      <c r="C94" s="32" t="s">
        <v>630</v>
      </c>
      <c r="D94" s="114" t="s">
        <v>629</v>
      </c>
      <c r="E94" s="32" t="s">
        <v>614</v>
      </c>
      <c r="F94" s="115" t="s">
        <v>615</v>
      </c>
      <c r="G94" s="94" t="s">
        <v>643</v>
      </c>
      <c r="H94" s="94" t="s">
        <v>1049</v>
      </c>
      <c r="I94" s="34" t="s">
        <v>723</v>
      </c>
      <c r="J94" s="34" t="s">
        <v>632</v>
      </c>
      <c r="K94" s="94" t="s">
        <v>633</v>
      </c>
      <c r="L94" s="34" t="s">
        <v>644</v>
      </c>
      <c r="M94" s="94" t="s">
        <v>645</v>
      </c>
      <c r="N94" s="33">
        <v>1</v>
      </c>
      <c r="O94" s="33" t="s">
        <v>734</v>
      </c>
      <c r="P94" s="116" t="s">
        <v>1057</v>
      </c>
      <c r="Q94" s="116" t="s">
        <v>1058</v>
      </c>
      <c r="R94" s="116" t="s">
        <v>1059</v>
      </c>
      <c r="S94" s="56" t="s">
        <v>650</v>
      </c>
      <c r="T94" s="56" t="s">
        <v>728</v>
      </c>
      <c r="U94" s="56" t="s">
        <v>739</v>
      </c>
      <c r="V94" s="36">
        <v>2</v>
      </c>
      <c r="W94" s="36">
        <v>0</v>
      </c>
      <c r="X94" s="117">
        <v>0</v>
      </c>
      <c r="Y94" s="38" t="str">
        <f>IFERROR((TABLA_AVANCE_INDICADORES[[#This Row],[AVANCE 1°. TRIM]]/TABLA_AVANCE_INDICADORES[[#This Row],[PROGR. 1° TRIM]])*100,"0")</f>
        <v>0</v>
      </c>
      <c r="Z94"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94" s="118">
        <v>0</v>
      </c>
      <c r="AB94" s="119">
        <v>0</v>
      </c>
      <c r="AC94" s="40" t="str">
        <f t="shared" si="2"/>
        <v>0</v>
      </c>
      <c r="AD94" s="39" t="str">
        <f t="shared" si="3"/>
        <v>NO PROG.</v>
      </c>
      <c r="AE94" s="118">
        <v>0</v>
      </c>
      <c r="AF94" s="119">
        <v>0</v>
      </c>
      <c r="AG94" s="40" t="str">
        <f>IFERROR((TABLA_AVANCE_INDICADORES[[#This Row],[AVANCE 3°. TRIM]]/TABLA_AVANCE_INDICADORES[[#This Row],[PROGR. 3° TRIM]])*100,"0")</f>
        <v>0</v>
      </c>
      <c r="AH94"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94" s="118">
        <v>2</v>
      </c>
      <c r="AJ94" s="119">
        <v>0</v>
      </c>
      <c r="AK94" s="40">
        <f>IFERROR((TABLA_AVANCE_INDICADORES[[#This Row],[AVANCE 4°. TRIM]]/TABLA_AVANCE_INDICADORES[[#This Row],[PROGR. 4° TRIM]])*100,"0")</f>
        <v>0</v>
      </c>
      <c r="AL94"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94"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0</v>
      </c>
      <c r="AN94"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O94" s="40" t="str">
        <f>IFERROR((TABLA_AVANCE_INDICADORES[[#This Row],[AVANCE ACUM. TRIM.]]/TABLA_AVANCE_INDICADORES[[#This Row],[PROG. ACUM]])*100,"N/A")</f>
        <v>N/A</v>
      </c>
      <c r="AP94"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NO PROG.</v>
      </c>
      <c r="AQ94" s="121">
        <f>TABLA_AVANCE_INDICADORES[[#This Row],[AVANCE ACUM. TRIM.]]-TABLA_AVANCE_INDICADORES[[#This Row],[PROG. ACUM]]</f>
        <v>0</v>
      </c>
      <c r="AR94" s="46" t="str">
        <f>IFERROR((TABLA_AVANCE_INDICADORES[[#This Row],[DIFERENCIA ABSOLUTA SEMESTRAL]]/TABLA_AVANCE_INDICADORES[[#This Row],[PROG. ACUM]])*100,"N/A")</f>
        <v>N/A</v>
      </c>
      <c r="AS94"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T94" s="40">
        <f>IFERROR((TABLA_AVANCE_INDICADORES[[#This Row],[AVANCE ACUM. ANUAL]]/TABLA_AVANCE_INDICADORES[[#This Row],[PROGRAMADO ANUAL]])*100,"N/A")</f>
        <v>0</v>
      </c>
      <c r="AU94"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94" s="121">
        <f>TABLA_AVANCE_INDICADORES[[#This Row],[AVANCE ACUM. ANUAL]]-TABLA_AVANCE_INDICADORES[[#This Row],[PROGRAMADO ANUAL]]</f>
        <v>-2</v>
      </c>
      <c r="AW94" s="46">
        <f>IFERROR((TABLA_AVANCE_INDICADORES[[#This Row],[DIFERENCIA ABSOLUTA ANUAL]]/TABLA_AVANCE_INDICADORES[[#This Row],[PROGRAMADO ANUAL]])*100,"N/A")</f>
        <v>-100</v>
      </c>
      <c r="AX94" s="123"/>
      <c r="AY94" s="49" t="s">
        <v>63</v>
      </c>
      <c r="AZ94" s="50"/>
      <c r="BA94" s="50"/>
      <c r="BB94"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95" spans="1:54" ht="63" hidden="1" customHeight="1" x14ac:dyDescent="0.3">
      <c r="A95" s="31" t="s">
        <v>1060</v>
      </c>
      <c r="B95" s="113" t="s">
        <v>642</v>
      </c>
      <c r="C95" s="32" t="s">
        <v>630</v>
      </c>
      <c r="D95" s="114" t="s">
        <v>629</v>
      </c>
      <c r="E95" s="32" t="s">
        <v>614</v>
      </c>
      <c r="F95" s="115" t="s">
        <v>615</v>
      </c>
      <c r="G95" s="94" t="s">
        <v>643</v>
      </c>
      <c r="H95" s="94" t="s">
        <v>1049</v>
      </c>
      <c r="I95" s="34" t="s">
        <v>723</v>
      </c>
      <c r="J95" s="34" t="s">
        <v>632</v>
      </c>
      <c r="K95" s="94" t="s">
        <v>633</v>
      </c>
      <c r="L95" s="34" t="s">
        <v>644</v>
      </c>
      <c r="M95" s="94" t="s">
        <v>645</v>
      </c>
      <c r="N95" s="33">
        <v>2</v>
      </c>
      <c r="O95" s="33" t="s">
        <v>734</v>
      </c>
      <c r="P95" s="116" t="s">
        <v>1057</v>
      </c>
      <c r="Q95" s="116" t="s">
        <v>1061</v>
      </c>
      <c r="R95" s="116" t="s">
        <v>1059</v>
      </c>
      <c r="S95" s="56" t="s">
        <v>650</v>
      </c>
      <c r="T95" s="56" t="s">
        <v>728</v>
      </c>
      <c r="U95" s="56" t="s">
        <v>739</v>
      </c>
      <c r="V95" s="36">
        <v>2</v>
      </c>
      <c r="W95" s="36">
        <v>0</v>
      </c>
      <c r="X95" s="117">
        <v>0</v>
      </c>
      <c r="Y95" s="38" t="str">
        <f>IFERROR((TABLA_AVANCE_INDICADORES[[#This Row],[AVANCE 1°. TRIM]]/TABLA_AVANCE_INDICADORES[[#This Row],[PROGR. 1° TRIM]])*100,"0")</f>
        <v>0</v>
      </c>
      <c r="Z95"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95" s="118">
        <v>0</v>
      </c>
      <c r="AB95" s="119">
        <v>0</v>
      </c>
      <c r="AC95" s="40" t="str">
        <f t="shared" si="2"/>
        <v>0</v>
      </c>
      <c r="AD95" s="39" t="str">
        <f t="shared" si="3"/>
        <v>NO PROG.</v>
      </c>
      <c r="AE95" s="118">
        <v>0</v>
      </c>
      <c r="AF95" s="119">
        <v>0</v>
      </c>
      <c r="AG95" s="40" t="str">
        <f>IFERROR((TABLA_AVANCE_INDICADORES[[#This Row],[AVANCE 3°. TRIM]]/TABLA_AVANCE_INDICADORES[[#This Row],[PROGR. 3° TRIM]])*100,"0")</f>
        <v>0</v>
      </c>
      <c r="AH95"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95" s="118">
        <v>2</v>
      </c>
      <c r="AJ95" s="119">
        <v>0</v>
      </c>
      <c r="AK95" s="40">
        <f>IFERROR((TABLA_AVANCE_INDICADORES[[#This Row],[AVANCE 4°. TRIM]]/TABLA_AVANCE_INDICADORES[[#This Row],[PROGR. 4° TRIM]])*100,"0")</f>
        <v>0</v>
      </c>
      <c r="AL95"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95"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0</v>
      </c>
      <c r="AN95"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O95" s="40" t="str">
        <f>IFERROR((TABLA_AVANCE_INDICADORES[[#This Row],[AVANCE ACUM. TRIM.]]/TABLA_AVANCE_INDICADORES[[#This Row],[PROG. ACUM]])*100,"N/A")</f>
        <v>N/A</v>
      </c>
      <c r="AP95"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NO PROG.</v>
      </c>
      <c r="AQ95" s="121">
        <f>TABLA_AVANCE_INDICADORES[[#This Row],[AVANCE ACUM. TRIM.]]-TABLA_AVANCE_INDICADORES[[#This Row],[PROG. ACUM]]</f>
        <v>0</v>
      </c>
      <c r="AR95" s="46" t="str">
        <f>IFERROR((TABLA_AVANCE_INDICADORES[[#This Row],[DIFERENCIA ABSOLUTA SEMESTRAL]]/TABLA_AVANCE_INDICADORES[[#This Row],[PROG. ACUM]])*100,"N/A")</f>
        <v>N/A</v>
      </c>
      <c r="AS95"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T95" s="40">
        <f>IFERROR((TABLA_AVANCE_INDICADORES[[#This Row],[AVANCE ACUM. ANUAL]]/TABLA_AVANCE_INDICADORES[[#This Row],[PROGRAMADO ANUAL]])*100,"N/A")</f>
        <v>0</v>
      </c>
      <c r="AU95"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95" s="121">
        <f>TABLA_AVANCE_INDICADORES[[#This Row],[AVANCE ACUM. ANUAL]]-TABLA_AVANCE_INDICADORES[[#This Row],[PROGRAMADO ANUAL]]</f>
        <v>-2</v>
      </c>
      <c r="AW95" s="46">
        <f>IFERROR((TABLA_AVANCE_INDICADORES[[#This Row],[DIFERENCIA ABSOLUTA ANUAL]]/TABLA_AVANCE_INDICADORES[[#This Row],[PROGRAMADO ANUAL]])*100,"N/A")</f>
        <v>-100</v>
      </c>
      <c r="AX95" s="123"/>
      <c r="AY95" s="49" t="s">
        <v>63</v>
      </c>
      <c r="AZ95" s="50"/>
      <c r="BA95" s="50"/>
      <c r="BB95"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96" spans="1:54" ht="63" hidden="1" customHeight="1" x14ac:dyDescent="0.3">
      <c r="A96" s="31" t="s">
        <v>1062</v>
      </c>
      <c r="B96" s="113" t="s">
        <v>642</v>
      </c>
      <c r="C96" s="32" t="s">
        <v>630</v>
      </c>
      <c r="D96" s="114" t="s">
        <v>629</v>
      </c>
      <c r="E96" s="32" t="s">
        <v>614</v>
      </c>
      <c r="F96" s="115" t="s">
        <v>615</v>
      </c>
      <c r="G96" s="94" t="s">
        <v>643</v>
      </c>
      <c r="H96" s="94" t="s">
        <v>1049</v>
      </c>
      <c r="I96" s="34" t="s">
        <v>723</v>
      </c>
      <c r="J96" s="34" t="s">
        <v>632</v>
      </c>
      <c r="K96" s="94" t="s">
        <v>633</v>
      </c>
      <c r="L96" s="34" t="s">
        <v>644</v>
      </c>
      <c r="M96" s="94" t="s">
        <v>645</v>
      </c>
      <c r="N96" s="33">
        <v>1</v>
      </c>
      <c r="O96" s="33" t="s">
        <v>898</v>
      </c>
      <c r="P96" s="116" t="s">
        <v>1063</v>
      </c>
      <c r="Q96" s="116" t="s">
        <v>1064</v>
      </c>
      <c r="R96" s="116" t="s">
        <v>1065</v>
      </c>
      <c r="S96" s="56" t="s">
        <v>650</v>
      </c>
      <c r="T96" s="56" t="s">
        <v>728</v>
      </c>
      <c r="U96" s="56" t="s">
        <v>747</v>
      </c>
      <c r="V96" s="36">
        <v>2</v>
      </c>
      <c r="W96" s="36">
        <v>0</v>
      </c>
      <c r="X96" s="117">
        <v>0</v>
      </c>
      <c r="Y96" s="38" t="str">
        <f>IFERROR((TABLA_AVANCE_INDICADORES[[#This Row],[AVANCE 1°. TRIM]]/TABLA_AVANCE_INDICADORES[[#This Row],[PROGR. 1° TRIM]])*100,"0")</f>
        <v>0</v>
      </c>
      <c r="Z96"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96" s="118">
        <v>1</v>
      </c>
      <c r="AB96" s="119">
        <v>1</v>
      </c>
      <c r="AC96" s="40">
        <f t="shared" si="2"/>
        <v>100</v>
      </c>
      <c r="AD96" s="39" t="str">
        <f t="shared" si="3"/>
        <v>ADECUADO</v>
      </c>
      <c r="AE96" s="118">
        <v>0</v>
      </c>
      <c r="AF96" s="119">
        <v>0</v>
      </c>
      <c r="AG96" s="40" t="str">
        <f>IFERROR((TABLA_AVANCE_INDICADORES[[#This Row],[AVANCE 3°. TRIM]]/TABLA_AVANCE_INDICADORES[[#This Row],[PROGR. 3° TRIM]])*100,"0")</f>
        <v>0</v>
      </c>
      <c r="AH96"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96" s="118">
        <v>1</v>
      </c>
      <c r="AJ96" s="119">
        <v>0</v>
      </c>
      <c r="AK96" s="40">
        <f>IFERROR((TABLA_AVANCE_INDICADORES[[#This Row],[AVANCE 4°. TRIM]]/TABLA_AVANCE_INDICADORES[[#This Row],[PROGR. 4° TRIM]])*100,"0")</f>
        <v>0</v>
      </c>
      <c r="AL96"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96"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1</v>
      </c>
      <c r="AN96"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v>
      </c>
      <c r="AO96" s="40">
        <f>IFERROR((TABLA_AVANCE_INDICADORES[[#This Row],[AVANCE ACUM. TRIM.]]/TABLA_AVANCE_INDICADORES[[#This Row],[PROG. ACUM]])*100,"N/A")</f>
        <v>100</v>
      </c>
      <c r="AP96"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96" s="121">
        <f>TABLA_AVANCE_INDICADORES[[#This Row],[AVANCE ACUM. TRIM.]]-TABLA_AVANCE_INDICADORES[[#This Row],[PROG. ACUM]]</f>
        <v>0</v>
      </c>
      <c r="AR96" s="46">
        <f>IFERROR((TABLA_AVANCE_INDICADORES[[#This Row],[DIFERENCIA ABSOLUTA SEMESTRAL]]/TABLA_AVANCE_INDICADORES[[#This Row],[PROG. ACUM]])*100,"N/A")</f>
        <v>0</v>
      </c>
      <c r="AS96"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v>
      </c>
      <c r="AT96" s="40">
        <f>IFERROR((TABLA_AVANCE_INDICADORES[[#This Row],[AVANCE ACUM. ANUAL]]/TABLA_AVANCE_INDICADORES[[#This Row],[PROGRAMADO ANUAL]])*100,"N/A")</f>
        <v>50</v>
      </c>
      <c r="AU96"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96" s="121">
        <f>TABLA_AVANCE_INDICADORES[[#This Row],[AVANCE ACUM. ANUAL]]-TABLA_AVANCE_INDICADORES[[#This Row],[PROGRAMADO ANUAL]]</f>
        <v>-1</v>
      </c>
      <c r="AW96" s="46">
        <f>IFERROR((TABLA_AVANCE_INDICADORES[[#This Row],[DIFERENCIA ABSOLUTA ANUAL]]/TABLA_AVANCE_INDICADORES[[#This Row],[PROGRAMADO ANUAL]])*100,"N/A")</f>
        <v>-50</v>
      </c>
      <c r="AX96" s="123"/>
      <c r="AY96" s="49" t="s">
        <v>1066</v>
      </c>
      <c r="AZ96" s="50"/>
      <c r="BA96" s="50"/>
      <c r="BB96"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97" spans="1:54" ht="63" hidden="1" customHeight="1" x14ac:dyDescent="0.3">
      <c r="A97" s="31" t="s">
        <v>1067</v>
      </c>
      <c r="B97" s="113" t="s">
        <v>642</v>
      </c>
      <c r="C97" s="32" t="s">
        <v>630</v>
      </c>
      <c r="D97" s="114" t="s">
        <v>629</v>
      </c>
      <c r="E97" s="32" t="s">
        <v>614</v>
      </c>
      <c r="F97" s="115" t="s">
        <v>615</v>
      </c>
      <c r="G97" s="94" t="s">
        <v>643</v>
      </c>
      <c r="H97" s="94" t="s">
        <v>1049</v>
      </c>
      <c r="I97" s="34" t="s">
        <v>723</v>
      </c>
      <c r="J97" s="34" t="s">
        <v>632</v>
      </c>
      <c r="K97" s="94" t="s">
        <v>633</v>
      </c>
      <c r="L97" s="34" t="s">
        <v>644</v>
      </c>
      <c r="M97" s="94" t="s">
        <v>645</v>
      </c>
      <c r="N97" s="33">
        <v>2</v>
      </c>
      <c r="O97" s="33" t="s">
        <v>898</v>
      </c>
      <c r="P97" s="116" t="s">
        <v>1063</v>
      </c>
      <c r="Q97" s="116" t="s">
        <v>1068</v>
      </c>
      <c r="R97" s="116" t="s">
        <v>1065</v>
      </c>
      <c r="S97" s="56" t="s">
        <v>650</v>
      </c>
      <c r="T97" s="56" t="s">
        <v>728</v>
      </c>
      <c r="U97" s="56" t="s">
        <v>747</v>
      </c>
      <c r="V97" s="36">
        <v>2</v>
      </c>
      <c r="W97" s="36">
        <v>0</v>
      </c>
      <c r="X97" s="127">
        <v>0</v>
      </c>
      <c r="Y97" s="38" t="str">
        <f>IFERROR((TABLA_AVANCE_INDICADORES[[#This Row],[AVANCE 1°. TRIM]]/TABLA_AVANCE_INDICADORES[[#This Row],[PROGR. 1° TRIM]])*100,"0")</f>
        <v>0</v>
      </c>
      <c r="Z97"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97" s="118">
        <v>1</v>
      </c>
      <c r="AB97" s="128">
        <v>1</v>
      </c>
      <c r="AC97" s="40">
        <f t="shared" si="2"/>
        <v>100</v>
      </c>
      <c r="AD97" s="39" t="str">
        <f t="shared" si="3"/>
        <v>ADECUADO</v>
      </c>
      <c r="AE97" s="118">
        <v>0</v>
      </c>
      <c r="AF97" s="128">
        <f>AE97</f>
        <v>0</v>
      </c>
      <c r="AG97" s="40" t="str">
        <f>IFERROR((TABLA_AVANCE_INDICADORES[[#This Row],[AVANCE 3°. TRIM]]/TABLA_AVANCE_INDICADORES[[#This Row],[PROGR. 3° TRIM]])*100,"0")</f>
        <v>0</v>
      </c>
      <c r="AH97"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97" s="118">
        <v>1</v>
      </c>
      <c r="AJ97" s="128">
        <f>AI97</f>
        <v>1</v>
      </c>
      <c r="AK97" s="40">
        <f>IFERROR((TABLA_AVANCE_INDICADORES[[#This Row],[AVANCE 4°. TRIM]]/TABLA_AVANCE_INDICADORES[[#This Row],[PROGR. 4° TRIM]])*100,"0")</f>
        <v>100</v>
      </c>
      <c r="AL97"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ADECUADO</v>
      </c>
      <c r="AM97"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1</v>
      </c>
      <c r="AN97"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v>
      </c>
      <c r="AO97" s="40">
        <f>IFERROR((TABLA_AVANCE_INDICADORES[[#This Row],[AVANCE ACUM. TRIM.]]/TABLA_AVANCE_INDICADORES[[#This Row],[PROG. ACUM]])*100,"N/A")</f>
        <v>100</v>
      </c>
      <c r="AP97"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97" s="121">
        <f>TABLA_AVANCE_INDICADORES[[#This Row],[AVANCE ACUM. TRIM.]]-TABLA_AVANCE_INDICADORES[[#This Row],[PROG. ACUM]]</f>
        <v>0</v>
      </c>
      <c r="AR97" s="46">
        <f>IFERROR((TABLA_AVANCE_INDICADORES[[#This Row],[DIFERENCIA ABSOLUTA SEMESTRAL]]/TABLA_AVANCE_INDICADORES[[#This Row],[PROG. ACUM]])*100,"N/A")</f>
        <v>0</v>
      </c>
      <c r="AS97"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v>
      </c>
      <c r="AT97" s="40">
        <f>IFERROR((TABLA_AVANCE_INDICADORES[[#This Row],[AVANCE ACUM. ANUAL]]/TABLA_AVANCE_INDICADORES[[#This Row],[PROGRAMADO ANUAL]])*100,"N/A")</f>
        <v>50</v>
      </c>
      <c r="AU97"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97" s="121">
        <f>TABLA_AVANCE_INDICADORES[[#This Row],[AVANCE ACUM. ANUAL]]-TABLA_AVANCE_INDICADORES[[#This Row],[PROGRAMADO ANUAL]]</f>
        <v>-1</v>
      </c>
      <c r="AW97" s="46">
        <f>IFERROR((TABLA_AVANCE_INDICADORES[[#This Row],[DIFERENCIA ABSOLUTA ANUAL]]/TABLA_AVANCE_INDICADORES[[#This Row],[PROGRAMADO ANUAL]])*100,"N/A")</f>
        <v>-50</v>
      </c>
      <c r="AX97" s="123"/>
      <c r="AY97" s="49" t="s">
        <v>1066</v>
      </c>
      <c r="AZ97" s="50"/>
      <c r="BA97" s="50"/>
      <c r="BB97"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98" spans="1:54" ht="63" hidden="1" customHeight="1" x14ac:dyDescent="0.3">
      <c r="A98" s="31" t="s">
        <v>1069</v>
      </c>
      <c r="B98" s="113" t="s">
        <v>629</v>
      </c>
      <c r="C98" s="32" t="s">
        <v>630</v>
      </c>
      <c r="D98" s="114" t="s">
        <v>629</v>
      </c>
      <c r="E98" s="32" t="s">
        <v>614</v>
      </c>
      <c r="F98" s="115" t="s">
        <v>615</v>
      </c>
      <c r="G98" s="94" t="s">
        <v>631</v>
      </c>
      <c r="H98" s="94" t="s">
        <v>1049</v>
      </c>
      <c r="I98" s="34" t="s">
        <v>723</v>
      </c>
      <c r="J98" s="34" t="s">
        <v>632</v>
      </c>
      <c r="K98" s="94" t="s">
        <v>633</v>
      </c>
      <c r="L98" s="34" t="s">
        <v>634</v>
      </c>
      <c r="M98" s="94" t="s">
        <v>635</v>
      </c>
      <c r="N98" s="33">
        <v>1</v>
      </c>
      <c r="O98" s="33" t="s">
        <v>759</v>
      </c>
      <c r="P98" s="116" t="s">
        <v>1070</v>
      </c>
      <c r="Q98" s="116" t="s">
        <v>1071</v>
      </c>
      <c r="R98" s="116" t="s">
        <v>1072</v>
      </c>
      <c r="S98" s="56" t="s">
        <v>1073</v>
      </c>
      <c r="T98" s="56" t="s">
        <v>728</v>
      </c>
      <c r="U98" s="56" t="s">
        <v>755</v>
      </c>
      <c r="V98" s="36">
        <v>10</v>
      </c>
      <c r="W98" s="36">
        <v>0</v>
      </c>
      <c r="X98" s="117">
        <v>0</v>
      </c>
      <c r="Y98" s="38" t="str">
        <f>IFERROR((TABLA_AVANCE_INDICADORES[[#This Row],[AVANCE 1°. TRIM]]/TABLA_AVANCE_INDICADORES[[#This Row],[PROGR. 1° TRIM]])*100,"0")</f>
        <v>0</v>
      </c>
      <c r="Z98"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98" s="118">
        <v>10</v>
      </c>
      <c r="AB98" s="119">
        <v>10</v>
      </c>
      <c r="AC98" s="40">
        <f t="shared" si="2"/>
        <v>100</v>
      </c>
      <c r="AD98" s="39" t="str">
        <f t="shared" si="3"/>
        <v>ADECUADO</v>
      </c>
      <c r="AE98" s="118">
        <v>0</v>
      </c>
      <c r="AF98" s="119">
        <v>0</v>
      </c>
      <c r="AG98" s="40" t="str">
        <f>IFERROR((TABLA_AVANCE_INDICADORES[[#This Row],[AVANCE 3°. TRIM]]/TABLA_AVANCE_INDICADORES[[#This Row],[PROGR. 3° TRIM]])*100,"0")</f>
        <v>0</v>
      </c>
      <c r="AH98"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98" s="118">
        <v>0</v>
      </c>
      <c r="AJ98" s="119">
        <v>0</v>
      </c>
      <c r="AK98" s="40" t="str">
        <f>IFERROR((TABLA_AVANCE_INDICADORES[[#This Row],[AVANCE 4°. TRIM]]/TABLA_AVANCE_INDICADORES[[#This Row],[PROGR. 4° TRIM]])*100,"0")</f>
        <v>0</v>
      </c>
      <c r="AL98"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NO PROG.</v>
      </c>
      <c r="AM98"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10</v>
      </c>
      <c r="AN98"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10</v>
      </c>
      <c r="AO98" s="40">
        <f>IFERROR((TABLA_AVANCE_INDICADORES[[#This Row],[AVANCE ACUM. TRIM.]]/TABLA_AVANCE_INDICADORES[[#This Row],[PROG. ACUM]])*100,"N/A")</f>
        <v>100</v>
      </c>
      <c r="AP98"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98" s="121">
        <f>TABLA_AVANCE_INDICADORES[[#This Row],[AVANCE ACUM. TRIM.]]-TABLA_AVANCE_INDICADORES[[#This Row],[PROG. ACUM]]</f>
        <v>0</v>
      </c>
      <c r="AR98" s="46">
        <f>IFERROR((TABLA_AVANCE_INDICADORES[[#This Row],[DIFERENCIA ABSOLUTA SEMESTRAL]]/TABLA_AVANCE_INDICADORES[[#This Row],[PROG. ACUM]])*100,"N/A")</f>
        <v>0</v>
      </c>
      <c r="AS98"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10</v>
      </c>
      <c r="AT98" s="40">
        <f>IFERROR((TABLA_AVANCE_INDICADORES[[#This Row],[AVANCE ACUM. ANUAL]]/TABLA_AVANCE_INDICADORES[[#This Row],[PROGRAMADO ANUAL]])*100,"N/A")</f>
        <v>100</v>
      </c>
      <c r="AU98"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ADECUADO</v>
      </c>
      <c r="AV98" s="121">
        <f>TABLA_AVANCE_INDICADORES[[#This Row],[AVANCE ACUM. ANUAL]]-TABLA_AVANCE_INDICADORES[[#This Row],[PROGRAMADO ANUAL]]</f>
        <v>0</v>
      </c>
      <c r="AW98" s="46">
        <f>IFERROR((TABLA_AVANCE_INDICADORES[[#This Row],[DIFERENCIA ABSOLUTA ANUAL]]/TABLA_AVANCE_INDICADORES[[#This Row],[PROGRAMADO ANUAL]])*100,"N/A")</f>
        <v>0</v>
      </c>
      <c r="AX98" s="123"/>
      <c r="AY98" s="49" t="s">
        <v>1074</v>
      </c>
      <c r="AZ98" s="50"/>
      <c r="BA98" s="50"/>
      <c r="BB98"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99" spans="1:54" ht="63" hidden="1" customHeight="1" x14ac:dyDescent="0.3">
      <c r="A99" s="31" t="s">
        <v>1075</v>
      </c>
      <c r="B99" s="113" t="s">
        <v>629</v>
      </c>
      <c r="C99" s="32" t="s">
        <v>630</v>
      </c>
      <c r="D99" s="114" t="s">
        <v>629</v>
      </c>
      <c r="E99" s="32" t="s">
        <v>614</v>
      </c>
      <c r="F99" s="115" t="s">
        <v>615</v>
      </c>
      <c r="G99" s="94" t="s">
        <v>631</v>
      </c>
      <c r="H99" s="94" t="s">
        <v>1049</v>
      </c>
      <c r="I99" s="34" t="s">
        <v>723</v>
      </c>
      <c r="J99" s="34" t="s">
        <v>632</v>
      </c>
      <c r="K99" s="94" t="s">
        <v>633</v>
      </c>
      <c r="L99" s="34" t="s">
        <v>634</v>
      </c>
      <c r="M99" s="94" t="s">
        <v>635</v>
      </c>
      <c r="N99" s="33">
        <v>2</v>
      </c>
      <c r="O99" s="33" t="s">
        <v>759</v>
      </c>
      <c r="P99" s="116" t="s">
        <v>1070</v>
      </c>
      <c r="Q99" s="116" t="s">
        <v>1076</v>
      </c>
      <c r="R99" s="116" t="s">
        <v>1072</v>
      </c>
      <c r="S99" s="56" t="s">
        <v>1073</v>
      </c>
      <c r="T99" s="56" t="s">
        <v>728</v>
      </c>
      <c r="U99" s="56" t="s">
        <v>755</v>
      </c>
      <c r="V99" s="36">
        <v>10</v>
      </c>
      <c r="W99" s="36">
        <v>0</v>
      </c>
      <c r="X99" s="127">
        <v>0</v>
      </c>
      <c r="Y99" s="38" t="str">
        <f>IFERROR((TABLA_AVANCE_INDICADORES[[#This Row],[AVANCE 1°. TRIM]]/TABLA_AVANCE_INDICADORES[[#This Row],[PROGR. 1° TRIM]])*100,"0")</f>
        <v>0</v>
      </c>
      <c r="Z99"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99" s="118">
        <v>10</v>
      </c>
      <c r="AB99" s="128">
        <v>10</v>
      </c>
      <c r="AC99" s="40">
        <f t="shared" si="2"/>
        <v>100</v>
      </c>
      <c r="AD99" s="39" t="str">
        <f t="shared" si="3"/>
        <v>ADECUADO</v>
      </c>
      <c r="AE99" s="118">
        <v>0</v>
      </c>
      <c r="AF99" s="128">
        <f>AE99</f>
        <v>0</v>
      </c>
      <c r="AG99" s="40" t="str">
        <f>IFERROR((TABLA_AVANCE_INDICADORES[[#This Row],[AVANCE 3°. TRIM]]/TABLA_AVANCE_INDICADORES[[#This Row],[PROGR. 3° TRIM]])*100,"0")</f>
        <v>0</v>
      </c>
      <c r="AH99"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99" s="118">
        <v>0</v>
      </c>
      <c r="AJ99" s="128">
        <f>AI99</f>
        <v>0</v>
      </c>
      <c r="AK99" s="40" t="str">
        <f>IFERROR((TABLA_AVANCE_INDICADORES[[#This Row],[AVANCE 4°. TRIM]]/TABLA_AVANCE_INDICADORES[[#This Row],[PROGR. 4° TRIM]])*100,"0")</f>
        <v>0</v>
      </c>
      <c r="AL99"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NO PROG.</v>
      </c>
      <c r="AM99"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10</v>
      </c>
      <c r="AN99"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10</v>
      </c>
      <c r="AO99" s="40">
        <f>IFERROR((TABLA_AVANCE_INDICADORES[[#This Row],[AVANCE ACUM. TRIM.]]/TABLA_AVANCE_INDICADORES[[#This Row],[PROG. ACUM]])*100,"N/A")</f>
        <v>100</v>
      </c>
      <c r="AP99"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99" s="121">
        <f>TABLA_AVANCE_INDICADORES[[#This Row],[AVANCE ACUM. TRIM.]]-TABLA_AVANCE_INDICADORES[[#This Row],[PROG. ACUM]]</f>
        <v>0</v>
      </c>
      <c r="AR99" s="46">
        <f>IFERROR((TABLA_AVANCE_INDICADORES[[#This Row],[DIFERENCIA ABSOLUTA SEMESTRAL]]/TABLA_AVANCE_INDICADORES[[#This Row],[PROG. ACUM]])*100,"N/A")</f>
        <v>0</v>
      </c>
      <c r="AS99"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10</v>
      </c>
      <c r="AT99" s="40">
        <f>IFERROR((TABLA_AVANCE_INDICADORES[[#This Row],[AVANCE ACUM. ANUAL]]/TABLA_AVANCE_INDICADORES[[#This Row],[PROGRAMADO ANUAL]])*100,"N/A")</f>
        <v>100</v>
      </c>
      <c r="AU99"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ADECUADO</v>
      </c>
      <c r="AV99" s="121">
        <f>TABLA_AVANCE_INDICADORES[[#This Row],[AVANCE ACUM. ANUAL]]-TABLA_AVANCE_INDICADORES[[#This Row],[PROGRAMADO ANUAL]]</f>
        <v>0</v>
      </c>
      <c r="AW99" s="46">
        <f>IFERROR((TABLA_AVANCE_INDICADORES[[#This Row],[DIFERENCIA ABSOLUTA ANUAL]]/TABLA_AVANCE_INDICADORES[[#This Row],[PROGRAMADO ANUAL]])*100,"N/A")</f>
        <v>0</v>
      </c>
      <c r="AX99" s="123"/>
      <c r="AY99" s="49" t="s">
        <v>1074</v>
      </c>
      <c r="AZ99" s="50"/>
      <c r="BA99" s="50"/>
      <c r="BB99"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00" spans="1:54" ht="63" hidden="1" customHeight="1" x14ac:dyDescent="0.3">
      <c r="A100" s="31" t="s">
        <v>1077</v>
      </c>
      <c r="B100" s="113" t="s">
        <v>642</v>
      </c>
      <c r="C100" s="32" t="s">
        <v>630</v>
      </c>
      <c r="D100" s="114" t="s">
        <v>629</v>
      </c>
      <c r="E100" s="32" t="s">
        <v>614</v>
      </c>
      <c r="F100" s="115" t="s">
        <v>615</v>
      </c>
      <c r="G100" s="94" t="s">
        <v>643</v>
      </c>
      <c r="H100" s="94" t="s">
        <v>1049</v>
      </c>
      <c r="I100" s="34" t="s">
        <v>723</v>
      </c>
      <c r="J100" s="34" t="s">
        <v>632</v>
      </c>
      <c r="K100" s="94" t="s">
        <v>633</v>
      </c>
      <c r="L100" s="34" t="s">
        <v>644</v>
      </c>
      <c r="M100" s="94" t="s">
        <v>645</v>
      </c>
      <c r="N100" s="33">
        <v>1</v>
      </c>
      <c r="O100" s="33" t="s">
        <v>1078</v>
      </c>
      <c r="P100" s="116" t="s">
        <v>1079</v>
      </c>
      <c r="Q100" s="116" t="s">
        <v>1080</v>
      </c>
      <c r="R100" s="116" t="s">
        <v>1081</v>
      </c>
      <c r="S100" s="56" t="s">
        <v>524</v>
      </c>
      <c r="T100" s="56" t="s">
        <v>728</v>
      </c>
      <c r="U100" s="56" t="s">
        <v>755</v>
      </c>
      <c r="V100" s="36">
        <v>2</v>
      </c>
      <c r="W100" s="36">
        <v>0</v>
      </c>
      <c r="X100" s="117">
        <v>0</v>
      </c>
      <c r="Y100" s="38" t="str">
        <f>IFERROR((TABLA_AVANCE_INDICADORES[[#This Row],[AVANCE 1°. TRIM]]/TABLA_AVANCE_INDICADORES[[#This Row],[PROGR. 1° TRIM]])*100,"0")</f>
        <v>0</v>
      </c>
      <c r="Z100"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100" s="118">
        <v>1</v>
      </c>
      <c r="AB100" s="119">
        <v>1</v>
      </c>
      <c r="AC100" s="40">
        <f t="shared" si="2"/>
        <v>100</v>
      </c>
      <c r="AD100" s="39" t="str">
        <f t="shared" si="3"/>
        <v>ADECUADO</v>
      </c>
      <c r="AE100" s="118">
        <v>0</v>
      </c>
      <c r="AF100" s="119">
        <v>0</v>
      </c>
      <c r="AG100" s="40" t="str">
        <f>IFERROR((TABLA_AVANCE_INDICADORES[[#This Row],[AVANCE 3°. TRIM]]/TABLA_AVANCE_INDICADORES[[#This Row],[PROGR. 3° TRIM]])*100,"0")</f>
        <v>0</v>
      </c>
      <c r="AH100"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100" s="118">
        <v>1</v>
      </c>
      <c r="AJ100" s="119">
        <v>0</v>
      </c>
      <c r="AK100" s="40">
        <f>IFERROR((TABLA_AVANCE_INDICADORES[[#This Row],[AVANCE 4°. TRIM]]/TABLA_AVANCE_INDICADORES[[#This Row],[PROGR. 4° TRIM]])*100,"0")</f>
        <v>0</v>
      </c>
      <c r="AL100"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100"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1</v>
      </c>
      <c r="AN100"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v>
      </c>
      <c r="AO100" s="40">
        <f>IFERROR((TABLA_AVANCE_INDICADORES[[#This Row],[AVANCE ACUM. TRIM.]]/TABLA_AVANCE_INDICADORES[[#This Row],[PROG. ACUM]])*100,"N/A")</f>
        <v>100</v>
      </c>
      <c r="AP100"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100" s="121">
        <f>TABLA_AVANCE_INDICADORES[[#This Row],[AVANCE ACUM. TRIM.]]-TABLA_AVANCE_INDICADORES[[#This Row],[PROG. ACUM]]</f>
        <v>0</v>
      </c>
      <c r="AR100" s="46">
        <f>IFERROR((TABLA_AVANCE_INDICADORES[[#This Row],[DIFERENCIA ABSOLUTA SEMESTRAL]]/TABLA_AVANCE_INDICADORES[[#This Row],[PROG. ACUM]])*100,"N/A")</f>
        <v>0</v>
      </c>
      <c r="AS100"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v>
      </c>
      <c r="AT100" s="40">
        <f>IFERROR((TABLA_AVANCE_INDICADORES[[#This Row],[AVANCE ACUM. ANUAL]]/TABLA_AVANCE_INDICADORES[[#This Row],[PROGRAMADO ANUAL]])*100,"N/A")</f>
        <v>50</v>
      </c>
      <c r="AU100"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100" s="121">
        <f>TABLA_AVANCE_INDICADORES[[#This Row],[AVANCE ACUM. ANUAL]]-TABLA_AVANCE_INDICADORES[[#This Row],[PROGRAMADO ANUAL]]</f>
        <v>-1</v>
      </c>
      <c r="AW100" s="46">
        <f>IFERROR((TABLA_AVANCE_INDICADORES[[#This Row],[DIFERENCIA ABSOLUTA ANUAL]]/TABLA_AVANCE_INDICADORES[[#This Row],[PROGRAMADO ANUAL]])*100,"N/A")</f>
        <v>-50</v>
      </c>
      <c r="AX100" s="123"/>
      <c r="AY100" s="49" t="s">
        <v>1082</v>
      </c>
      <c r="AZ100" s="50"/>
      <c r="BA100" s="50"/>
      <c r="BB100"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01" spans="1:54" ht="63" hidden="1" customHeight="1" x14ac:dyDescent="0.3">
      <c r="A101" s="31" t="s">
        <v>1083</v>
      </c>
      <c r="B101" s="113" t="s">
        <v>642</v>
      </c>
      <c r="C101" s="32" t="s">
        <v>630</v>
      </c>
      <c r="D101" s="114" t="s">
        <v>629</v>
      </c>
      <c r="E101" s="32" t="s">
        <v>614</v>
      </c>
      <c r="F101" s="115" t="s">
        <v>615</v>
      </c>
      <c r="G101" s="94" t="s">
        <v>643</v>
      </c>
      <c r="H101" s="94" t="s">
        <v>1049</v>
      </c>
      <c r="I101" s="34" t="s">
        <v>723</v>
      </c>
      <c r="J101" s="34" t="s">
        <v>632</v>
      </c>
      <c r="K101" s="94" t="s">
        <v>633</v>
      </c>
      <c r="L101" s="34" t="s">
        <v>644</v>
      </c>
      <c r="M101" s="94" t="s">
        <v>645</v>
      </c>
      <c r="N101" s="33">
        <v>2</v>
      </c>
      <c r="O101" s="33" t="s">
        <v>1078</v>
      </c>
      <c r="P101" s="125" t="s">
        <v>1079</v>
      </c>
      <c r="Q101" s="125" t="s">
        <v>1084</v>
      </c>
      <c r="R101" s="125" t="s">
        <v>1081</v>
      </c>
      <c r="S101" s="56" t="s">
        <v>524</v>
      </c>
      <c r="T101" s="56" t="s">
        <v>728</v>
      </c>
      <c r="U101" s="56" t="s">
        <v>755</v>
      </c>
      <c r="V101" s="36">
        <v>2</v>
      </c>
      <c r="W101" s="36">
        <v>0</v>
      </c>
      <c r="X101" s="117">
        <v>0</v>
      </c>
      <c r="Y101" s="38" t="str">
        <f>IFERROR((TABLA_AVANCE_INDICADORES[[#This Row],[AVANCE 1°. TRIM]]/TABLA_AVANCE_INDICADORES[[#This Row],[PROGR. 1° TRIM]])*100,"0")</f>
        <v>0</v>
      </c>
      <c r="Z101"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101" s="118">
        <v>0</v>
      </c>
      <c r="AB101" s="119">
        <v>0</v>
      </c>
      <c r="AC101" s="40" t="str">
        <f t="shared" si="2"/>
        <v>0</v>
      </c>
      <c r="AD101" s="39" t="str">
        <f t="shared" si="3"/>
        <v>NO PROG.</v>
      </c>
      <c r="AE101" s="118">
        <v>1</v>
      </c>
      <c r="AF101" s="119">
        <v>0</v>
      </c>
      <c r="AG101" s="40">
        <f>IFERROR((TABLA_AVANCE_INDICADORES[[#This Row],[AVANCE 3°. TRIM]]/TABLA_AVANCE_INDICADORES[[#This Row],[PROGR. 3° TRIM]])*100,"0")</f>
        <v>0</v>
      </c>
      <c r="AH101"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CRÍTICO</v>
      </c>
      <c r="AI101" s="118">
        <v>1</v>
      </c>
      <c r="AJ101" s="119">
        <v>0</v>
      </c>
      <c r="AK101" s="40">
        <f>IFERROR((TABLA_AVANCE_INDICADORES[[#This Row],[AVANCE 4°. TRIM]]/TABLA_AVANCE_INDICADORES[[#This Row],[PROGR. 4° TRIM]])*100,"0")</f>
        <v>0</v>
      </c>
      <c r="AL101"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101"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0</v>
      </c>
      <c r="AN101"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O101" s="40" t="str">
        <f>IFERROR((TABLA_AVANCE_INDICADORES[[#This Row],[AVANCE ACUM. TRIM.]]/TABLA_AVANCE_INDICADORES[[#This Row],[PROG. ACUM]])*100,"N/A")</f>
        <v>N/A</v>
      </c>
      <c r="AP101"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NO PROG.</v>
      </c>
      <c r="AQ101" s="121">
        <f>TABLA_AVANCE_INDICADORES[[#This Row],[AVANCE ACUM. TRIM.]]-TABLA_AVANCE_INDICADORES[[#This Row],[PROG. ACUM]]</f>
        <v>0</v>
      </c>
      <c r="AR101" s="46" t="str">
        <f>IFERROR((TABLA_AVANCE_INDICADORES[[#This Row],[DIFERENCIA ABSOLUTA SEMESTRAL]]/TABLA_AVANCE_INDICADORES[[#This Row],[PROG. ACUM]])*100,"N/A")</f>
        <v>N/A</v>
      </c>
      <c r="AS101"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T101" s="40">
        <f>IFERROR((TABLA_AVANCE_INDICADORES[[#This Row],[AVANCE ACUM. ANUAL]]/TABLA_AVANCE_INDICADORES[[#This Row],[PROGRAMADO ANUAL]])*100,"N/A")</f>
        <v>0</v>
      </c>
      <c r="AU101"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101" s="121">
        <f>TABLA_AVANCE_INDICADORES[[#This Row],[AVANCE ACUM. ANUAL]]-TABLA_AVANCE_INDICADORES[[#This Row],[PROGRAMADO ANUAL]]</f>
        <v>-2</v>
      </c>
      <c r="AW101" s="46">
        <f>IFERROR((TABLA_AVANCE_INDICADORES[[#This Row],[DIFERENCIA ABSOLUTA ANUAL]]/TABLA_AVANCE_INDICADORES[[#This Row],[PROGRAMADO ANUAL]])*100,"N/A")</f>
        <v>-100</v>
      </c>
      <c r="AX101" s="123"/>
      <c r="AY101" s="49" t="s">
        <v>63</v>
      </c>
      <c r="AZ101" s="50"/>
      <c r="BA101" s="50"/>
      <c r="BB101"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02" spans="1:54" ht="63" hidden="1" customHeight="1" x14ac:dyDescent="0.3">
      <c r="A102" s="31" t="s">
        <v>1085</v>
      </c>
      <c r="B102" s="113" t="s">
        <v>629</v>
      </c>
      <c r="C102" s="32" t="s">
        <v>630</v>
      </c>
      <c r="D102" s="114" t="s">
        <v>629</v>
      </c>
      <c r="E102" s="32" t="s">
        <v>614</v>
      </c>
      <c r="F102" s="115" t="s">
        <v>615</v>
      </c>
      <c r="G102" s="94" t="s">
        <v>631</v>
      </c>
      <c r="H102" s="94" t="s">
        <v>1049</v>
      </c>
      <c r="I102" s="34" t="s">
        <v>723</v>
      </c>
      <c r="J102" s="34" t="s">
        <v>632</v>
      </c>
      <c r="K102" s="94" t="s">
        <v>633</v>
      </c>
      <c r="L102" s="34" t="s">
        <v>634</v>
      </c>
      <c r="M102" s="94" t="s">
        <v>635</v>
      </c>
      <c r="N102" s="33">
        <v>1</v>
      </c>
      <c r="O102" s="33" t="s">
        <v>766</v>
      </c>
      <c r="P102" s="116" t="s">
        <v>1086</v>
      </c>
      <c r="Q102" s="116" t="s">
        <v>1087</v>
      </c>
      <c r="R102" s="116" t="s">
        <v>1088</v>
      </c>
      <c r="S102" s="56" t="s">
        <v>131</v>
      </c>
      <c r="T102" s="56" t="s">
        <v>728</v>
      </c>
      <c r="U102" s="56" t="s">
        <v>747</v>
      </c>
      <c r="V102" s="36">
        <v>1</v>
      </c>
      <c r="W102" s="36">
        <v>0</v>
      </c>
      <c r="X102" s="117">
        <v>0</v>
      </c>
      <c r="Y102" s="38" t="str">
        <f>IFERROR((TABLA_AVANCE_INDICADORES[[#This Row],[AVANCE 1°. TRIM]]/TABLA_AVANCE_INDICADORES[[#This Row],[PROGR. 1° TRIM]])*100,"0")</f>
        <v>0</v>
      </c>
      <c r="Z102"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102" s="118">
        <v>1</v>
      </c>
      <c r="AB102" s="119">
        <v>1</v>
      </c>
      <c r="AC102" s="40">
        <f t="shared" si="2"/>
        <v>100</v>
      </c>
      <c r="AD102" s="39" t="str">
        <f t="shared" si="3"/>
        <v>ADECUADO</v>
      </c>
      <c r="AE102" s="118">
        <v>0</v>
      </c>
      <c r="AF102" s="119">
        <v>0</v>
      </c>
      <c r="AG102" s="40" t="str">
        <f>IFERROR((TABLA_AVANCE_INDICADORES[[#This Row],[AVANCE 3°. TRIM]]/TABLA_AVANCE_INDICADORES[[#This Row],[PROGR. 3° TRIM]])*100,"0")</f>
        <v>0</v>
      </c>
      <c r="AH102"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102" s="118">
        <v>0</v>
      </c>
      <c r="AJ102" s="119">
        <v>0</v>
      </c>
      <c r="AK102" s="40" t="str">
        <f>IFERROR((TABLA_AVANCE_INDICADORES[[#This Row],[AVANCE 4°. TRIM]]/TABLA_AVANCE_INDICADORES[[#This Row],[PROGR. 4° TRIM]])*100,"0")</f>
        <v>0</v>
      </c>
      <c r="AL102"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NO PROG.</v>
      </c>
      <c r="AM102"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1</v>
      </c>
      <c r="AN102"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v>
      </c>
      <c r="AO102" s="40">
        <f>IFERROR((TABLA_AVANCE_INDICADORES[[#This Row],[AVANCE ACUM. TRIM.]]/TABLA_AVANCE_INDICADORES[[#This Row],[PROG. ACUM]])*100,"N/A")</f>
        <v>100</v>
      </c>
      <c r="AP102"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102" s="121">
        <f>TABLA_AVANCE_INDICADORES[[#This Row],[AVANCE ACUM. TRIM.]]-TABLA_AVANCE_INDICADORES[[#This Row],[PROG. ACUM]]</f>
        <v>0</v>
      </c>
      <c r="AR102" s="46">
        <f>IFERROR((TABLA_AVANCE_INDICADORES[[#This Row],[DIFERENCIA ABSOLUTA SEMESTRAL]]/TABLA_AVANCE_INDICADORES[[#This Row],[PROG. ACUM]])*100,"N/A")</f>
        <v>0</v>
      </c>
      <c r="AS102"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v>
      </c>
      <c r="AT102" s="40">
        <f>IFERROR((TABLA_AVANCE_INDICADORES[[#This Row],[AVANCE ACUM. ANUAL]]/TABLA_AVANCE_INDICADORES[[#This Row],[PROGRAMADO ANUAL]])*100,"N/A")</f>
        <v>100</v>
      </c>
      <c r="AU102"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ADECUADO</v>
      </c>
      <c r="AV102" s="121">
        <f>TABLA_AVANCE_INDICADORES[[#This Row],[AVANCE ACUM. ANUAL]]-TABLA_AVANCE_INDICADORES[[#This Row],[PROGRAMADO ANUAL]]</f>
        <v>0</v>
      </c>
      <c r="AW102" s="46">
        <f>IFERROR((TABLA_AVANCE_INDICADORES[[#This Row],[DIFERENCIA ABSOLUTA ANUAL]]/TABLA_AVANCE_INDICADORES[[#This Row],[PROGRAMADO ANUAL]])*100,"N/A")</f>
        <v>0</v>
      </c>
      <c r="AX102" s="123"/>
      <c r="AY102" s="49" t="s">
        <v>1089</v>
      </c>
      <c r="AZ102" s="50"/>
      <c r="BA102" s="50"/>
      <c r="BB102"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03" spans="1:54" ht="63" hidden="1" customHeight="1" x14ac:dyDescent="0.3">
      <c r="A103" s="31" t="s">
        <v>1090</v>
      </c>
      <c r="B103" s="113" t="s">
        <v>629</v>
      </c>
      <c r="C103" s="32" t="s">
        <v>630</v>
      </c>
      <c r="D103" s="114" t="s">
        <v>629</v>
      </c>
      <c r="E103" s="32" t="s">
        <v>614</v>
      </c>
      <c r="F103" s="115" t="s">
        <v>615</v>
      </c>
      <c r="G103" s="94" t="s">
        <v>631</v>
      </c>
      <c r="H103" s="94" t="s">
        <v>1049</v>
      </c>
      <c r="I103" s="34" t="s">
        <v>723</v>
      </c>
      <c r="J103" s="34" t="s">
        <v>632</v>
      </c>
      <c r="K103" s="94" t="s">
        <v>633</v>
      </c>
      <c r="L103" s="34" t="s">
        <v>634</v>
      </c>
      <c r="M103" s="94" t="s">
        <v>635</v>
      </c>
      <c r="N103" s="33">
        <v>2</v>
      </c>
      <c r="O103" s="33" t="s">
        <v>766</v>
      </c>
      <c r="P103" s="116" t="s">
        <v>1086</v>
      </c>
      <c r="Q103" s="116" t="s">
        <v>1091</v>
      </c>
      <c r="R103" s="116" t="s">
        <v>1088</v>
      </c>
      <c r="S103" s="56" t="s">
        <v>131</v>
      </c>
      <c r="T103" s="56" t="s">
        <v>728</v>
      </c>
      <c r="U103" s="56" t="s">
        <v>747</v>
      </c>
      <c r="V103" s="36">
        <v>1</v>
      </c>
      <c r="W103" s="36">
        <v>0</v>
      </c>
      <c r="X103" s="127">
        <v>0</v>
      </c>
      <c r="Y103" s="38" t="str">
        <f>IFERROR((TABLA_AVANCE_INDICADORES[[#This Row],[AVANCE 1°. TRIM]]/TABLA_AVANCE_INDICADORES[[#This Row],[PROGR. 1° TRIM]])*100,"0")</f>
        <v>0</v>
      </c>
      <c r="Z103"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103" s="118">
        <v>1</v>
      </c>
      <c r="AB103" s="128">
        <v>1</v>
      </c>
      <c r="AC103" s="40">
        <f t="shared" si="2"/>
        <v>100</v>
      </c>
      <c r="AD103" s="39" t="str">
        <f t="shared" si="3"/>
        <v>ADECUADO</v>
      </c>
      <c r="AE103" s="118">
        <v>0</v>
      </c>
      <c r="AF103" s="128">
        <f>AE103</f>
        <v>0</v>
      </c>
      <c r="AG103" s="40" t="str">
        <f>IFERROR((TABLA_AVANCE_INDICADORES[[#This Row],[AVANCE 3°. TRIM]]/TABLA_AVANCE_INDICADORES[[#This Row],[PROGR. 3° TRIM]])*100,"0")</f>
        <v>0</v>
      </c>
      <c r="AH103"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103" s="118">
        <v>0</v>
      </c>
      <c r="AJ103" s="128">
        <f>AI103</f>
        <v>0</v>
      </c>
      <c r="AK103" s="40" t="str">
        <f>IFERROR((TABLA_AVANCE_INDICADORES[[#This Row],[AVANCE 4°. TRIM]]/TABLA_AVANCE_INDICADORES[[#This Row],[PROGR. 4° TRIM]])*100,"0")</f>
        <v>0</v>
      </c>
      <c r="AL103"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NO PROG.</v>
      </c>
      <c r="AM103"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1</v>
      </c>
      <c r="AN103"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v>
      </c>
      <c r="AO103" s="40">
        <f>IFERROR((TABLA_AVANCE_INDICADORES[[#This Row],[AVANCE ACUM. TRIM.]]/TABLA_AVANCE_INDICADORES[[#This Row],[PROG. ACUM]])*100,"N/A")</f>
        <v>100</v>
      </c>
      <c r="AP103"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103" s="121">
        <f>TABLA_AVANCE_INDICADORES[[#This Row],[AVANCE ACUM. TRIM.]]-TABLA_AVANCE_INDICADORES[[#This Row],[PROG. ACUM]]</f>
        <v>0</v>
      </c>
      <c r="AR103" s="46">
        <f>IFERROR((TABLA_AVANCE_INDICADORES[[#This Row],[DIFERENCIA ABSOLUTA SEMESTRAL]]/TABLA_AVANCE_INDICADORES[[#This Row],[PROG. ACUM]])*100,"N/A")</f>
        <v>0</v>
      </c>
      <c r="AS103"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v>
      </c>
      <c r="AT103" s="40">
        <f>IFERROR((TABLA_AVANCE_INDICADORES[[#This Row],[AVANCE ACUM. ANUAL]]/TABLA_AVANCE_INDICADORES[[#This Row],[PROGRAMADO ANUAL]])*100,"N/A")</f>
        <v>100</v>
      </c>
      <c r="AU103"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ADECUADO</v>
      </c>
      <c r="AV103" s="121">
        <f>TABLA_AVANCE_INDICADORES[[#This Row],[AVANCE ACUM. ANUAL]]-TABLA_AVANCE_INDICADORES[[#This Row],[PROGRAMADO ANUAL]]</f>
        <v>0</v>
      </c>
      <c r="AW103" s="46">
        <f>IFERROR((TABLA_AVANCE_INDICADORES[[#This Row],[DIFERENCIA ABSOLUTA ANUAL]]/TABLA_AVANCE_INDICADORES[[#This Row],[PROGRAMADO ANUAL]])*100,"N/A")</f>
        <v>0</v>
      </c>
      <c r="AX103" s="123"/>
      <c r="AY103" s="49" t="s">
        <v>1092</v>
      </c>
      <c r="AZ103" s="50"/>
      <c r="BA103" s="50"/>
      <c r="BB103"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04" spans="1:54" ht="63" hidden="1" customHeight="1" x14ac:dyDescent="0.3">
      <c r="A104" s="31" t="s">
        <v>1093</v>
      </c>
      <c r="B104" s="113" t="s">
        <v>158</v>
      </c>
      <c r="C104" s="32" t="s">
        <v>75</v>
      </c>
      <c r="D104" s="114" t="s">
        <v>76</v>
      </c>
      <c r="E104" s="32" t="s">
        <v>159</v>
      </c>
      <c r="F104" s="115" t="s">
        <v>160</v>
      </c>
      <c r="G104" s="94" t="s">
        <v>169</v>
      </c>
      <c r="H104" s="94" t="s">
        <v>1094</v>
      </c>
      <c r="I104" s="34" t="s">
        <v>723</v>
      </c>
      <c r="J104" s="34" t="s">
        <v>170</v>
      </c>
      <c r="K104" s="94" t="s">
        <v>171</v>
      </c>
      <c r="L104" s="34" t="s">
        <v>172</v>
      </c>
      <c r="M104" s="94" t="s">
        <v>173</v>
      </c>
      <c r="N104" s="33">
        <v>1</v>
      </c>
      <c r="O104" s="33" t="s">
        <v>724</v>
      </c>
      <c r="P104" s="116" t="s">
        <v>1095</v>
      </c>
      <c r="Q104" s="116" t="s">
        <v>1096</v>
      </c>
      <c r="R104" s="116" t="s">
        <v>1097</v>
      </c>
      <c r="S104" s="56" t="s">
        <v>1098</v>
      </c>
      <c r="T104" s="56" t="s">
        <v>728</v>
      </c>
      <c r="U104" s="56" t="s">
        <v>739</v>
      </c>
      <c r="V104" s="36">
        <v>0</v>
      </c>
      <c r="W104" s="36">
        <v>0</v>
      </c>
      <c r="X104" s="117">
        <v>0</v>
      </c>
      <c r="Y104" s="38" t="str">
        <f>IFERROR((TABLA_AVANCE_INDICADORES[[#This Row],[AVANCE 1°. TRIM]]/TABLA_AVANCE_INDICADORES[[#This Row],[PROGR. 1° TRIM]])*100,"0")</f>
        <v>0</v>
      </c>
      <c r="Z104"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104" s="118">
        <v>0</v>
      </c>
      <c r="AB104" s="119">
        <v>0</v>
      </c>
      <c r="AC104" s="40" t="str">
        <f t="shared" si="2"/>
        <v>0</v>
      </c>
      <c r="AD104" s="39" t="str">
        <f t="shared" si="3"/>
        <v>NO PROG.</v>
      </c>
      <c r="AE104" s="118">
        <v>0</v>
      </c>
      <c r="AF104" s="119">
        <v>0</v>
      </c>
      <c r="AG104" s="40" t="str">
        <f>IFERROR((TABLA_AVANCE_INDICADORES[[#This Row],[AVANCE 3°. TRIM]]/TABLA_AVANCE_INDICADORES[[#This Row],[PROGR. 3° TRIM]])*100,"0")</f>
        <v>0</v>
      </c>
      <c r="AH104"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104" s="118">
        <v>0</v>
      </c>
      <c r="AJ104" s="119">
        <v>0</v>
      </c>
      <c r="AK104" s="40" t="str">
        <f>IFERROR((TABLA_AVANCE_INDICADORES[[#This Row],[AVANCE 4°. TRIM]]/TABLA_AVANCE_INDICADORES[[#This Row],[PROGR. 4° TRIM]])*100,"0")</f>
        <v>0</v>
      </c>
      <c r="AL104"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NO PROG.</v>
      </c>
      <c r="AM104"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0</v>
      </c>
      <c r="AN104"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O104" s="40" t="str">
        <f>IFERROR((TABLA_AVANCE_INDICADORES[[#This Row],[AVANCE ACUM. TRIM.]]/TABLA_AVANCE_INDICADORES[[#This Row],[PROG. ACUM]])*100,"N/A")</f>
        <v>N/A</v>
      </c>
      <c r="AP104"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NO PROG.</v>
      </c>
      <c r="AQ104" s="121">
        <f>TABLA_AVANCE_INDICADORES[[#This Row],[AVANCE ACUM. TRIM.]]-TABLA_AVANCE_INDICADORES[[#This Row],[PROG. ACUM]]</f>
        <v>0</v>
      </c>
      <c r="AR104" s="46" t="str">
        <f>IFERROR((TABLA_AVANCE_INDICADORES[[#This Row],[DIFERENCIA ABSOLUTA SEMESTRAL]]/TABLA_AVANCE_INDICADORES[[#This Row],[PROG. ACUM]])*100,"N/A")</f>
        <v>N/A</v>
      </c>
      <c r="AS104"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T104" s="40" t="str">
        <f>IFERROR((TABLA_AVANCE_INDICADORES[[#This Row],[AVANCE ACUM. ANUAL]]/TABLA_AVANCE_INDICADORES[[#This Row],[PROGRAMADO ANUAL]])*100,"N/A")</f>
        <v>N/A</v>
      </c>
      <c r="AU104"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NO PROG.</v>
      </c>
      <c r="AV104" s="121">
        <f>TABLA_AVANCE_INDICADORES[[#This Row],[AVANCE ACUM. ANUAL]]-TABLA_AVANCE_INDICADORES[[#This Row],[PROGRAMADO ANUAL]]</f>
        <v>0</v>
      </c>
      <c r="AW104" s="46" t="str">
        <f>IFERROR((TABLA_AVANCE_INDICADORES[[#This Row],[DIFERENCIA ABSOLUTA ANUAL]]/TABLA_AVANCE_INDICADORES[[#This Row],[PROGRAMADO ANUAL]])*100,"N/A")</f>
        <v>N/A</v>
      </c>
      <c r="AX104" s="123" t="s">
        <v>63</v>
      </c>
      <c r="AY104" s="49" t="s">
        <v>63</v>
      </c>
      <c r="AZ104" s="50"/>
      <c r="BA104" s="50"/>
      <c r="BB104"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05" spans="1:54" ht="63" hidden="1" customHeight="1" x14ac:dyDescent="0.3">
      <c r="A105" s="31" t="s">
        <v>1099</v>
      </c>
      <c r="B105" s="113" t="s">
        <v>158</v>
      </c>
      <c r="C105" s="32" t="s">
        <v>75</v>
      </c>
      <c r="D105" s="114" t="s">
        <v>76</v>
      </c>
      <c r="E105" s="32" t="s">
        <v>159</v>
      </c>
      <c r="F105" s="115" t="s">
        <v>160</v>
      </c>
      <c r="G105" s="94" t="s">
        <v>169</v>
      </c>
      <c r="H105" s="94" t="s">
        <v>1094</v>
      </c>
      <c r="I105" s="34" t="s">
        <v>723</v>
      </c>
      <c r="J105" s="34" t="s">
        <v>170</v>
      </c>
      <c r="K105" s="94" t="s">
        <v>171</v>
      </c>
      <c r="L105" s="34" t="s">
        <v>172</v>
      </c>
      <c r="M105" s="94" t="s">
        <v>173</v>
      </c>
      <c r="N105" s="33">
        <v>2</v>
      </c>
      <c r="O105" s="33" t="s">
        <v>724</v>
      </c>
      <c r="P105" s="116" t="s">
        <v>1095</v>
      </c>
      <c r="Q105" s="116" t="s">
        <v>1100</v>
      </c>
      <c r="R105" s="116" t="s">
        <v>1097</v>
      </c>
      <c r="S105" s="56" t="s">
        <v>1098</v>
      </c>
      <c r="T105" s="56" t="s">
        <v>728</v>
      </c>
      <c r="U105" s="56" t="s">
        <v>739</v>
      </c>
      <c r="V105" s="36">
        <v>0</v>
      </c>
      <c r="W105" s="36">
        <v>0</v>
      </c>
      <c r="X105" s="117">
        <v>0</v>
      </c>
      <c r="Y105" s="38" t="str">
        <f>IFERROR((TABLA_AVANCE_INDICADORES[[#This Row],[AVANCE 1°. TRIM]]/TABLA_AVANCE_INDICADORES[[#This Row],[PROGR. 1° TRIM]])*100,"0")</f>
        <v>0</v>
      </c>
      <c r="Z105"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105" s="118">
        <v>0</v>
      </c>
      <c r="AB105" s="119">
        <v>0</v>
      </c>
      <c r="AC105" s="40" t="str">
        <f t="shared" si="2"/>
        <v>0</v>
      </c>
      <c r="AD105" s="39" t="str">
        <f t="shared" si="3"/>
        <v>NO PROG.</v>
      </c>
      <c r="AE105" s="118">
        <v>0</v>
      </c>
      <c r="AF105" s="119">
        <v>0</v>
      </c>
      <c r="AG105" s="40" t="str">
        <f>IFERROR((TABLA_AVANCE_INDICADORES[[#This Row],[AVANCE 3°. TRIM]]/TABLA_AVANCE_INDICADORES[[#This Row],[PROGR. 3° TRIM]])*100,"0")</f>
        <v>0</v>
      </c>
      <c r="AH105"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105" s="118">
        <v>0</v>
      </c>
      <c r="AJ105" s="126">
        <v>0</v>
      </c>
      <c r="AK105" s="40" t="str">
        <f>IFERROR((TABLA_AVANCE_INDICADORES[[#This Row],[AVANCE 4°. TRIM]]/TABLA_AVANCE_INDICADORES[[#This Row],[PROGR. 4° TRIM]])*100,"0")</f>
        <v>0</v>
      </c>
      <c r="AL105"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NO PROG.</v>
      </c>
      <c r="AM105"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0</v>
      </c>
      <c r="AN105"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O105" s="40" t="str">
        <f>IFERROR((TABLA_AVANCE_INDICADORES[[#This Row],[AVANCE ACUM. TRIM.]]/TABLA_AVANCE_INDICADORES[[#This Row],[PROG. ACUM]])*100,"N/A")</f>
        <v>N/A</v>
      </c>
      <c r="AP105"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NO PROG.</v>
      </c>
      <c r="AQ105" s="121">
        <f>TABLA_AVANCE_INDICADORES[[#This Row],[AVANCE ACUM. TRIM.]]-TABLA_AVANCE_INDICADORES[[#This Row],[PROG. ACUM]]</f>
        <v>0</v>
      </c>
      <c r="AR105" s="46" t="str">
        <f>IFERROR((TABLA_AVANCE_INDICADORES[[#This Row],[DIFERENCIA ABSOLUTA SEMESTRAL]]/TABLA_AVANCE_INDICADORES[[#This Row],[PROG. ACUM]])*100,"N/A")</f>
        <v>N/A</v>
      </c>
      <c r="AS105"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T105" s="40" t="str">
        <f>IFERROR((TABLA_AVANCE_INDICADORES[[#This Row],[AVANCE ACUM. ANUAL]]/TABLA_AVANCE_INDICADORES[[#This Row],[PROGRAMADO ANUAL]])*100,"N/A")</f>
        <v>N/A</v>
      </c>
      <c r="AU105"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NO PROG.</v>
      </c>
      <c r="AV105" s="121">
        <f>TABLA_AVANCE_INDICADORES[[#This Row],[AVANCE ACUM. ANUAL]]-TABLA_AVANCE_INDICADORES[[#This Row],[PROGRAMADO ANUAL]]</f>
        <v>0</v>
      </c>
      <c r="AW105" s="46" t="str">
        <f>IFERROR((TABLA_AVANCE_INDICADORES[[#This Row],[DIFERENCIA ABSOLUTA ANUAL]]/TABLA_AVANCE_INDICADORES[[#This Row],[PROGRAMADO ANUAL]])*100,"N/A")</f>
        <v>N/A</v>
      </c>
      <c r="AX105" s="123" t="s">
        <v>63</v>
      </c>
      <c r="AY105" s="49" t="s">
        <v>63</v>
      </c>
      <c r="AZ105" s="50"/>
      <c r="BA105" s="50"/>
      <c r="BB105"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06" spans="1:54" ht="63" hidden="1" customHeight="1" x14ac:dyDescent="0.3">
      <c r="A106" s="31" t="s">
        <v>1101</v>
      </c>
      <c r="B106" s="113" t="s">
        <v>158</v>
      </c>
      <c r="C106" s="32" t="s">
        <v>75</v>
      </c>
      <c r="D106" s="114" t="s">
        <v>76</v>
      </c>
      <c r="E106" s="32" t="s">
        <v>159</v>
      </c>
      <c r="F106" s="115" t="s">
        <v>160</v>
      </c>
      <c r="G106" s="94" t="s">
        <v>169</v>
      </c>
      <c r="H106" s="94" t="s">
        <v>1094</v>
      </c>
      <c r="I106" s="34" t="s">
        <v>723</v>
      </c>
      <c r="J106" s="34" t="s">
        <v>170</v>
      </c>
      <c r="K106" s="94" t="s">
        <v>171</v>
      </c>
      <c r="L106" s="34" t="s">
        <v>172</v>
      </c>
      <c r="M106" s="94" t="s">
        <v>173</v>
      </c>
      <c r="N106" s="33">
        <v>1</v>
      </c>
      <c r="O106" s="33" t="s">
        <v>734</v>
      </c>
      <c r="P106" s="116" t="s">
        <v>1102</v>
      </c>
      <c r="Q106" s="116" t="s">
        <v>1103</v>
      </c>
      <c r="R106" s="116" t="s">
        <v>1104</v>
      </c>
      <c r="S106" s="56" t="s">
        <v>151</v>
      </c>
      <c r="T106" s="56" t="s">
        <v>728</v>
      </c>
      <c r="U106" s="56" t="s">
        <v>739</v>
      </c>
      <c r="V106" s="36">
        <v>1</v>
      </c>
      <c r="W106" s="36">
        <v>0</v>
      </c>
      <c r="X106" s="117">
        <v>0</v>
      </c>
      <c r="Y106" s="38" t="str">
        <f>IFERROR((TABLA_AVANCE_INDICADORES[[#This Row],[AVANCE 1°. TRIM]]/TABLA_AVANCE_INDICADORES[[#This Row],[PROGR. 1° TRIM]])*100,"0")</f>
        <v>0</v>
      </c>
      <c r="Z106"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106" s="118">
        <v>0</v>
      </c>
      <c r="AB106" s="119">
        <v>0</v>
      </c>
      <c r="AC106" s="40" t="str">
        <f t="shared" si="2"/>
        <v>0</v>
      </c>
      <c r="AD106" s="39" t="str">
        <f t="shared" si="3"/>
        <v>NO PROG.</v>
      </c>
      <c r="AE106" s="118">
        <v>0</v>
      </c>
      <c r="AF106" s="119">
        <v>0</v>
      </c>
      <c r="AG106" s="40" t="str">
        <f>IFERROR((TABLA_AVANCE_INDICADORES[[#This Row],[AVANCE 3°. TRIM]]/TABLA_AVANCE_INDICADORES[[#This Row],[PROGR. 3° TRIM]])*100,"0")</f>
        <v>0</v>
      </c>
      <c r="AH106"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106" s="118">
        <v>1</v>
      </c>
      <c r="AJ106" s="119">
        <v>0</v>
      </c>
      <c r="AK106" s="40">
        <f>IFERROR((TABLA_AVANCE_INDICADORES[[#This Row],[AVANCE 4°. TRIM]]/TABLA_AVANCE_INDICADORES[[#This Row],[PROGR. 4° TRIM]])*100,"0")</f>
        <v>0</v>
      </c>
      <c r="AL106"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106"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0</v>
      </c>
      <c r="AN106"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O106" s="40" t="str">
        <f>IFERROR((TABLA_AVANCE_INDICADORES[[#This Row],[AVANCE ACUM. TRIM.]]/TABLA_AVANCE_INDICADORES[[#This Row],[PROG. ACUM]])*100,"N/A")</f>
        <v>N/A</v>
      </c>
      <c r="AP106"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NO PROG.</v>
      </c>
      <c r="AQ106" s="121">
        <f>TABLA_AVANCE_INDICADORES[[#This Row],[AVANCE ACUM. TRIM.]]-TABLA_AVANCE_INDICADORES[[#This Row],[PROG. ACUM]]</f>
        <v>0</v>
      </c>
      <c r="AR106" s="46" t="str">
        <f>IFERROR((TABLA_AVANCE_INDICADORES[[#This Row],[DIFERENCIA ABSOLUTA SEMESTRAL]]/TABLA_AVANCE_INDICADORES[[#This Row],[PROG. ACUM]])*100,"N/A")</f>
        <v>N/A</v>
      </c>
      <c r="AS106"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T106" s="40">
        <f>IFERROR((TABLA_AVANCE_INDICADORES[[#This Row],[AVANCE ACUM. ANUAL]]/TABLA_AVANCE_INDICADORES[[#This Row],[PROGRAMADO ANUAL]])*100,"N/A")</f>
        <v>0</v>
      </c>
      <c r="AU106"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106" s="121">
        <f>TABLA_AVANCE_INDICADORES[[#This Row],[AVANCE ACUM. ANUAL]]-TABLA_AVANCE_INDICADORES[[#This Row],[PROGRAMADO ANUAL]]</f>
        <v>-1</v>
      </c>
      <c r="AW106" s="46">
        <f>IFERROR((TABLA_AVANCE_INDICADORES[[#This Row],[DIFERENCIA ABSOLUTA ANUAL]]/TABLA_AVANCE_INDICADORES[[#This Row],[PROGRAMADO ANUAL]])*100,"N/A")</f>
        <v>-100</v>
      </c>
      <c r="AX106" s="123" t="s">
        <v>63</v>
      </c>
      <c r="AY106" s="49" t="s">
        <v>63</v>
      </c>
      <c r="AZ106" s="50"/>
      <c r="BA106" s="50"/>
      <c r="BB106"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07" spans="1:54" ht="63" hidden="1" customHeight="1" x14ac:dyDescent="0.3">
      <c r="A107" s="31" t="s">
        <v>1105</v>
      </c>
      <c r="B107" s="113" t="s">
        <v>158</v>
      </c>
      <c r="C107" s="32" t="s">
        <v>75</v>
      </c>
      <c r="D107" s="114" t="s">
        <v>76</v>
      </c>
      <c r="E107" s="32" t="s">
        <v>159</v>
      </c>
      <c r="F107" s="115" t="s">
        <v>160</v>
      </c>
      <c r="G107" s="94" t="s">
        <v>169</v>
      </c>
      <c r="H107" s="94" t="s">
        <v>1094</v>
      </c>
      <c r="I107" s="34" t="s">
        <v>723</v>
      </c>
      <c r="J107" s="34" t="s">
        <v>170</v>
      </c>
      <c r="K107" s="94" t="s">
        <v>171</v>
      </c>
      <c r="L107" s="34" t="s">
        <v>172</v>
      </c>
      <c r="M107" s="94" t="s">
        <v>173</v>
      </c>
      <c r="N107" s="33">
        <v>2</v>
      </c>
      <c r="O107" s="33" t="s">
        <v>734</v>
      </c>
      <c r="P107" s="116" t="s">
        <v>1102</v>
      </c>
      <c r="Q107" s="116" t="s">
        <v>1106</v>
      </c>
      <c r="R107" s="116" t="s">
        <v>1104</v>
      </c>
      <c r="S107" s="56" t="s">
        <v>151</v>
      </c>
      <c r="T107" s="56" t="s">
        <v>728</v>
      </c>
      <c r="U107" s="56" t="s">
        <v>739</v>
      </c>
      <c r="V107" s="144">
        <v>1</v>
      </c>
      <c r="W107" s="144">
        <v>0</v>
      </c>
      <c r="X107" s="117">
        <v>0</v>
      </c>
      <c r="Y107" s="38" t="str">
        <f>IFERROR((TABLA_AVANCE_INDICADORES[[#This Row],[AVANCE 1°. TRIM]]/TABLA_AVANCE_INDICADORES[[#This Row],[PROGR. 1° TRIM]])*100,"0")</f>
        <v>0</v>
      </c>
      <c r="Z107"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107" s="118">
        <v>0</v>
      </c>
      <c r="AB107" s="119">
        <v>0</v>
      </c>
      <c r="AC107" s="40" t="str">
        <f t="shared" si="2"/>
        <v>0</v>
      </c>
      <c r="AD107" s="39" t="str">
        <f t="shared" si="3"/>
        <v>NO PROG.</v>
      </c>
      <c r="AE107" s="118">
        <v>0</v>
      </c>
      <c r="AF107" s="119">
        <v>0</v>
      </c>
      <c r="AG107" s="40" t="str">
        <f>IFERROR((TABLA_AVANCE_INDICADORES[[#This Row],[AVANCE 3°. TRIM]]/TABLA_AVANCE_INDICADORES[[#This Row],[PROGR. 3° TRIM]])*100,"0")</f>
        <v>0</v>
      </c>
      <c r="AH107"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107" s="118">
        <v>1</v>
      </c>
      <c r="AJ107" s="119">
        <v>0</v>
      </c>
      <c r="AK107" s="40">
        <f>IFERROR((TABLA_AVANCE_INDICADORES[[#This Row],[AVANCE 4°. TRIM]]/TABLA_AVANCE_INDICADORES[[#This Row],[PROGR. 4° TRIM]])*100,"0")</f>
        <v>0</v>
      </c>
      <c r="AL107"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107"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0</v>
      </c>
      <c r="AN107"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O107" s="40" t="str">
        <f>IFERROR((TABLA_AVANCE_INDICADORES[[#This Row],[AVANCE ACUM. TRIM.]]/TABLA_AVANCE_INDICADORES[[#This Row],[PROG. ACUM]])*100,"N/A")</f>
        <v>N/A</v>
      </c>
      <c r="AP107"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NO PROG.</v>
      </c>
      <c r="AQ107" s="145">
        <f>TABLA_AVANCE_INDICADORES[[#This Row],[AVANCE ACUM. TRIM.]]-TABLA_AVANCE_INDICADORES[[#This Row],[PROG. ACUM]]</f>
        <v>0</v>
      </c>
      <c r="AR107" s="46" t="str">
        <f>IFERROR((TABLA_AVANCE_INDICADORES[[#This Row],[DIFERENCIA ABSOLUTA SEMESTRAL]]/TABLA_AVANCE_INDICADORES[[#This Row],[PROG. ACUM]])*100,"N/A")</f>
        <v>N/A</v>
      </c>
      <c r="AS107"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T107" s="40">
        <f>IFERROR((TABLA_AVANCE_INDICADORES[[#This Row],[AVANCE ACUM. ANUAL]]/TABLA_AVANCE_INDICADORES[[#This Row],[PROGRAMADO ANUAL]])*100,"N/A")</f>
        <v>0</v>
      </c>
      <c r="AU107"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107" s="145">
        <f>TABLA_AVANCE_INDICADORES[[#This Row],[AVANCE ACUM. ANUAL]]-TABLA_AVANCE_INDICADORES[[#This Row],[PROGRAMADO ANUAL]]</f>
        <v>-1</v>
      </c>
      <c r="AW107" s="46">
        <f>IFERROR((TABLA_AVANCE_INDICADORES[[#This Row],[DIFERENCIA ABSOLUTA ANUAL]]/TABLA_AVANCE_INDICADORES[[#This Row],[PROGRAMADO ANUAL]])*100,"N/A")</f>
        <v>-100</v>
      </c>
      <c r="AX107" s="123" t="s">
        <v>63</v>
      </c>
      <c r="AY107" s="49" t="s">
        <v>63</v>
      </c>
      <c r="AZ107" s="50"/>
      <c r="BA107" s="50"/>
      <c r="BB107"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08" spans="1:54" ht="63" hidden="1" customHeight="1" x14ac:dyDescent="0.3">
      <c r="A108" s="31" t="s">
        <v>1107</v>
      </c>
      <c r="B108" s="113" t="s">
        <v>158</v>
      </c>
      <c r="C108" s="32" t="s">
        <v>75</v>
      </c>
      <c r="D108" s="114" t="s">
        <v>76</v>
      </c>
      <c r="E108" s="32" t="s">
        <v>159</v>
      </c>
      <c r="F108" s="115" t="s">
        <v>160</v>
      </c>
      <c r="G108" s="94" t="s">
        <v>169</v>
      </c>
      <c r="H108" s="94" t="s">
        <v>1094</v>
      </c>
      <c r="I108" s="34" t="s">
        <v>723</v>
      </c>
      <c r="J108" s="34" t="s">
        <v>170</v>
      </c>
      <c r="K108" s="94" t="s">
        <v>171</v>
      </c>
      <c r="L108" s="34" t="s">
        <v>172</v>
      </c>
      <c r="M108" s="94" t="s">
        <v>173</v>
      </c>
      <c r="N108" s="33">
        <v>1</v>
      </c>
      <c r="O108" s="33" t="s">
        <v>743</v>
      </c>
      <c r="P108" s="116" t="s">
        <v>1108</v>
      </c>
      <c r="Q108" s="116" t="s">
        <v>1109</v>
      </c>
      <c r="R108" s="116" t="s">
        <v>1110</v>
      </c>
      <c r="S108" s="56" t="s">
        <v>85</v>
      </c>
      <c r="T108" s="56" t="s">
        <v>728</v>
      </c>
      <c r="U108" s="56" t="s">
        <v>747</v>
      </c>
      <c r="V108" s="36">
        <v>4</v>
      </c>
      <c r="W108" s="36">
        <v>0</v>
      </c>
      <c r="X108" s="117">
        <v>0</v>
      </c>
      <c r="Y108" s="38" t="str">
        <f>IFERROR((TABLA_AVANCE_INDICADORES[[#This Row],[AVANCE 1°. TRIM]]/TABLA_AVANCE_INDICADORES[[#This Row],[PROGR. 1° TRIM]])*100,"0")</f>
        <v>0</v>
      </c>
      <c r="Z108"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108" s="118">
        <v>2</v>
      </c>
      <c r="AB108" s="119">
        <v>2</v>
      </c>
      <c r="AC108" s="40">
        <f t="shared" si="2"/>
        <v>100</v>
      </c>
      <c r="AD108" s="39" t="str">
        <f t="shared" si="3"/>
        <v>ADECUADO</v>
      </c>
      <c r="AE108" s="118">
        <v>0</v>
      </c>
      <c r="AF108" s="119">
        <v>0</v>
      </c>
      <c r="AG108" s="40" t="str">
        <f>IFERROR((TABLA_AVANCE_INDICADORES[[#This Row],[AVANCE 3°. TRIM]]/TABLA_AVANCE_INDICADORES[[#This Row],[PROGR. 3° TRIM]])*100,"0")</f>
        <v>0</v>
      </c>
      <c r="AH108"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108" s="118">
        <v>2</v>
      </c>
      <c r="AJ108" s="119">
        <v>0</v>
      </c>
      <c r="AK108" s="40">
        <f>IFERROR((TABLA_AVANCE_INDICADORES[[#This Row],[AVANCE 4°. TRIM]]/TABLA_AVANCE_INDICADORES[[#This Row],[PROGR. 4° TRIM]])*100,"0")</f>
        <v>0</v>
      </c>
      <c r="AL108"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108"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2</v>
      </c>
      <c r="AN108"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v>
      </c>
      <c r="AO108" s="40">
        <f>IFERROR((TABLA_AVANCE_INDICADORES[[#This Row],[AVANCE ACUM. TRIM.]]/TABLA_AVANCE_INDICADORES[[#This Row],[PROG. ACUM]])*100,"N/A")</f>
        <v>100</v>
      </c>
      <c r="AP108"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108" s="121">
        <f>TABLA_AVANCE_INDICADORES[[#This Row],[AVANCE ACUM. TRIM.]]-TABLA_AVANCE_INDICADORES[[#This Row],[PROG. ACUM]]</f>
        <v>0</v>
      </c>
      <c r="AR108" s="46">
        <f>IFERROR((TABLA_AVANCE_INDICADORES[[#This Row],[DIFERENCIA ABSOLUTA SEMESTRAL]]/TABLA_AVANCE_INDICADORES[[#This Row],[PROG. ACUM]])*100,"N/A")</f>
        <v>0</v>
      </c>
      <c r="AS108"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v>
      </c>
      <c r="AT108" s="40">
        <f>IFERROR((TABLA_AVANCE_INDICADORES[[#This Row],[AVANCE ACUM. ANUAL]]/TABLA_AVANCE_INDICADORES[[#This Row],[PROGRAMADO ANUAL]])*100,"N/A")</f>
        <v>50</v>
      </c>
      <c r="AU108"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108" s="121">
        <f>TABLA_AVANCE_INDICADORES[[#This Row],[AVANCE ACUM. ANUAL]]-TABLA_AVANCE_INDICADORES[[#This Row],[PROGRAMADO ANUAL]]</f>
        <v>-2</v>
      </c>
      <c r="AW108" s="46">
        <f>IFERROR((TABLA_AVANCE_INDICADORES[[#This Row],[DIFERENCIA ABSOLUTA ANUAL]]/TABLA_AVANCE_INDICADORES[[#This Row],[PROGRAMADO ANUAL]])*100,"N/A")</f>
        <v>-50</v>
      </c>
      <c r="AX108" s="123" t="s">
        <v>63</v>
      </c>
      <c r="AY108" s="49" t="s">
        <v>63</v>
      </c>
      <c r="AZ108" s="50"/>
      <c r="BA108" s="50"/>
      <c r="BB108"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09" spans="1:54" ht="63" hidden="1" customHeight="1" x14ac:dyDescent="0.3">
      <c r="A109" s="31" t="s">
        <v>1111</v>
      </c>
      <c r="B109" s="113" t="s">
        <v>158</v>
      </c>
      <c r="C109" s="32" t="s">
        <v>75</v>
      </c>
      <c r="D109" s="114" t="s">
        <v>76</v>
      </c>
      <c r="E109" s="32" t="s">
        <v>159</v>
      </c>
      <c r="F109" s="115" t="s">
        <v>160</v>
      </c>
      <c r="G109" s="94" t="s">
        <v>169</v>
      </c>
      <c r="H109" s="94" t="s">
        <v>1094</v>
      </c>
      <c r="I109" s="34" t="s">
        <v>723</v>
      </c>
      <c r="J109" s="34" t="s">
        <v>170</v>
      </c>
      <c r="K109" s="94" t="s">
        <v>171</v>
      </c>
      <c r="L109" s="34" t="s">
        <v>172</v>
      </c>
      <c r="M109" s="94" t="s">
        <v>173</v>
      </c>
      <c r="N109" s="33">
        <v>2</v>
      </c>
      <c r="O109" s="33" t="s">
        <v>743</v>
      </c>
      <c r="P109" s="125" t="s">
        <v>1108</v>
      </c>
      <c r="Q109" s="125" t="s">
        <v>1112</v>
      </c>
      <c r="R109" s="125" t="s">
        <v>1110</v>
      </c>
      <c r="S109" s="56" t="s">
        <v>85</v>
      </c>
      <c r="T109" s="56" t="s">
        <v>728</v>
      </c>
      <c r="U109" s="56" t="s">
        <v>747</v>
      </c>
      <c r="V109" s="36">
        <v>2</v>
      </c>
      <c r="W109" s="36">
        <v>0</v>
      </c>
      <c r="X109" s="117">
        <v>0</v>
      </c>
      <c r="Y109" s="38" t="str">
        <f>IFERROR((TABLA_AVANCE_INDICADORES[[#This Row],[AVANCE 1°. TRIM]]/TABLA_AVANCE_INDICADORES[[#This Row],[PROGR. 1° TRIM]])*100,"0")</f>
        <v>0</v>
      </c>
      <c r="Z109"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109" s="118">
        <v>2</v>
      </c>
      <c r="AB109" s="119">
        <v>2</v>
      </c>
      <c r="AC109" s="40">
        <f t="shared" si="2"/>
        <v>100</v>
      </c>
      <c r="AD109" s="39" t="str">
        <f t="shared" si="3"/>
        <v>ADECUADO</v>
      </c>
      <c r="AE109" s="118">
        <v>0</v>
      </c>
      <c r="AF109" s="119">
        <v>0</v>
      </c>
      <c r="AG109" s="40" t="str">
        <f>IFERROR((TABLA_AVANCE_INDICADORES[[#This Row],[AVANCE 3°. TRIM]]/TABLA_AVANCE_INDICADORES[[#This Row],[PROGR. 3° TRIM]])*100,"0")</f>
        <v>0</v>
      </c>
      <c r="AH109"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109" s="118">
        <v>0</v>
      </c>
      <c r="AJ109" s="119">
        <v>0</v>
      </c>
      <c r="AK109" s="40" t="str">
        <f>IFERROR((TABLA_AVANCE_INDICADORES[[#This Row],[AVANCE 4°. TRIM]]/TABLA_AVANCE_INDICADORES[[#This Row],[PROGR. 4° TRIM]])*100,"0")</f>
        <v>0</v>
      </c>
      <c r="AL109"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NO PROG.</v>
      </c>
      <c r="AM109"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2</v>
      </c>
      <c r="AN109"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v>
      </c>
      <c r="AO109" s="40">
        <f>IFERROR((TABLA_AVANCE_INDICADORES[[#This Row],[AVANCE ACUM. TRIM.]]/TABLA_AVANCE_INDICADORES[[#This Row],[PROG. ACUM]])*100,"N/A")</f>
        <v>100</v>
      </c>
      <c r="AP109"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109" s="121">
        <f>TABLA_AVANCE_INDICADORES[[#This Row],[AVANCE ACUM. TRIM.]]-TABLA_AVANCE_INDICADORES[[#This Row],[PROG. ACUM]]</f>
        <v>0</v>
      </c>
      <c r="AR109" s="46">
        <f>IFERROR((TABLA_AVANCE_INDICADORES[[#This Row],[DIFERENCIA ABSOLUTA SEMESTRAL]]/TABLA_AVANCE_INDICADORES[[#This Row],[PROG. ACUM]])*100,"N/A")</f>
        <v>0</v>
      </c>
      <c r="AS109"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v>
      </c>
      <c r="AT109" s="40">
        <f>IFERROR((TABLA_AVANCE_INDICADORES[[#This Row],[AVANCE ACUM. ANUAL]]/TABLA_AVANCE_INDICADORES[[#This Row],[PROGRAMADO ANUAL]])*100,"N/A")</f>
        <v>100</v>
      </c>
      <c r="AU109"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ADECUADO</v>
      </c>
      <c r="AV109" s="121">
        <f>TABLA_AVANCE_INDICADORES[[#This Row],[AVANCE ACUM. ANUAL]]-TABLA_AVANCE_INDICADORES[[#This Row],[PROGRAMADO ANUAL]]</f>
        <v>0</v>
      </c>
      <c r="AW109" s="46">
        <f>IFERROR((TABLA_AVANCE_INDICADORES[[#This Row],[DIFERENCIA ABSOLUTA ANUAL]]/TABLA_AVANCE_INDICADORES[[#This Row],[PROGRAMADO ANUAL]])*100,"N/A")</f>
        <v>0</v>
      </c>
      <c r="AX109" s="123" t="s">
        <v>63</v>
      </c>
      <c r="AY109" s="49" t="s">
        <v>63</v>
      </c>
      <c r="AZ109" s="50"/>
      <c r="BA109" s="50"/>
      <c r="BB109"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10" spans="1:54" ht="63" hidden="1" customHeight="1" x14ac:dyDescent="0.3">
      <c r="A110" s="31" t="s">
        <v>1113</v>
      </c>
      <c r="B110" s="113" t="s">
        <v>320</v>
      </c>
      <c r="C110" s="32" t="s">
        <v>214</v>
      </c>
      <c r="D110" s="114" t="s">
        <v>215</v>
      </c>
      <c r="E110" s="32" t="s">
        <v>321</v>
      </c>
      <c r="F110" s="115" t="s">
        <v>322</v>
      </c>
      <c r="G110" s="94" t="s">
        <v>323</v>
      </c>
      <c r="H110" s="94" t="s">
        <v>1114</v>
      </c>
      <c r="I110" s="34" t="s">
        <v>723</v>
      </c>
      <c r="J110" s="34" t="s">
        <v>170</v>
      </c>
      <c r="K110" s="94" t="s">
        <v>171</v>
      </c>
      <c r="L110" s="34" t="s">
        <v>172</v>
      </c>
      <c r="M110" s="94" t="s">
        <v>173</v>
      </c>
      <c r="N110" s="33">
        <v>1</v>
      </c>
      <c r="O110" s="33" t="s">
        <v>898</v>
      </c>
      <c r="P110" s="125" t="s">
        <v>1115</v>
      </c>
      <c r="Q110" s="125" t="s">
        <v>1116</v>
      </c>
      <c r="R110" s="125" t="s">
        <v>1117</v>
      </c>
      <c r="S110" s="56" t="s">
        <v>1118</v>
      </c>
      <c r="T110" s="56" t="s">
        <v>728</v>
      </c>
      <c r="U110" s="56" t="s">
        <v>755</v>
      </c>
      <c r="V110" s="36">
        <v>4</v>
      </c>
      <c r="W110" s="36">
        <v>1</v>
      </c>
      <c r="X110" s="117">
        <v>1</v>
      </c>
      <c r="Y110" s="38">
        <f>IFERROR((TABLA_AVANCE_INDICADORES[[#This Row],[AVANCE 1°. TRIM]]/TABLA_AVANCE_INDICADORES[[#This Row],[PROGR. 1° TRIM]])*100,"0")</f>
        <v>100</v>
      </c>
      <c r="Z110"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110" s="118">
        <v>1</v>
      </c>
      <c r="AB110" s="119">
        <v>1</v>
      </c>
      <c r="AC110" s="40">
        <f t="shared" si="2"/>
        <v>100</v>
      </c>
      <c r="AD110" s="39" t="str">
        <f t="shared" si="3"/>
        <v>ADECUADO</v>
      </c>
      <c r="AE110" s="118">
        <v>1</v>
      </c>
      <c r="AF110" s="119">
        <v>0</v>
      </c>
      <c r="AG110" s="40">
        <f>IFERROR((TABLA_AVANCE_INDICADORES[[#This Row],[AVANCE 3°. TRIM]]/TABLA_AVANCE_INDICADORES[[#This Row],[PROGR. 3° TRIM]])*100,"0")</f>
        <v>0</v>
      </c>
      <c r="AH110"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CRÍTICO</v>
      </c>
      <c r="AI110" s="118">
        <v>1</v>
      </c>
      <c r="AJ110" s="119">
        <v>0</v>
      </c>
      <c r="AK110" s="40">
        <f>IFERROR((TABLA_AVANCE_INDICADORES[[#This Row],[AVANCE 4°. TRIM]]/TABLA_AVANCE_INDICADORES[[#This Row],[PROGR. 4° TRIM]])*100,"0")</f>
        <v>0</v>
      </c>
      <c r="AL110"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110"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2</v>
      </c>
      <c r="AN110"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v>
      </c>
      <c r="AO110" s="40">
        <f>IFERROR((TABLA_AVANCE_INDICADORES[[#This Row],[AVANCE ACUM. TRIM.]]/TABLA_AVANCE_INDICADORES[[#This Row],[PROG. ACUM]])*100,"N/A")</f>
        <v>100</v>
      </c>
      <c r="AP110"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110" s="121">
        <f>TABLA_AVANCE_INDICADORES[[#This Row],[AVANCE ACUM. TRIM.]]-TABLA_AVANCE_INDICADORES[[#This Row],[PROG. ACUM]]</f>
        <v>0</v>
      </c>
      <c r="AR110" s="46">
        <f>IFERROR((TABLA_AVANCE_INDICADORES[[#This Row],[DIFERENCIA ABSOLUTA SEMESTRAL]]/TABLA_AVANCE_INDICADORES[[#This Row],[PROG. ACUM]])*100,"N/A")</f>
        <v>0</v>
      </c>
      <c r="AS110"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v>
      </c>
      <c r="AT110" s="40">
        <f>IFERROR((TABLA_AVANCE_INDICADORES[[#This Row],[AVANCE ACUM. ANUAL]]/TABLA_AVANCE_INDICADORES[[#This Row],[PROGRAMADO ANUAL]])*100,"N/A")</f>
        <v>50</v>
      </c>
      <c r="AU110"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110" s="121">
        <f>TABLA_AVANCE_INDICADORES[[#This Row],[AVANCE ACUM. ANUAL]]-TABLA_AVANCE_INDICADORES[[#This Row],[PROGRAMADO ANUAL]]</f>
        <v>-2</v>
      </c>
      <c r="AW110" s="46">
        <f>IFERROR((TABLA_AVANCE_INDICADORES[[#This Row],[DIFERENCIA ABSOLUTA ANUAL]]/TABLA_AVANCE_INDICADORES[[#This Row],[PROGRAMADO ANUAL]])*100,"N/A")</f>
        <v>-50</v>
      </c>
      <c r="AX110" s="123" t="s">
        <v>63</v>
      </c>
      <c r="AY110" s="49" t="s">
        <v>63</v>
      </c>
      <c r="AZ110" s="50"/>
      <c r="BA110" s="50"/>
      <c r="BB110"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11" spans="1:54" ht="63" hidden="1" customHeight="1" x14ac:dyDescent="0.3">
      <c r="A111" s="31" t="s">
        <v>1119</v>
      </c>
      <c r="B111" s="113" t="s">
        <v>320</v>
      </c>
      <c r="C111" s="32" t="s">
        <v>214</v>
      </c>
      <c r="D111" s="114" t="s">
        <v>215</v>
      </c>
      <c r="E111" s="32" t="s">
        <v>321</v>
      </c>
      <c r="F111" s="115" t="s">
        <v>322</v>
      </c>
      <c r="G111" s="94" t="s">
        <v>323</v>
      </c>
      <c r="H111" s="94" t="s">
        <v>1114</v>
      </c>
      <c r="I111" s="34" t="s">
        <v>723</v>
      </c>
      <c r="J111" s="34" t="s">
        <v>170</v>
      </c>
      <c r="K111" s="94" t="s">
        <v>171</v>
      </c>
      <c r="L111" s="34" t="s">
        <v>172</v>
      </c>
      <c r="M111" s="94" t="s">
        <v>173</v>
      </c>
      <c r="N111" s="33">
        <v>2</v>
      </c>
      <c r="O111" s="33" t="s">
        <v>898</v>
      </c>
      <c r="P111" s="116" t="s">
        <v>1115</v>
      </c>
      <c r="Q111" s="116" t="s">
        <v>1120</v>
      </c>
      <c r="R111" s="116" t="s">
        <v>1117</v>
      </c>
      <c r="S111" s="56" t="s">
        <v>1118</v>
      </c>
      <c r="T111" s="56" t="s">
        <v>728</v>
      </c>
      <c r="U111" s="56" t="s">
        <v>755</v>
      </c>
      <c r="V111" s="36">
        <v>4</v>
      </c>
      <c r="W111" s="36">
        <v>1</v>
      </c>
      <c r="X111" s="127">
        <v>1</v>
      </c>
      <c r="Y111" s="38">
        <f>IFERROR((TABLA_AVANCE_INDICADORES[[#This Row],[AVANCE 1°. TRIM]]/TABLA_AVANCE_INDICADORES[[#This Row],[PROGR. 1° TRIM]])*100,"0")</f>
        <v>100</v>
      </c>
      <c r="Z111"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111" s="118">
        <v>1</v>
      </c>
      <c r="AB111" s="128">
        <v>1</v>
      </c>
      <c r="AC111" s="40">
        <f t="shared" si="2"/>
        <v>100</v>
      </c>
      <c r="AD111" s="39" t="str">
        <f t="shared" si="3"/>
        <v>ADECUADO</v>
      </c>
      <c r="AE111" s="118">
        <v>1</v>
      </c>
      <c r="AF111" s="128">
        <f>AE111</f>
        <v>1</v>
      </c>
      <c r="AG111" s="40">
        <f>IFERROR((TABLA_AVANCE_INDICADORES[[#This Row],[AVANCE 3°. TRIM]]/TABLA_AVANCE_INDICADORES[[#This Row],[PROGR. 3° TRIM]])*100,"0")</f>
        <v>100</v>
      </c>
      <c r="AH111"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ADECUADO</v>
      </c>
      <c r="AI111" s="118">
        <v>1</v>
      </c>
      <c r="AJ111" s="128">
        <f>AI111</f>
        <v>1</v>
      </c>
      <c r="AK111" s="40">
        <f>IFERROR((TABLA_AVANCE_INDICADORES[[#This Row],[AVANCE 4°. TRIM]]/TABLA_AVANCE_INDICADORES[[#This Row],[PROGR. 4° TRIM]])*100,"0")</f>
        <v>100</v>
      </c>
      <c r="AL111"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ADECUADO</v>
      </c>
      <c r="AM111"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2</v>
      </c>
      <c r="AN111"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v>
      </c>
      <c r="AO111" s="40">
        <f>IFERROR((TABLA_AVANCE_INDICADORES[[#This Row],[AVANCE ACUM. TRIM.]]/TABLA_AVANCE_INDICADORES[[#This Row],[PROG. ACUM]])*100,"N/A")</f>
        <v>100</v>
      </c>
      <c r="AP111"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111" s="121">
        <f>TABLA_AVANCE_INDICADORES[[#This Row],[AVANCE ACUM. TRIM.]]-TABLA_AVANCE_INDICADORES[[#This Row],[PROG. ACUM]]</f>
        <v>0</v>
      </c>
      <c r="AR111" s="46">
        <f>IFERROR((TABLA_AVANCE_INDICADORES[[#This Row],[DIFERENCIA ABSOLUTA SEMESTRAL]]/TABLA_AVANCE_INDICADORES[[#This Row],[PROG. ACUM]])*100,"N/A")</f>
        <v>0</v>
      </c>
      <c r="AS111"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v>
      </c>
      <c r="AT111" s="40">
        <f>IFERROR((TABLA_AVANCE_INDICADORES[[#This Row],[AVANCE ACUM. ANUAL]]/TABLA_AVANCE_INDICADORES[[#This Row],[PROGRAMADO ANUAL]])*100,"N/A")</f>
        <v>50</v>
      </c>
      <c r="AU111"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111" s="121">
        <f>TABLA_AVANCE_INDICADORES[[#This Row],[AVANCE ACUM. ANUAL]]-TABLA_AVANCE_INDICADORES[[#This Row],[PROGRAMADO ANUAL]]</f>
        <v>-2</v>
      </c>
      <c r="AW111" s="46">
        <f>IFERROR((TABLA_AVANCE_INDICADORES[[#This Row],[DIFERENCIA ABSOLUTA ANUAL]]/TABLA_AVANCE_INDICADORES[[#This Row],[PROGRAMADO ANUAL]])*100,"N/A")</f>
        <v>-50</v>
      </c>
      <c r="AX111" s="123" t="s">
        <v>63</v>
      </c>
      <c r="AY111" s="49" t="s">
        <v>63</v>
      </c>
      <c r="AZ111" s="50"/>
      <c r="BA111" s="50"/>
      <c r="BB111"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12" spans="1:54" ht="63" hidden="1" customHeight="1" x14ac:dyDescent="0.3">
      <c r="A112" s="31" t="s">
        <v>1121</v>
      </c>
      <c r="B112" s="113" t="s">
        <v>320</v>
      </c>
      <c r="C112" s="32" t="s">
        <v>214</v>
      </c>
      <c r="D112" s="114" t="s">
        <v>215</v>
      </c>
      <c r="E112" s="32" t="s">
        <v>321</v>
      </c>
      <c r="F112" s="115" t="s">
        <v>322</v>
      </c>
      <c r="G112" s="94" t="s">
        <v>323</v>
      </c>
      <c r="H112" s="94" t="s">
        <v>1114</v>
      </c>
      <c r="I112" s="34" t="s">
        <v>723</v>
      </c>
      <c r="J112" s="34" t="s">
        <v>170</v>
      </c>
      <c r="K112" s="94" t="s">
        <v>171</v>
      </c>
      <c r="L112" s="34" t="s">
        <v>172</v>
      </c>
      <c r="M112" s="94" t="s">
        <v>173</v>
      </c>
      <c r="N112" s="33">
        <v>1</v>
      </c>
      <c r="O112" s="33" t="s">
        <v>906</v>
      </c>
      <c r="P112" s="116" t="s">
        <v>1122</v>
      </c>
      <c r="Q112" s="116" t="s">
        <v>1123</v>
      </c>
      <c r="R112" s="116" t="s">
        <v>1124</v>
      </c>
      <c r="S112" s="56" t="s">
        <v>328</v>
      </c>
      <c r="T112" s="56" t="s">
        <v>728</v>
      </c>
      <c r="U112" s="56" t="s">
        <v>755</v>
      </c>
      <c r="V112" s="36">
        <v>600</v>
      </c>
      <c r="W112" s="36">
        <v>150</v>
      </c>
      <c r="X112" s="117">
        <v>150</v>
      </c>
      <c r="Y112" s="38">
        <f>IFERROR((TABLA_AVANCE_INDICADORES[[#This Row],[AVANCE 1°. TRIM]]/TABLA_AVANCE_INDICADORES[[#This Row],[PROGR. 1° TRIM]])*100,"0")</f>
        <v>100</v>
      </c>
      <c r="Z112"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112" s="118">
        <v>150</v>
      </c>
      <c r="AB112" s="119">
        <v>150</v>
      </c>
      <c r="AC112" s="40">
        <f t="shared" si="2"/>
        <v>100</v>
      </c>
      <c r="AD112" s="39" t="str">
        <f t="shared" si="3"/>
        <v>ADECUADO</v>
      </c>
      <c r="AE112" s="118">
        <v>150</v>
      </c>
      <c r="AF112" s="119">
        <v>0</v>
      </c>
      <c r="AG112" s="40">
        <f>IFERROR((TABLA_AVANCE_INDICADORES[[#This Row],[AVANCE 3°. TRIM]]/TABLA_AVANCE_INDICADORES[[#This Row],[PROGR. 3° TRIM]])*100,"0")</f>
        <v>0</v>
      </c>
      <c r="AH112"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CRÍTICO</v>
      </c>
      <c r="AI112" s="118">
        <v>150</v>
      </c>
      <c r="AJ112" s="119">
        <v>0</v>
      </c>
      <c r="AK112" s="40">
        <f>IFERROR((TABLA_AVANCE_INDICADORES[[#This Row],[AVANCE 4°. TRIM]]/TABLA_AVANCE_INDICADORES[[#This Row],[PROGR. 4° TRIM]])*100,"0")</f>
        <v>0</v>
      </c>
      <c r="AL112"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112"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300</v>
      </c>
      <c r="AN112"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300</v>
      </c>
      <c r="AO112" s="40">
        <f>IFERROR((TABLA_AVANCE_INDICADORES[[#This Row],[AVANCE ACUM. TRIM.]]/TABLA_AVANCE_INDICADORES[[#This Row],[PROG. ACUM]])*100,"N/A")</f>
        <v>100</v>
      </c>
      <c r="AP112"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112" s="121">
        <f>TABLA_AVANCE_INDICADORES[[#This Row],[AVANCE ACUM. TRIM.]]-TABLA_AVANCE_INDICADORES[[#This Row],[PROG. ACUM]]</f>
        <v>0</v>
      </c>
      <c r="AR112" s="46">
        <f>IFERROR((TABLA_AVANCE_INDICADORES[[#This Row],[DIFERENCIA ABSOLUTA SEMESTRAL]]/TABLA_AVANCE_INDICADORES[[#This Row],[PROG. ACUM]])*100,"N/A")</f>
        <v>0</v>
      </c>
      <c r="AS112"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300</v>
      </c>
      <c r="AT112" s="40">
        <f>IFERROR((TABLA_AVANCE_INDICADORES[[#This Row],[AVANCE ACUM. ANUAL]]/TABLA_AVANCE_INDICADORES[[#This Row],[PROGRAMADO ANUAL]])*100,"N/A")</f>
        <v>50</v>
      </c>
      <c r="AU112"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112" s="121">
        <f>TABLA_AVANCE_INDICADORES[[#This Row],[AVANCE ACUM. ANUAL]]-TABLA_AVANCE_INDICADORES[[#This Row],[PROGRAMADO ANUAL]]</f>
        <v>-300</v>
      </c>
      <c r="AW112" s="46">
        <f>IFERROR((TABLA_AVANCE_INDICADORES[[#This Row],[DIFERENCIA ABSOLUTA ANUAL]]/TABLA_AVANCE_INDICADORES[[#This Row],[PROGRAMADO ANUAL]])*100,"N/A")</f>
        <v>-50</v>
      </c>
      <c r="AX112" s="123" t="s">
        <v>63</v>
      </c>
      <c r="AY112" s="49" t="s">
        <v>63</v>
      </c>
      <c r="AZ112" s="50"/>
      <c r="BA112" s="50"/>
      <c r="BB112"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13" spans="1:54" ht="63" hidden="1" customHeight="1" x14ac:dyDescent="0.3">
      <c r="A113" s="31" t="s">
        <v>1125</v>
      </c>
      <c r="B113" s="113" t="s">
        <v>320</v>
      </c>
      <c r="C113" s="32" t="s">
        <v>214</v>
      </c>
      <c r="D113" s="114" t="s">
        <v>215</v>
      </c>
      <c r="E113" s="32" t="s">
        <v>321</v>
      </c>
      <c r="F113" s="115" t="s">
        <v>322</v>
      </c>
      <c r="G113" s="94" t="s">
        <v>323</v>
      </c>
      <c r="H113" s="94" t="s">
        <v>1114</v>
      </c>
      <c r="I113" s="34" t="s">
        <v>723</v>
      </c>
      <c r="J113" s="34" t="s">
        <v>170</v>
      </c>
      <c r="K113" s="94" t="s">
        <v>171</v>
      </c>
      <c r="L113" s="34" t="s">
        <v>172</v>
      </c>
      <c r="M113" s="94" t="s">
        <v>173</v>
      </c>
      <c r="N113" s="33">
        <v>2</v>
      </c>
      <c r="O113" s="33" t="s">
        <v>906</v>
      </c>
      <c r="P113" s="116" t="s">
        <v>1122</v>
      </c>
      <c r="Q113" s="116" t="s">
        <v>1126</v>
      </c>
      <c r="R113" s="116" t="s">
        <v>1124</v>
      </c>
      <c r="S113" s="56" t="s">
        <v>328</v>
      </c>
      <c r="T113" s="56" t="s">
        <v>728</v>
      </c>
      <c r="U113" s="56" t="s">
        <v>755</v>
      </c>
      <c r="V113" s="144">
        <v>600</v>
      </c>
      <c r="W113" s="144">
        <v>150</v>
      </c>
      <c r="X113" s="127">
        <v>150</v>
      </c>
      <c r="Y113" s="38">
        <f>IFERROR((TABLA_AVANCE_INDICADORES[[#This Row],[AVANCE 1°. TRIM]]/TABLA_AVANCE_INDICADORES[[#This Row],[PROGR. 1° TRIM]])*100,"0")</f>
        <v>100</v>
      </c>
      <c r="Z113"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113" s="118">
        <v>150</v>
      </c>
      <c r="AB113" s="128">
        <v>150</v>
      </c>
      <c r="AC113" s="40">
        <f t="shared" si="2"/>
        <v>100</v>
      </c>
      <c r="AD113" s="39" t="str">
        <f t="shared" si="3"/>
        <v>ADECUADO</v>
      </c>
      <c r="AE113" s="118">
        <v>150</v>
      </c>
      <c r="AF113" s="128">
        <f>AE113</f>
        <v>150</v>
      </c>
      <c r="AG113" s="40">
        <f>IFERROR((TABLA_AVANCE_INDICADORES[[#This Row],[AVANCE 3°. TRIM]]/TABLA_AVANCE_INDICADORES[[#This Row],[PROGR. 3° TRIM]])*100,"0")</f>
        <v>100</v>
      </c>
      <c r="AH113"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ADECUADO</v>
      </c>
      <c r="AI113" s="118">
        <v>150</v>
      </c>
      <c r="AJ113" s="128">
        <f>AI113</f>
        <v>150</v>
      </c>
      <c r="AK113" s="40">
        <f>IFERROR((TABLA_AVANCE_INDICADORES[[#This Row],[AVANCE 4°. TRIM]]/TABLA_AVANCE_INDICADORES[[#This Row],[PROGR. 4° TRIM]])*100,"0")</f>
        <v>100</v>
      </c>
      <c r="AL113"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ADECUADO</v>
      </c>
      <c r="AM113"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300</v>
      </c>
      <c r="AN113"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300</v>
      </c>
      <c r="AO113" s="40">
        <f>IFERROR((TABLA_AVANCE_INDICADORES[[#This Row],[AVANCE ACUM. TRIM.]]/TABLA_AVANCE_INDICADORES[[#This Row],[PROG. ACUM]])*100,"N/A")</f>
        <v>100</v>
      </c>
      <c r="AP113"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113" s="121">
        <f>TABLA_AVANCE_INDICADORES[[#This Row],[AVANCE ACUM. TRIM.]]-TABLA_AVANCE_INDICADORES[[#This Row],[PROG. ACUM]]</f>
        <v>0</v>
      </c>
      <c r="AR113" s="46">
        <f>IFERROR((TABLA_AVANCE_INDICADORES[[#This Row],[DIFERENCIA ABSOLUTA SEMESTRAL]]/TABLA_AVANCE_INDICADORES[[#This Row],[PROG. ACUM]])*100,"N/A")</f>
        <v>0</v>
      </c>
      <c r="AS113"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300</v>
      </c>
      <c r="AT113" s="40">
        <f>IFERROR((TABLA_AVANCE_INDICADORES[[#This Row],[AVANCE ACUM. ANUAL]]/TABLA_AVANCE_INDICADORES[[#This Row],[PROGRAMADO ANUAL]])*100,"N/A")</f>
        <v>50</v>
      </c>
      <c r="AU113"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113" s="145">
        <f>TABLA_AVANCE_INDICADORES[[#This Row],[AVANCE ACUM. ANUAL]]-TABLA_AVANCE_INDICADORES[[#This Row],[PROGRAMADO ANUAL]]</f>
        <v>-300</v>
      </c>
      <c r="AW113" s="46">
        <f>IFERROR((TABLA_AVANCE_INDICADORES[[#This Row],[DIFERENCIA ABSOLUTA ANUAL]]/TABLA_AVANCE_INDICADORES[[#This Row],[PROGRAMADO ANUAL]])*100,"N/A")</f>
        <v>-50</v>
      </c>
      <c r="AX113" s="123" t="s">
        <v>63</v>
      </c>
      <c r="AY113" s="49" t="s">
        <v>63</v>
      </c>
      <c r="AZ113" s="50"/>
      <c r="BA113" s="50"/>
      <c r="BB113"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14" spans="1:54" ht="63" hidden="1" customHeight="1" x14ac:dyDescent="0.3">
      <c r="A114" s="31" t="s">
        <v>1127</v>
      </c>
      <c r="B114" s="113" t="s">
        <v>158</v>
      </c>
      <c r="C114" s="32" t="s">
        <v>75</v>
      </c>
      <c r="D114" s="114" t="s">
        <v>76</v>
      </c>
      <c r="E114" s="32" t="s">
        <v>159</v>
      </c>
      <c r="F114" s="115" t="s">
        <v>160</v>
      </c>
      <c r="G114" s="94" t="s">
        <v>169</v>
      </c>
      <c r="H114" s="94" t="s">
        <v>1094</v>
      </c>
      <c r="I114" s="34" t="s">
        <v>723</v>
      </c>
      <c r="J114" s="34" t="s">
        <v>170</v>
      </c>
      <c r="K114" s="94" t="s">
        <v>171</v>
      </c>
      <c r="L114" s="34" t="s">
        <v>172</v>
      </c>
      <c r="M114" s="94" t="s">
        <v>173</v>
      </c>
      <c r="N114" s="33">
        <v>1</v>
      </c>
      <c r="O114" s="33" t="s">
        <v>751</v>
      </c>
      <c r="P114" s="116" t="s">
        <v>1128</v>
      </c>
      <c r="Q114" s="116" t="s">
        <v>1129</v>
      </c>
      <c r="R114" s="116" t="s">
        <v>1130</v>
      </c>
      <c r="S114" s="56" t="s">
        <v>124</v>
      </c>
      <c r="T114" s="56" t="s">
        <v>728</v>
      </c>
      <c r="U114" s="56" t="s">
        <v>1131</v>
      </c>
      <c r="V114" s="36">
        <v>4</v>
      </c>
      <c r="W114" s="36">
        <v>1</v>
      </c>
      <c r="X114" s="117">
        <v>1</v>
      </c>
      <c r="Y114" s="38">
        <f>IFERROR((TABLA_AVANCE_INDICADORES[[#This Row],[AVANCE 1°. TRIM]]/TABLA_AVANCE_INDICADORES[[#This Row],[PROGR. 1° TRIM]])*100,"0")</f>
        <v>100</v>
      </c>
      <c r="Z114"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114" s="118">
        <v>1</v>
      </c>
      <c r="AB114" s="119">
        <v>1</v>
      </c>
      <c r="AC114" s="40">
        <f t="shared" si="2"/>
        <v>100</v>
      </c>
      <c r="AD114" s="39" t="str">
        <f t="shared" si="3"/>
        <v>ADECUADO</v>
      </c>
      <c r="AE114" s="118">
        <v>1</v>
      </c>
      <c r="AF114" s="119">
        <v>0</v>
      </c>
      <c r="AG114" s="40">
        <f>IFERROR((TABLA_AVANCE_INDICADORES[[#This Row],[AVANCE 3°. TRIM]]/TABLA_AVANCE_INDICADORES[[#This Row],[PROGR. 3° TRIM]])*100,"0")</f>
        <v>0</v>
      </c>
      <c r="AH114"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CRÍTICO</v>
      </c>
      <c r="AI114" s="118">
        <v>1</v>
      </c>
      <c r="AJ114" s="119">
        <v>0</v>
      </c>
      <c r="AK114" s="40">
        <f>IFERROR((TABLA_AVANCE_INDICADORES[[#This Row],[AVANCE 4°. TRIM]]/TABLA_AVANCE_INDICADORES[[#This Row],[PROGR. 4° TRIM]])*100,"0")</f>
        <v>0</v>
      </c>
      <c r="AL114"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114"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2</v>
      </c>
      <c r="AN114"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v>
      </c>
      <c r="AO114" s="40">
        <f>IFERROR((TABLA_AVANCE_INDICADORES[[#This Row],[AVANCE ACUM. TRIM.]]/TABLA_AVANCE_INDICADORES[[#This Row],[PROG. ACUM]])*100,"N/A")</f>
        <v>100</v>
      </c>
      <c r="AP114"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114" s="121">
        <f>TABLA_AVANCE_INDICADORES[[#This Row],[AVANCE ACUM. TRIM.]]-TABLA_AVANCE_INDICADORES[[#This Row],[PROG. ACUM]]</f>
        <v>0</v>
      </c>
      <c r="AR114" s="46">
        <f>IFERROR((TABLA_AVANCE_INDICADORES[[#This Row],[DIFERENCIA ABSOLUTA SEMESTRAL]]/TABLA_AVANCE_INDICADORES[[#This Row],[PROG. ACUM]])*100,"N/A")</f>
        <v>0</v>
      </c>
      <c r="AS114"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v>
      </c>
      <c r="AT114" s="40">
        <f>IFERROR((TABLA_AVANCE_INDICADORES[[#This Row],[AVANCE ACUM. ANUAL]]/TABLA_AVANCE_INDICADORES[[#This Row],[PROGRAMADO ANUAL]])*100,"N/A")</f>
        <v>50</v>
      </c>
      <c r="AU114"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114" s="121">
        <f>TABLA_AVANCE_INDICADORES[[#This Row],[AVANCE ACUM. ANUAL]]-TABLA_AVANCE_INDICADORES[[#This Row],[PROGRAMADO ANUAL]]</f>
        <v>-2</v>
      </c>
      <c r="AW114" s="46">
        <f>IFERROR((TABLA_AVANCE_INDICADORES[[#This Row],[DIFERENCIA ABSOLUTA ANUAL]]/TABLA_AVANCE_INDICADORES[[#This Row],[PROGRAMADO ANUAL]])*100,"N/A")</f>
        <v>-50</v>
      </c>
      <c r="AX114" s="123" t="s">
        <v>63</v>
      </c>
      <c r="AY114" s="49" t="s">
        <v>63</v>
      </c>
      <c r="AZ114" s="50"/>
      <c r="BA114" s="50"/>
      <c r="BB114"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15" spans="1:54" ht="63" hidden="1" customHeight="1" x14ac:dyDescent="0.3">
      <c r="A115" s="31" t="s">
        <v>1132</v>
      </c>
      <c r="B115" s="113" t="s">
        <v>158</v>
      </c>
      <c r="C115" s="32" t="s">
        <v>75</v>
      </c>
      <c r="D115" s="114" t="s">
        <v>76</v>
      </c>
      <c r="E115" s="32" t="s">
        <v>159</v>
      </c>
      <c r="F115" s="115" t="s">
        <v>160</v>
      </c>
      <c r="G115" s="94" t="s">
        <v>169</v>
      </c>
      <c r="H115" s="94" t="s">
        <v>1094</v>
      </c>
      <c r="I115" s="34" t="s">
        <v>723</v>
      </c>
      <c r="J115" s="34" t="s">
        <v>170</v>
      </c>
      <c r="K115" s="94" t="s">
        <v>171</v>
      </c>
      <c r="L115" s="34" t="s">
        <v>172</v>
      </c>
      <c r="M115" s="94" t="s">
        <v>173</v>
      </c>
      <c r="N115" s="33">
        <v>2</v>
      </c>
      <c r="O115" s="33" t="s">
        <v>751</v>
      </c>
      <c r="P115" s="125" t="s">
        <v>1128</v>
      </c>
      <c r="Q115" s="125" t="s">
        <v>1133</v>
      </c>
      <c r="R115" s="125" t="s">
        <v>1130</v>
      </c>
      <c r="S115" s="56" t="s">
        <v>124</v>
      </c>
      <c r="T115" s="56" t="s">
        <v>728</v>
      </c>
      <c r="U115" s="56" t="s">
        <v>1131</v>
      </c>
      <c r="V115" s="36">
        <v>2</v>
      </c>
      <c r="W115" s="36">
        <v>0</v>
      </c>
      <c r="X115" s="117">
        <v>0</v>
      </c>
      <c r="Y115" s="38" t="str">
        <f>IFERROR((TABLA_AVANCE_INDICADORES[[#This Row],[AVANCE 1°. TRIM]]/TABLA_AVANCE_INDICADORES[[#This Row],[PROGR. 1° TRIM]])*100,"0")</f>
        <v>0</v>
      </c>
      <c r="Z115"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115" s="118">
        <v>2</v>
      </c>
      <c r="AB115" s="119">
        <v>2</v>
      </c>
      <c r="AC115" s="40">
        <f t="shared" si="2"/>
        <v>100</v>
      </c>
      <c r="AD115" s="39" t="str">
        <f t="shared" si="3"/>
        <v>ADECUADO</v>
      </c>
      <c r="AE115" s="118">
        <v>0</v>
      </c>
      <c r="AF115" s="119">
        <v>0</v>
      </c>
      <c r="AG115" s="40" t="str">
        <f>IFERROR((TABLA_AVANCE_INDICADORES[[#This Row],[AVANCE 3°. TRIM]]/TABLA_AVANCE_INDICADORES[[#This Row],[PROGR. 3° TRIM]])*100,"0")</f>
        <v>0</v>
      </c>
      <c r="AH115"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115" s="118">
        <v>0</v>
      </c>
      <c r="AJ115" s="119">
        <v>0</v>
      </c>
      <c r="AK115" s="40" t="str">
        <f>IFERROR((TABLA_AVANCE_INDICADORES[[#This Row],[AVANCE 4°. TRIM]]/TABLA_AVANCE_INDICADORES[[#This Row],[PROGR. 4° TRIM]])*100,"0")</f>
        <v>0</v>
      </c>
      <c r="AL115"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NO PROG.</v>
      </c>
      <c r="AM115"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2</v>
      </c>
      <c r="AN115"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v>
      </c>
      <c r="AO115" s="40">
        <f>IFERROR((TABLA_AVANCE_INDICADORES[[#This Row],[AVANCE ACUM. TRIM.]]/TABLA_AVANCE_INDICADORES[[#This Row],[PROG. ACUM]])*100,"N/A")</f>
        <v>100</v>
      </c>
      <c r="AP115"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115" s="121">
        <f>TABLA_AVANCE_INDICADORES[[#This Row],[AVANCE ACUM. TRIM.]]-TABLA_AVANCE_INDICADORES[[#This Row],[PROG. ACUM]]</f>
        <v>0</v>
      </c>
      <c r="AR115" s="46">
        <f>IFERROR((TABLA_AVANCE_INDICADORES[[#This Row],[DIFERENCIA ABSOLUTA SEMESTRAL]]/TABLA_AVANCE_INDICADORES[[#This Row],[PROG. ACUM]])*100,"N/A")</f>
        <v>0</v>
      </c>
      <c r="AS115"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v>
      </c>
      <c r="AT115" s="40">
        <f>IFERROR((TABLA_AVANCE_INDICADORES[[#This Row],[AVANCE ACUM. ANUAL]]/TABLA_AVANCE_INDICADORES[[#This Row],[PROGRAMADO ANUAL]])*100,"N/A")</f>
        <v>100</v>
      </c>
      <c r="AU115"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ADECUADO</v>
      </c>
      <c r="AV115" s="121">
        <f>TABLA_AVANCE_INDICADORES[[#This Row],[AVANCE ACUM. ANUAL]]-TABLA_AVANCE_INDICADORES[[#This Row],[PROGRAMADO ANUAL]]</f>
        <v>0</v>
      </c>
      <c r="AW115" s="46">
        <f>IFERROR((TABLA_AVANCE_INDICADORES[[#This Row],[DIFERENCIA ABSOLUTA ANUAL]]/TABLA_AVANCE_INDICADORES[[#This Row],[PROGRAMADO ANUAL]])*100,"N/A")</f>
        <v>0</v>
      </c>
      <c r="AX115" s="123" t="s">
        <v>63</v>
      </c>
      <c r="AY115" s="49" t="s">
        <v>63</v>
      </c>
      <c r="AZ115" s="50"/>
      <c r="BA115" s="50"/>
      <c r="BB115"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16" spans="1:54" ht="63" hidden="1" customHeight="1" x14ac:dyDescent="0.3">
      <c r="A116" s="31" t="s">
        <v>1134</v>
      </c>
      <c r="B116" s="113" t="s">
        <v>158</v>
      </c>
      <c r="C116" s="32" t="s">
        <v>75</v>
      </c>
      <c r="D116" s="114" t="s">
        <v>76</v>
      </c>
      <c r="E116" s="32" t="s">
        <v>159</v>
      </c>
      <c r="F116" s="115" t="s">
        <v>160</v>
      </c>
      <c r="G116" s="94" t="s">
        <v>169</v>
      </c>
      <c r="H116" s="94" t="s">
        <v>1094</v>
      </c>
      <c r="I116" s="34" t="s">
        <v>723</v>
      </c>
      <c r="J116" s="34" t="s">
        <v>170</v>
      </c>
      <c r="K116" s="94" t="s">
        <v>171</v>
      </c>
      <c r="L116" s="34" t="s">
        <v>172</v>
      </c>
      <c r="M116" s="94" t="s">
        <v>173</v>
      </c>
      <c r="N116" s="33">
        <v>1</v>
      </c>
      <c r="O116" s="33" t="s">
        <v>858</v>
      </c>
      <c r="P116" s="116" t="s">
        <v>1135</v>
      </c>
      <c r="Q116" s="116" t="s">
        <v>1136</v>
      </c>
      <c r="R116" s="116" t="s">
        <v>1137</v>
      </c>
      <c r="S116" s="56" t="s">
        <v>124</v>
      </c>
      <c r="T116" s="56" t="s">
        <v>728</v>
      </c>
      <c r="U116" s="56" t="s">
        <v>1131</v>
      </c>
      <c r="V116" s="36">
        <v>4</v>
      </c>
      <c r="W116" s="36">
        <v>1</v>
      </c>
      <c r="X116" s="117">
        <v>1</v>
      </c>
      <c r="Y116" s="38">
        <f>IFERROR((TABLA_AVANCE_INDICADORES[[#This Row],[AVANCE 1°. TRIM]]/TABLA_AVANCE_INDICADORES[[#This Row],[PROGR. 1° TRIM]])*100,"0")</f>
        <v>100</v>
      </c>
      <c r="Z116"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116" s="118">
        <v>1</v>
      </c>
      <c r="AB116" s="119">
        <v>1</v>
      </c>
      <c r="AC116" s="40">
        <f t="shared" si="2"/>
        <v>100</v>
      </c>
      <c r="AD116" s="39" t="str">
        <f t="shared" si="3"/>
        <v>ADECUADO</v>
      </c>
      <c r="AE116" s="118">
        <v>1</v>
      </c>
      <c r="AF116" s="119">
        <v>0</v>
      </c>
      <c r="AG116" s="40">
        <f>IFERROR((TABLA_AVANCE_INDICADORES[[#This Row],[AVANCE 3°. TRIM]]/TABLA_AVANCE_INDICADORES[[#This Row],[PROGR. 3° TRIM]])*100,"0")</f>
        <v>0</v>
      </c>
      <c r="AH116"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CRÍTICO</v>
      </c>
      <c r="AI116" s="118">
        <v>1</v>
      </c>
      <c r="AJ116" s="119">
        <v>0</v>
      </c>
      <c r="AK116" s="40">
        <f>IFERROR((TABLA_AVANCE_INDICADORES[[#This Row],[AVANCE 4°. TRIM]]/TABLA_AVANCE_INDICADORES[[#This Row],[PROGR. 4° TRIM]])*100,"0")</f>
        <v>0</v>
      </c>
      <c r="AL116"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116"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2</v>
      </c>
      <c r="AN116"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v>
      </c>
      <c r="AO116" s="40">
        <f>IFERROR((TABLA_AVANCE_INDICADORES[[#This Row],[AVANCE ACUM. TRIM.]]/TABLA_AVANCE_INDICADORES[[#This Row],[PROG. ACUM]])*100,"N/A")</f>
        <v>100</v>
      </c>
      <c r="AP116"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116" s="121">
        <f>TABLA_AVANCE_INDICADORES[[#This Row],[AVANCE ACUM. TRIM.]]-TABLA_AVANCE_INDICADORES[[#This Row],[PROG. ACUM]]</f>
        <v>0</v>
      </c>
      <c r="AR116" s="46">
        <f>IFERROR((TABLA_AVANCE_INDICADORES[[#This Row],[DIFERENCIA ABSOLUTA SEMESTRAL]]/TABLA_AVANCE_INDICADORES[[#This Row],[PROG. ACUM]])*100,"N/A")</f>
        <v>0</v>
      </c>
      <c r="AS116"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v>
      </c>
      <c r="AT116" s="40">
        <f>IFERROR((TABLA_AVANCE_INDICADORES[[#This Row],[AVANCE ACUM. ANUAL]]/TABLA_AVANCE_INDICADORES[[#This Row],[PROGRAMADO ANUAL]])*100,"N/A")</f>
        <v>50</v>
      </c>
      <c r="AU116"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116" s="121">
        <f>TABLA_AVANCE_INDICADORES[[#This Row],[AVANCE ACUM. ANUAL]]-TABLA_AVANCE_INDICADORES[[#This Row],[PROGRAMADO ANUAL]]</f>
        <v>-2</v>
      </c>
      <c r="AW116" s="46">
        <f>IFERROR((TABLA_AVANCE_INDICADORES[[#This Row],[DIFERENCIA ABSOLUTA ANUAL]]/TABLA_AVANCE_INDICADORES[[#This Row],[PROGRAMADO ANUAL]])*100,"N/A")</f>
        <v>-50</v>
      </c>
      <c r="AX116" s="123" t="s">
        <v>63</v>
      </c>
      <c r="AY116" s="49" t="s">
        <v>63</v>
      </c>
      <c r="AZ116" s="50"/>
      <c r="BA116" s="50"/>
      <c r="BB116"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17" spans="1:54" ht="63" hidden="1" customHeight="1" x14ac:dyDescent="0.3">
      <c r="A117" s="31" t="s">
        <v>1138</v>
      </c>
      <c r="B117" s="113" t="s">
        <v>158</v>
      </c>
      <c r="C117" s="32" t="s">
        <v>75</v>
      </c>
      <c r="D117" s="114" t="s">
        <v>76</v>
      </c>
      <c r="E117" s="32" t="s">
        <v>159</v>
      </c>
      <c r="F117" s="115" t="s">
        <v>160</v>
      </c>
      <c r="G117" s="94" t="s">
        <v>169</v>
      </c>
      <c r="H117" s="94" t="s">
        <v>1094</v>
      </c>
      <c r="I117" s="34" t="s">
        <v>723</v>
      </c>
      <c r="J117" s="34" t="s">
        <v>170</v>
      </c>
      <c r="K117" s="94" t="s">
        <v>171</v>
      </c>
      <c r="L117" s="34" t="s">
        <v>172</v>
      </c>
      <c r="M117" s="94" t="s">
        <v>173</v>
      </c>
      <c r="N117" s="33">
        <v>2</v>
      </c>
      <c r="O117" s="33" t="s">
        <v>858</v>
      </c>
      <c r="P117" s="116" t="s">
        <v>1135</v>
      </c>
      <c r="Q117" s="116" t="s">
        <v>1139</v>
      </c>
      <c r="R117" s="116" t="s">
        <v>1137</v>
      </c>
      <c r="S117" s="56" t="s">
        <v>124</v>
      </c>
      <c r="T117" s="56" t="s">
        <v>728</v>
      </c>
      <c r="U117" s="56" t="s">
        <v>1131</v>
      </c>
      <c r="V117" s="36">
        <v>4</v>
      </c>
      <c r="W117" s="36">
        <v>1</v>
      </c>
      <c r="X117" s="127">
        <v>1</v>
      </c>
      <c r="Y117" s="38">
        <f>IFERROR((TABLA_AVANCE_INDICADORES[[#This Row],[AVANCE 1°. TRIM]]/TABLA_AVANCE_INDICADORES[[#This Row],[PROGR. 1° TRIM]])*100,"0")</f>
        <v>100</v>
      </c>
      <c r="Z117"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117" s="118">
        <v>1</v>
      </c>
      <c r="AB117" s="128">
        <v>1</v>
      </c>
      <c r="AC117" s="40">
        <f t="shared" si="2"/>
        <v>100</v>
      </c>
      <c r="AD117" s="39" t="str">
        <f t="shared" si="3"/>
        <v>ADECUADO</v>
      </c>
      <c r="AE117" s="118">
        <v>1</v>
      </c>
      <c r="AF117" s="128">
        <f>AE117</f>
        <v>1</v>
      </c>
      <c r="AG117" s="40">
        <f>IFERROR((TABLA_AVANCE_INDICADORES[[#This Row],[AVANCE 3°. TRIM]]/TABLA_AVANCE_INDICADORES[[#This Row],[PROGR. 3° TRIM]])*100,"0")</f>
        <v>100</v>
      </c>
      <c r="AH117"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ADECUADO</v>
      </c>
      <c r="AI117" s="118">
        <v>1</v>
      </c>
      <c r="AJ117" s="128">
        <f>AI117</f>
        <v>1</v>
      </c>
      <c r="AK117" s="40">
        <f>IFERROR((TABLA_AVANCE_INDICADORES[[#This Row],[AVANCE 4°. TRIM]]/TABLA_AVANCE_INDICADORES[[#This Row],[PROGR. 4° TRIM]])*100,"0")</f>
        <v>100</v>
      </c>
      <c r="AL117"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ADECUADO</v>
      </c>
      <c r="AM117"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2</v>
      </c>
      <c r="AN117"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v>
      </c>
      <c r="AO117" s="40">
        <f>IFERROR((TABLA_AVANCE_INDICADORES[[#This Row],[AVANCE ACUM. TRIM.]]/TABLA_AVANCE_INDICADORES[[#This Row],[PROG. ACUM]])*100,"N/A")</f>
        <v>100</v>
      </c>
      <c r="AP117"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117" s="121">
        <f>TABLA_AVANCE_INDICADORES[[#This Row],[AVANCE ACUM. TRIM.]]-TABLA_AVANCE_INDICADORES[[#This Row],[PROG. ACUM]]</f>
        <v>0</v>
      </c>
      <c r="AR117" s="46">
        <f>IFERROR((TABLA_AVANCE_INDICADORES[[#This Row],[DIFERENCIA ABSOLUTA SEMESTRAL]]/TABLA_AVANCE_INDICADORES[[#This Row],[PROG. ACUM]])*100,"N/A")</f>
        <v>0</v>
      </c>
      <c r="AS117"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v>
      </c>
      <c r="AT117" s="40">
        <f>IFERROR((TABLA_AVANCE_INDICADORES[[#This Row],[AVANCE ACUM. ANUAL]]/TABLA_AVANCE_INDICADORES[[#This Row],[PROGRAMADO ANUAL]])*100,"N/A")</f>
        <v>50</v>
      </c>
      <c r="AU117"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117" s="121">
        <f>TABLA_AVANCE_INDICADORES[[#This Row],[AVANCE ACUM. ANUAL]]-TABLA_AVANCE_INDICADORES[[#This Row],[PROGRAMADO ANUAL]]</f>
        <v>-2</v>
      </c>
      <c r="AW117" s="46">
        <f>IFERROR((TABLA_AVANCE_INDICADORES[[#This Row],[DIFERENCIA ABSOLUTA ANUAL]]/TABLA_AVANCE_INDICADORES[[#This Row],[PROGRAMADO ANUAL]])*100,"N/A")</f>
        <v>-50</v>
      </c>
      <c r="AX117" s="123" t="s">
        <v>63</v>
      </c>
      <c r="AY117" s="49" t="s">
        <v>63</v>
      </c>
      <c r="AZ117" s="50"/>
      <c r="BA117" s="50"/>
      <c r="BB117"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18" spans="1:54" ht="93.75" hidden="1" x14ac:dyDescent="0.3">
      <c r="A118" s="31" t="s">
        <v>1140</v>
      </c>
      <c r="B118" s="113" t="s">
        <v>320</v>
      </c>
      <c r="C118" s="32" t="s">
        <v>214</v>
      </c>
      <c r="D118" s="114" t="s">
        <v>215</v>
      </c>
      <c r="E118" s="32" t="s">
        <v>321</v>
      </c>
      <c r="F118" s="115" t="s">
        <v>322</v>
      </c>
      <c r="G118" s="94" t="s">
        <v>323</v>
      </c>
      <c r="H118" s="94" t="s">
        <v>1114</v>
      </c>
      <c r="I118" s="34" t="s">
        <v>723</v>
      </c>
      <c r="J118" s="34" t="s">
        <v>170</v>
      </c>
      <c r="K118" s="94" t="s">
        <v>171</v>
      </c>
      <c r="L118" s="34" t="s">
        <v>172</v>
      </c>
      <c r="M118" s="94" t="s">
        <v>173</v>
      </c>
      <c r="N118" s="33">
        <v>1</v>
      </c>
      <c r="O118" s="33" t="s">
        <v>1078</v>
      </c>
      <c r="P118" s="116" t="s">
        <v>1141</v>
      </c>
      <c r="Q118" s="116" t="s">
        <v>1116</v>
      </c>
      <c r="R118" s="116" t="s">
        <v>1117</v>
      </c>
      <c r="S118" s="56" t="s">
        <v>222</v>
      </c>
      <c r="T118" s="56" t="s">
        <v>728</v>
      </c>
      <c r="U118" s="56" t="s">
        <v>1131</v>
      </c>
      <c r="V118" s="36">
        <v>4</v>
      </c>
      <c r="W118" s="36">
        <v>1</v>
      </c>
      <c r="X118" s="117">
        <v>1</v>
      </c>
      <c r="Y118" s="38">
        <f>IFERROR((TABLA_AVANCE_INDICADORES[[#This Row],[AVANCE 1°. TRIM]]/TABLA_AVANCE_INDICADORES[[#This Row],[PROGR. 1° TRIM]])*100,"0")</f>
        <v>100</v>
      </c>
      <c r="Z118"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118" s="118">
        <v>1</v>
      </c>
      <c r="AB118" s="119">
        <v>1</v>
      </c>
      <c r="AC118" s="40">
        <f t="shared" si="2"/>
        <v>100</v>
      </c>
      <c r="AD118" s="39" t="str">
        <f t="shared" si="3"/>
        <v>ADECUADO</v>
      </c>
      <c r="AE118" s="118">
        <v>1</v>
      </c>
      <c r="AF118" s="119">
        <v>0</v>
      </c>
      <c r="AG118" s="40">
        <f>IFERROR((TABLA_AVANCE_INDICADORES[[#This Row],[AVANCE 3°. TRIM]]/TABLA_AVANCE_INDICADORES[[#This Row],[PROGR. 3° TRIM]])*100,"0")</f>
        <v>0</v>
      </c>
      <c r="AH118"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CRÍTICO</v>
      </c>
      <c r="AI118" s="118">
        <v>1</v>
      </c>
      <c r="AJ118" s="119">
        <v>0</v>
      </c>
      <c r="AK118" s="40">
        <f>IFERROR((TABLA_AVANCE_INDICADORES[[#This Row],[AVANCE 4°. TRIM]]/TABLA_AVANCE_INDICADORES[[#This Row],[PROGR. 4° TRIM]])*100,"0")</f>
        <v>0</v>
      </c>
      <c r="AL118" s="42"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118"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2</v>
      </c>
      <c r="AN118" s="120">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v>
      </c>
      <c r="AO118" s="40">
        <f>IFERROR((TABLA_AVANCE_INDICADORES[[#This Row],[AVANCE ACUM. TRIM.]]/TABLA_AVANCE_INDICADORES[[#This Row],[PROG. ACUM]])*100,"N/A")</f>
        <v>100</v>
      </c>
      <c r="AP118"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118" s="121">
        <f>TABLA_AVANCE_INDICADORES[[#This Row],[AVANCE ACUM. TRIM.]]-TABLA_AVANCE_INDICADORES[[#This Row],[PROG. ACUM]]</f>
        <v>0</v>
      </c>
      <c r="AR118" s="46">
        <f>IFERROR((TABLA_AVANCE_INDICADORES[[#This Row],[DIFERENCIA ABSOLUTA SEMESTRAL]]/TABLA_AVANCE_INDICADORES[[#This Row],[PROG. ACUM]])*100,"N/A")</f>
        <v>0</v>
      </c>
      <c r="AS118"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v>
      </c>
      <c r="AT118" s="40">
        <f>IFERROR((TABLA_AVANCE_INDICADORES[[#This Row],[AVANCE ACUM. ANUAL]]/TABLA_AVANCE_INDICADORES[[#This Row],[PROGRAMADO ANUAL]])*100,"N/A")</f>
        <v>50</v>
      </c>
      <c r="AU118"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118" s="121">
        <f>TABLA_AVANCE_INDICADORES[[#This Row],[AVANCE ACUM. ANUAL]]-TABLA_AVANCE_INDICADORES[[#This Row],[PROGRAMADO ANUAL]]</f>
        <v>-2</v>
      </c>
      <c r="AW118" s="46">
        <f>IFERROR((TABLA_AVANCE_INDICADORES[[#This Row],[DIFERENCIA ABSOLUTA ANUAL]]/TABLA_AVANCE_INDICADORES[[#This Row],[PROGRAMADO ANUAL]])*100,"N/A")</f>
        <v>-50</v>
      </c>
      <c r="AX118" s="123" t="s">
        <v>63</v>
      </c>
      <c r="AY118" s="49" t="s">
        <v>63</v>
      </c>
      <c r="AZ118" s="50"/>
      <c r="BA118" s="50"/>
      <c r="BB118"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19" spans="1:54" ht="93.75" hidden="1" x14ac:dyDescent="0.3">
      <c r="A119" s="31" t="s">
        <v>1142</v>
      </c>
      <c r="B119" s="113" t="s">
        <v>320</v>
      </c>
      <c r="C119" s="32" t="s">
        <v>214</v>
      </c>
      <c r="D119" s="114" t="s">
        <v>215</v>
      </c>
      <c r="E119" s="32" t="s">
        <v>321</v>
      </c>
      <c r="F119" s="115" t="s">
        <v>322</v>
      </c>
      <c r="G119" s="146" t="s">
        <v>323</v>
      </c>
      <c r="H119" s="94" t="s">
        <v>1114</v>
      </c>
      <c r="I119" s="34" t="s">
        <v>723</v>
      </c>
      <c r="J119" s="34" t="s">
        <v>170</v>
      </c>
      <c r="K119" s="94" t="s">
        <v>171</v>
      </c>
      <c r="L119" s="34" t="s">
        <v>172</v>
      </c>
      <c r="M119" s="94" t="s">
        <v>173</v>
      </c>
      <c r="N119" s="33">
        <v>2</v>
      </c>
      <c r="O119" s="33" t="s">
        <v>1078</v>
      </c>
      <c r="P119" s="125" t="s">
        <v>1141</v>
      </c>
      <c r="Q119" s="125" t="s">
        <v>1120</v>
      </c>
      <c r="R119" s="116" t="s">
        <v>1117</v>
      </c>
      <c r="S119" s="34" t="s">
        <v>222</v>
      </c>
      <c r="T119" s="56" t="s">
        <v>728</v>
      </c>
      <c r="U119" s="56" t="s">
        <v>1131</v>
      </c>
      <c r="V119" s="95">
        <v>4</v>
      </c>
      <c r="W119" s="95">
        <v>1</v>
      </c>
      <c r="X119" s="127">
        <v>1</v>
      </c>
      <c r="Y119" s="38">
        <f>IFERROR((TABLA_AVANCE_INDICADORES[[#This Row],[AVANCE 1°. TRIM]]/TABLA_AVANCE_INDICADORES[[#This Row],[PROGR. 1° TRIM]])*100,"0")</f>
        <v>100</v>
      </c>
      <c r="Z119"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119" s="118">
        <v>1</v>
      </c>
      <c r="AB119" s="128">
        <v>1</v>
      </c>
      <c r="AC119" s="40">
        <f>IFERROR((AB119/AA119)*100,"0")</f>
        <v>100</v>
      </c>
      <c r="AD119" s="39" t="str">
        <f>IF(AND(AC119&gt;=0,AC119&lt;=49.9999999999999),"CRÍTICO",IF(AND(AC119&gt;=50,AC119&lt;=69.9999999999999),"DEFICIENTE",IF(AND(AC119&gt;=70,AC119&lt;=89.9999999999999),"REGULAR",IF(AND(AC119&gt;=90,AC119&lt;=110.999999999999),"ADECUADO",IF(AND(AC119&gt;=111,AC119&lt;=999999),"SOBREPASADO","NO PROG.")))))</f>
        <v>ADECUADO</v>
      </c>
      <c r="AE119" s="118">
        <v>1</v>
      </c>
      <c r="AF119" s="128">
        <f>AE119</f>
        <v>1</v>
      </c>
      <c r="AG119" s="40">
        <f>IFERROR((TABLA_AVANCE_INDICADORES[[#This Row],[AVANCE 3°. TRIM]]/TABLA_AVANCE_INDICADORES[[#This Row],[PROGR. 3° TRIM]])*100,"0")</f>
        <v>100</v>
      </c>
      <c r="AH119"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ADECUADO</v>
      </c>
      <c r="AI119" s="118">
        <v>1</v>
      </c>
      <c r="AJ119" s="128">
        <f>AI119</f>
        <v>1</v>
      </c>
      <c r="AK119" s="96">
        <f>IFERROR((TABLA_AVANCE_INDICADORES[[#This Row],[AVANCE 4°. TRIM]]/TABLA_AVANCE_INDICADORES[[#This Row],[PROGR. 4° TRIM]])*100,"0")</f>
        <v>100</v>
      </c>
      <c r="AL119"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ADECUADO</v>
      </c>
      <c r="AM119"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2</v>
      </c>
      <c r="AN119"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v>
      </c>
      <c r="AO119" s="40">
        <f>IFERROR((TABLA_AVANCE_INDICADORES[[#This Row],[AVANCE ACUM. TRIM.]]/TABLA_AVANCE_INDICADORES[[#This Row],[PROG. ACUM]])*100,"N/A")</f>
        <v>100</v>
      </c>
      <c r="AP119"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119" s="121">
        <f>TABLA_AVANCE_INDICADORES[[#This Row],[AVANCE ACUM. TRIM.]]-TABLA_AVANCE_INDICADORES[[#This Row],[PROG. ACUM]]</f>
        <v>0</v>
      </c>
      <c r="AR119" s="46">
        <f>IFERROR((TABLA_AVANCE_INDICADORES[[#This Row],[DIFERENCIA ABSOLUTA SEMESTRAL]]/TABLA_AVANCE_INDICADORES[[#This Row],[PROG. ACUM]])*100,"N/A")</f>
        <v>0</v>
      </c>
      <c r="AS119"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v>
      </c>
      <c r="AT119" s="40">
        <f>IFERROR((TABLA_AVANCE_INDICADORES[[#This Row],[AVANCE ACUM. ANUAL]]/TABLA_AVANCE_INDICADORES[[#This Row],[PROGRAMADO ANUAL]])*100,"N/A")</f>
        <v>50</v>
      </c>
      <c r="AU119"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119" s="121">
        <f>TABLA_AVANCE_INDICADORES[[#This Row],[AVANCE ACUM. ANUAL]]-TABLA_AVANCE_INDICADORES[[#This Row],[PROGRAMADO ANUAL]]</f>
        <v>-2</v>
      </c>
      <c r="AW119" s="46">
        <f>IFERROR((TABLA_AVANCE_INDICADORES[[#This Row],[DIFERENCIA ABSOLUTA ANUAL]]/TABLA_AVANCE_INDICADORES[[#This Row],[PROGRAMADO ANUAL]])*100,"N/A")</f>
        <v>-50</v>
      </c>
      <c r="AX119" s="148" t="s">
        <v>63</v>
      </c>
      <c r="AY119" s="100" t="s">
        <v>63</v>
      </c>
      <c r="AZ119" s="100"/>
      <c r="BA119" s="100"/>
      <c r="BB119"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20" spans="1:54" ht="93.75" hidden="1" x14ac:dyDescent="0.3">
      <c r="A120" s="31" t="s">
        <v>1143</v>
      </c>
      <c r="B120" s="113" t="s">
        <v>320</v>
      </c>
      <c r="C120" s="32" t="s">
        <v>214</v>
      </c>
      <c r="D120" s="114" t="s">
        <v>215</v>
      </c>
      <c r="E120" s="32" t="s">
        <v>321</v>
      </c>
      <c r="F120" s="115" t="s">
        <v>322</v>
      </c>
      <c r="G120" s="146" t="s">
        <v>323</v>
      </c>
      <c r="H120" s="94" t="s">
        <v>1114</v>
      </c>
      <c r="I120" s="34" t="s">
        <v>723</v>
      </c>
      <c r="J120" s="34" t="s">
        <v>170</v>
      </c>
      <c r="K120" s="94" t="s">
        <v>171</v>
      </c>
      <c r="L120" s="34" t="s">
        <v>172</v>
      </c>
      <c r="M120" s="94" t="s">
        <v>173</v>
      </c>
      <c r="N120" s="33">
        <v>1</v>
      </c>
      <c r="O120" s="33" t="s">
        <v>938</v>
      </c>
      <c r="P120" s="125" t="s">
        <v>1144</v>
      </c>
      <c r="Q120" s="125" t="s">
        <v>1145</v>
      </c>
      <c r="R120" s="116" t="s">
        <v>1146</v>
      </c>
      <c r="S120" s="34" t="s">
        <v>1147</v>
      </c>
      <c r="T120" s="56" t="s">
        <v>728</v>
      </c>
      <c r="U120" s="56" t="s">
        <v>1131</v>
      </c>
      <c r="V120" s="95">
        <v>84</v>
      </c>
      <c r="W120" s="95">
        <v>21</v>
      </c>
      <c r="X120" s="117">
        <v>21</v>
      </c>
      <c r="Y120" s="38">
        <f>IFERROR((TABLA_AVANCE_INDICADORES[[#This Row],[AVANCE 1°. TRIM]]/TABLA_AVANCE_INDICADORES[[#This Row],[PROGR. 1° TRIM]])*100,"0")</f>
        <v>100</v>
      </c>
      <c r="Z120"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120" s="118">
        <v>21</v>
      </c>
      <c r="AB120" s="119">
        <v>21</v>
      </c>
      <c r="AC120" s="40">
        <f t="shared" ref="AC120:AC183" si="4">IFERROR((AB120/AA120)*100,"0")</f>
        <v>100</v>
      </c>
      <c r="AD120" s="39" t="str">
        <f t="shared" ref="AD120:AD183" si="5">IF(AND(AC120&gt;=0,AC120&lt;=49.9999999999999),"CRÍTICO",IF(AND(AC120&gt;=50,AC120&lt;=69.9999999999999),"DEFICIENTE",IF(AND(AC120&gt;=70,AC120&lt;=89.9999999999999),"REGULAR",IF(AND(AC120&gt;=90,AC120&lt;=110.999999999999),"ADECUADO",IF(AND(AC120&gt;=111,AC120&lt;=999999),"SOBREPASADO","NO PROG.")))))</f>
        <v>ADECUADO</v>
      </c>
      <c r="AE120" s="118">
        <v>21</v>
      </c>
      <c r="AF120" s="119">
        <v>0</v>
      </c>
      <c r="AG120" s="40">
        <f>IFERROR((TABLA_AVANCE_INDICADORES[[#This Row],[AVANCE 3°. TRIM]]/TABLA_AVANCE_INDICADORES[[#This Row],[PROGR. 3° TRIM]])*100,"0")</f>
        <v>0</v>
      </c>
      <c r="AH120"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CRÍTICO</v>
      </c>
      <c r="AI120" s="118">
        <v>21</v>
      </c>
      <c r="AJ120" s="119">
        <v>0</v>
      </c>
      <c r="AK120" s="96">
        <f>IFERROR((TABLA_AVANCE_INDICADORES[[#This Row],[AVANCE 4°. TRIM]]/TABLA_AVANCE_INDICADORES[[#This Row],[PROGR. 4° TRIM]])*100,"0")</f>
        <v>0</v>
      </c>
      <c r="AL120"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120"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42</v>
      </c>
      <c r="AN120"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42</v>
      </c>
      <c r="AO120" s="40">
        <f>IFERROR((TABLA_AVANCE_INDICADORES[[#This Row],[AVANCE ACUM. TRIM.]]/TABLA_AVANCE_INDICADORES[[#This Row],[PROG. ACUM]])*100,"N/A")</f>
        <v>100</v>
      </c>
      <c r="AP120"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120" s="121">
        <f>TABLA_AVANCE_INDICADORES[[#This Row],[AVANCE ACUM. TRIM.]]-TABLA_AVANCE_INDICADORES[[#This Row],[PROG. ACUM]]</f>
        <v>0</v>
      </c>
      <c r="AR120" s="46">
        <f>IFERROR((TABLA_AVANCE_INDICADORES[[#This Row],[DIFERENCIA ABSOLUTA SEMESTRAL]]/TABLA_AVANCE_INDICADORES[[#This Row],[PROG. ACUM]])*100,"N/A")</f>
        <v>0</v>
      </c>
      <c r="AS120"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42</v>
      </c>
      <c r="AT120" s="40">
        <f>IFERROR((TABLA_AVANCE_INDICADORES[[#This Row],[AVANCE ACUM. ANUAL]]/TABLA_AVANCE_INDICADORES[[#This Row],[PROGRAMADO ANUAL]])*100,"N/A")</f>
        <v>50</v>
      </c>
      <c r="AU120"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120" s="121">
        <f>TABLA_AVANCE_INDICADORES[[#This Row],[AVANCE ACUM. ANUAL]]-TABLA_AVANCE_INDICADORES[[#This Row],[PROGRAMADO ANUAL]]</f>
        <v>-42</v>
      </c>
      <c r="AW120" s="46">
        <f>IFERROR((TABLA_AVANCE_INDICADORES[[#This Row],[DIFERENCIA ABSOLUTA ANUAL]]/TABLA_AVANCE_INDICADORES[[#This Row],[PROGRAMADO ANUAL]])*100,"N/A")</f>
        <v>-50</v>
      </c>
      <c r="AX120" s="148" t="s">
        <v>63</v>
      </c>
      <c r="AY120" s="100" t="s">
        <v>63</v>
      </c>
      <c r="AZ120" s="100"/>
      <c r="BA120" s="100"/>
      <c r="BB120"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21" spans="1:54" ht="93.75" hidden="1" x14ac:dyDescent="0.3">
      <c r="A121" s="31" t="s">
        <v>1148</v>
      </c>
      <c r="B121" s="113" t="s">
        <v>320</v>
      </c>
      <c r="C121" s="32" t="s">
        <v>214</v>
      </c>
      <c r="D121" s="114" t="s">
        <v>215</v>
      </c>
      <c r="E121" s="32" t="s">
        <v>321</v>
      </c>
      <c r="F121" s="115" t="s">
        <v>322</v>
      </c>
      <c r="G121" s="146" t="s">
        <v>323</v>
      </c>
      <c r="H121" s="94" t="s">
        <v>1114</v>
      </c>
      <c r="I121" s="34" t="s">
        <v>723</v>
      </c>
      <c r="J121" s="34" t="s">
        <v>170</v>
      </c>
      <c r="K121" s="94" t="s">
        <v>171</v>
      </c>
      <c r="L121" s="34" t="s">
        <v>172</v>
      </c>
      <c r="M121" s="94" t="s">
        <v>173</v>
      </c>
      <c r="N121" s="33">
        <v>2</v>
      </c>
      <c r="O121" s="33" t="s">
        <v>938</v>
      </c>
      <c r="P121" s="125" t="s">
        <v>1144</v>
      </c>
      <c r="Q121" s="125" t="s">
        <v>1149</v>
      </c>
      <c r="R121" s="116" t="s">
        <v>1146</v>
      </c>
      <c r="S121" s="34" t="s">
        <v>1147</v>
      </c>
      <c r="T121" s="56" t="s">
        <v>728</v>
      </c>
      <c r="U121" s="56" t="s">
        <v>1131</v>
      </c>
      <c r="V121" s="95">
        <v>84</v>
      </c>
      <c r="W121" s="95">
        <v>21</v>
      </c>
      <c r="X121" s="127">
        <v>21</v>
      </c>
      <c r="Y121" s="38">
        <f>IFERROR((TABLA_AVANCE_INDICADORES[[#This Row],[AVANCE 1°. TRIM]]/TABLA_AVANCE_INDICADORES[[#This Row],[PROGR. 1° TRIM]])*100,"0")</f>
        <v>100</v>
      </c>
      <c r="Z121"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121" s="118">
        <v>21</v>
      </c>
      <c r="AB121" s="128">
        <v>21</v>
      </c>
      <c r="AC121" s="40">
        <f t="shared" si="4"/>
        <v>100</v>
      </c>
      <c r="AD121" s="39" t="str">
        <f t="shared" si="5"/>
        <v>ADECUADO</v>
      </c>
      <c r="AE121" s="118">
        <v>21</v>
      </c>
      <c r="AF121" s="128">
        <f>AE121</f>
        <v>21</v>
      </c>
      <c r="AG121" s="40">
        <f>IFERROR((TABLA_AVANCE_INDICADORES[[#This Row],[AVANCE 3°. TRIM]]/TABLA_AVANCE_INDICADORES[[#This Row],[PROGR. 3° TRIM]])*100,"0")</f>
        <v>100</v>
      </c>
      <c r="AH121"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ADECUADO</v>
      </c>
      <c r="AI121" s="118">
        <v>21</v>
      </c>
      <c r="AJ121" s="128">
        <f>AI121</f>
        <v>21</v>
      </c>
      <c r="AK121" s="96">
        <f>IFERROR((TABLA_AVANCE_INDICADORES[[#This Row],[AVANCE 4°. TRIM]]/TABLA_AVANCE_INDICADORES[[#This Row],[PROGR. 4° TRIM]])*100,"0")</f>
        <v>100</v>
      </c>
      <c r="AL121"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ADECUADO</v>
      </c>
      <c r="AM121"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42</v>
      </c>
      <c r="AN121"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42</v>
      </c>
      <c r="AO121" s="40">
        <f>IFERROR((TABLA_AVANCE_INDICADORES[[#This Row],[AVANCE ACUM. TRIM.]]/TABLA_AVANCE_INDICADORES[[#This Row],[PROG. ACUM]])*100,"N/A")</f>
        <v>100</v>
      </c>
      <c r="AP121"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121" s="121">
        <f>TABLA_AVANCE_INDICADORES[[#This Row],[AVANCE ACUM. TRIM.]]-TABLA_AVANCE_INDICADORES[[#This Row],[PROG. ACUM]]</f>
        <v>0</v>
      </c>
      <c r="AR121" s="46">
        <f>IFERROR((TABLA_AVANCE_INDICADORES[[#This Row],[DIFERENCIA ABSOLUTA SEMESTRAL]]/TABLA_AVANCE_INDICADORES[[#This Row],[PROG. ACUM]])*100,"N/A")</f>
        <v>0</v>
      </c>
      <c r="AS121"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42</v>
      </c>
      <c r="AT121" s="40">
        <f>IFERROR((TABLA_AVANCE_INDICADORES[[#This Row],[AVANCE ACUM. ANUAL]]/TABLA_AVANCE_INDICADORES[[#This Row],[PROGRAMADO ANUAL]])*100,"N/A")</f>
        <v>50</v>
      </c>
      <c r="AU121"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121" s="121">
        <f>TABLA_AVANCE_INDICADORES[[#This Row],[AVANCE ACUM. ANUAL]]-TABLA_AVANCE_INDICADORES[[#This Row],[PROGRAMADO ANUAL]]</f>
        <v>-42</v>
      </c>
      <c r="AW121" s="46">
        <f>IFERROR((TABLA_AVANCE_INDICADORES[[#This Row],[DIFERENCIA ABSOLUTA ANUAL]]/TABLA_AVANCE_INDICADORES[[#This Row],[PROGRAMADO ANUAL]])*100,"N/A")</f>
        <v>-50</v>
      </c>
      <c r="AX121" s="148" t="s">
        <v>63</v>
      </c>
      <c r="AY121" s="100" t="s">
        <v>63</v>
      </c>
      <c r="AZ121" s="100"/>
      <c r="BA121" s="100"/>
      <c r="BB121"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22" spans="1:54" ht="93.75" hidden="1" x14ac:dyDescent="0.3">
      <c r="A122" s="31" t="s">
        <v>1150</v>
      </c>
      <c r="B122" s="113" t="s">
        <v>320</v>
      </c>
      <c r="C122" s="32" t="s">
        <v>214</v>
      </c>
      <c r="D122" s="114" t="s">
        <v>215</v>
      </c>
      <c r="E122" s="32" t="s">
        <v>321</v>
      </c>
      <c r="F122" s="115" t="s">
        <v>322</v>
      </c>
      <c r="G122" s="146" t="s">
        <v>323</v>
      </c>
      <c r="H122" s="94" t="s">
        <v>1114</v>
      </c>
      <c r="I122" s="34" t="s">
        <v>723</v>
      </c>
      <c r="J122" s="34" t="s">
        <v>170</v>
      </c>
      <c r="K122" s="94" t="s">
        <v>171</v>
      </c>
      <c r="L122" s="34" t="s">
        <v>172</v>
      </c>
      <c r="M122" s="94" t="s">
        <v>173</v>
      </c>
      <c r="N122" s="33">
        <v>1</v>
      </c>
      <c r="O122" s="33" t="s">
        <v>945</v>
      </c>
      <c r="P122" s="125" t="s">
        <v>1151</v>
      </c>
      <c r="Q122" s="125" t="s">
        <v>1152</v>
      </c>
      <c r="R122" s="116" t="s">
        <v>1153</v>
      </c>
      <c r="S122" s="34" t="s">
        <v>328</v>
      </c>
      <c r="T122" s="56" t="s">
        <v>728</v>
      </c>
      <c r="U122" s="56" t="s">
        <v>755</v>
      </c>
      <c r="V122" s="95">
        <v>600</v>
      </c>
      <c r="W122" s="95">
        <v>150</v>
      </c>
      <c r="X122" s="117">
        <v>150</v>
      </c>
      <c r="Y122" s="38">
        <f>IFERROR((TABLA_AVANCE_INDICADORES[[#This Row],[AVANCE 1°. TRIM]]/TABLA_AVANCE_INDICADORES[[#This Row],[PROGR. 1° TRIM]])*100,"0")</f>
        <v>100</v>
      </c>
      <c r="Z122"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122" s="118">
        <v>150</v>
      </c>
      <c r="AB122" s="119">
        <v>150</v>
      </c>
      <c r="AC122" s="40">
        <f t="shared" si="4"/>
        <v>100</v>
      </c>
      <c r="AD122" s="39" t="str">
        <f t="shared" si="5"/>
        <v>ADECUADO</v>
      </c>
      <c r="AE122" s="118">
        <v>150</v>
      </c>
      <c r="AF122" s="119">
        <v>0</v>
      </c>
      <c r="AG122" s="40">
        <f>IFERROR((TABLA_AVANCE_INDICADORES[[#This Row],[AVANCE 3°. TRIM]]/TABLA_AVANCE_INDICADORES[[#This Row],[PROGR. 3° TRIM]])*100,"0")</f>
        <v>0</v>
      </c>
      <c r="AH122"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CRÍTICO</v>
      </c>
      <c r="AI122" s="118">
        <v>150</v>
      </c>
      <c r="AJ122" s="119">
        <v>0</v>
      </c>
      <c r="AK122" s="96">
        <f>IFERROR((TABLA_AVANCE_INDICADORES[[#This Row],[AVANCE 4°. TRIM]]/TABLA_AVANCE_INDICADORES[[#This Row],[PROGR. 4° TRIM]])*100,"0")</f>
        <v>0</v>
      </c>
      <c r="AL122"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122"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300</v>
      </c>
      <c r="AN122"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300</v>
      </c>
      <c r="AO122" s="40">
        <f>IFERROR((TABLA_AVANCE_INDICADORES[[#This Row],[AVANCE ACUM. TRIM.]]/TABLA_AVANCE_INDICADORES[[#This Row],[PROG. ACUM]])*100,"N/A")</f>
        <v>100</v>
      </c>
      <c r="AP122"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122" s="121">
        <f>TABLA_AVANCE_INDICADORES[[#This Row],[AVANCE ACUM. TRIM.]]-TABLA_AVANCE_INDICADORES[[#This Row],[PROG. ACUM]]</f>
        <v>0</v>
      </c>
      <c r="AR122" s="46">
        <f>IFERROR((TABLA_AVANCE_INDICADORES[[#This Row],[DIFERENCIA ABSOLUTA SEMESTRAL]]/TABLA_AVANCE_INDICADORES[[#This Row],[PROG. ACUM]])*100,"N/A")</f>
        <v>0</v>
      </c>
      <c r="AS122"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300</v>
      </c>
      <c r="AT122" s="40">
        <f>IFERROR((TABLA_AVANCE_INDICADORES[[#This Row],[AVANCE ACUM. ANUAL]]/TABLA_AVANCE_INDICADORES[[#This Row],[PROGRAMADO ANUAL]])*100,"N/A")</f>
        <v>50</v>
      </c>
      <c r="AU122"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122" s="121">
        <f>TABLA_AVANCE_INDICADORES[[#This Row],[AVANCE ACUM. ANUAL]]-TABLA_AVANCE_INDICADORES[[#This Row],[PROGRAMADO ANUAL]]</f>
        <v>-300</v>
      </c>
      <c r="AW122" s="46">
        <f>IFERROR((TABLA_AVANCE_INDICADORES[[#This Row],[DIFERENCIA ABSOLUTA ANUAL]]/TABLA_AVANCE_INDICADORES[[#This Row],[PROGRAMADO ANUAL]])*100,"N/A")</f>
        <v>-50</v>
      </c>
      <c r="AX122" s="148" t="s">
        <v>63</v>
      </c>
      <c r="AY122" s="100" t="s">
        <v>63</v>
      </c>
      <c r="AZ122" s="100"/>
      <c r="BA122" s="100"/>
      <c r="BB122"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23" spans="1:54" ht="93.75" hidden="1" x14ac:dyDescent="0.3">
      <c r="A123" s="31" t="s">
        <v>1154</v>
      </c>
      <c r="B123" s="113" t="s">
        <v>320</v>
      </c>
      <c r="C123" s="32" t="s">
        <v>214</v>
      </c>
      <c r="D123" s="114" t="s">
        <v>215</v>
      </c>
      <c r="E123" s="32" t="s">
        <v>321</v>
      </c>
      <c r="F123" s="115" t="s">
        <v>322</v>
      </c>
      <c r="G123" s="146" t="s">
        <v>323</v>
      </c>
      <c r="H123" s="94" t="s">
        <v>1114</v>
      </c>
      <c r="I123" s="34" t="s">
        <v>723</v>
      </c>
      <c r="J123" s="34" t="s">
        <v>170</v>
      </c>
      <c r="K123" s="94" t="s">
        <v>171</v>
      </c>
      <c r="L123" s="34" t="s">
        <v>172</v>
      </c>
      <c r="M123" s="94" t="s">
        <v>173</v>
      </c>
      <c r="N123" s="33">
        <v>2</v>
      </c>
      <c r="O123" s="33" t="s">
        <v>945</v>
      </c>
      <c r="P123" s="125" t="s">
        <v>1151</v>
      </c>
      <c r="Q123" s="125" t="s">
        <v>1155</v>
      </c>
      <c r="R123" s="116" t="s">
        <v>1153</v>
      </c>
      <c r="S123" s="34" t="s">
        <v>328</v>
      </c>
      <c r="T123" s="56" t="s">
        <v>728</v>
      </c>
      <c r="U123" s="56" t="s">
        <v>755</v>
      </c>
      <c r="V123" s="95">
        <v>600</v>
      </c>
      <c r="W123" s="95">
        <v>150</v>
      </c>
      <c r="X123" s="117">
        <v>150</v>
      </c>
      <c r="Y123" s="38">
        <f>IFERROR((TABLA_AVANCE_INDICADORES[[#This Row],[AVANCE 1°. TRIM]]/TABLA_AVANCE_INDICADORES[[#This Row],[PROGR. 1° TRIM]])*100,"0")</f>
        <v>100</v>
      </c>
      <c r="Z123"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123" s="118">
        <v>150</v>
      </c>
      <c r="AB123" s="119">
        <v>150</v>
      </c>
      <c r="AC123" s="40">
        <f t="shared" si="4"/>
        <v>100</v>
      </c>
      <c r="AD123" s="39" t="str">
        <f t="shared" si="5"/>
        <v>ADECUADO</v>
      </c>
      <c r="AE123" s="118">
        <v>150</v>
      </c>
      <c r="AF123" s="119">
        <v>0</v>
      </c>
      <c r="AG123" s="40">
        <f>IFERROR((TABLA_AVANCE_INDICADORES[[#This Row],[AVANCE 3°. TRIM]]/TABLA_AVANCE_INDICADORES[[#This Row],[PROGR. 3° TRIM]])*100,"0")</f>
        <v>0</v>
      </c>
      <c r="AH123"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CRÍTICO</v>
      </c>
      <c r="AI123" s="118">
        <v>150</v>
      </c>
      <c r="AJ123" s="119">
        <v>0</v>
      </c>
      <c r="AK123" s="96">
        <f>IFERROR((TABLA_AVANCE_INDICADORES[[#This Row],[AVANCE 4°. TRIM]]/TABLA_AVANCE_INDICADORES[[#This Row],[PROGR. 4° TRIM]])*100,"0")</f>
        <v>0</v>
      </c>
      <c r="AL123"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123"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300</v>
      </c>
      <c r="AN123"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300</v>
      </c>
      <c r="AO123" s="40">
        <f>IFERROR((TABLA_AVANCE_INDICADORES[[#This Row],[AVANCE ACUM. TRIM.]]/TABLA_AVANCE_INDICADORES[[#This Row],[PROG. ACUM]])*100,"N/A")</f>
        <v>100</v>
      </c>
      <c r="AP123"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123" s="121">
        <f>TABLA_AVANCE_INDICADORES[[#This Row],[AVANCE ACUM. TRIM.]]-TABLA_AVANCE_INDICADORES[[#This Row],[PROG. ACUM]]</f>
        <v>0</v>
      </c>
      <c r="AR123" s="46">
        <f>IFERROR((TABLA_AVANCE_INDICADORES[[#This Row],[DIFERENCIA ABSOLUTA SEMESTRAL]]/TABLA_AVANCE_INDICADORES[[#This Row],[PROG. ACUM]])*100,"N/A")</f>
        <v>0</v>
      </c>
      <c r="AS123"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300</v>
      </c>
      <c r="AT123" s="40">
        <f>IFERROR((TABLA_AVANCE_INDICADORES[[#This Row],[AVANCE ACUM. ANUAL]]/TABLA_AVANCE_INDICADORES[[#This Row],[PROGRAMADO ANUAL]])*100,"N/A")</f>
        <v>50</v>
      </c>
      <c r="AU123"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123" s="121">
        <f>TABLA_AVANCE_INDICADORES[[#This Row],[AVANCE ACUM. ANUAL]]-TABLA_AVANCE_INDICADORES[[#This Row],[PROGRAMADO ANUAL]]</f>
        <v>-300</v>
      </c>
      <c r="AW123" s="46">
        <f>IFERROR((TABLA_AVANCE_INDICADORES[[#This Row],[DIFERENCIA ABSOLUTA ANUAL]]/TABLA_AVANCE_INDICADORES[[#This Row],[PROGRAMADO ANUAL]])*100,"N/A")</f>
        <v>-50</v>
      </c>
      <c r="AX123" s="148" t="s">
        <v>63</v>
      </c>
      <c r="AY123" s="100" t="s">
        <v>63</v>
      </c>
      <c r="AZ123" s="100"/>
      <c r="BA123" s="100"/>
      <c r="BB123"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24" spans="1:54" ht="225" hidden="1" x14ac:dyDescent="0.3">
      <c r="A124" s="31" t="s">
        <v>1156</v>
      </c>
      <c r="B124" s="113" t="s">
        <v>213</v>
      </c>
      <c r="C124" s="32" t="s">
        <v>214</v>
      </c>
      <c r="D124" s="114" t="s">
        <v>215</v>
      </c>
      <c r="E124" s="32" t="s">
        <v>254</v>
      </c>
      <c r="F124" s="115" t="s">
        <v>255</v>
      </c>
      <c r="G124" s="146" t="s">
        <v>333</v>
      </c>
      <c r="H124" s="94" t="s">
        <v>1157</v>
      </c>
      <c r="I124" s="34" t="s">
        <v>1158</v>
      </c>
      <c r="J124" s="34" t="s">
        <v>334</v>
      </c>
      <c r="K124" s="94" t="s">
        <v>335</v>
      </c>
      <c r="L124" s="34" t="s">
        <v>336</v>
      </c>
      <c r="M124" s="94" t="s">
        <v>337</v>
      </c>
      <c r="N124" s="33">
        <v>1</v>
      </c>
      <c r="O124" s="33" t="s">
        <v>724</v>
      </c>
      <c r="P124" s="125" t="s">
        <v>1159</v>
      </c>
      <c r="Q124" s="125" t="s">
        <v>1160</v>
      </c>
      <c r="R124" s="116" t="s">
        <v>1161</v>
      </c>
      <c r="S124" s="34" t="s">
        <v>185</v>
      </c>
      <c r="T124" s="56" t="s">
        <v>728</v>
      </c>
      <c r="U124" s="56" t="s">
        <v>739</v>
      </c>
      <c r="V124" s="95">
        <v>1354</v>
      </c>
      <c r="W124" s="95">
        <v>0</v>
      </c>
      <c r="X124" s="117">
        <v>0</v>
      </c>
      <c r="Y124" s="38" t="str">
        <f>IFERROR((TABLA_AVANCE_INDICADORES[[#This Row],[AVANCE 1°. TRIM]]/TABLA_AVANCE_INDICADORES[[#This Row],[PROGR. 1° TRIM]])*100,"0")</f>
        <v>0</v>
      </c>
      <c r="Z124"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124" s="118">
        <v>0</v>
      </c>
      <c r="AB124" s="119">
        <v>0</v>
      </c>
      <c r="AC124" s="40" t="str">
        <f t="shared" si="4"/>
        <v>0</v>
      </c>
      <c r="AD124" s="39" t="str">
        <f t="shared" si="5"/>
        <v>NO PROG.</v>
      </c>
      <c r="AE124" s="118">
        <v>0</v>
      </c>
      <c r="AF124" s="119">
        <v>0</v>
      </c>
      <c r="AG124" s="40" t="str">
        <f>IFERROR((TABLA_AVANCE_INDICADORES[[#This Row],[AVANCE 3°. TRIM]]/TABLA_AVANCE_INDICADORES[[#This Row],[PROGR. 3° TRIM]])*100,"0")</f>
        <v>0</v>
      </c>
      <c r="AH124"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124" s="118">
        <v>1354</v>
      </c>
      <c r="AJ124" s="119">
        <v>0</v>
      </c>
      <c r="AK124" s="96">
        <f>IFERROR((TABLA_AVANCE_INDICADORES[[#This Row],[AVANCE 4°. TRIM]]/TABLA_AVANCE_INDICADORES[[#This Row],[PROGR. 4° TRIM]])*100,"0")</f>
        <v>0</v>
      </c>
      <c r="AL124"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124"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0</v>
      </c>
      <c r="AN124"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O124" s="40" t="str">
        <f>IFERROR((TABLA_AVANCE_INDICADORES[[#This Row],[AVANCE ACUM. TRIM.]]/TABLA_AVANCE_INDICADORES[[#This Row],[PROG. ACUM]])*100,"N/A")</f>
        <v>N/A</v>
      </c>
      <c r="AP124"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NO PROG.</v>
      </c>
      <c r="AQ124" s="121">
        <f>TABLA_AVANCE_INDICADORES[[#This Row],[AVANCE ACUM. TRIM.]]-TABLA_AVANCE_INDICADORES[[#This Row],[PROG. ACUM]]</f>
        <v>0</v>
      </c>
      <c r="AR124" s="46" t="str">
        <f>IFERROR((TABLA_AVANCE_INDICADORES[[#This Row],[DIFERENCIA ABSOLUTA SEMESTRAL]]/TABLA_AVANCE_INDICADORES[[#This Row],[PROG. ACUM]])*100,"N/A")</f>
        <v>N/A</v>
      </c>
      <c r="AS124"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T124" s="40">
        <f>IFERROR((TABLA_AVANCE_INDICADORES[[#This Row],[AVANCE ACUM. ANUAL]]/TABLA_AVANCE_INDICADORES[[#This Row],[PROGRAMADO ANUAL]])*100,"N/A")</f>
        <v>0</v>
      </c>
      <c r="AU124"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124" s="121">
        <f>TABLA_AVANCE_INDICADORES[[#This Row],[AVANCE ACUM. ANUAL]]-TABLA_AVANCE_INDICADORES[[#This Row],[PROGRAMADO ANUAL]]</f>
        <v>-1354</v>
      </c>
      <c r="AW124" s="46">
        <f>IFERROR((TABLA_AVANCE_INDICADORES[[#This Row],[DIFERENCIA ABSOLUTA ANUAL]]/TABLA_AVANCE_INDICADORES[[#This Row],[PROGRAMADO ANUAL]])*100,"N/A")</f>
        <v>-100</v>
      </c>
      <c r="AX124" s="148" t="s">
        <v>63</v>
      </c>
      <c r="AY124" s="100" t="s">
        <v>63</v>
      </c>
      <c r="AZ124" s="100"/>
      <c r="BA124" s="100"/>
      <c r="BB124"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25" spans="1:54" ht="225" hidden="1" x14ac:dyDescent="0.3">
      <c r="A125" s="31" t="s">
        <v>1162</v>
      </c>
      <c r="B125" s="113" t="s">
        <v>213</v>
      </c>
      <c r="C125" s="32" t="s">
        <v>214</v>
      </c>
      <c r="D125" s="114" t="s">
        <v>215</v>
      </c>
      <c r="E125" s="32" t="s">
        <v>254</v>
      </c>
      <c r="F125" s="115" t="s">
        <v>255</v>
      </c>
      <c r="G125" s="146" t="s">
        <v>333</v>
      </c>
      <c r="H125" s="94" t="s">
        <v>1157</v>
      </c>
      <c r="I125" s="34" t="s">
        <v>1158</v>
      </c>
      <c r="J125" s="34" t="s">
        <v>334</v>
      </c>
      <c r="K125" s="94" t="s">
        <v>335</v>
      </c>
      <c r="L125" s="34" t="s">
        <v>336</v>
      </c>
      <c r="M125" s="94" t="s">
        <v>337</v>
      </c>
      <c r="N125" s="33">
        <v>2</v>
      </c>
      <c r="O125" s="33" t="s">
        <v>724</v>
      </c>
      <c r="P125" s="125" t="s">
        <v>1159</v>
      </c>
      <c r="Q125" s="125" t="s">
        <v>1163</v>
      </c>
      <c r="R125" s="116" t="s">
        <v>1161</v>
      </c>
      <c r="S125" s="34" t="s">
        <v>185</v>
      </c>
      <c r="T125" s="56" t="s">
        <v>728</v>
      </c>
      <c r="U125" s="56" t="s">
        <v>739</v>
      </c>
      <c r="V125" s="95">
        <v>1266</v>
      </c>
      <c r="W125" s="95">
        <v>0</v>
      </c>
      <c r="X125" s="117">
        <v>0</v>
      </c>
      <c r="Y125" s="38" t="str">
        <f>IFERROR((TABLA_AVANCE_INDICADORES[[#This Row],[AVANCE 1°. TRIM]]/TABLA_AVANCE_INDICADORES[[#This Row],[PROGR. 1° TRIM]])*100,"0")</f>
        <v>0</v>
      </c>
      <c r="Z125"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125" s="118">
        <v>0</v>
      </c>
      <c r="AB125" s="119">
        <v>0</v>
      </c>
      <c r="AC125" s="40" t="str">
        <f t="shared" si="4"/>
        <v>0</v>
      </c>
      <c r="AD125" s="39" t="str">
        <f t="shared" si="5"/>
        <v>NO PROG.</v>
      </c>
      <c r="AE125" s="118">
        <v>0</v>
      </c>
      <c r="AF125" s="119">
        <v>0</v>
      </c>
      <c r="AG125" s="40" t="str">
        <f>IFERROR((TABLA_AVANCE_INDICADORES[[#This Row],[AVANCE 3°. TRIM]]/TABLA_AVANCE_INDICADORES[[#This Row],[PROGR. 3° TRIM]])*100,"0")</f>
        <v>0</v>
      </c>
      <c r="AH125"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125" s="118">
        <v>1266</v>
      </c>
      <c r="AJ125" s="126">
        <v>1266</v>
      </c>
      <c r="AK125" s="96">
        <f>IFERROR((TABLA_AVANCE_INDICADORES[[#This Row],[AVANCE 4°. TRIM]]/TABLA_AVANCE_INDICADORES[[#This Row],[PROGR. 4° TRIM]])*100,"0")</f>
        <v>100</v>
      </c>
      <c r="AL125"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ADECUADO</v>
      </c>
      <c r="AM125"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0</v>
      </c>
      <c r="AN125"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O125" s="40" t="str">
        <f>IFERROR((TABLA_AVANCE_INDICADORES[[#This Row],[AVANCE ACUM. TRIM.]]/TABLA_AVANCE_INDICADORES[[#This Row],[PROG. ACUM]])*100,"N/A")</f>
        <v>N/A</v>
      </c>
      <c r="AP125"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NO PROG.</v>
      </c>
      <c r="AQ125" s="121">
        <f>TABLA_AVANCE_INDICADORES[[#This Row],[AVANCE ACUM. TRIM.]]-TABLA_AVANCE_INDICADORES[[#This Row],[PROG. ACUM]]</f>
        <v>0</v>
      </c>
      <c r="AR125" s="46" t="str">
        <f>IFERROR((TABLA_AVANCE_INDICADORES[[#This Row],[DIFERENCIA ABSOLUTA SEMESTRAL]]/TABLA_AVANCE_INDICADORES[[#This Row],[PROG. ACUM]])*100,"N/A")</f>
        <v>N/A</v>
      </c>
      <c r="AS125"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T125" s="40">
        <f>IFERROR((TABLA_AVANCE_INDICADORES[[#This Row],[AVANCE ACUM. ANUAL]]/TABLA_AVANCE_INDICADORES[[#This Row],[PROGRAMADO ANUAL]])*100,"N/A")</f>
        <v>0</v>
      </c>
      <c r="AU125"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125" s="121">
        <f>TABLA_AVANCE_INDICADORES[[#This Row],[AVANCE ACUM. ANUAL]]-TABLA_AVANCE_INDICADORES[[#This Row],[PROGRAMADO ANUAL]]</f>
        <v>-1266</v>
      </c>
      <c r="AW125" s="46">
        <f>IFERROR((TABLA_AVANCE_INDICADORES[[#This Row],[DIFERENCIA ABSOLUTA ANUAL]]/TABLA_AVANCE_INDICADORES[[#This Row],[PROGRAMADO ANUAL]])*100,"N/A")</f>
        <v>-100</v>
      </c>
      <c r="AX125" s="148" t="s">
        <v>63</v>
      </c>
      <c r="AY125" s="100" t="s">
        <v>63</v>
      </c>
      <c r="AZ125" s="100"/>
      <c r="BA125" s="100"/>
      <c r="BB125"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26" spans="1:54" ht="168.75" hidden="1" x14ac:dyDescent="0.3">
      <c r="A126" s="31" t="s">
        <v>1164</v>
      </c>
      <c r="B126" s="113" t="s">
        <v>213</v>
      </c>
      <c r="C126" s="32" t="s">
        <v>214</v>
      </c>
      <c r="D126" s="114" t="s">
        <v>215</v>
      </c>
      <c r="E126" s="32" t="s">
        <v>254</v>
      </c>
      <c r="F126" s="115" t="s">
        <v>255</v>
      </c>
      <c r="G126" s="146" t="s">
        <v>333</v>
      </c>
      <c r="H126" s="94" t="s">
        <v>1157</v>
      </c>
      <c r="I126" s="34" t="s">
        <v>1158</v>
      </c>
      <c r="J126" s="34" t="s">
        <v>334</v>
      </c>
      <c r="K126" s="94" t="s">
        <v>335</v>
      </c>
      <c r="L126" s="34" t="s">
        <v>336</v>
      </c>
      <c r="M126" s="94" t="s">
        <v>337</v>
      </c>
      <c r="N126" s="33">
        <v>1</v>
      </c>
      <c r="O126" s="33" t="s">
        <v>734</v>
      </c>
      <c r="P126" s="125" t="s">
        <v>1165</v>
      </c>
      <c r="Q126" s="125" t="s">
        <v>1166</v>
      </c>
      <c r="R126" s="116" t="s">
        <v>1167</v>
      </c>
      <c r="S126" s="34" t="s">
        <v>185</v>
      </c>
      <c r="T126" s="56" t="s">
        <v>728</v>
      </c>
      <c r="U126" s="56" t="s">
        <v>739</v>
      </c>
      <c r="V126" s="95">
        <v>1354</v>
      </c>
      <c r="W126" s="95">
        <v>0</v>
      </c>
      <c r="X126" s="117">
        <v>0</v>
      </c>
      <c r="Y126" s="38" t="str">
        <f>IFERROR((TABLA_AVANCE_INDICADORES[[#This Row],[AVANCE 1°. TRIM]]/TABLA_AVANCE_INDICADORES[[#This Row],[PROGR. 1° TRIM]])*100,"0")</f>
        <v>0</v>
      </c>
      <c r="Z126"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126" s="118">
        <v>0</v>
      </c>
      <c r="AB126" s="119">
        <v>0</v>
      </c>
      <c r="AC126" s="40" t="str">
        <f t="shared" si="4"/>
        <v>0</v>
      </c>
      <c r="AD126" s="39" t="str">
        <f t="shared" si="5"/>
        <v>NO PROG.</v>
      </c>
      <c r="AE126" s="118">
        <v>0</v>
      </c>
      <c r="AF126" s="119">
        <v>0</v>
      </c>
      <c r="AG126" s="40" t="str">
        <f>IFERROR((TABLA_AVANCE_INDICADORES[[#This Row],[AVANCE 3°. TRIM]]/TABLA_AVANCE_INDICADORES[[#This Row],[PROGR. 3° TRIM]])*100,"0")</f>
        <v>0</v>
      </c>
      <c r="AH126"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126" s="118">
        <v>1354</v>
      </c>
      <c r="AJ126" s="119">
        <v>0</v>
      </c>
      <c r="AK126" s="96">
        <f>IFERROR((TABLA_AVANCE_INDICADORES[[#This Row],[AVANCE 4°. TRIM]]/TABLA_AVANCE_INDICADORES[[#This Row],[PROGR. 4° TRIM]])*100,"0")</f>
        <v>0</v>
      </c>
      <c r="AL126"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126"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0</v>
      </c>
      <c r="AN126"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O126" s="40" t="str">
        <f>IFERROR((TABLA_AVANCE_INDICADORES[[#This Row],[AVANCE ACUM. TRIM.]]/TABLA_AVANCE_INDICADORES[[#This Row],[PROG. ACUM]])*100,"N/A")</f>
        <v>N/A</v>
      </c>
      <c r="AP126"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NO PROG.</v>
      </c>
      <c r="AQ126" s="121">
        <f>TABLA_AVANCE_INDICADORES[[#This Row],[AVANCE ACUM. TRIM.]]-TABLA_AVANCE_INDICADORES[[#This Row],[PROG. ACUM]]</f>
        <v>0</v>
      </c>
      <c r="AR126" s="46" t="str">
        <f>IFERROR((TABLA_AVANCE_INDICADORES[[#This Row],[DIFERENCIA ABSOLUTA SEMESTRAL]]/TABLA_AVANCE_INDICADORES[[#This Row],[PROG. ACUM]])*100,"N/A")</f>
        <v>N/A</v>
      </c>
      <c r="AS126"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T126" s="40">
        <f>IFERROR((TABLA_AVANCE_INDICADORES[[#This Row],[AVANCE ACUM. ANUAL]]/TABLA_AVANCE_INDICADORES[[#This Row],[PROGRAMADO ANUAL]])*100,"N/A")</f>
        <v>0</v>
      </c>
      <c r="AU126"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126" s="121">
        <f>TABLA_AVANCE_INDICADORES[[#This Row],[AVANCE ACUM. ANUAL]]-TABLA_AVANCE_INDICADORES[[#This Row],[PROGRAMADO ANUAL]]</f>
        <v>-1354</v>
      </c>
      <c r="AW126" s="46">
        <f>IFERROR((TABLA_AVANCE_INDICADORES[[#This Row],[DIFERENCIA ABSOLUTA ANUAL]]/TABLA_AVANCE_INDICADORES[[#This Row],[PROGRAMADO ANUAL]])*100,"N/A")</f>
        <v>-100</v>
      </c>
      <c r="AX126" s="148" t="s">
        <v>63</v>
      </c>
      <c r="AY126" s="100" t="s">
        <v>63</v>
      </c>
      <c r="AZ126" s="100"/>
      <c r="BA126" s="100"/>
      <c r="BB126"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27" spans="1:54" ht="168.75" hidden="1" x14ac:dyDescent="0.3">
      <c r="A127" s="31" t="s">
        <v>1168</v>
      </c>
      <c r="B127" s="113" t="s">
        <v>213</v>
      </c>
      <c r="C127" s="32" t="s">
        <v>214</v>
      </c>
      <c r="D127" s="114" t="s">
        <v>215</v>
      </c>
      <c r="E127" s="32" t="s">
        <v>254</v>
      </c>
      <c r="F127" s="115" t="s">
        <v>255</v>
      </c>
      <c r="G127" s="146" t="s">
        <v>333</v>
      </c>
      <c r="H127" s="94" t="s">
        <v>1157</v>
      </c>
      <c r="I127" s="34" t="s">
        <v>1158</v>
      </c>
      <c r="J127" s="34" t="s">
        <v>334</v>
      </c>
      <c r="K127" s="94" t="s">
        <v>335</v>
      </c>
      <c r="L127" s="34" t="s">
        <v>336</v>
      </c>
      <c r="M127" s="94" t="s">
        <v>337</v>
      </c>
      <c r="N127" s="33">
        <v>2</v>
      </c>
      <c r="O127" s="33" t="s">
        <v>734</v>
      </c>
      <c r="P127" s="125" t="s">
        <v>1165</v>
      </c>
      <c r="Q127" s="125" t="s">
        <v>1169</v>
      </c>
      <c r="R127" s="116" t="s">
        <v>1167</v>
      </c>
      <c r="S127" s="34" t="s">
        <v>1170</v>
      </c>
      <c r="T127" s="56" t="s">
        <v>728</v>
      </c>
      <c r="U127" s="56" t="s">
        <v>739</v>
      </c>
      <c r="V127" s="95">
        <v>555163</v>
      </c>
      <c r="W127" s="95">
        <v>0</v>
      </c>
      <c r="X127" s="117">
        <v>0</v>
      </c>
      <c r="Y127" s="38" t="str">
        <f>IFERROR((TABLA_AVANCE_INDICADORES[[#This Row],[AVANCE 1°. TRIM]]/TABLA_AVANCE_INDICADORES[[#This Row],[PROGR. 1° TRIM]])*100,"0")</f>
        <v>0</v>
      </c>
      <c r="Z127"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127" s="118">
        <v>0</v>
      </c>
      <c r="AB127" s="119">
        <v>0</v>
      </c>
      <c r="AC127" s="40" t="str">
        <f t="shared" si="4"/>
        <v>0</v>
      </c>
      <c r="AD127" s="39" t="str">
        <f t="shared" si="5"/>
        <v>NO PROG.</v>
      </c>
      <c r="AE127" s="118">
        <v>0</v>
      </c>
      <c r="AF127" s="119">
        <v>0</v>
      </c>
      <c r="AG127" s="40" t="str">
        <f>IFERROR((TABLA_AVANCE_INDICADORES[[#This Row],[AVANCE 3°. TRIM]]/TABLA_AVANCE_INDICADORES[[#This Row],[PROGR. 3° TRIM]])*100,"0")</f>
        <v>0</v>
      </c>
      <c r="AH127"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127" s="118">
        <v>555163</v>
      </c>
      <c r="AJ127" s="119">
        <v>0</v>
      </c>
      <c r="AK127" s="96">
        <f>IFERROR((TABLA_AVANCE_INDICADORES[[#This Row],[AVANCE 4°. TRIM]]/TABLA_AVANCE_INDICADORES[[#This Row],[PROGR. 4° TRIM]])*100,"0")</f>
        <v>0</v>
      </c>
      <c r="AL127"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127"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0</v>
      </c>
      <c r="AN127"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O127" s="40" t="str">
        <f>IFERROR((TABLA_AVANCE_INDICADORES[[#This Row],[AVANCE ACUM. TRIM.]]/TABLA_AVANCE_INDICADORES[[#This Row],[PROG. ACUM]])*100,"N/A")</f>
        <v>N/A</v>
      </c>
      <c r="AP127"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NO PROG.</v>
      </c>
      <c r="AQ127" s="121">
        <f>TABLA_AVANCE_INDICADORES[[#This Row],[AVANCE ACUM. TRIM.]]-TABLA_AVANCE_INDICADORES[[#This Row],[PROG. ACUM]]</f>
        <v>0</v>
      </c>
      <c r="AR127" s="46" t="str">
        <f>IFERROR((TABLA_AVANCE_INDICADORES[[#This Row],[DIFERENCIA ABSOLUTA SEMESTRAL]]/TABLA_AVANCE_INDICADORES[[#This Row],[PROG. ACUM]])*100,"N/A")</f>
        <v>N/A</v>
      </c>
      <c r="AS127"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T127" s="40">
        <f>IFERROR((TABLA_AVANCE_INDICADORES[[#This Row],[AVANCE ACUM. ANUAL]]/TABLA_AVANCE_INDICADORES[[#This Row],[PROGRAMADO ANUAL]])*100,"N/A")</f>
        <v>0</v>
      </c>
      <c r="AU127"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127" s="121">
        <f>TABLA_AVANCE_INDICADORES[[#This Row],[AVANCE ACUM. ANUAL]]-TABLA_AVANCE_INDICADORES[[#This Row],[PROGRAMADO ANUAL]]</f>
        <v>-555163</v>
      </c>
      <c r="AW127" s="46">
        <f>IFERROR((TABLA_AVANCE_INDICADORES[[#This Row],[DIFERENCIA ABSOLUTA ANUAL]]/TABLA_AVANCE_INDICADORES[[#This Row],[PROGRAMADO ANUAL]])*100,"N/A")</f>
        <v>-100</v>
      </c>
      <c r="AX127" s="148" t="s">
        <v>63</v>
      </c>
      <c r="AY127" s="100" t="s">
        <v>63</v>
      </c>
      <c r="AZ127" s="100"/>
      <c r="BA127" s="100"/>
      <c r="BB127"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28" spans="1:54" ht="168.75" hidden="1" x14ac:dyDescent="0.3">
      <c r="A128" s="31" t="s">
        <v>1171</v>
      </c>
      <c r="B128" s="113" t="s">
        <v>213</v>
      </c>
      <c r="C128" s="32" t="s">
        <v>214</v>
      </c>
      <c r="D128" s="114" t="s">
        <v>215</v>
      </c>
      <c r="E128" s="32" t="s">
        <v>254</v>
      </c>
      <c r="F128" s="115" t="s">
        <v>255</v>
      </c>
      <c r="G128" s="146" t="s">
        <v>333</v>
      </c>
      <c r="H128" s="94" t="s">
        <v>1157</v>
      </c>
      <c r="I128" s="34" t="s">
        <v>1158</v>
      </c>
      <c r="J128" s="34" t="s">
        <v>334</v>
      </c>
      <c r="K128" s="94" t="s">
        <v>335</v>
      </c>
      <c r="L128" s="34" t="s">
        <v>336</v>
      </c>
      <c r="M128" s="94" t="s">
        <v>337</v>
      </c>
      <c r="N128" s="33">
        <v>1</v>
      </c>
      <c r="O128" s="33" t="s">
        <v>743</v>
      </c>
      <c r="P128" s="125" t="s">
        <v>1172</v>
      </c>
      <c r="Q128" s="125" t="s">
        <v>1173</v>
      </c>
      <c r="R128" s="116" t="s">
        <v>1174</v>
      </c>
      <c r="S128" s="34" t="s">
        <v>884</v>
      </c>
      <c r="T128" s="56" t="s">
        <v>728</v>
      </c>
      <c r="U128" s="56" t="s">
        <v>747</v>
      </c>
      <c r="V128" s="95">
        <v>1266</v>
      </c>
      <c r="W128" s="95">
        <v>0</v>
      </c>
      <c r="X128" s="117">
        <v>0</v>
      </c>
      <c r="Y128" s="38" t="str">
        <f>IFERROR((TABLA_AVANCE_INDICADORES[[#This Row],[AVANCE 1°. TRIM]]/TABLA_AVANCE_INDICADORES[[#This Row],[PROGR. 1° TRIM]])*100,"0")</f>
        <v>0</v>
      </c>
      <c r="Z128"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128" s="118">
        <v>633</v>
      </c>
      <c r="AB128" s="119">
        <v>672</v>
      </c>
      <c r="AC128" s="40">
        <f t="shared" si="4"/>
        <v>106.1611374407583</v>
      </c>
      <c r="AD128" s="39" t="str">
        <f t="shared" si="5"/>
        <v>ADECUADO</v>
      </c>
      <c r="AE128" s="118">
        <v>0</v>
      </c>
      <c r="AF128" s="119">
        <v>0</v>
      </c>
      <c r="AG128" s="40" t="str">
        <f>IFERROR((TABLA_AVANCE_INDICADORES[[#This Row],[AVANCE 3°. TRIM]]/TABLA_AVANCE_INDICADORES[[#This Row],[PROGR. 3° TRIM]])*100,"0")</f>
        <v>0</v>
      </c>
      <c r="AH128"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128" s="118">
        <v>633</v>
      </c>
      <c r="AJ128" s="119">
        <v>0</v>
      </c>
      <c r="AK128" s="96">
        <f>IFERROR((TABLA_AVANCE_INDICADORES[[#This Row],[AVANCE 4°. TRIM]]/TABLA_AVANCE_INDICADORES[[#This Row],[PROGR. 4° TRIM]])*100,"0")</f>
        <v>0</v>
      </c>
      <c r="AL128"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128"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633</v>
      </c>
      <c r="AN128"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672</v>
      </c>
      <c r="AO128" s="40">
        <f>IFERROR((TABLA_AVANCE_INDICADORES[[#This Row],[AVANCE ACUM. TRIM.]]/TABLA_AVANCE_INDICADORES[[#This Row],[PROG. ACUM]])*100,"N/A")</f>
        <v>106.1611374407583</v>
      </c>
      <c r="AP128"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128" s="121">
        <f>TABLA_AVANCE_INDICADORES[[#This Row],[AVANCE ACUM. TRIM.]]-TABLA_AVANCE_INDICADORES[[#This Row],[PROG. ACUM]]</f>
        <v>39</v>
      </c>
      <c r="AR128" s="46">
        <f>IFERROR((TABLA_AVANCE_INDICADORES[[#This Row],[DIFERENCIA ABSOLUTA SEMESTRAL]]/TABLA_AVANCE_INDICADORES[[#This Row],[PROG. ACUM]])*100,"N/A")</f>
        <v>6.1611374407582939</v>
      </c>
      <c r="AS128"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672</v>
      </c>
      <c r="AT128" s="40">
        <f>IFERROR((TABLA_AVANCE_INDICADORES[[#This Row],[AVANCE ACUM. ANUAL]]/TABLA_AVANCE_INDICADORES[[#This Row],[PROGRAMADO ANUAL]])*100,"N/A")</f>
        <v>53.080568720379148</v>
      </c>
      <c r="AU128"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128" s="121">
        <f>TABLA_AVANCE_INDICADORES[[#This Row],[AVANCE ACUM. ANUAL]]-TABLA_AVANCE_INDICADORES[[#This Row],[PROGRAMADO ANUAL]]</f>
        <v>-594</v>
      </c>
      <c r="AW128" s="46">
        <f>IFERROR((TABLA_AVANCE_INDICADORES[[#This Row],[DIFERENCIA ABSOLUTA ANUAL]]/TABLA_AVANCE_INDICADORES[[#This Row],[PROGRAMADO ANUAL]])*100,"N/A")</f>
        <v>-46.919431279620852</v>
      </c>
      <c r="AX128" s="148" t="s">
        <v>63</v>
      </c>
      <c r="AY128" s="100" t="s">
        <v>63</v>
      </c>
      <c r="AZ128" s="100"/>
      <c r="BA128" s="100"/>
      <c r="BB128"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29" spans="1:54" ht="168.75" hidden="1" x14ac:dyDescent="0.3">
      <c r="A129" s="31" t="s">
        <v>1175</v>
      </c>
      <c r="B129" s="113" t="s">
        <v>213</v>
      </c>
      <c r="C129" s="32" t="s">
        <v>214</v>
      </c>
      <c r="D129" s="114" t="s">
        <v>215</v>
      </c>
      <c r="E129" s="32" t="s">
        <v>254</v>
      </c>
      <c r="F129" s="115" t="s">
        <v>255</v>
      </c>
      <c r="G129" s="146" t="s">
        <v>333</v>
      </c>
      <c r="H129" s="94" t="s">
        <v>1157</v>
      </c>
      <c r="I129" s="34" t="s">
        <v>1158</v>
      </c>
      <c r="J129" s="34" t="s">
        <v>334</v>
      </c>
      <c r="K129" s="94" t="s">
        <v>335</v>
      </c>
      <c r="L129" s="34" t="s">
        <v>336</v>
      </c>
      <c r="M129" s="94" t="s">
        <v>337</v>
      </c>
      <c r="N129" s="33">
        <v>2</v>
      </c>
      <c r="O129" s="33" t="s">
        <v>743</v>
      </c>
      <c r="P129" s="125" t="s">
        <v>1172</v>
      </c>
      <c r="Q129" s="125" t="s">
        <v>1176</v>
      </c>
      <c r="R129" s="116" t="s">
        <v>1174</v>
      </c>
      <c r="S129" s="34" t="s">
        <v>884</v>
      </c>
      <c r="T129" s="56" t="s">
        <v>728</v>
      </c>
      <c r="U129" s="56" t="s">
        <v>747</v>
      </c>
      <c r="V129" s="95">
        <v>1266</v>
      </c>
      <c r="W129" s="95">
        <v>0</v>
      </c>
      <c r="X129" s="117">
        <v>0</v>
      </c>
      <c r="Y129" s="38" t="str">
        <f>IFERROR((TABLA_AVANCE_INDICADORES[[#This Row],[AVANCE 1°. TRIM]]/TABLA_AVANCE_INDICADORES[[#This Row],[PROGR. 1° TRIM]])*100,"0")</f>
        <v>0</v>
      </c>
      <c r="Z129"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129" s="118">
        <v>633</v>
      </c>
      <c r="AB129" s="126">
        <v>676</v>
      </c>
      <c r="AC129" s="40">
        <f t="shared" si="4"/>
        <v>106.79304897314377</v>
      </c>
      <c r="AD129" s="39" t="str">
        <f t="shared" si="5"/>
        <v>ADECUADO</v>
      </c>
      <c r="AE129" s="118">
        <v>0</v>
      </c>
      <c r="AF129" s="119">
        <v>0</v>
      </c>
      <c r="AG129" s="40" t="str">
        <f>IFERROR((TABLA_AVANCE_INDICADORES[[#This Row],[AVANCE 3°. TRIM]]/TABLA_AVANCE_INDICADORES[[#This Row],[PROGR. 3° TRIM]])*100,"0")</f>
        <v>0</v>
      </c>
      <c r="AH129"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129" s="118">
        <v>633</v>
      </c>
      <c r="AJ129" s="126">
        <f>AB128</f>
        <v>672</v>
      </c>
      <c r="AK129" s="96">
        <f>IFERROR((TABLA_AVANCE_INDICADORES[[#This Row],[AVANCE 4°. TRIM]]/TABLA_AVANCE_INDICADORES[[#This Row],[PROGR. 4° TRIM]])*100,"0")</f>
        <v>106.1611374407583</v>
      </c>
      <c r="AL129"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ADECUADO</v>
      </c>
      <c r="AM129"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633</v>
      </c>
      <c r="AN129"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676</v>
      </c>
      <c r="AO129" s="40">
        <f>IFERROR((TABLA_AVANCE_INDICADORES[[#This Row],[AVANCE ACUM. TRIM.]]/TABLA_AVANCE_INDICADORES[[#This Row],[PROG. ACUM]])*100,"N/A")</f>
        <v>106.79304897314377</v>
      </c>
      <c r="AP129"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129" s="121">
        <f>TABLA_AVANCE_INDICADORES[[#This Row],[AVANCE ACUM. TRIM.]]-TABLA_AVANCE_INDICADORES[[#This Row],[PROG. ACUM]]</f>
        <v>43</v>
      </c>
      <c r="AR129" s="46">
        <f>IFERROR((TABLA_AVANCE_INDICADORES[[#This Row],[DIFERENCIA ABSOLUTA SEMESTRAL]]/TABLA_AVANCE_INDICADORES[[#This Row],[PROG. ACUM]])*100,"N/A")</f>
        <v>6.79304897314376</v>
      </c>
      <c r="AS129"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676</v>
      </c>
      <c r="AT129" s="40">
        <f>IFERROR((TABLA_AVANCE_INDICADORES[[#This Row],[AVANCE ACUM. ANUAL]]/TABLA_AVANCE_INDICADORES[[#This Row],[PROGRAMADO ANUAL]])*100,"N/A")</f>
        <v>53.396524486571884</v>
      </c>
      <c r="AU129"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129" s="121">
        <f>TABLA_AVANCE_INDICADORES[[#This Row],[AVANCE ACUM. ANUAL]]-TABLA_AVANCE_INDICADORES[[#This Row],[PROGRAMADO ANUAL]]</f>
        <v>-590</v>
      </c>
      <c r="AW129" s="46">
        <f>IFERROR((TABLA_AVANCE_INDICADORES[[#This Row],[DIFERENCIA ABSOLUTA ANUAL]]/TABLA_AVANCE_INDICADORES[[#This Row],[PROGRAMADO ANUAL]])*100,"N/A")</f>
        <v>-46.603475513428123</v>
      </c>
      <c r="AX129" s="148" t="s">
        <v>63</v>
      </c>
      <c r="AY129" s="100" t="s">
        <v>63</v>
      </c>
      <c r="AZ129" s="100"/>
      <c r="BA129" s="100"/>
      <c r="BB129"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30" spans="1:54" ht="168.75" hidden="1" x14ac:dyDescent="0.3">
      <c r="A130" s="31" t="s">
        <v>1177</v>
      </c>
      <c r="B130" s="113" t="s">
        <v>213</v>
      </c>
      <c r="C130" s="32" t="s">
        <v>214</v>
      </c>
      <c r="D130" s="114" t="s">
        <v>215</v>
      </c>
      <c r="E130" s="32" t="s">
        <v>254</v>
      </c>
      <c r="F130" s="115" t="s">
        <v>255</v>
      </c>
      <c r="G130" s="146" t="s">
        <v>333</v>
      </c>
      <c r="H130" s="94" t="s">
        <v>1157</v>
      </c>
      <c r="I130" s="34" t="s">
        <v>1158</v>
      </c>
      <c r="J130" s="34" t="s">
        <v>334</v>
      </c>
      <c r="K130" s="94" t="s">
        <v>335</v>
      </c>
      <c r="L130" s="34" t="s">
        <v>336</v>
      </c>
      <c r="M130" s="94" t="s">
        <v>337</v>
      </c>
      <c r="N130" s="33">
        <v>1</v>
      </c>
      <c r="O130" s="33" t="s">
        <v>898</v>
      </c>
      <c r="P130" s="125" t="s">
        <v>1178</v>
      </c>
      <c r="Q130" s="125" t="s">
        <v>1179</v>
      </c>
      <c r="R130" s="116" t="s">
        <v>1180</v>
      </c>
      <c r="S130" s="34" t="s">
        <v>884</v>
      </c>
      <c r="T130" s="56" t="s">
        <v>728</v>
      </c>
      <c r="U130" s="56" t="s">
        <v>747</v>
      </c>
      <c r="V130" s="95">
        <v>1266</v>
      </c>
      <c r="W130" s="95">
        <v>0</v>
      </c>
      <c r="X130" s="117">
        <v>0</v>
      </c>
      <c r="Y130" s="38" t="str">
        <f>IFERROR((TABLA_AVANCE_INDICADORES[[#This Row],[AVANCE 1°. TRIM]]/TABLA_AVANCE_INDICADORES[[#This Row],[PROGR. 1° TRIM]])*100,"0")</f>
        <v>0</v>
      </c>
      <c r="Z130"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130" s="118">
        <v>633</v>
      </c>
      <c r="AB130" s="119">
        <v>672</v>
      </c>
      <c r="AC130" s="40">
        <f t="shared" si="4"/>
        <v>106.1611374407583</v>
      </c>
      <c r="AD130" s="39" t="str">
        <f t="shared" si="5"/>
        <v>ADECUADO</v>
      </c>
      <c r="AE130" s="118">
        <v>0</v>
      </c>
      <c r="AF130" s="119">
        <v>0</v>
      </c>
      <c r="AG130" s="40" t="str">
        <f>IFERROR((TABLA_AVANCE_INDICADORES[[#This Row],[AVANCE 3°. TRIM]]/TABLA_AVANCE_INDICADORES[[#This Row],[PROGR. 3° TRIM]])*100,"0")</f>
        <v>0</v>
      </c>
      <c r="AH130"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130" s="118">
        <v>633</v>
      </c>
      <c r="AJ130" s="119">
        <v>0</v>
      </c>
      <c r="AK130" s="96">
        <f>IFERROR((TABLA_AVANCE_INDICADORES[[#This Row],[AVANCE 4°. TRIM]]/TABLA_AVANCE_INDICADORES[[#This Row],[PROGR. 4° TRIM]])*100,"0")</f>
        <v>0</v>
      </c>
      <c r="AL130"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130"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633</v>
      </c>
      <c r="AN130"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672</v>
      </c>
      <c r="AO130" s="40">
        <f>IFERROR((TABLA_AVANCE_INDICADORES[[#This Row],[AVANCE ACUM. TRIM.]]/TABLA_AVANCE_INDICADORES[[#This Row],[PROG. ACUM]])*100,"N/A")</f>
        <v>106.1611374407583</v>
      </c>
      <c r="AP130"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130" s="121">
        <f>TABLA_AVANCE_INDICADORES[[#This Row],[AVANCE ACUM. TRIM.]]-TABLA_AVANCE_INDICADORES[[#This Row],[PROG. ACUM]]</f>
        <v>39</v>
      </c>
      <c r="AR130" s="46">
        <f>IFERROR((TABLA_AVANCE_INDICADORES[[#This Row],[DIFERENCIA ABSOLUTA SEMESTRAL]]/TABLA_AVANCE_INDICADORES[[#This Row],[PROG. ACUM]])*100,"N/A")</f>
        <v>6.1611374407582939</v>
      </c>
      <c r="AS130"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672</v>
      </c>
      <c r="AT130" s="40">
        <f>IFERROR((TABLA_AVANCE_INDICADORES[[#This Row],[AVANCE ACUM. ANUAL]]/TABLA_AVANCE_INDICADORES[[#This Row],[PROGRAMADO ANUAL]])*100,"N/A")</f>
        <v>53.080568720379148</v>
      </c>
      <c r="AU130"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130" s="121">
        <f>TABLA_AVANCE_INDICADORES[[#This Row],[AVANCE ACUM. ANUAL]]-TABLA_AVANCE_INDICADORES[[#This Row],[PROGRAMADO ANUAL]]</f>
        <v>-594</v>
      </c>
      <c r="AW130" s="46">
        <f>IFERROR((TABLA_AVANCE_INDICADORES[[#This Row],[DIFERENCIA ABSOLUTA ANUAL]]/TABLA_AVANCE_INDICADORES[[#This Row],[PROGRAMADO ANUAL]])*100,"N/A")</f>
        <v>-46.919431279620852</v>
      </c>
      <c r="AX130" s="148" t="s">
        <v>63</v>
      </c>
      <c r="AY130" s="100" t="s">
        <v>63</v>
      </c>
      <c r="AZ130" s="100"/>
      <c r="BA130" s="100"/>
      <c r="BB130"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31" spans="1:54" ht="168.75" hidden="1" x14ac:dyDescent="0.3">
      <c r="A131" s="31" t="s">
        <v>1181</v>
      </c>
      <c r="B131" s="113" t="s">
        <v>213</v>
      </c>
      <c r="C131" s="32" t="s">
        <v>214</v>
      </c>
      <c r="D131" s="114" t="s">
        <v>215</v>
      </c>
      <c r="E131" s="32" t="s">
        <v>254</v>
      </c>
      <c r="F131" s="115" t="s">
        <v>255</v>
      </c>
      <c r="G131" s="146" t="s">
        <v>333</v>
      </c>
      <c r="H131" s="94" t="s">
        <v>1157</v>
      </c>
      <c r="I131" s="34" t="s">
        <v>1158</v>
      </c>
      <c r="J131" s="34" t="s">
        <v>334</v>
      </c>
      <c r="K131" s="94" t="s">
        <v>335</v>
      </c>
      <c r="L131" s="34" t="s">
        <v>336</v>
      </c>
      <c r="M131" s="94" t="s">
        <v>337</v>
      </c>
      <c r="N131" s="33">
        <v>2</v>
      </c>
      <c r="O131" s="33" t="s">
        <v>898</v>
      </c>
      <c r="P131" s="125" t="s">
        <v>1178</v>
      </c>
      <c r="Q131" s="125" t="s">
        <v>1182</v>
      </c>
      <c r="R131" s="116" t="s">
        <v>1180</v>
      </c>
      <c r="S131" s="34" t="s">
        <v>1170</v>
      </c>
      <c r="T131" s="56" t="s">
        <v>885</v>
      </c>
      <c r="U131" s="56" t="s">
        <v>747</v>
      </c>
      <c r="V131" s="95">
        <v>555163</v>
      </c>
      <c r="W131" s="95">
        <v>0</v>
      </c>
      <c r="X131" s="117">
        <v>0</v>
      </c>
      <c r="Y131" s="38" t="str">
        <f>IFERROR((TABLA_AVANCE_INDICADORES[[#This Row],[AVANCE 1°. TRIM]]/TABLA_AVANCE_INDICADORES[[#This Row],[PROGR. 1° TRIM]])*100,"0")</f>
        <v>0</v>
      </c>
      <c r="Z131"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131" s="118">
        <v>555163</v>
      </c>
      <c r="AB131" s="119">
        <v>555163</v>
      </c>
      <c r="AC131" s="40">
        <f t="shared" si="4"/>
        <v>100</v>
      </c>
      <c r="AD131" s="39" t="str">
        <f t="shared" si="5"/>
        <v>ADECUADO</v>
      </c>
      <c r="AE131" s="118">
        <v>0</v>
      </c>
      <c r="AF131" s="119">
        <v>0</v>
      </c>
      <c r="AG131" s="40" t="str">
        <f>IFERROR((TABLA_AVANCE_INDICADORES[[#This Row],[AVANCE 3°. TRIM]]/TABLA_AVANCE_INDICADORES[[#This Row],[PROGR. 3° TRIM]])*100,"0")</f>
        <v>0</v>
      </c>
      <c r="AH131"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131" s="118">
        <v>555163</v>
      </c>
      <c r="AJ131" s="119">
        <v>0</v>
      </c>
      <c r="AK131" s="96">
        <f>IFERROR((TABLA_AVANCE_INDICADORES[[#This Row],[AVANCE 4°. TRIM]]/TABLA_AVANCE_INDICADORES[[#This Row],[PROGR. 4° TRIM]])*100,"0")</f>
        <v>0</v>
      </c>
      <c r="AL131"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131"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555163</v>
      </c>
      <c r="AN131"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555163</v>
      </c>
      <c r="AO131" s="40">
        <f>IFERROR((TABLA_AVANCE_INDICADORES[[#This Row],[AVANCE ACUM. TRIM.]]/TABLA_AVANCE_INDICADORES[[#This Row],[PROG. ACUM]])*100,"N/A")</f>
        <v>100</v>
      </c>
      <c r="AP131"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131" s="121">
        <f>TABLA_AVANCE_INDICADORES[[#This Row],[AVANCE ACUM. TRIM.]]-TABLA_AVANCE_INDICADORES[[#This Row],[PROG. ACUM]]</f>
        <v>0</v>
      </c>
      <c r="AR131" s="46">
        <f>IFERROR((TABLA_AVANCE_INDICADORES[[#This Row],[DIFERENCIA ABSOLUTA SEMESTRAL]]/TABLA_AVANCE_INDICADORES[[#This Row],[PROG. ACUM]])*100,"N/A")</f>
        <v>0</v>
      </c>
      <c r="AS131"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555163</v>
      </c>
      <c r="AT131" s="40">
        <f>IFERROR((TABLA_AVANCE_INDICADORES[[#This Row],[AVANCE ACUM. ANUAL]]/TABLA_AVANCE_INDICADORES[[#This Row],[PROGRAMADO ANUAL]])*100,"N/A")</f>
        <v>100</v>
      </c>
      <c r="AU131"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ADECUADO</v>
      </c>
      <c r="AV131" s="121">
        <f>TABLA_AVANCE_INDICADORES[[#This Row],[AVANCE ACUM. ANUAL]]-TABLA_AVANCE_INDICADORES[[#This Row],[PROGRAMADO ANUAL]]</f>
        <v>0</v>
      </c>
      <c r="AW131" s="46">
        <f>IFERROR((TABLA_AVANCE_INDICADORES[[#This Row],[DIFERENCIA ABSOLUTA ANUAL]]/TABLA_AVANCE_INDICADORES[[#This Row],[PROGRAMADO ANUAL]])*100,"N/A")</f>
        <v>0</v>
      </c>
      <c r="AX131" s="148" t="s">
        <v>63</v>
      </c>
      <c r="AY131" s="100" t="s">
        <v>63</v>
      </c>
      <c r="AZ131" s="100"/>
      <c r="BA131" s="100"/>
      <c r="BB131" s="124">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555163</v>
      </c>
    </row>
    <row r="132" spans="1:54" ht="168.75" hidden="1" x14ac:dyDescent="0.3">
      <c r="A132" s="31" t="s">
        <v>1183</v>
      </c>
      <c r="B132" s="113" t="s">
        <v>213</v>
      </c>
      <c r="C132" s="32" t="s">
        <v>214</v>
      </c>
      <c r="D132" s="114" t="s">
        <v>215</v>
      </c>
      <c r="E132" s="32" t="s">
        <v>254</v>
      </c>
      <c r="F132" s="115" t="s">
        <v>255</v>
      </c>
      <c r="G132" s="146" t="s">
        <v>333</v>
      </c>
      <c r="H132" s="94" t="s">
        <v>1157</v>
      </c>
      <c r="I132" s="34" t="s">
        <v>1158</v>
      </c>
      <c r="J132" s="34" t="s">
        <v>334</v>
      </c>
      <c r="K132" s="94" t="s">
        <v>335</v>
      </c>
      <c r="L132" s="34" t="s">
        <v>336</v>
      </c>
      <c r="M132" s="94" t="s">
        <v>337</v>
      </c>
      <c r="N132" s="33">
        <v>1</v>
      </c>
      <c r="O132" s="33" t="s">
        <v>751</v>
      </c>
      <c r="P132" s="125" t="s">
        <v>1184</v>
      </c>
      <c r="Q132" s="125" t="s">
        <v>1185</v>
      </c>
      <c r="R132" s="116" t="s">
        <v>1186</v>
      </c>
      <c r="S132" s="34" t="s">
        <v>884</v>
      </c>
      <c r="T132" s="56" t="s">
        <v>728</v>
      </c>
      <c r="U132" s="56" t="s">
        <v>755</v>
      </c>
      <c r="V132" s="95">
        <v>1354</v>
      </c>
      <c r="W132" s="95">
        <v>338</v>
      </c>
      <c r="X132" s="129">
        <v>322</v>
      </c>
      <c r="Y132" s="38">
        <f>IFERROR((TABLA_AVANCE_INDICADORES[[#This Row],[AVANCE 1°. TRIM]]/TABLA_AVANCE_INDICADORES[[#This Row],[PROGR. 1° TRIM]])*100,"0")</f>
        <v>95.26627218934911</v>
      </c>
      <c r="Z132"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132" s="118">
        <v>339</v>
      </c>
      <c r="AB132" s="119">
        <v>342</v>
      </c>
      <c r="AC132" s="40">
        <f t="shared" si="4"/>
        <v>100.88495575221239</v>
      </c>
      <c r="AD132" s="39" t="str">
        <f t="shared" si="5"/>
        <v>ADECUADO</v>
      </c>
      <c r="AE132" s="118">
        <v>339</v>
      </c>
      <c r="AF132" s="119">
        <v>0</v>
      </c>
      <c r="AG132" s="40">
        <f>IFERROR((TABLA_AVANCE_INDICADORES[[#This Row],[AVANCE 3°. TRIM]]/TABLA_AVANCE_INDICADORES[[#This Row],[PROGR. 3° TRIM]])*100,"0")</f>
        <v>0</v>
      </c>
      <c r="AH132"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CRÍTICO</v>
      </c>
      <c r="AI132" s="118">
        <v>338</v>
      </c>
      <c r="AJ132" s="119">
        <v>0</v>
      </c>
      <c r="AK132" s="96">
        <f>IFERROR((TABLA_AVANCE_INDICADORES[[#This Row],[AVANCE 4°. TRIM]]/TABLA_AVANCE_INDICADORES[[#This Row],[PROGR. 4° TRIM]])*100,"0")</f>
        <v>0</v>
      </c>
      <c r="AL132"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132"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677</v>
      </c>
      <c r="AN132"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664</v>
      </c>
      <c r="AO132" s="40">
        <f>IFERROR((TABLA_AVANCE_INDICADORES[[#This Row],[AVANCE ACUM. TRIM.]]/TABLA_AVANCE_INDICADORES[[#This Row],[PROG. ACUM]])*100,"N/A")</f>
        <v>98.079763663220092</v>
      </c>
      <c r="AP132"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132" s="121">
        <f>TABLA_AVANCE_INDICADORES[[#This Row],[AVANCE ACUM. TRIM.]]-TABLA_AVANCE_INDICADORES[[#This Row],[PROG. ACUM]]</f>
        <v>-13</v>
      </c>
      <c r="AR132" s="46">
        <f>IFERROR((TABLA_AVANCE_INDICADORES[[#This Row],[DIFERENCIA ABSOLUTA SEMESTRAL]]/TABLA_AVANCE_INDICADORES[[#This Row],[PROG. ACUM]])*100,"N/A")</f>
        <v>-1.9202363367799113</v>
      </c>
      <c r="AS132"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664</v>
      </c>
      <c r="AT132" s="40">
        <f>IFERROR((TABLA_AVANCE_INDICADORES[[#This Row],[AVANCE ACUM. ANUAL]]/TABLA_AVANCE_INDICADORES[[#This Row],[PROGRAMADO ANUAL]])*100,"N/A")</f>
        <v>49.039881831610046</v>
      </c>
      <c r="AU132"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132" s="121">
        <f>TABLA_AVANCE_INDICADORES[[#This Row],[AVANCE ACUM. ANUAL]]-TABLA_AVANCE_INDICADORES[[#This Row],[PROGRAMADO ANUAL]]</f>
        <v>-690</v>
      </c>
      <c r="AW132" s="46">
        <f>IFERROR((TABLA_AVANCE_INDICADORES[[#This Row],[DIFERENCIA ABSOLUTA ANUAL]]/TABLA_AVANCE_INDICADORES[[#This Row],[PROGRAMADO ANUAL]])*100,"N/A")</f>
        <v>-50.960118168389954</v>
      </c>
      <c r="AX132" s="148" t="s">
        <v>63</v>
      </c>
      <c r="AY132" s="100" t="s">
        <v>63</v>
      </c>
      <c r="AZ132" s="100"/>
      <c r="BA132" s="100"/>
      <c r="BB132"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33" spans="1:54" ht="168.75" hidden="1" x14ac:dyDescent="0.3">
      <c r="A133" s="31" t="s">
        <v>1187</v>
      </c>
      <c r="B133" s="113" t="s">
        <v>213</v>
      </c>
      <c r="C133" s="32" t="s">
        <v>214</v>
      </c>
      <c r="D133" s="114" t="s">
        <v>215</v>
      </c>
      <c r="E133" s="32" t="s">
        <v>254</v>
      </c>
      <c r="F133" s="115" t="s">
        <v>255</v>
      </c>
      <c r="G133" s="146" t="s">
        <v>333</v>
      </c>
      <c r="H133" s="94" t="s">
        <v>1157</v>
      </c>
      <c r="I133" s="34" t="s">
        <v>1158</v>
      </c>
      <c r="J133" s="34" t="s">
        <v>334</v>
      </c>
      <c r="K133" s="94" t="s">
        <v>335</v>
      </c>
      <c r="L133" s="34" t="s">
        <v>336</v>
      </c>
      <c r="M133" s="94" t="s">
        <v>337</v>
      </c>
      <c r="N133" s="33">
        <v>2</v>
      </c>
      <c r="O133" s="33" t="s">
        <v>751</v>
      </c>
      <c r="P133" s="125" t="s">
        <v>1184</v>
      </c>
      <c r="Q133" s="125" t="s">
        <v>1188</v>
      </c>
      <c r="R133" s="116" t="s">
        <v>1186</v>
      </c>
      <c r="S133" s="34" t="s">
        <v>884</v>
      </c>
      <c r="T133" s="56" t="s">
        <v>728</v>
      </c>
      <c r="U133" s="56" t="s">
        <v>755</v>
      </c>
      <c r="V133" s="95">
        <v>1354</v>
      </c>
      <c r="W133" s="95">
        <v>338</v>
      </c>
      <c r="X133" s="129">
        <v>322</v>
      </c>
      <c r="Y133" s="38">
        <f>IFERROR((TABLA_AVANCE_INDICADORES[[#This Row],[AVANCE 1°. TRIM]]/TABLA_AVANCE_INDICADORES[[#This Row],[PROGR. 1° TRIM]])*100,"0")</f>
        <v>95.26627218934911</v>
      </c>
      <c r="Z133"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133" s="118">
        <v>339</v>
      </c>
      <c r="AB133" s="119">
        <v>342</v>
      </c>
      <c r="AC133" s="40">
        <f t="shared" si="4"/>
        <v>100.88495575221239</v>
      </c>
      <c r="AD133" s="39" t="str">
        <f t="shared" si="5"/>
        <v>ADECUADO</v>
      </c>
      <c r="AE133" s="118">
        <v>339</v>
      </c>
      <c r="AF133" s="119">
        <v>0</v>
      </c>
      <c r="AG133" s="40">
        <f>IFERROR((TABLA_AVANCE_INDICADORES[[#This Row],[AVANCE 3°. TRIM]]/TABLA_AVANCE_INDICADORES[[#This Row],[PROGR. 3° TRIM]])*100,"0")</f>
        <v>0</v>
      </c>
      <c r="AH133"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CRÍTICO</v>
      </c>
      <c r="AI133" s="118">
        <v>338</v>
      </c>
      <c r="AJ133" s="119">
        <v>0</v>
      </c>
      <c r="AK133" s="96">
        <f>IFERROR((TABLA_AVANCE_INDICADORES[[#This Row],[AVANCE 4°. TRIM]]/TABLA_AVANCE_INDICADORES[[#This Row],[PROGR. 4° TRIM]])*100,"0")</f>
        <v>0</v>
      </c>
      <c r="AL133"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133"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677</v>
      </c>
      <c r="AN133"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664</v>
      </c>
      <c r="AO133" s="40">
        <f>IFERROR((TABLA_AVANCE_INDICADORES[[#This Row],[AVANCE ACUM. TRIM.]]/TABLA_AVANCE_INDICADORES[[#This Row],[PROG. ACUM]])*100,"N/A")</f>
        <v>98.079763663220092</v>
      </c>
      <c r="AP133"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133" s="121">
        <f>TABLA_AVANCE_INDICADORES[[#This Row],[AVANCE ACUM. TRIM.]]-TABLA_AVANCE_INDICADORES[[#This Row],[PROG. ACUM]]</f>
        <v>-13</v>
      </c>
      <c r="AR133" s="46">
        <f>IFERROR((TABLA_AVANCE_INDICADORES[[#This Row],[DIFERENCIA ABSOLUTA SEMESTRAL]]/TABLA_AVANCE_INDICADORES[[#This Row],[PROG. ACUM]])*100,"N/A")</f>
        <v>-1.9202363367799113</v>
      </c>
      <c r="AS133"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664</v>
      </c>
      <c r="AT133" s="40">
        <f>IFERROR((TABLA_AVANCE_INDICADORES[[#This Row],[AVANCE ACUM. ANUAL]]/TABLA_AVANCE_INDICADORES[[#This Row],[PROGRAMADO ANUAL]])*100,"N/A")</f>
        <v>49.039881831610046</v>
      </c>
      <c r="AU133"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133" s="121">
        <f>TABLA_AVANCE_INDICADORES[[#This Row],[AVANCE ACUM. ANUAL]]-TABLA_AVANCE_INDICADORES[[#This Row],[PROGRAMADO ANUAL]]</f>
        <v>-690</v>
      </c>
      <c r="AW133" s="46">
        <f>IFERROR((TABLA_AVANCE_INDICADORES[[#This Row],[DIFERENCIA ABSOLUTA ANUAL]]/TABLA_AVANCE_INDICADORES[[#This Row],[PROGRAMADO ANUAL]])*100,"N/A")</f>
        <v>-50.960118168389954</v>
      </c>
      <c r="AX133" s="148" t="s">
        <v>63</v>
      </c>
      <c r="AY133" s="100" t="s">
        <v>63</v>
      </c>
      <c r="AZ133" s="100"/>
      <c r="BA133" s="100"/>
      <c r="BB133"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34" spans="1:54" ht="168.75" hidden="1" x14ac:dyDescent="0.3">
      <c r="A134" s="31" t="s">
        <v>1189</v>
      </c>
      <c r="B134" s="113" t="s">
        <v>213</v>
      </c>
      <c r="C134" s="32" t="s">
        <v>214</v>
      </c>
      <c r="D134" s="114" t="s">
        <v>215</v>
      </c>
      <c r="E134" s="32" t="s">
        <v>254</v>
      </c>
      <c r="F134" s="115" t="s">
        <v>255</v>
      </c>
      <c r="G134" s="146" t="s">
        <v>333</v>
      </c>
      <c r="H134" s="94" t="s">
        <v>1157</v>
      </c>
      <c r="I134" s="34" t="s">
        <v>1158</v>
      </c>
      <c r="J134" s="34" t="s">
        <v>334</v>
      </c>
      <c r="K134" s="94" t="s">
        <v>335</v>
      </c>
      <c r="L134" s="34" t="s">
        <v>336</v>
      </c>
      <c r="M134" s="94" t="s">
        <v>337</v>
      </c>
      <c r="N134" s="33">
        <v>1</v>
      </c>
      <c r="O134" s="33" t="s">
        <v>1078</v>
      </c>
      <c r="P134" s="125" t="s">
        <v>1190</v>
      </c>
      <c r="Q134" s="125" t="s">
        <v>1191</v>
      </c>
      <c r="R134" s="116" t="s">
        <v>1192</v>
      </c>
      <c r="S134" s="34" t="s">
        <v>116</v>
      </c>
      <c r="T134" s="56" t="s">
        <v>728</v>
      </c>
      <c r="U134" s="56" t="s">
        <v>755</v>
      </c>
      <c r="V134" s="95">
        <v>4</v>
      </c>
      <c r="W134" s="95">
        <v>1</v>
      </c>
      <c r="X134" s="129">
        <v>1</v>
      </c>
      <c r="Y134" s="38">
        <f>IFERROR((TABLA_AVANCE_INDICADORES[[#This Row],[AVANCE 1°. TRIM]]/TABLA_AVANCE_INDICADORES[[#This Row],[PROGR. 1° TRIM]])*100,"0")</f>
        <v>100</v>
      </c>
      <c r="Z134"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134" s="118">
        <v>1</v>
      </c>
      <c r="AB134" s="119">
        <v>1</v>
      </c>
      <c r="AC134" s="40">
        <f t="shared" si="4"/>
        <v>100</v>
      </c>
      <c r="AD134" s="39" t="str">
        <f t="shared" si="5"/>
        <v>ADECUADO</v>
      </c>
      <c r="AE134" s="118">
        <v>1</v>
      </c>
      <c r="AF134" s="119">
        <v>0</v>
      </c>
      <c r="AG134" s="40">
        <f>IFERROR((TABLA_AVANCE_INDICADORES[[#This Row],[AVANCE 3°. TRIM]]/TABLA_AVANCE_INDICADORES[[#This Row],[PROGR. 3° TRIM]])*100,"0")</f>
        <v>0</v>
      </c>
      <c r="AH134"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CRÍTICO</v>
      </c>
      <c r="AI134" s="118">
        <v>1</v>
      </c>
      <c r="AJ134" s="119">
        <v>0</v>
      </c>
      <c r="AK134" s="96">
        <f>IFERROR((TABLA_AVANCE_INDICADORES[[#This Row],[AVANCE 4°. TRIM]]/TABLA_AVANCE_INDICADORES[[#This Row],[PROGR. 4° TRIM]])*100,"0")</f>
        <v>0</v>
      </c>
      <c r="AL134"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134"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2</v>
      </c>
      <c r="AN134"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v>
      </c>
      <c r="AO134" s="40">
        <f>IFERROR((TABLA_AVANCE_INDICADORES[[#This Row],[AVANCE ACUM. TRIM.]]/TABLA_AVANCE_INDICADORES[[#This Row],[PROG. ACUM]])*100,"N/A")</f>
        <v>100</v>
      </c>
      <c r="AP134"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134" s="121">
        <f>TABLA_AVANCE_INDICADORES[[#This Row],[AVANCE ACUM. TRIM.]]-TABLA_AVANCE_INDICADORES[[#This Row],[PROG. ACUM]]</f>
        <v>0</v>
      </c>
      <c r="AR134" s="46">
        <f>IFERROR((TABLA_AVANCE_INDICADORES[[#This Row],[DIFERENCIA ABSOLUTA SEMESTRAL]]/TABLA_AVANCE_INDICADORES[[#This Row],[PROG. ACUM]])*100,"N/A")</f>
        <v>0</v>
      </c>
      <c r="AS134"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v>
      </c>
      <c r="AT134" s="40">
        <f>IFERROR((TABLA_AVANCE_INDICADORES[[#This Row],[AVANCE ACUM. ANUAL]]/TABLA_AVANCE_INDICADORES[[#This Row],[PROGRAMADO ANUAL]])*100,"N/A")</f>
        <v>50</v>
      </c>
      <c r="AU134"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134" s="121">
        <f>TABLA_AVANCE_INDICADORES[[#This Row],[AVANCE ACUM. ANUAL]]-TABLA_AVANCE_INDICADORES[[#This Row],[PROGRAMADO ANUAL]]</f>
        <v>-2</v>
      </c>
      <c r="AW134" s="46">
        <f>IFERROR((TABLA_AVANCE_INDICADORES[[#This Row],[DIFERENCIA ABSOLUTA ANUAL]]/TABLA_AVANCE_INDICADORES[[#This Row],[PROGRAMADO ANUAL]])*100,"N/A")</f>
        <v>-50</v>
      </c>
      <c r="AX134" s="148" t="s">
        <v>63</v>
      </c>
      <c r="AY134" s="100" t="s">
        <v>63</v>
      </c>
      <c r="AZ134" s="100"/>
      <c r="BA134" s="100"/>
      <c r="BB134"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35" spans="1:54" ht="168.75" hidden="1" x14ac:dyDescent="0.3">
      <c r="A135" s="31" t="s">
        <v>1193</v>
      </c>
      <c r="B135" s="113" t="s">
        <v>213</v>
      </c>
      <c r="C135" s="32" t="s">
        <v>214</v>
      </c>
      <c r="D135" s="114" t="s">
        <v>215</v>
      </c>
      <c r="E135" s="32" t="s">
        <v>254</v>
      </c>
      <c r="F135" s="115" t="s">
        <v>255</v>
      </c>
      <c r="G135" s="146" t="s">
        <v>333</v>
      </c>
      <c r="H135" s="94" t="s">
        <v>1157</v>
      </c>
      <c r="I135" s="34" t="s">
        <v>1158</v>
      </c>
      <c r="J135" s="34" t="s">
        <v>334</v>
      </c>
      <c r="K135" s="94" t="s">
        <v>335</v>
      </c>
      <c r="L135" s="34" t="s">
        <v>336</v>
      </c>
      <c r="M135" s="94" t="s">
        <v>337</v>
      </c>
      <c r="N135" s="33">
        <v>2</v>
      </c>
      <c r="O135" s="33" t="s">
        <v>1078</v>
      </c>
      <c r="P135" s="125" t="s">
        <v>1190</v>
      </c>
      <c r="Q135" s="125" t="s">
        <v>1194</v>
      </c>
      <c r="R135" s="116" t="s">
        <v>1192</v>
      </c>
      <c r="S135" s="34" t="s">
        <v>116</v>
      </c>
      <c r="T135" s="56" t="s">
        <v>728</v>
      </c>
      <c r="U135" s="56" t="s">
        <v>755</v>
      </c>
      <c r="V135" s="95">
        <v>4</v>
      </c>
      <c r="W135" s="95">
        <v>1</v>
      </c>
      <c r="X135" s="129">
        <v>1</v>
      </c>
      <c r="Y135" s="38">
        <f>IFERROR((TABLA_AVANCE_INDICADORES[[#This Row],[AVANCE 1°. TRIM]]/TABLA_AVANCE_INDICADORES[[#This Row],[PROGR. 1° TRIM]])*100,"0")</f>
        <v>100</v>
      </c>
      <c r="Z135"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135" s="118">
        <v>1</v>
      </c>
      <c r="AB135" s="119">
        <v>1</v>
      </c>
      <c r="AC135" s="40">
        <f t="shared" si="4"/>
        <v>100</v>
      </c>
      <c r="AD135" s="39" t="str">
        <f t="shared" si="5"/>
        <v>ADECUADO</v>
      </c>
      <c r="AE135" s="118">
        <v>1</v>
      </c>
      <c r="AF135" s="119">
        <v>0</v>
      </c>
      <c r="AG135" s="40">
        <f>IFERROR((TABLA_AVANCE_INDICADORES[[#This Row],[AVANCE 3°. TRIM]]/TABLA_AVANCE_INDICADORES[[#This Row],[PROGR. 3° TRIM]])*100,"0")</f>
        <v>0</v>
      </c>
      <c r="AH135"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CRÍTICO</v>
      </c>
      <c r="AI135" s="118">
        <v>1</v>
      </c>
      <c r="AJ135" s="119">
        <v>0</v>
      </c>
      <c r="AK135" s="96">
        <f>IFERROR((TABLA_AVANCE_INDICADORES[[#This Row],[AVANCE 4°. TRIM]]/TABLA_AVANCE_INDICADORES[[#This Row],[PROGR. 4° TRIM]])*100,"0")</f>
        <v>0</v>
      </c>
      <c r="AL135"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135"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2</v>
      </c>
      <c r="AN135"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v>
      </c>
      <c r="AO135" s="40">
        <f>IFERROR((TABLA_AVANCE_INDICADORES[[#This Row],[AVANCE ACUM. TRIM.]]/TABLA_AVANCE_INDICADORES[[#This Row],[PROG. ACUM]])*100,"N/A")</f>
        <v>100</v>
      </c>
      <c r="AP135"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135" s="121">
        <f>TABLA_AVANCE_INDICADORES[[#This Row],[AVANCE ACUM. TRIM.]]-TABLA_AVANCE_INDICADORES[[#This Row],[PROG. ACUM]]</f>
        <v>0</v>
      </c>
      <c r="AR135" s="46">
        <f>IFERROR((TABLA_AVANCE_INDICADORES[[#This Row],[DIFERENCIA ABSOLUTA SEMESTRAL]]/TABLA_AVANCE_INDICADORES[[#This Row],[PROG. ACUM]])*100,"N/A")</f>
        <v>0</v>
      </c>
      <c r="AS135"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v>
      </c>
      <c r="AT135" s="40">
        <f>IFERROR((TABLA_AVANCE_INDICADORES[[#This Row],[AVANCE ACUM. ANUAL]]/TABLA_AVANCE_INDICADORES[[#This Row],[PROGRAMADO ANUAL]])*100,"N/A")</f>
        <v>50</v>
      </c>
      <c r="AU135"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135" s="121">
        <f>TABLA_AVANCE_INDICADORES[[#This Row],[AVANCE ACUM. ANUAL]]-TABLA_AVANCE_INDICADORES[[#This Row],[PROGRAMADO ANUAL]]</f>
        <v>-2</v>
      </c>
      <c r="AW135" s="46">
        <f>IFERROR((TABLA_AVANCE_INDICADORES[[#This Row],[DIFERENCIA ABSOLUTA ANUAL]]/TABLA_AVANCE_INDICADORES[[#This Row],[PROGRAMADO ANUAL]])*100,"N/A")</f>
        <v>-50</v>
      </c>
      <c r="AX135" s="148" t="s">
        <v>63</v>
      </c>
      <c r="AY135" s="100" t="s">
        <v>63</v>
      </c>
      <c r="AZ135" s="100"/>
      <c r="BA135" s="100"/>
      <c r="BB135"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36" spans="1:54" ht="168.75" hidden="1" x14ac:dyDescent="0.3">
      <c r="A136" s="31" t="s">
        <v>1195</v>
      </c>
      <c r="B136" s="113" t="s">
        <v>213</v>
      </c>
      <c r="C136" s="32" t="s">
        <v>214</v>
      </c>
      <c r="D136" s="114" t="s">
        <v>215</v>
      </c>
      <c r="E136" s="32" t="s">
        <v>254</v>
      </c>
      <c r="F136" s="115" t="s">
        <v>255</v>
      </c>
      <c r="G136" s="146" t="s">
        <v>333</v>
      </c>
      <c r="H136" s="94" t="s">
        <v>1157</v>
      </c>
      <c r="I136" s="34" t="s">
        <v>1158</v>
      </c>
      <c r="J136" s="34" t="s">
        <v>334</v>
      </c>
      <c r="K136" s="94" t="s">
        <v>335</v>
      </c>
      <c r="L136" s="34" t="s">
        <v>336</v>
      </c>
      <c r="M136" s="94" t="s">
        <v>337</v>
      </c>
      <c r="N136" s="33">
        <v>1</v>
      </c>
      <c r="O136" s="33" t="s">
        <v>938</v>
      </c>
      <c r="P136" s="125" t="s">
        <v>1196</v>
      </c>
      <c r="Q136" s="125" t="s">
        <v>1197</v>
      </c>
      <c r="R136" s="116" t="s">
        <v>1198</v>
      </c>
      <c r="S136" s="34" t="s">
        <v>1199</v>
      </c>
      <c r="T136" s="56" t="s">
        <v>728</v>
      </c>
      <c r="U136" s="56" t="s">
        <v>755</v>
      </c>
      <c r="V136" s="95">
        <v>4</v>
      </c>
      <c r="W136" s="95">
        <v>1</v>
      </c>
      <c r="X136" s="129">
        <v>1</v>
      </c>
      <c r="Y136" s="38">
        <f>IFERROR((TABLA_AVANCE_INDICADORES[[#This Row],[AVANCE 1°. TRIM]]/TABLA_AVANCE_INDICADORES[[#This Row],[PROGR. 1° TRIM]])*100,"0")</f>
        <v>100</v>
      </c>
      <c r="Z136"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136" s="118">
        <v>1</v>
      </c>
      <c r="AB136" s="119">
        <v>1</v>
      </c>
      <c r="AC136" s="40">
        <f t="shared" si="4"/>
        <v>100</v>
      </c>
      <c r="AD136" s="39" t="str">
        <f t="shared" si="5"/>
        <v>ADECUADO</v>
      </c>
      <c r="AE136" s="118">
        <v>1</v>
      </c>
      <c r="AF136" s="119">
        <v>0</v>
      </c>
      <c r="AG136" s="40">
        <f>IFERROR((TABLA_AVANCE_INDICADORES[[#This Row],[AVANCE 3°. TRIM]]/TABLA_AVANCE_INDICADORES[[#This Row],[PROGR. 3° TRIM]])*100,"0")</f>
        <v>0</v>
      </c>
      <c r="AH136"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CRÍTICO</v>
      </c>
      <c r="AI136" s="118">
        <v>1</v>
      </c>
      <c r="AJ136" s="119">
        <v>0</v>
      </c>
      <c r="AK136" s="96">
        <f>IFERROR((TABLA_AVANCE_INDICADORES[[#This Row],[AVANCE 4°. TRIM]]/TABLA_AVANCE_INDICADORES[[#This Row],[PROGR. 4° TRIM]])*100,"0")</f>
        <v>0</v>
      </c>
      <c r="AL136"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136"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2</v>
      </c>
      <c r="AN136"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v>
      </c>
      <c r="AO136" s="40">
        <f>IFERROR((TABLA_AVANCE_INDICADORES[[#This Row],[AVANCE ACUM. TRIM.]]/TABLA_AVANCE_INDICADORES[[#This Row],[PROG. ACUM]])*100,"N/A")</f>
        <v>100</v>
      </c>
      <c r="AP136"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136" s="121">
        <f>TABLA_AVANCE_INDICADORES[[#This Row],[AVANCE ACUM. TRIM.]]-TABLA_AVANCE_INDICADORES[[#This Row],[PROG. ACUM]]</f>
        <v>0</v>
      </c>
      <c r="AR136" s="46">
        <f>IFERROR((TABLA_AVANCE_INDICADORES[[#This Row],[DIFERENCIA ABSOLUTA SEMESTRAL]]/TABLA_AVANCE_INDICADORES[[#This Row],[PROG. ACUM]])*100,"N/A")</f>
        <v>0</v>
      </c>
      <c r="AS136"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v>
      </c>
      <c r="AT136" s="40">
        <f>IFERROR((TABLA_AVANCE_INDICADORES[[#This Row],[AVANCE ACUM. ANUAL]]/TABLA_AVANCE_INDICADORES[[#This Row],[PROGRAMADO ANUAL]])*100,"N/A")</f>
        <v>50</v>
      </c>
      <c r="AU136"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136" s="121">
        <f>TABLA_AVANCE_INDICADORES[[#This Row],[AVANCE ACUM. ANUAL]]-TABLA_AVANCE_INDICADORES[[#This Row],[PROGRAMADO ANUAL]]</f>
        <v>-2</v>
      </c>
      <c r="AW136" s="46">
        <f>IFERROR((TABLA_AVANCE_INDICADORES[[#This Row],[DIFERENCIA ABSOLUTA ANUAL]]/TABLA_AVANCE_INDICADORES[[#This Row],[PROGRAMADO ANUAL]])*100,"N/A")</f>
        <v>-50</v>
      </c>
      <c r="AX136" s="148" t="s">
        <v>63</v>
      </c>
      <c r="AY136" s="100" t="s">
        <v>63</v>
      </c>
      <c r="AZ136" s="100"/>
      <c r="BA136" s="100"/>
      <c r="BB136"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37" spans="1:54" ht="168.75" hidden="1" x14ac:dyDescent="0.3">
      <c r="A137" s="31" t="s">
        <v>1200</v>
      </c>
      <c r="B137" s="113" t="s">
        <v>213</v>
      </c>
      <c r="C137" s="32" t="s">
        <v>214</v>
      </c>
      <c r="D137" s="114" t="s">
        <v>215</v>
      </c>
      <c r="E137" s="32" t="s">
        <v>254</v>
      </c>
      <c r="F137" s="115" t="s">
        <v>255</v>
      </c>
      <c r="G137" s="146" t="s">
        <v>333</v>
      </c>
      <c r="H137" s="94" t="s">
        <v>1157</v>
      </c>
      <c r="I137" s="34" t="s">
        <v>1158</v>
      </c>
      <c r="J137" s="34" t="s">
        <v>334</v>
      </c>
      <c r="K137" s="94" t="s">
        <v>335</v>
      </c>
      <c r="L137" s="34" t="s">
        <v>336</v>
      </c>
      <c r="M137" s="94" t="s">
        <v>337</v>
      </c>
      <c r="N137" s="33">
        <v>2</v>
      </c>
      <c r="O137" s="33" t="s">
        <v>938</v>
      </c>
      <c r="P137" s="125" t="s">
        <v>1196</v>
      </c>
      <c r="Q137" s="125" t="s">
        <v>1201</v>
      </c>
      <c r="R137" s="116" t="s">
        <v>1198</v>
      </c>
      <c r="S137" s="34" t="s">
        <v>1199</v>
      </c>
      <c r="T137" s="56" t="s">
        <v>728</v>
      </c>
      <c r="U137" s="56" t="s">
        <v>755</v>
      </c>
      <c r="V137" s="95">
        <v>4</v>
      </c>
      <c r="W137" s="95">
        <v>1</v>
      </c>
      <c r="X137" s="127">
        <v>1</v>
      </c>
      <c r="Y137" s="38">
        <f>IFERROR((TABLA_AVANCE_INDICADORES[[#This Row],[AVANCE 1°. TRIM]]/TABLA_AVANCE_INDICADORES[[#This Row],[PROGR. 1° TRIM]])*100,"0")</f>
        <v>100</v>
      </c>
      <c r="Z137"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137" s="118">
        <v>1</v>
      </c>
      <c r="AB137" s="128">
        <v>1</v>
      </c>
      <c r="AC137" s="40">
        <f t="shared" si="4"/>
        <v>100</v>
      </c>
      <c r="AD137" s="39" t="str">
        <f t="shared" si="5"/>
        <v>ADECUADO</v>
      </c>
      <c r="AE137" s="118">
        <v>1</v>
      </c>
      <c r="AF137" s="128">
        <f>AE137</f>
        <v>1</v>
      </c>
      <c r="AG137" s="40">
        <f>IFERROR((TABLA_AVANCE_INDICADORES[[#This Row],[AVANCE 3°. TRIM]]/TABLA_AVANCE_INDICADORES[[#This Row],[PROGR. 3° TRIM]])*100,"0")</f>
        <v>100</v>
      </c>
      <c r="AH137"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ADECUADO</v>
      </c>
      <c r="AI137" s="118">
        <v>1</v>
      </c>
      <c r="AJ137" s="128">
        <f>AI137</f>
        <v>1</v>
      </c>
      <c r="AK137" s="96">
        <f>IFERROR((TABLA_AVANCE_INDICADORES[[#This Row],[AVANCE 4°. TRIM]]/TABLA_AVANCE_INDICADORES[[#This Row],[PROGR. 4° TRIM]])*100,"0")</f>
        <v>100</v>
      </c>
      <c r="AL137"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ADECUADO</v>
      </c>
      <c r="AM137"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2</v>
      </c>
      <c r="AN137"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v>
      </c>
      <c r="AO137" s="40">
        <f>IFERROR((TABLA_AVANCE_INDICADORES[[#This Row],[AVANCE ACUM. TRIM.]]/TABLA_AVANCE_INDICADORES[[#This Row],[PROG. ACUM]])*100,"N/A")</f>
        <v>100</v>
      </c>
      <c r="AP137"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137" s="121">
        <f>TABLA_AVANCE_INDICADORES[[#This Row],[AVANCE ACUM. TRIM.]]-TABLA_AVANCE_INDICADORES[[#This Row],[PROG. ACUM]]</f>
        <v>0</v>
      </c>
      <c r="AR137" s="46">
        <f>IFERROR((TABLA_AVANCE_INDICADORES[[#This Row],[DIFERENCIA ABSOLUTA SEMESTRAL]]/TABLA_AVANCE_INDICADORES[[#This Row],[PROG. ACUM]])*100,"N/A")</f>
        <v>0</v>
      </c>
      <c r="AS137"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v>
      </c>
      <c r="AT137" s="40">
        <f>IFERROR((TABLA_AVANCE_INDICADORES[[#This Row],[AVANCE ACUM. ANUAL]]/TABLA_AVANCE_INDICADORES[[#This Row],[PROGRAMADO ANUAL]])*100,"N/A")</f>
        <v>50</v>
      </c>
      <c r="AU137"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137" s="121">
        <f>TABLA_AVANCE_INDICADORES[[#This Row],[AVANCE ACUM. ANUAL]]-TABLA_AVANCE_INDICADORES[[#This Row],[PROGRAMADO ANUAL]]</f>
        <v>-2</v>
      </c>
      <c r="AW137" s="46">
        <f>IFERROR((TABLA_AVANCE_INDICADORES[[#This Row],[DIFERENCIA ABSOLUTA ANUAL]]/TABLA_AVANCE_INDICADORES[[#This Row],[PROGRAMADO ANUAL]])*100,"N/A")</f>
        <v>-50</v>
      </c>
      <c r="AX137" s="148" t="s">
        <v>63</v>
      </c>
      <c r="AY137" s="100" t="s">
        <v>63</v>
      </c>
      <c r="AZ137" s="100"/>
      <c r="BA137" s="100"/>
      <c r="BB137"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38" spans="1:54" ht="150" hidden="1" x14ac:dyDescent="0.3">
      <c r="A138" s="31" t="s">
        <v>1202</v>
      </c>
      <c r="B138" s="113" t="s">
        <v>494</v>
      </c>
      <c r="C138" s="32" t="s">
        <v>445</v>
      </c>
      <c r="D138" s="114" t="s">
        <v>446</v>
      </c>
      <c r="E138" s="32" t="s">
        <v>495</v>
      </c>
      <c r="F138" s="115" t="s">
        <v>496</v>
      </c>
      <c r="G138" s="146" t="s">
        <v>497</v>
      </c>
      <c r="H138" s="94" t="s">
        <v>1203</v>
      </c>
      <c r="I138" s="34" t="s">
        <v>1204</v>
      </c>
      <c r="J138" s="34" t="s">
        <v>435</v>
      </c>
      <c r="K138" s="94" t="s">
        <v>436</v>
      </c>
      <c r="L138" s="34" t="s">
        <v>498</v>
      </c>
      <c r="M138" s="94" t="s">
        <v>499</v>
      </c>
      <c r="N138" s="33">
        <v>1</v>
      </c>
      <c r="O138" s="33" t="s">
        <v>724</v>
      </c>
      <c r="P138" s="125" t="s">
        <v>1205</v>
      </c>
      <c r="Q138" s="125" t="s">
        <v>1206</v>
      </c>
      <c r="R138" s="116" t="s">
        <v>1207</v>
      </c>
      <c r="S138" s="34" t="s">
        <v>1208</v>
      </c>
      <c r="T138" s="56" t="s">
        <v>728</v>
      </c>
      <c r="U138" s="56" t="s">
        <v>739</v>
      </c>
      <c r="V138" s="95">
        <v>835803</v>
      </c>
      <c r="W138" s="95">
        <v>0</v>
      </c>
      <c r="X138" s="117">
        <v>0</v>
      </c>
      <c r="Y138" s="38" t="str">
        <f>IFERROR((TABLA_AVANCE_INDICADORES[[#This Row],[AVANCE 1°. TRIM]]/TABLA_AVANCE_INDICADORES[[#This Row],[PROGR. 1° TRIM]])*100,"0")</f>
        <v>0</v>
      </c>
      <c r="Z138"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138" s="118">
        <v>0</v>
      </c>
      <c r="AB138" s="119">
        <v>0</v>
      </c>
      <c r="AC138" s="40" t="str">
        <f t="shared" si="4"/>
        <v>0</v>
      </c>
      <c r="AD138" s="39" t="str">
        <f t="shared" si="5"/>
        <v>NO PROG.</v>
      </c>
      <c r="AE138" s="118">
        <v>0</v>
      </c>
      <c r="AF138" s="119">
        <v>0</v>
      </c>
      <c r="AG138" s="40" t="str">
        <f>IFERROR((TABLA_AVANCE_INDICADORES[[#This Row],[AVANCE 3°. TRIM]]/TABLA_AVANCE_INDICADORES[[#This Row],[PROGR. 3° TRIM]])*100,"0")</f>
        <v>0</v>
      </c>
      <c r="AH138"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138" s="118">
        <v>835803</v>
      </c>
      <c r="AJ138" s="119">
        <v>0</v>
      </c>
      <c r="AK138" s="96">
        <f>IFERROR((TABLA_AVANCE_INDICADORES[[#This Row],[AVANCE 4°. TRIM]]/TABLA_AVANCE_INDICADORES[[#This Row],[PROGR. 4° TRIM]])*100,"0")</f>
        <v>0</v>
      </c>
      <c r="AL138"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138"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0</v>
      </c>
      <c r="AN138"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O138" s="40" t="str">
        <f>IFERROR((TABLA_AVANCE_INDICADORES[[#This Row],[AVANCE ACUM. TRIM.]]/TABLA_AVANCE_INDICADORES[[#This Row],[PROG. ACUM]])*100,"N/A")</f>
        <v>N/A</v>
      </c>
      <c r="AP138"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NO PROG.</v>
      </c>
      <c r="AQ138" s="121">
        <f>TABLA_AVANCE_INDICADORES[[#This Row],[AVANCE ACUM. TRIM.]]-TABLA_AVANCE_INDICADORES[[#This Row],[PROG. ACUM]]</f>
        <v>0</v>
      </c>
      <c r="AR138" s="46" t="str">
        <f>IFERROR((TABLA_AVANCE_INDICADORES[[#This Row],[DIFERENCIA ABSOLUTA SEMESTRAL]]/TABLA_AVANCE_INDICADORES[[#This Row],[PROG. ACUM]])*100,"N/A")</f>
        <v>N/A</v>
      </c>
      <c r="AS138"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T138" s="40">
        <f>IFERROR((TABLA_AVANCE_INDICADORES[[#This Row],[AVANCE ACUM. ANUAL]]/TABLA_AVANCE_INDICADORES[[#This Row],[PROGRAMADO ANUAL]])*100,"N/A")</f>
        <v>0</v>
      </c>
      <c r="AU138"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138" s="121">
        <f>TABLA_AVANCE_INDICADORES[[#This Row],[AVANCE ACUM. ANUAL]]-TABLA_AVANCE_INDICADORES[[#This Row],[PROGRAMADO ANUAL]]</f>
        <v>-835803</v>
      </c>
      <c r="AW138" s="46">
        <f>IFERROR((TABLA_AVANCE_INDICADORES[[#This Row],[DIFERENCIA ABSOLUTA ANUAL]]/TABLA_AVANCE_INDICADORES[[#This Row],[PROGRAMADO ANUAL]])*100,"N/A")</f>
        <v>-100</v>
      </c>
      <c r="AX138" s="148" t="s">
        <v>63</v>
      </c>
      <c r="AY138" s="100" t="s">
        <v>63</v>
      </c>
      <c r="AZ138" s="100"/>
      <c r="BA138" s="100"/>
      <c r="BB138"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39" spans="1:54" ht="150" hidden="1" x14ac:dyDescent="0.3">
      <c r="A139" s="31" t="s">
        <v>1209</v>
      </c>
      <c r="B139" s="113" t="s">
        <v>494</v>
      </c>
      <c r="C139" s="32" t="s">
        <v>445</v>
      </c>
      <c r="D139" s="114" t="s">
        <v>446</v>
      </c>
      <c r="E139" s="32" t="s">
        <v>495</v>
      </c>
      <c r="F139" s="115" t="s">
        <v>496</v>
      </c>
      <c r="G139" s="146" t="s">
        <v>497</v>
      </c>
      <c r="H139" s="94" t="s">
        <v>1203</v>
      </c>
      <c r="I139" s="34" t="s">
        <v>1204</v>
      </c>
      <c r="J139" s="34" t="s">
        <v>435</v>
      </c>
      <c r="K139" s="94" t="s">
        <v>436</v>
      </c>
      <c r="L139" s="34" t="s">
        <v>498</v>
      </c>
      <c r="M139" s="94" t="s">
        <v>499</v>
      </c>
      <c r="N139" s="33">
        <v>2</v>
      </c>
      <c r="O139" s="33" t="s">
        <v>724</v>
      </c>
      <c r="P139" s="125" t="s">
        <v>1205</v>
      </c>
      <c r="Q139" s="125" t="s">
        <v>1210</v>
      </c>
      <c r="R139" s="116" t="s">
        <v>1207</v>
      </c>
      <c r="S139" s="34" t="s">
        <v>1208</v>
      </c>
      <c r="T139" s="56" t="s">
        <v>728</v>
      </c>
      <c r="U139" s="56" t="s">
        <v>739</v>
      </c>
      <c r="V139" s="95">
        <v>835803</v>
      </c>
      <c r="W139" s="95">
        <v>0</v>
      </c>
      <c r="X139" s="117">
        <v>0</v>
      </c>
      <c r="Y139" s="38" t="str">
        <f>IFERROR((TABLA_AVANCE_INDICADORES[[#This Row],[AVANCE 1°. TRIM]]/TABLA_AVANCE_INDICADORES[[#This Row],[PROGR. 1° TRIM]])*100,"0")</f>
        <v>0</v>
      </c>
      <c r="Z139"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139" s="118">
        <v>0</v>
      </c>
      <c r="AB139" s="119">
        <v>0</v>
      </c>
      <c r="AC139" s="40" t="str">
        <f t="shared" si="4"/>
        <v>0</v>
      </c>
      <c r="AD139" s="39" t="str">
        <f t="shared" si="5"/>
        <v>NO PROG.</v>
      </c>
      <c r="AE139" s="118">
        <v>0</v>
      </c>
      <c r="AF139" s="119">
        <v>0</v>
      </c>
      <c r="AG139" s="40" t="str">
        <f>IFERROR((TABLA_AVANCE_INDICADORES[[#This Row],[AVANCE 3°. TRIM]]/TABLA_AVANCE_INDICADORES[[#This Row],[PROGR. 3° TRIM]])*100,"0")</f>
        <v>0</v>
      </c>
      <c r="AH139"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139" s="118">
        <v>835803</v>
      </c>
      <c r="AJ139" s="119">
        <v>0</v>
      </c>
      <c r="AK139" s="96">
        <f>IFERROR((TABLA_AVANCE_INDICADORES[[#This Row],[AVANCE 4°. TRIM]]/TABLA_AVANCE_INDICADORES[[#This Row],[PROGR. 4° TRIM]])*100,"0")</f>
        <v>0</v>
      </c>
      <c r="AL139"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139"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0</v>
      </c>
      <c r="AN139"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O139" s="40" t="str">
        <f>IFERROR((TABLA_AVANCE_INDICADORES[[#This Row],[AVANCE ACUM. TRIM.]]/TABLA_AVANCE_INDICADORES[[#This Row],[PROG. ACUM]])*100,"N/A")</f>
        <v>N/A</v>
      </c>
      <c r="AP139"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NO PROG.</v>
      </c>
      <c r="AQ139" s="121">
        <f>TABLA_AVANCE_INDICADORES[[#This Row],[AVANCE ACUM. TRIM.]]-TABLA_AVANCE_INDICADORES[[#This Row],[PROG. ACUM]]</f>
        <v>0</v>
      </c>
      <c r="AR139" s="46" t="str">
        <f>IFERROR((TABLA_AVANCE_INDICADORES[[#This Row],[DIFERENCIA ABSOLUTA SEMESTRAL]]/TABLA_AVANCE_INDICADORES[[#This Row],[PROG. ACUM]])*100,"N/A")</f>
        <v>N/A</v>
      </c>
      <c r="AS139"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T139" s="40">
        <f>IFERROR((TABLA_AVANCE_INDICADORES[[#This Row],[AVANCE ACUM. ANUAL]]/TABLA_AVANCE_INDICADORES[[#This Row],[PROGRAMADO ANUAL]])*100,"N/A")</f>
        <v>0</v>
      </c>
      <c r="AU139"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139" s="121">
        <f>TABLA_AVANCE_INDICADORES[[#This Row],[AVANCE ACUM. ANUAL]]-TABLA_AVANCE_INDICADORES[[#This Row],[PROGRAMADO ANUAL]]</f>
        <v>-835803</v>
      </c>
      <c r="AW139" s="46">
        <f>IFERROR((TABLA_AVANCE_INDICADORES[[#This Row],[DIFERENCIA ABSOLUTA ANUAL]]/TABLA_AVANCE_INDICADORES[[#This Row],[PROGRAMADO ANUAL]])*100,"N/A")</f>
        <v>-100</v>
      </c>
      <c r="AX139" s="148" t="s">
        <v>63</v>
      </c>
      <c r="AY139" s="100" t="s">
        <v>63</v>
      </c>
      <c r="AZ139" s="100"/>
      <c r="BA139" s="100"/>
      <c r="BB139"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40" spans="1:54" ht="187.5" hidden="1" x14ac:dyDescent="0.3">
      <c r="A140" s="31" t="s">
        <v>1211</v>
      </c>
      <c r="B140" s="113" t="s">
        <v>494</v>
      </c>
      <c r="C140" s="32" t="s">
        <v>445</v>
      </c>
      <c r="D140" s="114" t="s">
        <v>446</v>
      </c>
      <c r="E140" s="32" t="s">
        <v>495</v>
      </c>
      <c r="F140" s="115" t="s">
        <v>496</v>
      </c>
      <c r="G140" s="146" t="s">
        <v>497</v>
      </c>
      <c r="H140" s="94" t="s">
        <v>1203</v>
      </c>
      <c r="I140" s="34" t="s">
        <v>1204</v>
      </c>
      <c r="J140" s="34" t="s">
        <v>435</v>
      </c>
      <c r="K140" s="94" t="s">
        <v>436</v>
      </c>
      <c r="L140" s="34" t="s">
        <v>498</v>
      </c>
      <c r="M140" s="94" t="s">
        <v>499</v>
      </c>
      <c r="N140" s="33">
        <v>1</v>
      </c>
      <c r="O140" s="33" t="s">
        <v>734</v>
      </c>
      <c r="P140" s="125" t="s">
        <v>1212</v>
      </c>
      <c r="Q140" s="125" t="s">
        <v>1213</v>
      </c>
      <c r="R140" s="116" t="s">
        <v>1214</v>
      </c>
      <c r="S140" s="34" t="s">
        <v>501</v>
      </c>
      <c r="T140" s="56" t="s">
        <v>728</v>
      </c>
      <c r="U140" s="56" t="s">
        <v>739</v>
      </c>
      <c r="V140" s="95">
        <v>350</v>
      </c>
      <c r="W140" s="95">
        <v>0</v>
      </c>
      <c r="X140" s="117">
        <v>0</v>
      </c>
      <c r="Y140" s="38" t="str">
        <f>IFERROR((TABLA_AVANCE_INDICADORES[[#This Row],[AVANCE 1°. TRIM]]/TABLA_AVANCE_INDICADORES[[#This Row],[PROGR. 1° TRIM]])*100,"0")</f>
        <v>0</v>
      </c>
      <c r="Z140"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140" s="118">
        <v>0</v>
      </c>
      <c r="AB140" s="119">
        <v>0</v>
      </c>
      <c r="AC140" s="40" t="str">
        <f t="shared" si="4"/>
        <v>0</v>
      </c>
      <c r="AD140" s="39" t="str">
        <f t="shared" si="5"/>
        <v>NO PROG.</v>
      </c>
      <c r="AE140" s="118">
        <v>0</v>
      </c>
      <c r="AF140" s="119">
        <v>0</v>
      </c>
      <c r="AG140" s="40" t="str">
        <f>IFERROR((TABLA_AVANCE_INDICADORES[[#This Row],[AVANCE 3°. TRIM]]/TABLA_AVANCE_INDICADORES[[#This Row],[PROGR. 3° TRIM]])*100,"0")</f>
        <v>0</v>
      </c>
      <c r="AH140"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140" s="118">
        <v>350</v>
      </c>
      <c r="AJ140" s="119">
        <v>0</v>
      </c>
      <c r="AK140" s="96">
        <f>IFERROR((TABLA_AVANCE_INDICADORES[[#This Row],[AVANCE 4°. TRIM]]/TABLA_AVANCE_INDICADORES[[#This Row],[PROGR. 4° TRIM]])*100,"0")</f>
        <v>0</v>
      </c>
      <c r="AL140"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140"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0</v>
      </c>
      <c r="AN140"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O140" s="40" t="str">
        <f>IFERROR((TABLA_AVANCE_INDICADORES[[#This Row],[AVANCE ACUM. TRIM.]]/TABLA_AVANCE_INDICADORES[[#This Row],[PROG. ACUM]])*100,"N/A")</f>
        <v>N/A</v>
      </c>
      <c r="AP140"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NO PROG.</v>
      </c>
      <c r="AQ140" s="121">
        <f>TABLA_AVANCE_INDICADORES[[#This Row],[AVANCE ACUM. TRIM.]]-TABLA_AVANCE_INDICADORES[[#This Row],[PROG. ACUM]]</f>
        <v>0</v>
      </c>
      <c r="AR140" s="46" t="str">
        <f>IFERROR((TABLA_AVANCE_INDICADORES[[#This Row],[DIFERENCIA ABSOLUTA SEMESTRAL]]/TABLA_AVANCE_INDICADORES[[#This Row],[PROG. ACUM]])*100,"N/A")</f>
        <v>N/A</v>
      </c>
      <c r="AS140"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T140" s="40">
        <f>IFERROR((TABLA_AVANCE_INDICADORES[[#This Row],[AVANCE ACUM. ANUAL]]/TABLA_AVANCE_INDICADORES[[#This Row],[PROGRAMADO ANUAL]])*100,"N/A")</f>
        <v>0</v>
      </c>
      <c r="AU140"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140" s="121">
        <f>TABLA_AVANCE_INDICADORES[[#This Row],[AVANCE ACUM. ANUAL]]-TABLA_AVANCE_INDICADORES[[#This Row],[PROGRAMADO ANUAL]]</f>
        <v>-350</v>
      </c>
      <c r="AW140" s="46">
        <f>IFERROR((TABLA_AVANCE_INDICADORES[[#This Row],[DIFERENCIA ABSOLUTA ANUAL]]/TABLA_AVANCE_INDICADORES[[#This Row],[PROGRAMADO ANUAL]])*100,"N/A")</f>
        <v>-100</v>
      </c>
      <c r="AX140" s="148" t="s">
        <v>63</v>
      </c>
      <c r="AY140" s="100" t="s">
        <v>63</v>
      </c>
      <c r="AZ140" s="100"/>
      <c r="BA140" s="100"/>
      <c r="BB140"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41" spans="1:54" ht="187.5" hidden="1" x14ac:dyDescent="0.3">
      <c r="A141" s="31" t="s">
        <v>1215</v>
      </c>
      <c r="B141" s="113" t="s">
        <v>494</v>
      </c>
      <c r="C141" s="32" t="s">
        <v>445</v>
      </c>
      <c r="D141" s="114" t="s">
        <v>446</v>
      </c>
      <c r="E141" s="32" t="s">
        <v>495</v>
      </c>
      <c r="F141" s="115" t="s">
        <v>496</v>
      </c>
      <c r="G141" s="146" t="s">
        <v>497</v>
      </c>
      <c r="H141" s="94" t="s">
        <v>1203</v>
      </c>
      <c r="I141" s="34" t="s">
        <v>1204</v>
      </c>
      <c r="J141" s="34" t="s">
        <v>435</v>
      </c>
      <c r="K141" s="94" t="s">
        <v>436</v>
      </c>
      <c r="L141" s="34" t="s">
        <v>498</v>
      </c>
      <c r="M141" s="94" t="s">
        <v>499</v>
      </c>
      <c r="N141" s="33">
        <v>2</v>
      </c>
      <c r="O141" s="33" t="s">
        <v>734</v>
      </c>
      <c r="P141" s="125" t="s">
        <v>1212</v>
      </c>
      <c r="Q141" s="125" t="s">
        <v>1216</v>
      </c>
      <c r="R141" s="116" t="s">
        <v>1214</v>
      </c>
      <c r="S141" s="34" t="s">
        <v>501</v>
      </c>
      <c r="T141" s="56" t="s">
        <v>728</v>
      </c>
      <c r="U141" s="56" t="s">
        <v>739</v>
      </c>
      <c r="V141" s="95">
        <v>447</v>
      </c>
      <c r="W141" s="95">
        <v>0</v>
      </c>
      <c r="X141" s="117">
        <v>0</v>
      </c>
      <c r="Y141" s="38" t="str">
        <f>IFERROR((TABLA_AVANCE_INDICADORES[[#This Row],[AVANCE 1°. TRIM]]/TABLA_AVANCE_INDICADORES[[#This Row],[PROGR. 1° TRIM]])*100,"0")</f>
        <v>0</v>
      </c>
      <c r="Z141"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141" s="118">
        <v>0</v>
      </c>
      <c r="AB141" s="119">
        <v>0</v>
      </c>
      <c r="AC141" s="40" t="str">
        <f t="shared" si="4"/>
        <v>0</v>
      </c>
      <c r="AD141" s="39" t="str">
        <f t="shared" si="5"/>
        <v>NO PROG.</v>
      </c>
      <c r="AE141" s="118">
        <v>0</v>
      </c>
      <c r="AF141" s="119">
        <v>0</v>
      </c>
      <c r="AG141" s="40" t="str">
        <f>IFERROR((TABLA_AVANCE_INDICADORES[[#This Row],[AVANCE 3°. TRIM]]/TABLA_AVANCE_INDICADORES[[#This Row],[PROGR. 3° TRIM]])*100,"0")</f>
        <v>0</v>
      </c>
      <c r="AH141"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141" s="118">
        <v>447</v>
      </c>
      <c r="AJ141" s="126">
        <v>447</v>
      </c>
      <c r="AK141" s="96">
        <f>IFERROR((TABLA_AVANCE_INDICADORES[[#This Row],[AVANCE 4°. TRIM]]/TABLA_AVANCE_INDICADORES[[#This Row],[PROGR. 4° TRIM]])*100,"0")</f>
        <v>100</v>
      </c>
      <c r="AL141"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ADECUADO</v>
      </c>
      <c r="AM141"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0</v>
      </c>
      <c r="AN141"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O141" s="40" t="str">
        <f>IFERROR((TABLA_AVANCE_INDICADORES[[#This Row],[AVANCE ACUM. TRIM.]]/TABLA_AVANCE_INDICADORES[[#This Row],[PROG. ACUM]])*100,"N/A")</f>
        <v>N/A</v>
      </c>
      <c r="AP141"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NO PROG.</v>
      </c>
      <c r="AQ141" s="121">
        <f>TABLA_AVANCE_INDICADORES[[#This Row],[AVANCE ACUM. TRIM.]]-TABLA_AVANCE_INDICADORES[[#This Row],[PROG. ACUM]]</f>
        <v>0</v>
      </c>
      <c r="AR141" s="46" t="str">
        <f>IFERROR((TABLA_AVANCE_INDICADORES[[#This Row],[DIFERENCIA ABSOLUTA SEMESTRAL]]/TABLA_AVANCE_INDICADORES[[#This Row],[PROG. ACUM]])*100,"N/A")</f>
        <v>N/A</v>
      </c>
      <c r="AS141"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T141" s="40">
        <f>IFERROR((TABLA_AVANCE_INDICADORES[[#This Row],[AVANCE ACUM. ANUAL]]/TABLA_AVANCE_INDICADORES[[#This Row],[PROGRAMADO ANUAL]])*100,"N/A")</f>
        <v>0</v>
      </c>
      <c r="AU141"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141" s="121">
        <f>TABLA_AVANCE_INDICADORES[[#This Row],[AVANCE ACUM. ANUAL]]-TABLA_AVANCE_INDICADORES[[#This Row],[PROGRAMADO ANUAL]]</f>
        <v>-447</v>
      </c>
      <c r="AW141" s="46">
        <f>IFERROR((TABLA_AVANCE_INDICADORES[[#This Row],[DIFERENCIA ABSOLUTA ANUAL]]/TABLA_AVANCE_INDICADORES[[#This Row],[PROGRAMADO ANUAL]])*100,"N/A")</f>
        <v>-100</v>
      </c>
      <c r="AX141" s="148" t="s">
        <v>63</v>
      </c>
      <c r="AY141" s="100" t="s">
        <v>63</v>
      </c>
      <c r="AZ141" s="100"/>
      <c r="BA141" s="100"/>
      <c r="BB141"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42" spans="1:54" ht="150" hidden="1" x14ac:dyDescent="0.3">
      <c r="A142" s="31" t="s">
        <v>1217</v>
      </c>
      <c r="B142" s="113" t="s">
        <v>494</v>
      </c>
      <c r="C142" s="32" t="s">
        <v>445</v>
      </c>
      <c r="D142" s="114" t="s">
        <v>446</v>
      </c>
      <c r="E142" s="32" t="s">
        <v>495</v>
      </c>
      <c r="F142" s="115" t="s">
        <v>496</v>
      </c>
      <c r="G142" s="146" t="s">
        <v>497</v>
      </c>
      <c r="H142" s="94" t="s">
        <v>1203</v>
      </c>
      <c r="I142" s="34" t="s">
        <v>1204</v>
      </c>
      <c r="J142" s="34" t="s">
        <v>435</v>
      </c>
      <c r="K142" s="94" t="s">
        <v>436</v>
      </c>
      <c r="L142" s="34" t="s">
        <v>498</v>
      </c>
      <c r="M142" s="94" t="s">
        <v>499</v>
      </c>
      <c r="N142" s="33">
        <v>1</v>
      </c>
      <c r="O142" s="33" t="s">
        <v>786</v>
      </c>
      <c r="P142" s="149" t="s">
        <v>1218</v>
      </c>
      <c r="Q142" s="125" t="s">
        <v>1219</v>
      </c>
      <c r="R142" s="116" t="s">
        <v>1220</v>
      </c>
      <c r="S142" s="34" t="s">
        <v>1208</v>
      </c>
      <c r="T142" s="56" t="s">
        <v>728</v>
      </c>
      <c r="U142" s="56" t="s">
        <v>1221</v>
      </c>
      <c r="V142" s="95">
        <v>783316</v>
      </c>
      <c r="W142" s="95">
        <v>0</v>
      </c>
      <c r="X142" s="117">
        <v>0</v>
      </c>
      <c r="Y142" s="38" t="str">
        <f>IFERROR((TABLA_AVANCE_INDICADORES[[#This Row],[AVANCE 1°. TRIM]]/TABLA_AVANCE_INDICADORES[[#This Row],[PROGR. 1° TRIM]])*100,"0")</f>
        <v>0</v>
      </c>
      <c r="Z142"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142" s="118">
        <v>421836</v>
      </c>
      <c r="AB142" s="119">
        <v>387406</v>
      </c>
      <c r="AC142" s="40">
        <f>IFERROR((AB142/AA142)*100,"0")</f>
        <v>91.838060288832622</v>
      </c>
      <c r="AD142" s="39" t="str">
        <f t="shared" si="5"/>
        <v>ADECUADO</v>
      </c>
      <c r="AE142" s="118">
        <v>0</v>
      </c>
      <c r="AF142" s="119">
        <v>0</v>
      </c>
      <c r="AG142" s="40" t="str">
        <f>IFERROR((TABLA_AVANCE_INDICADORES[[#This Row],[AVANCE 3°. TRIM]]/TABLA_AVANCE_INDICADORES[[#This Row],[PROGR. 3° TRIM]])*100,"0")</f>
        <v>0</v>
      </c>
      <c r="AH142"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142" s="118">
        <v>361480</v>
      </c>
      <c r="AJ142" s="119">
        <v>0</v>
      </c>
      <c r="AK142" s="96">
        <f>IFERROR((TABLA_AVANCE_INDICADORES[[#This Row],[AVANCE 4°. TRIM]]/TABLA_AVANCE_INDICADORES[[#This Row],[PROGR. 4° TRIM]])*100,"0")</f>
        <v>0</v>
      </c>
      <c r="AL142"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142"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421836</v>
      </c>
      <c r="AN142"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387406</v>
      </c>
      <c r="AO142" s="40">
        <f>IFERROR((TABLA_AVANCE_INDICADORES[[#This Row],[AVANCE ACUM. TRIM.]]/TABLA_AVANCE_INDICADORES[[#This Row],[PROG. ACUM]])*100,"N/A")</f>
        <v>91.838060288832622</v>
      </c>
      <c r="AP142"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142" s="121">
        <f>TABLA_AVANCE_INDICADORES[[#This Row],[AVANCE ACUM. TRIM.]]-TABLA_AVANCE_INDICADORES[[#This Row],[PROG. ACUM]]</f>
        <v>-34430</v>
      </c>
      <c r="AR142" s="46">
        <f>IFERROR((TABLA_AVANCE_INDICADORES[[#This Row],[DIFERENCIA ABSOLUTA SEMESTRAL]]/TABLA_AVANCE_INDICADORES[[#This Row],[PROG. ACUM]])*100,"N/A")</f>
        <v>-8.1619397111673742</v>
      </c>
      <c r="AS142"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387406</v>
      </c>
      <c r="AT142" s="40">
        <f>IFERROR((TABLA_AVANCE_INDICADORES[[#This Row],[AVANCE ACUM. ANUAL]]/TABLA_AVANCE_INDICADORES[[#This Row],[PROGRAMADO ANUAL]])*100,"N/A")</f>
        <v>49.457179478013977</v>
      </c>
      <c r="AU142"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142" s="121">
        <f>TABLA_AVANCE_INDICADORES[[#This Row],[AVANCE ACUM. ANUAL]]-TABLA_AVANCE_INDICADORES[[#This Row],[PROGRAMADO ANUAL]]</f>
        <v>-395910</v>
      </c>
      <c r="AW142" s="46">
        <f>IFERROR((TABLA_AVANCE_INDICADORES[[#This Row],[DIFERENCIA ABSOLUTA ANUAL]]/TABLA_AVANCE_INDICADORES[[#This Row],[PROGRAMADO ANUAL]])*100,"N/A")</f>
        <v>-50.542820521986023</v>
      </c>
      <c r="AX142" s="148" t="s">
        <v>63</v>
      </c>
      <c r="AY142" s="100" t="s">
        <v>63</v>
      </c>
      <c r="AZ142" s="100"/>
      <c r="BA142" s="100"/>
      <c r="BB142"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43" spans="1:54" ht="150" hidden="1" x14ac:dyDescent="0.3">
      <c r="A143" s="31" t="s">
        <v>1222</v>
      </c>
      <c r="B143" s="113" t="s">
        <v>494</v>
      </c>
      <c r="C143" s="32" t="s">
        <v>445</v>
      </c>
      <c r="D143" s="114" t="s">
        <v>446</v>
      </c>
      <c r="E143" s="32" t="s">
        <v>495</v>
      </c>
      <c r="F143" s="115" t="s">
        <v>496</v>
      </c>
      <c r="G143" s="146" t="s">
        <v>497</v>
      </c>
      <c r="H143" s="94" t="s">
        <v>1203</v>
      </c>
      <c r="I143" s="34" t="s">
        <v>1204</v>
      </c>
      <c r="J143" s="34" t="s">
        <v>435</v>
      </c>
      <c r="K143" s="94" t="s">
        <v>436</v>
      </c>
      <c r="L143" s="34" t="s">
        <v>498</v>
      </c>
      <c r="M143" s="94" t="s">
        <v>499</v>
      </c>
      <c r="N143" s="33">
        <v>2</v>
      </c>
      <c r="O143" s="33" t="s">
        <v>786</v>
      </c>
      <c r="P143" s="149" t="s">
        <v>1218</v>
      </c>
      <c r="Q143" s="125" t="s">
        <v>1223</v>
      </c>
      <c r="R143" s="116" t="s">
        <v>1220</v>
      </c>
      <c r="S143" s="34" t="s">
        <v>1208</v>
      </c>
      <c r="T143" s="56" t="s">
        <v>728</v>
      </c>
      <c r="U143" s="56" t="s">
        <v>1221</v>
      </c>
      <c r="V143" s="95">
        <v>43335000</v>
      </c>
      <c r="W143" s="95">
        <v>0</v>
      </c>
      <c r="X143" s="117">
        <v>0</v>
      </c>
      <c r="Y143" s="38" t="str">
        <f>IFERROR((TABLA_AVANCE_INDICADORES[[#This Row],[AVANCE 1°. TRIM]]/TABLA_AVANCE_INDICADORES[[#This Row],[PROGR. 1° TRIM]])*100,"0")</f>
        <v>0</v>
      </c>
      <c r="Z143"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143" s="118">
        <v>21667500</v>
      </c>
      <c r="AB143" s="119">
        <v>21667500</v>
      </c>
      <c r="AC143" s="40">
        <f t="shared" si="4"/>
        <v>100</v>
      </c>
      <c r="AD143" s="39" t="str">
        <f t="shared" si="5"/>
        <v>ADECUADO</v>
      </c>
      <c r="AE143" s="118">
        <v>0</v>
      </c>
      <c r="AF143" s="119">
        <v>0</v>
      </c>
      <c r="AG143" s="40" t="str">
        <f>IFERROR((TABLA_AVANCE_INDICADORES[[#This Row],[AVANCE 3°. TRIM]]/TABLA_AVANCE_INDICADORES[[#This Row],[PROGR. 3° TRIM]])*100,"0")</f>
        <v>0</v>
      </c>
      <c r="AH143"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143" s="118">
        <v>21667500</v>
      </c>
      <c r="AJ143" s="119">
        <v>0</v>
      </c>
      <c r="AK143" s="96">
        <f>IFERROR((TABLA_AVANCE_INDICADORES[[#This Row],[AVANCE 4°. TRIM]]/TABLA_AVANCE_INDICADORES[[#This Row],[PROGR. 4° TRIM]])*100,"0")</f>
        <v>0</v>
      </c>
      <c r="AL143"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143"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21667500</v>
      </c>
      <c r="AN143"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21667500</v>
      </c>
      <c r="AO143" s="40">
        <f>IFERROR((TABLA_AVANCE_INDICADORES[[#This Row],[AVANCE ACUM. TRIM.]]/TABLA_AVANCE_INDICADORES[[#This Row],[PROG. ACUM]])*100,"N/A")</f>
        <v>100</v>
      </c>
      <c r="AP143"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143" s="121">
        <f>TABLA_AVANCE_INDICADORES[[#This Row],[AVANCE ACUM. TRIM.]]-TABLA_AVANCE_INDICADORES[[#This Row],[PROG. ACUM]]</f>
        <v>0</v>
      </c>
      <c r="AR143" s="46">
        <f>IFERROR((TABLA_AVANCE_INDICADORES[[#This Row],[DIFERENCIA ABSOLUTA SEMESTRAL]]/TABLA_AVANCE_INDICADORES[[#This Row],[PROG. ACUM]])*100,"N/A")</f>
        <v>0</v>
      </c>
      <c r="AS143"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21667500</v>
      </c>
      <c r="AT143" s="40">
        <f>IFERROR((TABLA_AVANCE_INDICADORES[[#This Row],[AVANCE ACUM. ANUAL]]/TABLA_AVANCE_INDICADORES[[#This Row],[PROGRAMADO ANUAL]])*100,"N/A")</f>
        <v>50</v>
      </c>
      <c r="AU143"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143" s="121">
        <f>TABLA_AVANCE_INDICADORES[[#This Row],[AVANCE ACUM. ANUAL]]-TABLA_AVANCE_INDICADORES[[#This Row],[PROGRAMADO ANUAL]]</f>
        <v>-21667500</v>
      </c>
      <c r="AW143" s="46">
        <f>IFERROR((TABLA_AVANCE_INDICADORES[[#This Row],[DIFERENCIA ABSOLUTA ANUAL]]/TABLA_AVANCE_INDICADORES[[#This Row],[PROGRAMADO ANUAL]])*100,"N/A")</f>
        <v>-50</v>
      </c>
      <c r="AX143" s="148" t="s">
        <v>63</v>
      </c>
      <c r="AY143" s="100" t="s">
        <v>63</v>
      </c>
      <c r="AZ143" s="100"/>
      <c r="BA143" s="100"/>
      <c r="BB143"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44" spans="1:54" ht="150" hidden="1" x14ac:dyDescent="0.3">
      <c r="A144" s="31" t="s">
        <v>1224</v>
      </c>
      <c r="B144" s="113" t="s">
        <v>494</v>
      </c>
      <c r="C144" s="32" t="s">
        <v>445</v>
      </c>
      <c r="D144" s="114" t="s">
        <v>446</v>
      </c>
      <c r="E144" s="32" t="s">
        <v>495</v>
      </c>
      <c r="F144" s="115" t="s">
        <v>496</v>
      </c>
      <c r="G144" s="146" t="s">
        <v>497</v>
      </c>
      <c r="H144" s="94" t="s">
        <v>1203</v>
      </c>
      <c r="I144" s="34" t="s">
        <v>1204</v>
      </c>
      <c r="J144" s="34" t="s">
        <v>435</v>
      </c>
      <c r="K144" s="94" t="s">
        <v>436</v>
      </c>
      <c r="L144" s="34" t="s">
        <v>498</v>
      </c>
      <c r="M144" s="94" t="s">
        <v>499</v>
      </c>
      <c r="N144" s="33">
        <v>1</v>
      </c>
      <c r="O144" s="33" t="s">
        <v>898</v>
      </c>
      <c r="P144" s="149" t="s">
        <v>1225</v>
      </c>
      <c r="Q144" s="125" t="s">
        <v>1226</v>
      </c>
      <c r="R144" s="116" t="s">
        <v>1227</v>
      </c>
      <c r="S144" s="34" t="s">
        <v>506</v>
      </c>
      <c r="T144" s="56" t="s">
        <v>728</v>
      </c>
      <c r="U144" s="56" t="s">
        <v>1221</v>
      </c>
      <c r="V144" s="95">
        <v>45</v>
      </c>
      <c r="W144" s="95">
        <v>0</v>
      </c>
      <c r="X144" s="117">
        <v>0</v>
      </c>
      <c r="Y144" s="38" t="str">
        <f>IFERROR((TABLA_AVANCE_INDICADORES[[#This Row],[AVANCE 1°. TRIM]]/TABLA_AVANCE_INDICADORES[[#This Row],[PROGR. 1° TRIM]])*100,"0")</f>
        <v>0</v>
      </c>
      <c r="Z144"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144" s="118">
        <v>21</v>
      </c>
      <c r="AB144" s="119">
        <v>21</v>
      </c>
      <c r="AC144" s="40">
        <f t="shared" si="4"/>
        <v>100</v>
      </c>
      <c r="AD144" s="39" t="str">
        <f t="shared" si="5"/>
        <v>ADECUADO</v>
      </c>
      <c r="AE144" s="118">
        <v>0</v>
      </c>
      <c r="AF144" s="119">
        <v>0</v>
      </c>
      <c r="AG144" s="40" t="str">
        <f>IFERROR((TABLA_AVANCE_INDICADORES[[#This Row],[AVANCE 3°. TRIM]]/TABLA_AVANCE_INDICADORES[[#This Row],[PROGR. 3° TRIM]])*100,"0")</f>
        <v>0</v>
      </c>
      <c r="AH144"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144" s="118">
        <v>24</v>
      </c>
      <c r="AJ144" s="119">
        <v>0</v>
      </c>
      <c r="AK144" s="96">
        <f>IFERROR((TABLA_AVANCE_INDICADORES[[#This Row],[AVANCE 4°. TRIM]]/TABLA_AVANCE_INDICADORES[[#This Row],[PROGR. 4° TRIM]])*100,"0")</f>
        <v>0</v>
      </c>
      <c r="AL144"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144"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21</v>
      </c>
      <c r="AN144"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21</v>
      </c>
      <c r="AO144" s="40">
        <f>IFERROR((TABLA_AVANCE_INDICADORES[[#This Row],[AVANCE ACUM. TRIM.]]/TABLA_AVANCE_INDICADORES[[#This Row],[PROG. ACUM]])*100,"N/A")</f>
        <v>100</v>
      </c>
      <c r="AP144"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144" s="121">
        <f>TABLA_AVANCE_INDICADORES[[#This Row],[AVANCE ACUM. TRIM.]]-TABLA_AVANCE_INDICADORES[[#This Row],[PROG. ACUM]]</f>
        <v>0</v>
      </c>
      <c r="AR144" s="46">
        <f>IFERROR((TABLA_AVANCE_INDICADORES[[#This Row],[DIFERENCIA ABSOLUTA SEMESTRAL]]/TABLA_AVANCE_INDICADORES[[#This Row],[PROG. ACUM]])*100,"N/A")</f>
        <v>0</v>
      </c>
      <c r="AS144"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21</v>
      </c>
      <c r="AT144" s="40">
        <f>IFERROR((TABLA_AVANCE_INDICADORES[[#This Row],[AVANCE ACUM. ANUAL]]/TABLA_AVANCE_INDICADORES[[#This Row],[PROGRAMADO ANUAL]])*100,"N/A")</f>
        <v>46.666666666666664</v>
      </c>
      <c r="AU144"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144" s="121">
        <f>TABLA_AVANCE_INDICADORES[[#This Row],[AVANCE ACUM. ANUAL]]-TABLA_AVANCE_INDICADORES[[#This Row],[PROGRAMADO ANUAL]]</f>
        <v>-24</v>
      </c>
      <c r="AW144" s="46">
        <f>IFERROR((TABLA_AVANCE_INDICADORES[[#This Row],[DIFERENCIA ABSOLUTA ANUAL]]/TABLA_AVANCE_INDICADORES[[#This Row],[PROGRAMADO ANUAL]])*100,"N/A")</f>
        <v>-53.333333333333336</v>
      </c>
      <c r="AX144" s="148" t="s">
        <v>63</v>
      </c>
      <c r="AY144" s="100" t="s">
        <v>63</v>
      </c>
      <c r="AZ144" s="100"/>
      <c r="BA144" s="100"/>
      <c r="BB144"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45" spans="1:54" ht="150" hidden="1" x14ac:dyDescent="0.3">
      <c r="A145" s="31" t="s">
        <v>1228</v>
      </c>
      <c r="B145" s="113" t="s">
        <v>494</v>
      </c>
      <c r="C145" s="32" t="s">
        <v>445</v>
      </c>
      <c r="D145" s="114" t="s">
        <v>446</v>
      </c>
      <c r="E145" s="32" t="s">
        <v>495</v>
      </c>
      <c r="F145" s="115" t="s">
        <v>496</v>
      </c>
      <c r="G145" s="146" t="s">
        <v>497</v>
      </c>
      <c r="H145" s="94" t="s">
        <v>1203</v>
      </c>
      <c r="I145" s="34" t="s">
        <v>1204</v>
      </c>
      <c r="J145" s="34" t="s">
        <v>435</v>
      </c>
      <c r="K145" s="94" t="s">
        <v>436</v>
      </c>
      <c r="L145" s="34" t="s">
        <v>498</v>
      </c>
      <c r="M145" s="94" t="s">
        <v>499</v>
      </c>
      <c r="N145" s="33">
        <v>2</v>
      </c>
      <c r="O145" s="33" t="s">
        <v>898</v>
      </c>
      <c r="P145" s="149" t="s">
        <v>1225</v>
      </c>
      <c r="Q145" s="125" t="s">
        <v>1229</v>
      </c>
      <c r="R145" s="116" t="s">
        <v>1227</v>
      </c>
      <c r="S145" s="34" t="s">
        <v>506</v>
      </c>
      <c r="T145" s="56" t="s">
        <v>728</v>
      </c>
      <c r="U145" s="56" t="s">
        <v>1221</v>
      </c>
      <c r="V145" s="95">
        <v>45</v>
      </c>
      <c r="W145" s="95">
        <v>0</v>
      </c>
      <c r="X145" s="127">
        <v>0</v>
      </c>
      <c r="Y145" s="38" t="str">
        <f>IFERROR((TABLA_AVANCE_INDICADORES[[#This Row],[AVANCE 1°. TRIM]]/TABLA_AVANCE_INDICADORES[[#This Row],[PROGR. 1° TRIM]])*100,"0")</f>
        <v>0</v>
      </c>
      <c r="Z145"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145" s="118">
        <v>21</v>
      </c>
      <c r="AB145" s="128">
        <v>21</v>
      </c>
      <c r="AC145" s="40">
        <f t="shared" si="4"/>
        <v>100</v>
      </c>
      <c r="AD145" s="39" t="str">
        <f t="shared" si="5"/>
        <v>ADECUADO</v>
      </c>
      <c r="AE145" s="118">
        <v>0</v>
      </c>
      <c r="AF145" s="128">
        <f>AE145</f>
        <v>0</v>
      </c>
      <c r="AG145" s="40" t="str">
        <f>IFERROR((TABLA_AVANCE_INDICADORES[[#This Row],[AVANCE 3°. TRIM]]/TABLA_AVANCE_INDICADORES[[#This Row],[PROGR. 3° TRIM]])*100,"0")</f>
        <v>0</v>
      </c>
      <c r="AH145"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145" s="118">
        <v>24</v>
      </c>
      <c r="AJ145" s="128">
        <f>AI145</f>
        <v>24</v>
      </c>
      <c r="AK145" s="96">
        <f>IFERROR((TABLA_AVANCE_INDICADORES[[#This Row],[AVANCE 4°. TRIM]]/TABLA_AVANCE_INDICADORES[[#This Row],[PROGR. 4° TRIM]])*100,"0")</f>
        <v>100</v>
      </c>
      <c r="AL145"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ADECUADO</v>
      </c>
      <c r="AM145"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21</v>
      </c>
      <c r="AN145"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21</v>
      </c>
      <c r="AO145" s="40">
        <f>IFERROR((TABLA_AVANCE_INDICADORES[[#This Row],[AVANCE ACUM. TRIM.]]/TABLA_AVANCE_INDICADORES[[#This Row],[PROG. ACUM]])*100,"N/A")</f>
        <v>100</v>
      </c>
      <c r="AP145"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145" s="121">
        <f>TABLA_AVANCE_INDICADORES[[#This Row],[AVANCE ACUM. TRIM.]]-TABLA_AVANCE_INDICADORES[[#This Row],[PROG. ACUM]]</f>
        <v>0</v>
      </c>
      <c r="AR145" s="46">
        <f>IFERROR((TABLA_AVANCE_INDICADORES[[#This Row],[DIFERENCIA ABSOLUTA SEMESTRAL]]/TABLA_AVANCE_INDICADORES[[#This Row],[PROG. ACUM]])*100,"N/A")</f>
        <v>0</v>
      </c>
      <c r="AS145"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21</v>
      </c>
      <c r="AT145" s="40">
        <f>IFERROR((TABLA_AVANCE_INDICADORES[[#This Row],[AVANCE ACUM. ANUAL]]/TABLA_AVANCE_INDICADORES[[#This Row],[PROGRAMADO ANUAL]])*100,"N/A")</f>
        <v>46.666666666666664</v>
      </c>
      <c r="AU145"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145" s="121">
        <f>TABLA_AVANCE_INDICADORES[[#This Row],[AVANCE ACUM. ANUAL]]-TABLA_AVANCE_INDICADORES[[#This Row],[PROGRAMADO ANUAL]]</f>
        <v>-24</v>
      </c>
      <c r="AW145" s="46">
        <f>IFERROR((TABLA_AVANCE_INDICADORES[[#This Row],[DIFERENCIA ABSOLUTA ANUAL]]/TABLA_AVANCE_INDICADORES[[#This Row],[PROGRAMADO ANUAL]])*100,"N/A")</f>
        <v>-53.333333333333336</v>
      </c>
      <c r="AX145" s="148" t="s">
        <v>63</v>
      </c>
      <c r="AY145" s="100" t="s">
        <v>63</v>
      </c>
      <c r="AZ145" s="100"/>
      <c r="BA145" s="100"/>
      <c r="BB145"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46" spans="1:54" ht="150" hidden="1" x14ac:dyDescent="0.3">
      <c r="A146" s="31" t="s">
        <v>1230</v>
      </c>
      <c r="B146" s="113" t="s">
        <v>476</v>
      </c>
      <c r="C146" s="32" t="s">
        <v>445</v>
      </c>
      <c r="D146" s="114" t="s">
        <v>446</v>
      </c>
      <c r="E146" s="32" t="s">
        <v>477</v>
      </c>
      <c r="F146" s="115" t="s">
        <v>478</v>
      </c>
      <c r="G146" s="146" t="s">
        <v>479</v>
      </c>
      <c r="H146" s="94" t="s">
        <v>1231</v>
      </c>
      <c r="I146" s="34" t="s">
        <v>1204</v>
      </c>
      <c r="J146" s="34" t="s">
        <v>435</v>
      </c>
      <c r="K146" s="94" t="s">
        <v>436</v>
      </c>
      <c r="L146" s="34" t="s">
        <v>466</v>
      </c>
      <c r="M146" s="94" t="s">
        <v>467</v>
      </c>
      <c r="N146" s="33">
        <v>1</v>
      </c>
      <c r="O146" s="33" t="s">
        <v>906</v>
      </c>
      <c r="P146" s="125" t="s">
        <v>1232</v>
      </c>
      <c r="Q146" s="125" t="s">
        <v>1233</v>
      </c>
      <c r="R146" s="116" t="s">
        <v>1234</v>
      </c>
      <c r="S146" s="34" t="s">
        <v>481</v>
      </c>
      <c r="T146" s="56" t="s">
        <v>728</v>
      </c>
      <c r="U146" s="56" t="s">
        <v>1221</v>
      </c>
      <c r="V146" s="95">
        <v>600</v>
      </c>
      <c r="W146" s="95">
        <v>0</v>
      </c>
      <c r="X146" s="117">
        <v>0</v>
      </c>
      <c r="Y146" s="38" t="str">
        <f>IFERROR((TABLA_AVANCE_INDICADORES[[#This Row],[AVANCE 1°. TRIM]]/TABLA_AVANCE_INDICADORES[[#This Row],[PROGR. 1° TRIM]])*100,"0")</f>
        <v>0</v>
      </c>
      <c r="Z146"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146" s="118">
        <v>300</v>
      </c>
      <c r="AB146" s="119">
        <v>237</v>
      </c>
      <c r="AC146" s="40">
        <f t="shared" si="4"/>
        <v>79</v>
      </c>
      <c r="AD146" s="39" t="str">
        <f t="shared" si="5"/>
        <v>REGULAR</v>
      </c>
      <c r="AE146" s="118">
        <v>0</v>
      </c>
      <c r="AF146" s="119">
        <v>0</v>
      </c>
      <c r="AG146" s="40" t="str">
        <f>IFERROR((TABLA_AVANCE_INDICADORES[[#This Row],[AVANCE 3°. TRIM]]/TABLA_AVANCE_INDICADORES[[#This Row],[PROGR. 3° TRIM]])*100,"0")</f>
        <v>0</v>
      </c>
      <c r="AH146"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146" s="118">
        <v>300</v>
      </c>
      <c r="AJ146" s="119">
        <v>0</v>
      </c>
      <c r="AK146" s="96">
        <f>IFERROR((TABLA_AVANCE_INDICADORES[[#This Row],[AVANCE 4°. TRIM]]/TABLA_AVANCE_INDICADORES[[#This Row],[PROGR. 4° TRIM]])*100,"0")</f>
        <v>0</v>
      </c>
      <c r="AL146"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146"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300</v>
      </c>
      <c r="AN146"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237</v>
      </c>
      <c r="AO146" s="40">
        <f>IFERROR((TABLA_AVANCE_INDICADORES[[#This Row],[AVANCE ACUM. TRIM.]]/TABLA_AVANCE_INDICADORES[[#This Row],[PROG. ACUM]])*100,"N/A")</f>
        <v>79</v>
      </c>
      <c r="AP146"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REGULAR</v>
      </c>
      <c r="AQ146" s="121">
        <f>TABLA_AVANCE_INDICADORES[[#This Row],[AVANCE ACUM. TRIM.]]-TABLA_AVANCE_INDICADORES[[#This Row],[PROG. ACUM]]</f>
        <v>-63</v>
      </c>
      <c r="AR146" s="46">
        <f>IFERROR((TABLA_AVANCE_INDICADORES[[#This Row],[DIFERENCIA ABSOLUTA SEMESTRAL]]/TABLA_AVANCE_INDICADORES[[#This Row],[PROG. ACUM]])*100,"N/A")</f>
        <v>-21</v>
      </c>
      <c r="AS146"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237</v>
      </c>
      <c r="AT146" s="40">
        <f>IFERROR((TABLA_AVANCE_INDICADORES[[#This Row],[AVANCE ACUM. ANUAL]]/TABLA_AVANCE_INDICADORES[[#This Row],[PROGRAMADO ANUAL]])*100,"N/A")</f>
        <v>39.5</v>
      </c>
      <c r="AU146"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146" s="121">
        <f>TABLA_AVANCE_INDICADORES[[#This Row],[AVANCE ACUM. ANUAL]]-TABLA_AVANCE_INDICADORES[[#This Row],[PROGRAMADO ANUAL]]</f>
        <v>-363</v>
      </c>
      <c r="AW146" s="46">
        <f>IFERROR((TABLA_AVANCE_INDICADORES[[#This Row],[DIFERENCIA ABSOLUTA ANUAL]]/TABLA_AVANCE_INDICADORES[[#This Row],[PROGRAMADO ANUAL]])*100,"N/A")</f>
        <v>-60.5</v>
      </c>
      <c r="AX146" s="148" t="s">
        <v>63</v>
      </c>
      <c r="AY146" s="100" t="s">
        <v>1235</v>
      </c>
      <c r="AZ146" s="100"/>
      <c r="BA146" s="100"/>
      <c r="BB146"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47" spans="1:54" ht="150" hidden="1" x14ac:dyDescent="0.3">
      <c r="A147" s="31" t="s">
        <v>1236</v>
      </c>
      <c r="B147" s="113" t="s">
        <v>476</v>
      </c>
      <c r="C147" s="32" t="s">
        <v>445</v>
      </c>
      <c r="D147" s="114" t="s">
        <v>446</v>
      </c>
      <c r="E147" s="32" t="s">
        <v>477</v>
      </c>
      <c r="F147" s="115" t="s">
        <v>478</v>
      </c>
      <c r="G147" s="146" t="s">
        <v>479</v>
      </c>
      <c r="H147" s="94" t="s">
        <v>1231</v>
      </c>
      <c r="I147" s="34" t="s">
        <v>1204</v>
      </c>
      <c r="J147" s="34" t="s">
        <v>435</v>
      </c>
      <c r="K147" s="94" t="s">
        <v>436</v>
      </c>
      <c r="L147" s="34" t="s">
        <v>466</v>
      </c>
      <c r="M147" s="94" t="s">
        <v>467</v>
      </c>
      <c r="N147" s="33">
        <v>2</v>
      </c>
      <c r="O147" s="33" t="s">
        <v>906</v>
      </c>
      <c r="P147" s="125" t="s">
        <v>1232</v>
      </c>
      <c r="Q147" s="125" t="s">
        <v>1237</v>
      </c>
      <c r="R147" s="116" t="s">
        <v>1234</v>
      </c>
      <c r="S147" s="34" t="s">
        <v>481</v>
      </c>
      <c r="T147" s="56" t="s">
        <v>728</v>
      </c>
      <c r="U147" s="56" t="s">
        <v>1221</v>
      </c>
      <c r="V147" s="95">
        <v>600</v>
      </c>
      <c r="W147" s="95">
        <v>0</v>
      </c>
      <c r="X147" s="127">
        <v>0</v>
      </c>
      <c r="Y147" s="38" t="str">
        <f>IFERROR((TABLA_AVANCE_INDICADORES[[#This Row],[AVANCE 1°. TRIM]]/TABLA_AVANCE_INDICADORES[[#This Row],[PROGR. 1° TRIM]])*100,"0")</f>
        <v>0</v>
      </c>
      <c r="Z147"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147" s="118">
        <v>300</v>
      </c>
      <c r="AB147" s="128">
        <v>300</v>
      </c>
      <c r="AC147" s="40">
        <f t="shared" si="4"/>
        <v>100</v>
      </c>
      <c r="AD147" s="39" t="str">
        <f t="shared" si="5"/>
        <v>ADECUADO</v>
      </c>
      <c r="AE147" s="118">
        <v>0</v>
      </c>
      <c r="AF147" s="128">
        <f>AE147</f>
        <v>0</v>
      </c>
      <c r="AG147" s="40" t="str">
        <f>IFERROR((TABLA_AVANCE_INDICADORES[[#This Row],[AVANCE 3°. TRIM]]/TABLA_AVANCE_INDICADORES[[#This Row],[PROGR. 3° TRIM]])*100,"0")</f>
        <v>0</v>
      </c>
      <c r="AH147"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147" s="118">
        <v>300</v>
      </c>
      <c r="AJ147" s="128">
        <f>AI147</f>
        <v>300</v>
      </c>
      <c r="AK147" s="96">
        <f>IFERROR((TABLA_AVANCE_INDICADORES[[#This Row],[AVANCE 4°. TRIM]]/TABLA_AVANCE_INDICADORES[[#This Row],[PROGR. 4° TRIM]])*100,"0")</f>
        <v>100</v>
      </c>
      <c r="AL147"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ADECUADO</v>
      </c>
      <c r="AM147"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300</v>
      </c>
      <c r="AN147"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300</v>
      </c>
      <c r="AO147" s="40">
        <f>IFERROR((TABLA_AVANCE_INDICADORES[[#This Row],[AVANCE ACUM. TRIM.]]/TABLA_AVANCE_INDICADORES[[#This Row],[PROG. ACUM]])*100,"N/A")</f>
        <v>100</v>
      </c>
      <c r="AP147"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147" s="121">
        <f>TABLA_AVANCE_INDICADORES[[#This Row],[AVANCE ACUM. TRIM.]]-TABLA_AVANCE_INDICADORES[[#This Row],[PROG. ACUM]]</f>
        <v>0</v>
      </c>
      <c r="AR147" s="46">
        <f>IFERROR((TABLA_AVANCE_INDICADORES[[#This Row],[DIFERENCIA ABSOLUTA SEMESTRAL]]/TABLA_AVANCE_INDICADORES[[#This Row],[PROG. ACUM]])*100,"N/A")</f>
        <v>0</v>
      </c>
      <c r="AS147"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300</v>
      </c>
      <c r="AT147" s="40">
        <f>IFERROR((TABLA_AVANCE_INDICADORES[[#This Row],[AVANCE ACUM. ANUAL]]/TABLA_AVANCE_INDICADORES[[#This Row],[PROGRAMADO ANUAL]])*100,"N/A")</f>
        <v>50</v>
      </c>
      <c r="AU147"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147" s="121">
        <f>TABLA_AVANCE_INDICADORES[[#This Row],[AVANCE ACUM. ANUAL]]-TABLA_AVANCE_INDICADORES[[#This Row],[PROGRAMADO ANUAL]]</f>
        <v>-300</v>
      </c>
      <c r="AW147" s="46">
        <f>IFERROR((TABLA_AVANCE_INDICADORES[[#This Row],[DIFERENCIA ABSOLUTA ANUAL]]/TABLA_AVANCE_INDICADORES[[#This Row],[PROGRAMADO ANUAL]])*100,"N/A")</f>
        <v>-50</v>
      </c>
      <c r="AX147" s="148" t="s">
        <v>63</v>
      </c>
      <c r="AY147" s="100" t="s">
        <v>63</v>
      </c>
      <c r="AZ147" s="100"/>
      <c r="BA147" s="100"/>
      <c r="BB147"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48" spans="1:54" ht="150" hidden="1" x14ac:dyDescent="0.3">
      <c r="A148" s="31" t="s">
        <v>1238</v>
      </c>
      <c r="B148" s="113" t="s">
        <v>494</v>
      </c>
      <c r="C148" s="32" t="s">
        <v>445</v>
      </c>
      <c r="D148" s="114" t="s">
        <v>446</v>
      </c>
      <c r="E148" s="32" t="s">
        <v>495</v>
      </c>
      <c r="F148" s="115" t="s">
        <v>496</v>
      </c>
      <c r="G148" s="146" t="s">
        <v>497</v>
      </c>
      <c r="H148" s="94" t="s">
        <v>1203</v>
      </c>
      <c r="I148" s="34" t="s">
        <v>1204</v>
      </c>
      <c r="J148" s="34" t="s">
        <v>435</v>
      </c>
      <c r="K148" s="94" t="s">
        <v>436</v>
      </c>
      <c r="L148" s="34" t="s">
        <v>498</v>
      </c>
      <c r="M148" s="94" t="s">
        <v>499</v>
      </c>
      <c r="N148" s="33">
        <v>1</v>
      </c>
      <c r="O148" s="33" t="s">
        <v>759</v>
      </c>
      <c r="P148" s="125" t="s">
        <v>1239</v>
      </c>
      <c r="Q148" s="125" t="s">
        <v>1240</v>
      </c>
      <c r="R148" s="116" t="s">
        <v>1241</v>
      </c>
      <c r="S148" s="34" t="s">
        <v>1208</v>
      </c>
      <c r="T148" s="56" t="s">
        <v>728</v>
      </c>
      <c r="U148" s="56" t="s">
        <v>755</v>
      </c>
      <c r="V148" s="95">
        <v>20831697</v>
      </c>
      <c r="W148" s="95">
        <v>5207924.25</v>
      </c>
      <c r="X148" s="117">
        <v>4031526</v>
      </c>
      <c r="Y148" s="38">
        <f>IFERROR((TABLA_AVANCE_INDICADORES[[#This Row],[AVANCE 1°. TRIM]]/TABLA_AVANCE_INDICADORES[[#This Row],[PROGR. 1° TRIM]])*100,"0")</f>
        <v>77.411379399383534</v>
      </c>
      <c r="Z148"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REGULAR</v>
      </c>
      <c r="AA148" s="118">
        <v>5207924.25</v>
      </c>
      <c r="AB148" s="119">
        <v>4031526</v>
      </c>
      <c r="AC148" s="40">
        <f t="shared" si="4"/>
        <v>77.411379399383534</v>
      </c>
      <c r="AD148" s="39" t="str">
        <f t="shared" si="5"/>
        <v>REGULAR</v>
      </c>
      <c r="AE148" s="118">
        <v>5207924.25</v>
      </c>
      <c r="AF148" s="119">
        <v>0</v>
      </c>
      <c r="AG148" s="40">
        <f>IFERROR((TABLA_AVANCE_INDICADORES[[#This Row],[AVANCE 3°. TRIM]]/TABLA_AVANCE_INDICADORES[[#This Row],[PROGR. 3° TRIM]])*100,"0")</f>
        <v>0</v>
      </c>
      <c r="AH148"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CRÍTICO</v>
      </c>
      <c r="AI148" s="118">
        <v>5207924.25</v>
      </c>
      <c r="AJ148" s="119">
        <v>0</v>
      </c>
      <c r="AK148" s="96">
        <f>IFERROR((TABLA_AVANCE_INDICADORES[[#This Row],[AVANCE 4°. TRIM]]/TABLA_AVANCE_INDICADORES[[#This Row],[PROGR. 4° TRIM]])*100,"0")</f>
        <v>0</v>
      </c>
      <c r="AL148"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148"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10415848.5</v>
      </c>
      <c r="AN148"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8063052</v>
      </c>
      <c r="AO148" s="40">
        <f>IFERROR((TABLA_AVANCE_INDICADORES[[#This Row],[AVANCE ACUM. TRIM.]]/TABLA_AVANCE_INDICADORES[[#This Row],[PROG. ACUM]])*100,"N/A")</f>
        <v>77.411379399383534</v>
      </c>
      <c r="AP148"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REGULAR</v>
      </c>
      <c r="AQ148" s="121">
        <f>TABLA_AVANCE_INDICADORES[[#This Row],[AVANCE ACUM. TRIM.]]-TABLA_AVANCE_INDICADORES[[#This Row],[PROG. ACUM]]</f>
        <v>-2352796.5</v>
      </c>
      <c r="AR148" s="46">
        <f>IFERROR((TABLA_AVANCE_INDICADORES[[#This Row],[DIFERENCIA ABSOLUTA SEMESTRAL]]/TABLA_AVANCE_INDICADORES[[#This Row],[PROG. ACUM]])*100,"N/A")</f>
        <v>-22.588620600616455</v>
      </c>
      <c r="AS148"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8063052</v>
      </c>
      <c r="AT148" s="40">
        <f>IFERROR((TABLA_AVANCE_INDICADORES[[#This Row],[AVANCE ACUM. ANUAL]]/TABLA_AVANCE_INDICADORES[[#This Row],[PROGRAMADO ANUAL]])*100,"N/A")</f>
        <v>38.705689699691767</v>
      </c>
      <c r="AU148"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148" s="121">
        <f>TABLA_AVANCE_INDICADORES[[#This Row],[AVANCE ACUM. ANUAL]]-TABLA_AVANCE_INDICADORES[[#This Row],[PROGRAMADO ANUAL]]</f>
        <v>-12768645</v>
      </c>
      <c r="AW148" s="46">
        <f>IFERROR((TABLA_AVANCE_INDICADORES[[#This Row],[DIFERENCIA ABSOLUTA ANUAL]]/TABLA_AVANCE_INDICADORES[[#This Row],[PROGRAMADO ANUAL]])*100,"N/A")</f>
        <v>-61.294310300308233</v>
      </c>
      <c r="AX148" s="148" t="s">
        <v>63</v>
      </c>
      <c r="AY148" s="100" t="s">
        <v>63</v>
      </c>
      <c r="AZ148" s="100"/>
      <c r="BA148" s="100"/>
      <c r="BB148"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49" spans="1:54" ht="150" hidden="1" x14ac:dyDescent="0.3">
      <c r="A149" s="31" t="s">
        <v>1242</v>
      </c>
      <c r="B149" s="113" t="s">
        <v>494</v>
      </c>
      <c r="C149" s="32" t="s">
        <v>445</v>
      </c>
      <c r="D149" s="114" t="s">
        <v>446</v>
      </c>
      <c r="E149" s="32" t="s">
        <v>495</v>
      </c>
      <c r="F149" s="115" t="s">
        <v>496</v>
      </c>
      <c r="G149" s="146" t="s">
        <v>497</v>
      </c>
      <c r="H149" s="94" t="s">
        <v>1203</v>
      </c>
      <c r="I149" s="34" t="s">
        <v>1204</v>
      </c>
      <c r="J149" s="34" t="s">
        <v>435</v>
      </c>
      <c r="K149" s="94" t="s">
        <v>436</v>
      </c>
      <c r="L149" s="34" t="s">
        <v>498</v>
      </c>
      <c r="M149" s="94" t="s">
        <v>499</v>
      </c>
      <c r="N149" s="33">
        <v>2</v>
      </c>
      <c r="O149" s="33" t="s">
        <v>759</v>
      </c>
      <c r="P149" s="125" t="s">
        <v>1239</v>
      </c>
      <c r="Q149" s="125" t="s">
        <v>1243</v>
      </c>
      <c r="R149" s="116" t="s">
        <v>1241</v>
      </c>
      <c r="S149" s="34" t="s">
        <v>1208</v>
      </c>
      <c r="T149" s="56" t="s">
        <v>728</v>
      </c>
      <c r="U149" s="56" t="s">
        <v>755</v>
      </c>
      <c r="V149" s="95">
        <v>21667500</v>
      </c>
      <c r="W149" s="95">
        <v>5416875</v>
      </c>
      <c r="X149" s="117">
        <v>4031526</v>
      </c>
      <c r="Y149" s="38">
        <f>IFERROR((TABLA_AVANCE_INDICADORES[[#This Row],[AVANCE 1°. TRIM]]/TABLA_AVANCE_INDICADORES[[#This Row],[PROGR. 1° TRIM]])*100,"0")</f>
        <v>74.425309795777082</v>
      </c>
      <c r="Z149"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REGULAR</v>
      </c>
      <c r="AA149" s="118">
        <v>5416875</v>
      </c>
      <c r="AB149" s="119">
        <v>4031526</v>
      </c>
      <c r="AC149" s="40">
        <f t="shared" si="4"/>
        <v>74.425309795777082</v>
      </c>
      <c r="AD149" s="39" t="str">
        <f t="shared" si="5"/>
        <v>REGULAR</v>
      </c>
      <c r="AE149" s="118">
        <v>5416875</v>
      </c>
      <c r="AF149" s="119">
        <v>0</v>
      </c>
      <c r="AG149" s="40">
        <f>IFERROR((TABLA_AVANCE_INDICADORES[[#This Row],[AVANCE 3°. TRIM]]/TABLA_AVANCE_INDICADORES[[#This Row],[PROGR. 3° TRIM]])*100,"0")</f>
        <v>0</v>
      </c>
      <c r="AH149"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CRÍTICO</v>
      </c>
      <c r="AI149" s="118">
        <v>5416875</v>
      </c>
      <c r="AJ149" s="119">
        <v>0</v>
      </c>
      <c r="AK149" s="96">
        <f>IFERROR((TABLA_AVANCE_INDICADORES[[#This Row],[AVANCE 4°. TRIM]]/TABLA_AVANCE_INDICADORES[[#This Row],[PROGR. 4° TRIM]])*100,"0")</f>
        <v>0</v>
      </c>
      <c r="AL149"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149"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10833750</v>
      </c>
      <c r="AN149"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8063052</v>
      </c>
      <c r="AO149" s="40">
        <f>IFERROR((TABLA_AVANCE_INDICADORES[[#This Row],[AVANCE ACUM. TRIM.]]/TABLA_AVANCE_INDICADORES[[#This Row],[PROG. ACUM]])*100,"N/A")</f>
        <v>74.425309795777082</v>
      </c>
      <c r="AP149"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REGULAR</v>
      </c>
      <c r="AQ149" s="121">
        <f>TABLA_AVANCE_INDICADORES[[#This Row],[AVANCE ACUM. TRIM.]]-TABLA_AVANCE_INDICADORES[[#This Row],[PROG. ACUM]]</f>
        <v>-2770698</v>
      </c>
      <c r="AR149" s="46">
        <f>IFERROR((TABLA_AVANCE_INDICADORES[[#This Row],[DIFERENCIA ABSOLUTA SEMESTRAL]]/TABLA_AVANCE_INDICADORES[[#This Row],[PROG. ACUM]])*100,"N/A")</f>
        <v>-25.574690204222918</v>
      </c>
      <c r="AS149"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8063052</v>
      </c>
      <c r="AT149" s="40">
        <f>IFERROR((TABLA_AVANCE_INDICADORES[[#This Row],[AVANCE ACUM. ANUAL]]/TABLA_AVANCE_INDICADORES[[#This Row],[PROGRAMADO ANUAL]])*100,"N/A")</f>
        <v>37.212654897888541</v>
      </c>
      <c r="AU149"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149" s="121">
        <f>TABLA_AVANCE_INDICADORES[[#This Row],[AVANCE ACUM. ANUAL]]-TABLA_AVANCE_INDICADORES[[#This Row],[PROGRAMADO ANUAL]]</f>
        <v>-13604448</v>
      </c>
      <c r="AW149" s="46">
        <f>IFERROR((TABLA_AVANCE_INDICADORES[[#This Row],[DIFERENCIA ABSOLUTA ANUAL]]/TABLA_AVANCE_INDICADORES[[#This Row],[PROGRAMADO ANUAL]])*100,"N/A")</f>
        <v>-62.787345102111459</v>
      </c>
      <c r="AX149" s="148" t="s">
        <v>63</v>
      </c>
      <c r="AY149" s="100" t="s">
        <v>63</v>
      </c>
      <c r="AZ149" s="100"/>
      <c r="BA149" s="100"/>
      <c r="BB149"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50" spans="1:54" ht="150" hidden="1" x14ac:dyDescent="0.3">
      <c r="A150" s="31" t="s">
        <v>1244</v>
      </c>
      <c r="B150" s="113" t="s">
        <v>494</v>
      </c>
      <c r="C150" s="32" t="s">
        <v>445</v>
      </c>
      <c r="D150" s="114" t="s">
        <v>446</v>
      </c>
      <c r="E150" s="32" t="s">
        <v>495</v>
      </c>
      <c r="F150" s="115" t="s">
        <v>496</v>
      </c>
      <c r="G150" s="146" t="s">
        <v>497</v>
      </c>
      <c r="H150" s="94" t="s">
        <v>1203</v>
      </c>
      <c r="I150" s="34" t="s">
        <v>1204</v>
      </c>
      <c r="J150" s="34" t="s">
        <v>435</v>
      </c>
      <c r="K150" s="94" t="s">
        <v>436</v>
      </c>
      <c r="L150" s="34" t="s">
        <v>498</v>
      </c>
      <c r="M150" s="94" t="s">
        <v>499</v>
      </c>
      <c r="N150" s="33">
        <v>1</v>
      </c>
      <c r="O150" s="33" t="s">
        <v>799</v>
      </c>
      <c r="P150" s="125" t="s">
        <v>1245</v>
      </c>
      <c r="Q150" s="125" t="s">
        <v>1246</v>
      </c>
      <c r="R150" s="116" t="s">
        <v>1247</v>
      </c>
      <c r="S150" s="34" t="s">
        <v>1208</v>
      </c>
      <c r="T150" s="56" t="s">
        <v>728</v>
      </c>
      <c r="U150" s="56" t="s">
        <v>755</v>
      </c>
      <c r="V150" s="95">
        <v>835803</v>
      </c>
      <c r="W150" s="95">
        <v>241056</v>
      </c>
      <c r="X150" s="117">
        <v>211627</v>
      </c>
      <c r="Y150" s="38">
        <f>IFERROR((TABLA_AVANCE_INDICADORES[[#This Row],[AVANCE 1°. TRIM]]/TABLA_AVANCE_INDICADORES[[#This Row],[PROGR. 1° TRIM]])*100,"0")</f>
        <v>87.791633479357486</v>
      </c>
      <c r="Z150"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REGULAR</v>
      </c>
      <c r="AA150" s="118">
        <v>241056</v>
      </c>
      <c r="AB150" s="119">
        <v>175779</v>
      </c>
      <c r="AC150" s="40">
        <f t="shared" si="4"/>
        <v>72.920400238948631</v>
      </c>
      <c r="AD150" s="39" t="str">
        <f t="shared" si="5"/>
        <v>REGULAR</v>
      </c>
      <c r="AE150" s="118">
        <v>176847</v>
      </c>
      <c r="AF150" s="119">
        <v>0</v>
      </c>
      <c r="AG150" s="40">
        <f>IFERROR((TABLA_AVANCE_INDICADORES[[#This Row],[AVANCE 3°. TRIM]]/TABLA_AVANCE_INDICADORES[[#This Row],[PROGR. 3° TRIM]])*100,"0")</f>
        <v>0</v>
      </c>
      <c r="AH150"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CRÍTICO</v>
      </c>
      <c r="AI150" s="118">
        <v>176844</v>
      </c>
      <c r="AJ150" s="119">
        <v>0</v>
      </c>
      <c r="AK150" s="96">
        <f>IFERROR((TABLA_AVANCE_INDICADORES[[#This Row],[AVANCE 4°. TRIM]]/TABLA_AVANCE_INDICADORES[[#This Row],[PROGR. 4° TRIM]])*100,"0")</f>
        <v>0</v>
      </c>
      <c r="AL150"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150"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482112</v>
      </c>
      <c r="AN150"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387406</v>
      </c>
      <c r="AO150" s="40">
        <f>IFERROR((TABLA_AVANCE_INDICADORES[[#This Row],[AVANCE ACUM. TRIM.]]/TABLA_AVANCE_INDICADORES[[#This Row],[PROG. ACUM]])*100,"N/A")</f>
        <v>80.356016859153058</v>
      </c>
      <c r="AP150"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REGULAR</v>
      </c>
      <c r="AQ150" s="121">
        <f>TABLA_AVANCE_INDICADORES[[#This Row],[AVANCE ACUM. TRIM.]]-TABLA_AVANCE_INDICADORES[[#This Row],[PROG. ACUM]]</f>
        <v>-94706</v>
      </c>
      <c r="AR150" s="46">
        <f>IFERROR((TABLA_AVANCE_INDICADORES[[#This Row],[DIFERENCIA ABSOLUTA SEMESTRAL]]/TABLA_AVANCE_INDICADORES[[#This Row],[PROG. ACUM]])*100,"N/A")</f>
        <v>-19.643983140846942</v>
      </c>
      <c r="AS150"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387406</v>
      </c>
      <c r="AT150" s="40">
        <f>IFERROR((TABLA_AVANCE_INDICADORES[[#This Row],[AVANCE ACUM. ANUAL]]/TABLA_AVANCE_INDICADORES[[#This Row],[PROGRAMADO ANUAL]])*100,"N/A")</f>
        <v>46.351353129864336</v>
      </c>
      <c r="AU150"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150" s="121">
        <f>TABLA_AVANCE_INDICADORES[[#This Row],[AVANCE ACUM. ANUAL]]-TABLA_AVANCE_INDICADORES[[#This Row],[PROGRAMADO ANUAL]]</f>
        <v>-448397</v>
      </c>
      <c r="AW150" s="46">
        <f>IFERROR((TABLA_AVANCE_INDICADORES[[#This Row],[DIFERENCIA ABSOLUTA ANUAL]]/TABLA_AVANCE_INDICADORES[[#This Row],[PROGRAMADO ANUAL]])*100,"N/A")</f>
        <v>-53.648646870135664</v>
      </c>
      <c r="AX150" s="148" t="s">
        <v>63</v>
      </c>
      <c r="AY150" s="100" t="s">
        <v>63</v>
      </c>
      <c r="AZ150" s="100"/>
      <c r="BA150" s="100"/>
      <c r="BB150"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51" spans="1:54" ht="150" hidden="1" x14ac:dyDescent="0.3">
      <c r="A151" s="31" t="s">
        <v>1248</v>
      </c>
      <c r="B151" s="113" t="s">
        <v>494</v>
      </c>
      <c r="C151" s="32" t="s">
        <v>445</v>
      </c>
      <c r="D151" s="114" t="s">
        <v>446</v>
      </c>
      <c r="E151" s="32" t="s">
        <v>495</v>
      </c>
      <c r="F151" s="115" t="s">
        <v>496</v>
      </c>
      <c r="G151" s="146" t="s">
        <v>497</v>
      </c>
      <c r="H151" s="94" t="s">
        <v>1203</v>
      </c>
      <c r="I151" s="34" t="s">
        <v>1204</v>
      </c>
      <c r="J151" s="34" t="s">
        <v>435</v>
      </c>
      <c r="K151" s="94" t="s">
        <v>436</v>
      </c>
      <c r="L151" s="34" t="s">
        <v>498</v>
      </c>
      <c r="M151" s="94" t="s">
        <v>499</v>
      </c>
      <c r="N151" s="33">
        <v>2</v>
      </c>
      <c r="O151" s="33" t="s">
        <v>799</v>
      </c>
      <c r="P151" s="125" t="s">
        <v>1245</v>
      </c>
      <c r="Q151" s="125" t="s">
        <v>1249</v>
      </c>
      <c r="R151" s="116" t="s">
        <v>1247</v>
      </c>
      <c r="S151" s="34" t="s">
        <v>1208</v>
      </c>
      <c r="T151" s="56" t="s">
        <v>728</v>
      </c>
      <c r="U151" s="56" t="s">
        <v>755</v>
      </c>
      <c r="V151" s="95">
        <v>808806</v>
      </c>
      <c r="W151" s="95">
        <v>214056</v>
      </c>
      <c r="X151" s="117">
        <v>211627</v>
      </c>
      <c r="Y151" s="38">
        <f>IFERROR((TABLA_AVANCE_INDICADORES[[#This Row],[AVANCE 1°. TRIM]]/TABLA_AVANCE_INDICADORES[[#This Row],[PROGR. 1° TRIM]])*100,"0")</f>
        <v>98.865250214897031</v>
      </c>
      <c r="Z151"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151" s="118">
        <v>241056</v>
      </c>
      <c r="AB151" s="119">
        <v>175779</v>
      </c>
      <c r="AC151" s="40">
        <f t="shared" si="4"/>
        <v>72.920400238948631</v>
      </c>
      <c r="AD151" s="39" t="str">
        <f t="shared" si="5"/>
        <v>REGULAR</v>
      </c>
      <c r="AE151" s="118">
        <v>176847</v>
      </c>
      <c r="AF151" s="119">
        <v>0</v>
      </c>
      <c r="AG151" s="40">
        <f>IFERROR((TABLA_AVANCE_INDICADORES[[#This Row],[AVANCE 3°. TRIM]]/TABLA_AVANCE_INDICADORES[[#This Row],[PROGR. 3° TRIM]])*100,"0")</f>
        <v>0</v>
      </c>
      <c r="AH151"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CRÍTICO</v>
      </c>
      <c r="AI151" s="118">
        <v>176847</v>
      </c>
      <c r="AJ151" s="119">
        <v>0</v>
      </c>
      <c r="AK151" s="96">
        <f>IFERROR((TABLA_AVANCE_INDICADORES[[#This Row],[AVANCE 4°. TRIM]]/TABLA_AVANCE_INDICADORES[[#This Row],[PROGR. 4° TRIM]])*100,"0")</f>
        <v>0</v>
      </c>
      <c r="AL151"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151"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455112</v>
      </c>
      <c r="AN151"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387406</v>
      </c>
      <c r="AO151" s="40">
        <f>IFERROR((TABLA_AVANCE_INDICADORES[[#This Row],[AVANCE ACUM. TRIM.]]/TABLA_AVANCE_INDICADORES[[#This Row],[PROG. ACUM]])*100,"N/A")</f>
        <v>85.123222415581225</v>
      </c>
      <c r="AP151"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REGULAR</v>
      </c>
      <c r="AQ151" s="121">
        <f>TABLA_AVANCE_INDICADORES[[#This Row],[AVANCE ACUM. TRIM.]]-TABLA_AVANCE_INDICADORES[[#This Row],[PROG. ACUM]]</f>
        <v>-67706</v>
      </c>
      <c r="AR151" s="46">
        <f>IFERROR((TABLA_AVANCE_INDICADORES[[#This Row],[DIFERENCIA ABSOLUTA SEMESTRAL]]/TABLA_AVANCE_INDICADORES[[#This Row],[PROG. ACUM]])*100,"N/A")</f>
        <v>-14.876777584418779</v>
      </c>
      <c r="AS151"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387406</v>
      </c>
      <c r="AT151" s="40">
        <f>IFERROR((TABLA_AVANCE_INDICADORES[[#This Row],[AVANCE ACUM. ANUAL]]/TABLA_AVANCE_INDICADORES[[#This Row],[PROGRAMADO ANUAL]])*100,"N/A")</f>
        <v>47.898507182192027</v>
      </c>
      <c r="AU151"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151" s="121">
        <f>TABLA_AVANCE_INDICADORES[[#This Row],[AVANCE ACUM. ANUAL]]-TABLA_AVANCE_INDICADORES[[#This Row],[PROGRAMADO ANUAL]]</f>
        <v>-421400</v>
      </c>
      <c r="AW151" s="46">
        <f>IFERROR((TABLA_AVANCE_INDICADORES[[#This Row],[DIFERENCIA ABSOLUTA ANUAL]]/TABLA_AVANCE_INDICADORES[[#This Row],[PROGRAMADO ANUAL]])*100,"N/A")</f>
        <v>-52.10149281780798</v>
      </c>
      <c r="AX151" s="148" t="s">
        <v>63</v>
      </c>
      <c r="AY151" s="100" t="s">
        <v>63</v>
      </c>
      <c r="AZ151" s="100"/>
      <c r="BA151" s="100"/>
      <c r="BB151"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52" spans="1:54" ht="150" hidden="1" x14ac:dyDescent="0.3">
      <c r="A152" s="31" t="s">
        <v>1250</v>
      </c>
      <c r="B152" s="113" t="s">
        <v>464</v>
      </c>
      <c r="C152" s="32" t="s">
        <v>445</v>
      </c>
      <c r="D152" s="114" t="s">
        <v>446</v>
      </c>
      <c r="E152" s="32" t="s">
        <v>401</v>
      </c>
      <c r="F152" s="115" t="s">
        <v>402</v>
      </c>
      <c r="G152" s="146" t="s">
        <v>465</v>
      </c>
      <c r="H152" s="94" t="s">
        <v>1251</v>
      </c>
      <c r="I152" s="34" t="s">
        <v>1204</v>
      </c>
      <c r="J152" s="34" t="s">
        <v>435</v>
      </c>
      <c r="K152" s="94" t="s">
        <v>436</v>
      </c>
      <c r="L152" s="34" t="s">
        <v>466</v>
      </c>
      <c r="M152" s="94" t="s">
        <v>467</v>
      </c>
      <c r="N152" s="33">
        <v>1</v>
      </c>
      <c r="O152" s="33" t="s">
        <v>1078</v>
      </c>
      <c r="P152" s="125" t="s">
        <v>1252</v>
      </c>
      <c r="Q152" s="125" t="s">
        <v>1253</v>
      </c>
      <c r="R152" s="116" t="s">
        <v>1254</v>
      </c>
      <c r="S152" s="34" t="s">
        <v>1255</v>
      </c>
      <c r="T152" s="56" t="s">
        <v>728</v>
      </c>
      <c r="U152" s="56" t="s">
        <v>755</v>
      </c>
      <c r="V152" s="95">
        <v>40</v>
      </c>
      <c r="W152" s="95">
        <v>10</v>
      </c>
      <c r="X152" s="117">
        <v>10</v>
      </c>
      <c r="Y152" s="38">
        <f>IFERROR((TABLA_AVANCE_INDICADORES[[#This Row],[AVANCE 1°. TRIM]]/TABLA_AVANCE_INDICADORES[[#This Row],[PROGR. 1° TRIM]])*100,"0")</f>
        <v>100</v>
      </c>
      <c r="Z152"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152" s="118">
        <v>10</v>
      </c>
      <c r="AB152" s="119">
        <v>10</v>
      </c>
      <c r="AC152" s="40">
        <f t="shared" si="4"/>
        <v>100</v>
      </c>
      <c r="AD152" s="39" t="str">
        <f t="shared" si="5"/>
        <v>ADECUADO</v>
      </c>
      <c r="AE152" s="118">
        <v>10</v>
      </c>
      <c r="AF152" s="119">
        <v>0</v>
      </c>
      <c r="AG152" s="40">
        <f>IFERROR((TABLA_AVANCE_INDICADORES[[#This Row],[AVANCE 3°. TRIM]]/TABLA_AVANCE_INDICADORES[[#This Row],[PROGR. 3° TRIM]])*100,"0")</f>
        <v>0</v>
      </c>
      <c r="AH152"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CRÍTICO</v>
      </c>
      <c r="AI152" s="118">
        <v>10</v>
      </c>
      <c r="AJ152" s="119">
        <v>0</v>
      </c>
      <c r="AK152" s="96">
        <f>IFERROR((TABLA_AVANCE_INDICADORES[[#This Row],[AVANCE 4°. TRIM]]/TABLA_AVANCE_INDICADORES[[#This Row],[PROGR. 4° TRIM]])*100,"0")</f>
        <v>0</v>
      </c>
      <c r="AL152"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152"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20</v>
      </c>
      <c r="AN152"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20</v>
      </c>
      <c r="AO152" s="40">
        <f>IFERROR((TABLA_AVANCE_INDICADORES[[#This Row],[AVANCE ACUM. TRIM.]]/TABLA_AVANCE_INDICADORES[[#This Row],[PROG. ACUM]])*100,"N/A")</f>
        <v>100</v>
      </c>
      <c r="AP152"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152" s="121">
        <f>TABLA_AVANCE_INDICADORES[[#This Row],[AVANCE ACUM. TRIM.]]-TABLA_AVANCE_INDICADORES[[#This Row],[PROG. ACUM]]</f>
        <v>0</v>
      </c>
      <c r="AR152" s="46">
        <f>IFERROR((TABLA_AVANCE_INDICADORES[[#This Row],[DIFERENCIA ABSOLUTA SEMESTRAL]]/TABLA_AVANCE_INDICADORES[[#This Row],[PROG. ACUM]])*100,"N/A")</f>
        <v>0</v>
      </c>
      <c r="AS152"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20</v>
      </c>
      <c r="AT152" s="40">
        <f>IFERROR((TABLA_AVANCE_INDICADORES[[#This Row],[AVANCE ACUM. ANUAL]]/TABLA_AVANCE_INDICADORES[[#This Row],[PROGRAMADO ANUAL]])*100,"N/A")</f>
        <v>50</v>
      </c>
      <c r="AU152"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152" s="121">
        <f>TABLA_AVANCE_INDICADORES[[#This Row],[AVANCE ACUM. ANUAL]]-TABLA_AVANCE_INDICADORES[[#This Row],[PROGRAMADO ANUAL]]</f>
        <v>-20</v>
      </c>
      <c r="AW152" s="46">
        <f>IFERROR((TABLA_AVANCE_INDICADORES[[#This Row],[DIFERENCIA ABSOLUTA ANUAL]]/TABLA_AVANCE_INDICADORES[[#This Row],[PROGRAMADO ANUAL]])*100,"N/A")</f>
        <v>-50</v>
      </c>
      <c r="AX152" s="148" t="s">
        <v>63</v>
      </c>
      <c r="AY152" s="100" t="s">
        <v>63</v>
      </c>
      <c r="AZ152" s="100"/>
      <c r="BA152" s="100"/>
      <c r="BB152"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53" spans="1:54" ht="150" hidden="1" x14ac:dyDescent="0.3">
      <c r="A153" s="31" t="s">
        <v>1256</v>
      </c>
      <c r="B153" s="113" t="s">
        <v>464</v>
      </c>
      <c r="C153" s="32" t="s">
        <v>445</v>
      </c>
      <c r="D153" s="114" t="s">
        <v>446</v>
      </c>
      <c r="E153" s="32" t="s">
        <v>401</v>
      </c>
      <c r="F153" s="115" t="s">
        <v>402</v>
      </c>
      <c r="G153" s="146" t="s">
        <v>465</v>
      </c>
      <c r="H153" s="94" t="s">
        <v>1251</v>
      </c>
      <c r="I153" s="34" t="s">
        <v>1204</v>
      </c>
      <c r="J153" s="34" t="s">
        <v>435</v>
      </c>
      <c r="K153" s="94" t="s">
        <v>436</v>
      </c>
      <c r="L153" s="34" t="s">
        <v>466</v>
      </c>
      <c r="M153" s="94" t="s">
        <v>467</v>
      </c>
      <c r="N153" s="33">
        <v>2</v>
      </c>
      <c r="O153" s="33" t="s">
        <v>1078</v>
      </c>
      <c r="P153" s="125" t="s">
        <v>1252</v>
      </c>
      <c r="Q153" s="125" t="s">
        <v>1257</v>
      </c>
      <c r="R153" s="116" t="s">
        <v>1254</v>
      </c>
      <c r="S153" s="34" t="s">
        <v>1255</v>
      </c>
      <c r="T153" s="56" t="s">
        <v>728</v>
      </c>
      <c r="U153" s="56" t="s">
        <v>755</v>
      </c>
      <c r="V153" s="95">
        <v>40</v>
      </c>
      <c r="W153" s="95">
        <v>10</v>
      </c>
      <c r="X153" s="127">
        <v>10</v>
      </c>
      <c r="Y153" s="38">
        <f>IFERROR((TABLA_AVANCE_INDICADORES[[#This Row],[AVANCE 1°. TRIM]]/TABLA_AVANCE_INDICADORES[[#This Row],[PROGR. 1° TRIM]])*100,"0")</f>
        <v>100</v>
      </c>
      <c r="Z153"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153" s="118">
        <v>10</v>
      </c>
      <c r="AB153" s="128">
        <v>10</v>
      </c>
      <c r="AC153" s="40">
        <f t="shared" si="4"/>
        <v>100</v>
      </c>
      <c r="AD153" s="39" t="str">
        <f t="shared" si="5"/>
        <v>ADECUADO</v>
      </c>
      <c r="AE153" s="118">
        <v>10</v>
      </c>
      <c r="AF153" s="128">
        <f>AE153</f>
        <v>10</v>
      </c>
      <c r="AG153" s="40">
        <f>IFERROR((TABLA_AVANCE_INDICADORES[[#This Row],[AVANCE 3°. TRIM]]/TABLA_AVANCE_INDICADORES[[#This Row],[PROGR. 3° TRIM]])*100,"0")</f>
        <v>100</v>
      </c>
      <c r="AH153"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ADECUADO</v>
      </c>
      <c r="AI153" s="118">
        <v>10</v>
      </c>
      <c r="AJ153" s="128">
        <f>AI153</f>
        <v>10</v>
      </c>
      <c r="AK153" s="96">
        <f>IFERROR((TABLA_AVANCE_INDICADORES[[#This Row],[AVANCE 4°. TRIM]]/TABLA_AVANCE_INDICADORES[[#This Row],[PROGR. 4° TRIM]])*100,"0")</f>
        <v>100</v>
      </c>
      <c r="AL153"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ADECUADO</v>
      </c>
      <c r="AM153"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20</v>
      </c>
      <c r="AN153"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20</v>
      </c>
      <c r="AO153" s="40">
        <f>IFERROR((TABLA_AVANCE_INDICADORES[[#This Row],[AVANCE ACUM. TRIM.]]/TABLA_AVANCE_INDICADORES[[#This Row],[PROG. ACUM]])*100,"N/A")</f>
        <v>100</v>
      </c>
      <c r="AP153"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153" s="121">
        <f>TABLA_AVANCE_INDICADORES[[#This Row],[AVANCE ACUM. TRIM.]]-TABLA_AVANCE_INDICADORES[[#This Row],[PROG. ACUM]]</f>
        <v>0</v>
      </c>
      <c r="AR153" s="46">
        <f>IFERROR((TABLA_AVANCE_INDICADORES[[#This Row],[DIFERENCIA ABSOLUTA SEMESTRAL]]/TABLA_AVANCE_INDICADORES[[#This Row],[PROG. ACUM]])*100,"N/A")</f>
        <v>0</v>
      </c>
      <c r="AS153"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20</v>
      </c>
      <c r="AT153" s="40">
        <f>IFERROR((TABLA_AVANCE_INDICADORES[[#This Row],[AVANCE ACUM. ANUAL]]/TABLA_AVANCE_INDICADORES[[#This Row],[PROGRAMADO ANUAL]])*100,"N/A")</f>
        <v>50</v>
      </c>
      <c r="AU153"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153" s="121">
        <f>TABLA_AVANCE_INDICADORES[[#This Row],[AVANCE ACUM. ANUAL]]-TABLA_AVANCE_INDICADORES[[#This Row],[PROGRAMADO ANUAL]]</f>
        <v>-20</v>
      </c>
      <c r="AW153" s="46">
        <f>IFERROR((TABLA_AVANCE_INDICADORES[[#This Row],[DIFERENCIA ABSOLUTA ANUAL]]/TABLA_AVANCE_INDICADORES[[#This Row],[PROGRAMADO ANUAL]])*100,"N/A")</f>
        <v>-50</v>
      </c>
      <c r="AX153" s="148" t="s">
        <v>63</v>
      </c>
      <c r="AY153" s="100" t="s">
        <v>63</v>
      </c>
      <c r="AZ153" s="100"/>
      <c r="BA153" s="100"/>
      <c r="BB153"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54" spans="1:54" ht="150" hidden="1" x14ac:dyDescent="0.3">
      <c r="A154" s="31" t="s">
        <v>1258</v>
      </c>
      <c r="B154" s="113" t="s">
        <v>494</v>
      </c>
      <c r="C154" s="32" t="s">
        <v>445</v>
      </c>
      <c r="D154" s="114" t="s">
        <v>446</v>
      </c>
      <c r="E154" s="32" t="s">
        <v>495</v>
      </c>
      <c r="F154" s="115" t="s">
        <v>496</v>
      </c>
      <c r="G154" s="146" t="s">
        <v>497</v>
      </c>
      <c r="H154" s="94" t="s">
        <v>1203</v>
      </c>
      <c r="I154" s="34" t="s">
        <v>1204</v>
      </c>
      <c r="J154" s="34" t="s">
        <v>435</v>
      </c>
      <c r="K154" s="94" t="s">
        <v>436</v>
      </c>
      <c r="L154" s="34" t="s">
        <v>498</v>
      </c>
      <c r="M154" s="94" t="s">
        <v>499</v>
      </c>
      <c r="N154" s="33">
        <v>1</v>
      </c>
      <c r="O154" s="33" t="s">
        <v>1259</v>
      </c>
      <c r="P154" s="149" t="s">
        <v>1260</v>
      </c>
      <c r="Q154" s="125" t="s">
        <v>1261</v>
      </c>
      <c r="R154" s="116" t="s">
        <v>1262</v>
      </c>
      <c r="S154" s="34" t="s">
        <v>506</v>
      </c>
      <c r="T154" s="56" t="s">
        <v>728</v>
      </c>
      <c r="U154" s="56" t="s">
        <v>755</v>
      </c>
      <c r="V154" s="95">
        <v>45</v>
      </c>
      <c r="W154" s="95">
        <v>15</v>
      </c>
      <c r="X154" s="117">
        <v>9</v>
      </c>
      <c r="Y154" s="38">
        <f>IFERROR((TABLA_AVANCE_INDICADORES[[#This Row],[AVANCE 1°. TRIM]]/TABLA_AVANCE_INDICADORES[[#This Row],[PROGR. 1° TRIM]])*100,"0")</f>
        <v>60</v>
      </c>
      <c r="Z154"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DEFICIENTE</v>
      </c>
      <c r="AA154" s="118">
        <v>6</v>
      </c>
      <c r="AB154" s="119">
        <v>12</v>
      </c>
      <c r="AC154" s="40">
        <f t="shared" si="4"/>
        <v>200</v>
      </c>
      <c r="AD154" s="39" t="str">
        <f t="shared" si="5"/>
        <v>SOBREPASADO</v>
      </c>
      <c r="AE154" s="118">
        <v>12</v>
      </c>
      <c r="AF154" s="119">
        <v>0</v>
      </c>
      <c r="AG154" s="40">
        <f>IFERROR((TABLA_AVANCE_INDICADORES[[#This Row],[AVANCE 3°. TRIM]]/TABLA_AVANCE_INDICADORES[[#This Row],[PROGR. 3° TRIM]])*100,"0")</f>
        <v>0</v>
      </c>
      <c r="AH154"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CRÍTICO</v>
      </c>
      <c r="AI154" s="118">
        <v>12</v>
      </c>
      <c r="AJ154" s="119">
        <v>0</v>
      </c>
      <c r="AK154" s="96">
        <f>IFERROR((TABLA_AVANCE_INDICADORES[[#This Row],[AVANCE 4°. TRIM]]/TABLA_AVANCE_INDICADORES[[#This Row],[PROGR. 4° TRIM]])*100,"0")</f>
        <v>0</v>
      </c>
      <c r="AL154"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154"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21</v>
      </c>
      <c r="AN154"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21</v>
      </c>
      <c r="AO154" s="40">
        <f>IFERROR((TABLA_AVANCE_INDICADORES[[#This Row],[AVANCE ACUM. TRIM.]]/TABLA_AVANCE_INDICADORES[[#This Row],[PROG. ACUM]])*100,"N/A")</f>
        <v>100</v>
      </c>
      <c r="AP154"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154" s="121">
        <f>TABLA_AVANCE_INDICADORES[[#This Row],[AVANCE ACUM. TRIM.]]-TABLA_AVANCE_INDICADORES[[#This Row],[PROG. ACUM]]</f>
        <v>0</v>
      </c>
      <c r="AR154" s="46">
        <f>IFERROR((TABLA_AVANCE_INDICADORES[[#This Row],[DIFERENCIA ABSOLUTA SEMESTRAL]]/TABLA_AVANCE_INDICADORES[[#This Row],[PROG. ACUM]])*100,"N/A")</f>
        <v>0</v>
      </c>
      <c r="AS154"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21</v>
      </c>
      <c r="AT154" s="40">
        <f>IFERROR((TABLA_AVANCE_INDICADORES[[#This Row],[AVANCE ACUM. ANUAL]]/TABLA_AVANCE_INDICADORES[[#This Row],[PROGRAMADO ANUAL]])*100,"N/A")</f>
        <v>46.666666666666664</v>
      </c>
      <c r="AU154"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154" s="121">
        <f>TABLA_AVANCE_INDICADORES[[#This Row],[AVANCE ACUM. ANUAL]]-TABLA_AVANCE_INDICADORES[[#This Row],[PROGRAMADO ANUAL]]</f>
        <v>-24</v>
      </c>
      <c r="AW154" s="46">
        <f>IFERROR((TABLA_AVANCE_INDICADORES[[#This Row],[DIFERENCIA ABSOLUTA ANUAL]]/TABLA_AVANCE_INDICADORES[[#This Row],[PROGRAMADO ANUAL]])*100,"N/A")</f>
        <v>-53.333333333333336</v>
      </c>
      <c r="AX154" s="148" t="s">
        <v>63</v>
      </c>
      <c r="AY154" s="100" t="s">
        <v>63</v>
      </c>
      <c r="AZ154" s="100"/>
      <c r="BA154" s="100"/>
      <c r="BB154"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55" spans="1:54" ht="150" hidden="1" x14ac:dyDescent="0.3">
      <c r="A155" s="31" t="s">
        <v>1263</v>
      </c>
      <c r="B155" s="113" t="s">
        <v>494</v>
      </c>
      <c r="C155" s="32" t="s">
        <v>445</v>
      </c>
      <c r="D155" s="114" t="s">
        <v>446</v>
      </c>
      <c r="E155" s="32" t="s">
        <v>495</v>
      </c>
      <c r="F155" s="115" t="s">
        <v>496</v>
      </c>
      <c r="G155" s="146" t="s">
        <v>497</v>
      </c>
      <c r="H155" s="94" t="s">
        <v>1203</v>
      </c>
      <c r="I155" s="34" t="s">
        <v>1204</v>
      </c>
      <c r="J155" s="34" t="s">
        <v>435</v>
      </c>
      <c r="K155" s="94" t="s">
        <v>436</v>
      </c>
      <c r="L155" s="34" t="s">
        <v>498</v>
      </c>
      <c r="M155" s="94" t="s">
        <v>499</v>
      </c>
      <c r="N155" s="33">
        <v>2</v>
      </c>
      <c r="O155" s="33" t="s">
        <v>1259</v>
      </c>
      <c r="P155" s="149" t="s">
        <v>1260</v>
      </c>
      <c r="Q155" s="125" t="s">
        <v>1264</v>
      </c>
      <c r="R155" s="116" t="s">
        <v>1262</v>
      </c>
      <c r="S155" s="34" t="s">
        <v>506</v>
      </c>
      <c r="T155" s="56" t="s">
        <v>728</v>
      </c>
      <c r="U155" s="56" t="s">
        <v>755</v>
      </c>
      <c r="V155" s="95">
        <v>45</v>
      </c>
      <c r="W155" s="95">
        <v>15</v>
      </c>
      <c r="X155" s="127">
        <v>15</v>
      </c>
      <c r="Y155" s="38">
        <f>IFERROR((TABLA_AVANCE_INDICADORES[[#This Row],[AVANCE 1°. TRIM]]/TABLA_AVANCE_INDICADORES[[#This Row],[PROGR. 1° TRIM]])*100,"0")</f>
        <v>100</v>
      </c>
      <c r="Z155"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155" s="118">
        <v>6</v>
      </c>
      <c r="AB155" s="128">
        <v>6</v>
      </c>
      <c r="AC155" s="40">
        <f t="shared" si="4"/>
        <v>100</v>
      </c>
      <c r="AD155" s="39" t="str">
        <f t="shared" si="5"/>
        <v>ADECUADO</v>
      </c>
      <c r="AE155" s="118">
        <v>12</v>
      </c>
      <c r="AF155" s="128">
        <f>AE155</f>
        <v>12</v>
      </c>
      <c r="AG155" s="40">
        <f>IFERROR((TABLA_AVANCE_INDICADORES[[#This Row],[AVANCE 3°. TRIM]]/TABLA_AVANCE_INDICADORES[[#This Row],[PROGR. 3° TRIM]])*100,"0")</f>
        <v>100</v>
      </c>
      <c r="AH155"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ADECUADO</v>
      </c>
      <c r="AI155" s="118">
        <v>12</v>
      </c>
      <c r="AJ155" s="128">
        <f>AI155</f>
        <v>12</v>
      </c>
      <c r="AK155" s="96">
        <f>IFERROR((TABLA_AVANCE_INDICADORES[[#This Row],[AVANCE 4°. TRIM]]/TABLA_AVANCE_INDICADORES[[#This Row],[PROGR. 4° TRIM]])*100,"0")</f>
        <v>100</v>
      </c>
      <c r="AL155"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ADECUADO</v>
      </c>
      <c r="AM155"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21</v>
      </c>
      <c r="AN155"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21</v>
      </c>
      <c r="AO155" s="40">
        <f>IFERROR((TABLA_AVANCE_INDICADORES[[#This Row],[AVANCE ACUM. TRIM.]]/TABLA_AVANCE_INDICADORES[[#This Row],[PROG. ACUM]])*100,"N/A")</f>
        <v>100</v>
      </c>
      <c r="AP155"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155" s="121">
        <f>TABLA_AVANCE_INDICADORES[[#This Row],[AVANCE ACUM. TRIM.]]-TABLA_AVANCE_INDICADORES[[#This Row],[PROG. ACUM]]</f>
        <v>0</v>
      </c>
      <c r="AR155" s="46">
        <f>IFERROR((TABLA_AVANCE_INDICADORES[[#This Row],[DIFERENCIA ABSOLUTA SEMESTRAL]]/TABLA_AVANCE_INDICADORES[[#This Row],[PROG. ACUM]])*100,"N/A")</f>
        <v>0</v>
      </c>
      <c r="AS155"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21</v>
      </c>
      <c r="AT155" s="40">
        <f>IFERROR((TABLA_AVANCE_INDICADORES[[#This Row],[AVANCE ACUM. ANUAL]]/TABLA_AVANCE_INDICADORES[[#This Row],[PROGRAMADO ANUAL]])*100,"N/A")</f>
        <v>46.666666666666664</v>
      </c>
      <c r="AU155"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155" s="121">
        <f>TABLA_AVANCE_INDICADORES[[#This Row],[AVANCE ACUM. ANUAL]]-TABLA_AVANCE_INDICADORES[[#This Row],[PROGRAMADO ANUAL]]</f>
        <v>-24</v>
      </c>
      <c r="AW155" s="46">
        <f>IFERROR((TABLA_AVANCE_INDICADORES[[#This Row],[DIFERENCIA ABSOLUTA ANUAL]]/TABLA_AVANCE_INDICADORES[[#This Row],[PROGRAMADO ANUAL]])*100,"N/A")</f>
        <v>-53.333333333333336</v>
      </c>
      <c r="AX155" s="148" t="s">
        <v>63</v>
      </c>
      <c r="AY155" s="100" t="s">
        <v>63</v>
      </c>
      <c r="AZ155" s="100"/>
      <c r="BA155" s="100"/>
      <c r="BB155"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56" spans="1:54" ht="150" hidden="1" x14ac:dyDescent="0.3">
      <c r="A156" s="31" t="s">
        <v>1265</v>
      </c>
      <c r="B156" s="113" t="s">
        <v>476</v>
      </c>
      <c r="C156" s="32" t="s">
        <v>445</v>
      </c>
      <c r="D156" s="114" t="s">
        <v>446</v>
      </c>
      <c r="E156" s="32" t="s">
        <v>477</v>
      </c>
      <c r="F156" s="115" t="s">
        <v>478</v>
      </c>
      <c r="G156" s="146" t="s">
        <v>479</v>
      </c>
      <c r="H156" s="94" t="s">
        <v>1231</v>
      </c>
      <c r="I156" s="34" t="s">
        <v>1204</v>
      </c>
      <c r="J156" s="34" t="s">
        <v>435</v>
      </c>
      <c r="K156" s="94" t="s">
        <v>436</v>
      </c>
      <c r="L156" s="34" t="s">
        <v>466</v>
      </c>
      <c r="M156" s="94" t="s">
        <v>467</v>
      </c>
      <c r="N156" s="33">
        <v>1</v>
      </c>
      <c r="O156" s="33" t="s">
        <v>945</v>
      </c>
      <c r="P156" s="149" t="s">
        <v>1266</v>
      </c>
      <c r="Q156" s="125" t="s">
        <v>1267</v>
      </c>
      <c r="R156" s="116" t="s">
        <v>1268</v>
      </c>
      <c r="S156" s="34" t="s">
        <v>481</v>
      </c>
      <c r="T156" s="56" t="s">
        <v>728</v>
      </c>
      <c r="U156" s="56" t="s">
        <v>755</v>
      </c>
      <c r="V156" s="95">
        <v>450</v>
      </c>
      <c r="W156" s="95">
        <v>150</v>
      </c>
      <c r="X156" s="117">
        <v>116</v>
      </c>
      <c r="Y156" s="38">
        <f>IFERROR((TABLA_AVANCE_INDICADORES[[#This Row],[AVANCE 1°. TRIM]]/TABLA_AVANCE_INDICADORES[[#This Row],[PROGR. 1° TRIM]])*100,"0")</f>
        <v>77.333333333333329</v>
      </c>
      <c r="Z156"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REGULAR</v>
      </c>
      <c r="AA156" s="118">
        <v>100</v>
      </c>
      <c r="AB156" s="119">
        <v>121</v>
      </c>
      <c r="AC156" s="40">
        <f t="shared" si="4"/>
        <v>121</v>
      </c>
      <c r="AD156" s="39" t="str">
        <f t="shared" si="5"/>
        <v>SOBREPASADO</v>
      </c>
      <c r="AE156" s="118">
        <v>100</v>
      </c>
      <c r="AF156" s="119">
        <v>0</v>
      </c>
      <c r="AG156" s="40">
        <f>IFERROR((TABLA_AVANCE_INDICADORES[[#This Row],[AVANCE 3°. TRIM]]/TABLA_AVANCE_INDICADORES[[#This Row],[PROGR. 3° TRIM]])*100,"0")</f>
        <v>0</v>
      </c>
      <c r="AH156"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CRÍTICO</v>
      </c>
      <c r="AI156" s="118">
        <v>100</v>
      </c>
      <c r="AJ156" s="119">
        <v>0</v>
      </c>
      <c r="AK156" s="96">
        <f>IFERROR((TABLA_AVANCE_INDICADORES[[#This Row],[AVANCE 4°. TRIM]]/TABLA_AVANCE_INDICADORES[[#This Row],[PROGR. 4° TRIM]])*100,"0")</f>
        <v>0</v>
      </c>
      <c r="AL156"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156"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250</v>
      </c>
      <c r="AN156"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237</v>
      </c>
      <c r="AO156" s="40">
        <f>IFERROR((TABLA_AVANCE_INDICADORES[[#This Row],[AVANCE ACUM. TRIM.]]/TABLA_AVANCE_INDICADORES[[#This Row],[PROG. ACUM]])*100,"N/A")</f>
        <v>94.8</v>
      </c>
      <c r="AP156"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156" s="121">
        <f>TABLA_AVANCE_INDICADORES[[#This Row],[AVANCE ACUM. TRIM.]]-TABLA_AVANCE_INDICADORES[[#This Row],[PROG. ACUM]]</f>
        <v>-13</v>
      </c>
      <c r="AR156" s="46">
        <f>IFERROR((TABLA_AVANCE_INDICADORES[[#This Row],[DIFERENCIA ABSOLUTA SEMESTRAL]]/TABLA_AVANCE_INDICADORES[[#This Row],[PROG. ACUM]])*100,"N/A")</f>
        <v>-5.2</v>
      </c>
      <c r="AS156"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237</v>
      </c>
      <c r="AT156" s="40">
        <f>IFERROR((TABLA_AVANCE_INDICADORES[[#This Row],[AVANCE ACUM. ANUAL]]/TABLA_AVANCE_INDICADORES[[#This Row],[PROGRAMADO ANUAL]])*100,"N/A")</f>
        <v>52.666666666666664</v>
      </c>
      <c r="AU156"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156" s="121">
        <f>TABLA_AVANCE_INDICADORES[[#This Row],[AVANCE ACUM. ANUAL]]-TABLA_AVANCE_INDICADORES[[#This Row],[PROGRAMADO ANUAL]]</f>
        <v>-213</v>
      </c>
      <c r="AW156" s="46">
        <f>IFERROR((TABLA_AVANCE_INDICADORES[[#This Row],[DIFERENCIA ABSOLUTA ANUAL]]/TABLA_AVANCE_INDICADORES[[#This Row],[PROGRAMADO ANUAL]])*100,"N/A")</f>
        <v>-47.333333333333336</v>
      </c>
      <c r="AX156" s="148" t="s">
        <v>1269</v>
      </c>
      <c r="AY156" s="100" t="s">
        <v>63</v>
      </c>
      <c r="AZ156" s="100"/>
      <c r="BA156" s="100"/>
      <c r="BB156"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57" spans="1:54" ht="150" hidden="1" x14ac:dyDescent="0.3">
      <c r="A157" s="31" t="s">
        <v>1270</v>
      </c>
      <c r="B157" s="113" t="s">
        <v>476</v>
      </c>
      <c r="C157" s="32" t="s">
        <v>445</v>
      </c>
      <c r="D157" s="114" t="s">
        <v>446</v>
      </c>
      <c r="E157" s="32" t="s">
        <v>477</v>
      </c>
      <c r="F157" s="115" t="s">
        <v>478</v>
      </c>
      <c r="G157" s="146" t="s">
        <v>479</v>
      </c>
      <c r="H157" s="94" t="s">
        <v>1231</v>
      </c>
      <c r="I157" s="34" t="s">
        <v>1204</v>
      </c>
      <c r="J157" s="34" t="s">
        <v>435</v>
      </c>
      <c r="K157" s="94" t="s">
        <v>436</v>
      </c>
      <c r="L157" s="34" t="s">
        <v>466</v>
      </c>
      <c r="M157" s="94" t="s">
        <v>467</v>
      </c>
      <c r="N157" s="33">
        <v>2</v>
      </c>
      <c r="O157" s="33" t="s">
        <v>945</v>
      </c>
      <c r="P157" s="149" t="s">
        <v>1266</v>
      </c>
      <c r="Q157" s="125" t="s">
        <v>1271</v>
      </c>
      <c r="R157" s="116" t="s">
        <v>1268</v>
      </c>
      <c r="S157" s="34" t="s">
        <v>481</v>
      </c>
      <c r="T157" s="56" t="s">
        <v>728</v>
      </c>
      <c r="U157" s="56" t="s">
        <v>755</v>
      </c>
      <c r="V157" s="95">
        <v>450</v>
      </c>
      <c r="W157" s="95">
        <v>150</v>
      </c>
      <c r="X157" s="127">
        <v>150</v>
      </c>
      <c r="Y157" s="38">
        <f>IFERROR((TABLA_AVANCE_INDICADORES[[#This Row],[AVANCE 1°. TRIM]]/TABLA_AVANCE_INDICADORES[[#This Row],[PROGR. 1° TRIM]])*100,"0")</f>
        <v>100</v>
      </c>
      <c r="Z157"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157" s="118">
        <v>100</v>
      </c>
      <c r="AB157" s="128">
        <v>100</v>
      </c>
      <c r="AC157" s="40">
        <f t="shared" si="4"/>
        <v>100</v>
      </c>
      <c r="AD157" s="39" t="str">
        <f t="shared" si="5"/>
        <v>ADECUADO</v>
      </c>
      <c r="AE157" s="118">
        <v>100</v>
      </c>
      <c r="AF157" s="128">
        <f>AE157</f>
        <v>100</v>
      </c>
      <c r="AG157" s="40">
        <f>IFERROR((TABLA_AVANCE_INDICADORES[[#This Row],[AVANCE 3°. TRIM]]/TABLA_AVANCE_INDICADORES[[#This Row],[PROGR. 3° TRIM]])*100,"0")</f>
        <v>100</v>
      </c>
      <c r="AH157"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ADECUADO</v>
      </c>
      <c r="AI157" s="118">
        <v>100</v>
      </c>
      <c r="AJ157" s="128">
        <f>AI157</f>
        <v>100</v>
      </c>
      <c r="AK157" s="96">
        <f>IFERROR((TABLA_AVANCE_INDICADORES[[#This Row],[AVANCE 4°. TRIM]]/TABLA_AVANCE_INDICADORES[[#This Row],[PROGR. 4° TRIM]])*100,"0")</f>
        <v>100</v>
      </c>
      <c r="AL157"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ADECUADO</v>
      </c>
      <c r="AM157"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250</v>
      </c>
      <c r="AN157"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250</v>
      </c>
      <c r="AO157" s="40">
        <f>IFERROR((TABLA_AVANCE_INDICADORES[[#This Row],[AVANCE ACUM. TRIM.]]/TABLA_AVANCE_INDICADORES[[#This Row],[PROG. ACUM]])*100,"N/A")</f>
        <v>100</v>
      </c>
      <c r="AP157"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157" s="121">
        <f>TABLA_AVANCE_INDICADORES[[#This Row],[AVANCE ACUM. TRIM.]]-TABLA_AVANCE_INDICADORES[[#This Row],[PROG. ACUM]]</f>
        <v>0</v>
      </c>
      <c r="AR157" s="46">
        <f>IFERROR((TABLA_AVANCE_INDICADORES[[#This Row],[DIFERENCIA ABSOLUTA SEMESTRAL]]/TABLA_AVANCE_INDICADORES[[#This Row],[PROG. ACUM]])*100,"N/A")</f>
        <v>0</v>
      </c>
      <c r="AS157"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250</v>
      </c>
      <c r="AT157" s="40">
        <f>IFERROR((TABLA_AVANCE_INDICADORES[[#This Row],[AVANCE ACUM. ANUAL]]/TABLA_AVANCE_INDICADORES[[#This Row],[PROGRAMADO ANUAL]])*100,"N/A")</f>
        <v>55.555555555555557</v>
      </c>
      <c r="AU157"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157" s="121">
        <f>TABLA_AVANCE_INDICADORES[[#This Row],[AVANCE ACUM. ANUAL]]-TABLA_AVANCE_INDICADORES[[#This Row],[PROGRAMADO ANUAL]]</f>
        <v>-200</v>
      </c>
      <c r="AW157" s="46">
        <f>IFERROR((TABLA_AVANCE_INDICADORES[[#This Row],[DIFERENCIA ABSOLUTA ANUAL]]/TABLA_AVANCE_INDICADORES[[#This Row],[PROGRAMADO ANUAL]])*100,"N/A")</f>
        <v>-44.444444444444443</v>
      </c>
      <c r="AX157" s="148" t="s">
        <v>1269</v>
      </c>
      <c r="AY157" s="100" t="s">
        <v>63</v>
      </c>
      <c r="AZ157" s="100"/>
      <c r="BA157" s="100"/>
      <c r="BB157"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58" spans="1:54" ht="150" hidden="1" x14ac:dyDescent="0.3">
      <c r="A158" s="31" t="s">
        <v>1272</v>
      </c>
      <c r="B158" s="113" t="s">
        <v>446</v>
      </c>
      <c r="C158" s="32" t="s">
        <v>445</v>
      </c>
      <c r="D158" s="114" t="s">
        <v>446</v>
      </c>
      <c r="E158" s="32" t="s">
        <v>401</v>
      </c>
      <c r="F158" s="115" t="s">
        <v>402</v>
      </c>
      <c r="G158" s="146" t="s">
        <v>597</v>
      </c>
      <c r="H158" s="94" t="s">
        <v>1273</v>
      </c>
      <c r="I158" s="34" t="s">
        <v>1204</v>
      </c>
      <c r="J158" s="34" t="s">
        <v>177</v>
      </c>
      <c r="K158" s="94" t="s">
        <v>178</v>
      </c>
      <c r="L158" s="34" t="s">
        <v>529</v>
      </c>
      <c r="M158" s="94" t="s">
        <v>530</v>
      </c>
      <c r="N158" s="33">
        <v>1</v>
      </c>
      <c r="O158" s="33" t="s">
        <v>724</v>
      </c>
      <c r="P158" s="125" t="s">
        <v>1274</v>
      </c>
      <c r="Q158" s="125" t="s">
        <v>1275</v>
      </c>
      <c r="R158" s="116" t="s">
        <v>1276</v>
      </c>
      <c r="S158" s="34" t="s">
        <v>85</v>
      </c>
      <c r="T158" s="56" t="s">
        <v>728</v>
      </c>
      <c r="U158" s="56" t="s">
        <v>739</v>
      </c>
      <c r="V158" s="95">
        <v>1</v>
      </c>
      <c r="W158" s="95">
        <v>0</v>
      </c>
      <c r="X158" s="117">
        <v>0</v>
      </c>
      <c r="Y158" s="38" t="str">
        <f>IFERROR((TABLA_AVANCE_INDICADORES[[#This Row],[AVANCE 1°. TRIM]]/TABLA_AVANCE_INDICADORES[[#This Row],[PROGR. 1° TRIM]])*100,"0")</f>
        <v>0</v>
      </c>
      <c r="Z158"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158" s="118">
        <v>0</v>
      </c>
      <c r="AB158" s="119">
        <v>0</v>
      </c>
      <c r="AC158" s="40" t="str">
        <f t="shared" si="4"/>
        <v>0</v>
      </c>
      <c r="AD158" s="39" t="str">
        <f t="shared" si="5"/>
        <v>NO PROG.</v>
      </c>
      <c r="AE158" s="118">
        <v>0</v>
      </c>
      <c r="AF158" s="119">
        <v>0</v>
      </c>
      <c r="AG158" s="40" t="str">
        <f>IFERROR((TABLA_AVANCE_INDICADORES[[#This Row],[AVANCE 3°. TRIM]]/TABLA_AVANCE_INDICADORES[[#This Row],[PROGR. 3° TRIM]])*100,"0")</f>
        <v>0</v>
      </c>
      <c r="AH158"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158" s="118">
        <v>1</v>
      </c>
      <c r="AJ158" s="119">
        <v>0</v>
      </c>
      <c r="AK158" s="96">
        <f>IFERROR((TABLA_AVANCE_INDICADORES[[#This Row],[AVANCE 4°. TRIM]]/TABLA_AVANCE_INDICADORES[[#This Row],[PROGR. 4° TRIM]])*100,"0")</f>
        <v>0</v>
      </c>
      <c r="AL158"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158"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0</v>
      </c>
      <c r="AN158"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O158" s="40" t="str">
        <f>IFERROR((TABLA_AVANCE_INDICADORES[[#This Row],[AVANCE ACUM. TRIM.]]/TABLA_AVANCE_INDICADORES[[#This Row],[PROG. ACUM]])*100,"N/A")</f>
        <v>N/A</v>
      </c>
      <c r="AP158"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NO PROG.</v>
      </c>
      <c r="AQ158" s="121">
        <f>TABLA_AVANCE_INDICADORES[[#This Row],[AVANCE ACUM. TRIM.]]-TABLA_AVANCE_INDICADORES[[#This Row],[PROG. ACUM]]</f>
        <v>0</v>
      </c>
      <c r="AR158" s="46" t="str">
        <f>IFERROR((TABLA_AVANCE_INDICADORES[[#This Row],[DIFERENCIA ABSOLUTA SEMESTRAL]]/TABLA_AVANCE_INDICADORES[[#This Row],[PROG. ACUM]])*100,"N/A")</f>
        <v>N/A</v>
      </c>
      <c r="AS158"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T158" s="40">
        <f>IFERROR((TABLA_AVANCE_INDICADORES[[#This Row],[AVANCE ACUM. ANUAL]]/TABLA_AVANCE_INDICADORES[[#This Row],[PROGRAMADO ANUAL]])*100,"N/A")</f>
        <v>0</v>
      </c>
      <c r="AU158"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158" s="121">
        <f>TABLA_AVANCE_INDICADORES[[#This Row],[AVANCE ACUM. ANUAL]]-TABLA_AVANCE_INDICADORES[[#This Row],[PROGRAMADO ANUAL]]</f>
        <v>-1</v>
      </c>
      <c r="AW158" s="46">
        <f>IFERROR((TABLA_AVANCE_INDICADORES[[#This Row],[DIFERENCIA ABSOLUTA ANUAL]]/TABLA_AVANCE_INDICADORES[[#This Row],[PROGRAMADO ANUAL]])*100,"N/A")</f>
        <v>-100</v>
      </c>
      <c r="AX158" s="148" t="s">
        <v>63</v>
      </c>
      <c r="AY158" s="100" t="s">
        <v>63</v>
      </c>
      <c r="AZ158" s="100"/>
      <c r="BA158" s="100"/>
      <c r="BB158"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59" spans="1:54" ht="150" hidden="1" x14ac:dyDescent="0.3">
      <c r="A159" s="31" t="s">
        <v>1277</v>
      </c>
      <c r="B159" s="113" t="s">
        <v>446</v>
      </c>
      <c r="C159" s="32" t="s">
        <v>445</v>
      </c>
      <c r="D159" s="114" t="s">
        <v>446</v>
      </c>
      <c r="E159" s="32" t="s">
        <v>401</v>
      </c>
      <c r="F159" s="115" t="s">
        <v>402</v>
      </c>
      <c r="G159" s="146" t="s">
        <v>597</v>
      </c>
      <c r="H159" s="94" t="s">
        <v>1273</v>
      </c>
      <c r="I159" s="34" t="s">
        <v>1204</v>
      </c>
      <c r="J159" s="34" t="s">
        <v>177</v>
      </c>
      <c r="K159" s="94" t="s">
        <v>178</v>
      </c>
      <c r="L159" s="34" t="s">
        <v>529</v>
      </c>
      <c r="M159" s="94" t="s">
        <v>530</v>
      </c>
      <c r="N159" s="33">
        <v>2</v>
      </c>
      <c r="O159" s="33" t="s">
        <v>724</v>
      </c>
      <c r="P159" s="125" t="s">
        <v>1274</v>
      </c>
      <c r="Q159" s="125" t="s">
        <v>1278</v>
      </c>
      <c r="R159" s="116" t="s">
        <v>1276</v>
      </c>
      <c r="S159" s="34" t="s">
        <v>85</v>
      </c>
      <c r="T159" s="56" t="s">
        <v>728</v>
      </c>
      <c r="U159" s="56" t="s">
        <v>739</v>
      </c>
      <c r="V159" s="95">
        <v>3</v>
      </c>
      <c r="W159" s="95">
        <v>0</v>
      </c>
      <c r="X159" s="117">
        <v>0</v>
      </c>
      <c r="Y159" s="38" t="str">
        <f>IFERROR((TABLA_AVANCE_INDICADORES[[#This Row],[AVANCE 1°. TRIM]]/TABLA_AVANCE_INDICADORES[[#This Row],[PROGR. 1° TRIM]])*100,"0")</f>
        <v>0</v>
      </c>
      <c r="Z159"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159" s="118">
        <v>0</v>
      </c>
      <c r="AB159" s="119">
        <v>0</v>
      </c>
      <c r="AC159" s="40" t="str">
        <f t="shared" si="4"/>
        <v>0</v>
      </c>
      <c r="AD159" s="39" t="str">
        <f t="shared" si="5"/>
        <v>NO PROG.</v>
      </c>
      <c r="AE159" s="118">
        <v>0</v>
      </c>
      <c r="AF159" s="119">
        <v>0</v>
      </c>
      <c r="AG159" s="40" t="str">
        <f>IFERROR((TABLA_AVANCE_INDICADORES[[#This Row],[AVANCE 3°. TRIM]]/TABLA_AVANCE_INDICADORES[[#This Row],[PROGR. 3° TRIM]])*100,"0")</f>
        <v>0</v>
      </c>
      <c r="AH159"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159" s="118">
        <v>3</v>
      </c>
      <c r="AJ159" s="126">
        <v>3</v>
      </c>
      <c r="AK159" s="96">
        <f>IFERROR((TABLA_AVANCE_INDICADORES[[#This Row],[AVANCE 4°. TRIM]]/TABLA_AVANCE_INDICADORES[[#This Row],[PROGR. 4° TRIM]])*100,"0")</f>
        <v>100</v>
      </c>
      <c r="AL159"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ADECUADO</v>
      </c>
      <c r="AM159"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0</v>
      </c>
      <c r="AN159"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O159" s="40" t="str">
        <f>IFERROR((TABLA_AVANCE_INDICADORES[[#This Row],[AVANCE ACUM. TRIM.]]/TABLA_AVANCE_INDICADORES[[#This Row],[PROG. ACUM]])*100,"N/A")</f>
        <v>N/A</v>
      </c>
      <c r="AP159"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NO PROG.</v>
      </c>
      <c r="AQ159" s="121">
        <f>TABLA_AVANCE_INDICADORES[[#This Row],[AVANCE ACUM. TRIM.]]-TABLA_AVANCE_INDICADORES[[#This Row],[PROG. ACUM]]</f>
        <v>0</v>
      </c>
      <c r="AR159" s="46" t="str">
        <f>IFERROR((TABLA_AVANCE_INDICADORES[[#This Row],[DIFERENCIA ABSOLUTA SEMESTRAL]]/TABLA_AVANCE_INDICADORES[[#This Row],[PROG. ACUM]])*100,"N/A")</f>
        <v>N/A</v>
      </c>
      <c r="AS159"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T159" s="40">
        <f>IFERROR((TABLA_AVANCE_INDICADORES[[#This Row],[AVANCE ACUM. ANUAL]]/TABLA_AVANCE_INDICADORES[[#This Row],[PROGRAMADO ANUAL]])*100,"N/A")</f>
        <v>0</v>
      </c>
      <c r="AU159"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159" s="121">
        <f>TABLA_AVANCE_INDICADORES[[#This Row],[AVANCE ACUM. ANUAL]]-TABLA_AVANCE_INDICADORES[[#This Row],[PROGRAMADO ANUAL]]</f>
        <v>-3</v>
      </c>
      <c r="AW159" s="46">
        <f>IFERROR((TABLA_AVANCE_INDICADORES[[#This Row],[DIFERENCIA ABSOLUTA ANUAL]]/TABLA_AVANCE_INDICADORES[[#This Row],[PROGRAMADO ANUAL]])*100,"N/A")</f>
        <v>-100</v>
      </c>
      <c r="AX159" s="148" t="s">
        <v>63</v>
      </c>
      <c r="AY159" s="100" t="s">
        <v>63</v>
      </c>
      <c r="AZ159" s="100"/>
      <c r="BA159" s="100"/>
      <c r="BB159"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60" spans="1:54" ht="187.5" hidden="1" x14ac:dyDescent="0.3">
      <c r="A160" s="31" t="s">
        <v>1279</v>
      </c>
      <c r="B160" s="113" t="s">
        <v>556</v>
      </c>
      <c r="C160" s="32" t="s">
        <v>445</v>
      </c>
      <c r="D160" s="114" t="s">
        <v>446</v>
      </c>
      <c r="E160" s="32" t="s">
        <v>557</v>
      </c>
      <c r="F160" s="115" t="s">
        <v>558</v>
      </c>
      <c r="G160" s="146" t="s">
        <v>559</v>
      </c>
      <c r="H160" s="94" t="s">
        <v>1280</v>
      </c>
      <c r="I160" s="34" t="s">
        <v>1204</v>
      </c>
      <c r="J160" s="34" t="s">
        <v>177</v>
      </c>
      <c r="K160" s="94" t="s">
        <v>178</v>
      </c>
      <c r="L160" s="34" t="s">
        <v>518</v>
      </c>
      <c r="M160" s="94" t="s">
        <v>519</v>
      </c>
      <c r="N160" s="33">
        <v>1</v>
      </c>
      <c r="O160" s="33" t="s">
        <v>734</v>
      </c>
      <c r="P160" s="125" t="s">
        <v>1281</v>
      </c>
      <c r="Q160" s="125" t="s">
        <v>1282</v>
      </c>
      <c r="R160" s="116" t="s">
        <v>1283</v>
      </c>
      <c r="S160" s="34" t="s">
        <v>1284</v>
      </c>
      <c r="T160" s="56" t="s">
        <v>728</v>
      </c>
      <c r="U160" s="56" t="s">
        <v>739</v>
      </c>
      <c r="V160" s="95">
        <v>1100</v>
      </c>
      <c r="W160" s="95">
        <v>0</v>
      </c>
      <c r="X160" s="117">
        <v>0</v>
      </c>
      <c r="Y160" s="38" t="str">
        <f>IFERROR((TABLA_AVANCE_INDICADORES[[#This Row],[AVANCE 1°. TRIM]]/TABLA_AVANCE_INDICADORES[[#This Row],[PROGR. 1° TRIM]])*100,"0")</f>
        <v>0</v>
      </c>
      <c r="Z160"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160" s="118">
        <v>0</v>
      </c>
      <c r="AB160" s="119">
        <v>0</v>
      </c>
      <c r="AC160" s="40" t="str">
        <f t="shared" si="4"/>
        <v>0</v>
      </c>
      <c r="AD160" s="39" t="str">
        <f t="shared" si="5"/>
        <v>NO PROG.</v>
      </c>
      <c r="AE160" s="118">
        <v>0</v>
      </c>
      <c r="AF160" s="119">
        <v>0</v>
      </c>
      <c r="AG160" s="40" t="str">
        <f>IFERROR((TABLA_AVANCE_INDICADORES[[#This Row],[AVANCE 3°. TRIM]]/TABLA_AVANCE_INDICADORES[[#This Row],[PROGR. 3° TRIM]])*100,"0")</f>
        <v>0</v>
      </c>
      <c r="AH160"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160" s="118">
        <v>1100</v>
      </c>
      <c r="AJ160" s="119">
        <v>0</v>
      </c>
      <c r="AK160" s="96">
        <f>IFERROR((TABLA_AVANCE_INDICADORES[[#This Row],[AVANCE 4°. TRIM]]/TABLA_AVANCE_INDICADORES[[#This Row],[PROGR. 4° TRIM]])*100,"0")</f>
        <v>0</v>
      </c>
      <c r="AL160"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160"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0</v>
      </c>
      <c r="AN160"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O160" s="40" t="str">
        <f>IFERROR((TABLA_AVANCE_INDICADORES[[#This Row],[AVANCE ACUM. TRIM.]]/TABLA_AVANCE_INDICADORES[[#This Row],[PROG. ACUM]])*100,"N/A")</f>
        <v>N/A</v>
      </c>
      <c r="AP160"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NO PROG.</v>
      </c>
      <c r="AQ160" s="121">
        <f>TABLA_AVANCE_INDICADORES[[#This Row],[AVANCE ACUM. TRIM.]]-TABLA_AVANCE_INDICADORES[[#This Row],[PROG. ACUM]]</f>
        <v>0</v>
      </c>
      <c r="AR160" s="46" t="str">
        <f>IFERROR((TABLA_AVANCE_INDICADORES[[#This Row],[DIFERENCIA ABSOLUTA SEMESTRAL]]/TABLA_AVANCE_INDICADORES[[#This Row],[PROG. ACUM]])*100,"N/A")</f>
        <v>N/A</v>
      </c>
      <c r="AS160"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T160" s="40">
        <f>IFERROR((TABLA_AVANCE_INDICADORES[[#This Row],[AVANCE ACUM. ANUAL]]/TABLA_AVANCE_INDICADORES[[#This Row],[PROGRAMADO ANUAL]])*100,"N/A")</f>
        <v>0</v>
      </c>
      <c r="AU160"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160" s="121">
        <f>TABLA_AVANCE_INDICADORES[[#This Row],[AVANCE ACUM. ANUAL]]-TABLA_AVANCE_INDICADORES[[#This Row],[PROGRAMADO ANUAL]]</f>
        <v>-1100</v>
      </c>
      <c r="AW160" s="46">
        <f>IFERROR((TABLA_AVANCE_INDICADORES[[#This Row],[DIFERENCIA ABSOLUTA ANUAL]]/TABLA_AVANCE_INDICADORES[[#This Row],[PROGRAMADO ANUAL]])*100,"N/A")</f>
        <v>-100</v>
      </c>
      <c r="AX160" s="148" t="s">
        <v>63</v>
      </c>
      <c r="AY160" s="100" t="s">
        <v>63</v>
      </c>
      <c r="AZ160" s="100"/>
      <c r="BA160" s="100"/>
      <c r="BB160"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61" spans="1:54" ht="187.5" hidden="1" x14ac:dyDescent="0.3">
      <c r="A161" s="31" t="s">
        <v>1285</v>
      </c>
      <c r="B161" s="113" t="s">
        <v>556</v>
      </c>
      <c r="C161" s="32" t="s">
        <v>445</v>
      </c>
      <c r="D161" s="114" t="s">
        <v>446</v>
      </c>
      <c r="E161" s="32" t="s">
        <v>557</v>
      </c>
      <c r="F161" s="115" t="s">
        <v>558</v>
      </c>
      <c r="G161" s="146" t="s">
        <v>559</v>
      </c>
      <c r="H161" s="94" t="s">
        <v>1280</v>
      </c>
      <c r="I161" s="34" t="s">
        <v>1204</v>
      </c>
      <c r="J161" s="34" t="s">
        <v>177</v>
      </c>
      <c r="K161" s="94" t="s">
        <v>178</v>
      </c>
      <c r="L161" s="34" t="s">
        <v>518</v>
      </c>
      <c r="M161" s="94" t="s">
        <v>519</v>
      </c>
      <c r="N161" s="33">
        <v>2</v>
      </c>
      <c r="O161" s="33" t="s">
        <v>734</v>
      </c>
      <c r="P161" s="125" t="s">
        <v>1281</v>
      </c>
      <c r="Q161" s="125" t="s">
        <v>1286</v>
      </c>
      <c r="R161" s="116" t="s">
        <v>1283</v>
      </c>
      <c r="S161" s="34" t="s">
        <v>1284</v>
      </c>
      <c r="T161" s="56" t="s">
        <v>728</v>
      </c>
      <c r="U161" s="56" t="s">
        <v>739</v>
      </c>
      <c r="V161" s="95">
        <v>2</v>
      </c>
      <c r="W161" s="95">
        <v>0</v>
      </c>
      <c r="X161" s="117">
        <v>0</v>
      </c>
      <c r="Y161" s="38" t="str">
        <f>IFERROR((TABLA_AVANCE_INDICADORES[[#This Row],[AVANCE 1°. TRIM]]/TABLA_AVANCE_INDICADORES[[#This Row],[PROGR. 1° TRIM]])*100,"0")</f>
        <v>0</v>
      </c>
      <c r="Z161"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161" s="118">
        <v>0</v>
      </c>
      <c r="AB161" s="119">
        <v>0</v>
      </c>
      <c r="AC161" s="40" t="str">
        <f t="shared" si="4"/>
        <v>0</v>
      </c>
      <c r="AD161" s="39" t="str">
        <f t="shared" si="5"/>
        <v>NO PROG.</v>
      </c>
      <c r="AE161" s="118">
        <v>0</v>
      </c>
      <c r="AF161" s="119">
        <v>0</v>
      </c>
      <c r="AG161" s="40" t="str">
        <f>IFERROR((TABLA_AVANCE_INDICADORES[[#This Row],[AVANCE 3°. TRIM]]/TABLA_AVANCE_INDICADORES[[#This Row],[PROGR. 3° TRIM]])*100,"0")</f>
        <v>0</v>
      </c>
      <c r="AH161"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161" s="118">
        <v>2</v>
      </c>
      <c r="AJ161" s="126">
        <v>2</v>
      </c>
      <c r="AK161" s="96">
        <f>IFERROR((TABLA_AVANCE_INDICADORES[[#This Row],[AVANCE 4°. TRIM]]/TABLA_AVANCE_INDICADORES[[#This Row],[PROGR. 4° TRIM]])*100,"0")</f>
        <v>100</v>
      </c>
      <c r="AL161"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ADECUADO</v>
      </c>
      <c r="AM161"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0</v>
      </c>
      <c r="AN161"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O161" s="40" t="str">
        <f>IFERROR((TABLA_AVANCE_INDICADORES[[#This Row],[AVANCE ACUM. TRIM.]]/TABLA_AVANCE_INDICADORES[[#This Row],[PROG. ACUM]])*100,"N/A")</f>
        <v>N/A</v>
      </c>
      <c r="AP161"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NO PROG.</v>
      </c>
      <c r="AQ161" s="121">
        <f>TABLA_AVANCE_INDICADORES[[#This Row],[AVANCE ACUM. TRIM.]]-TABLA_AVANCE_INDICADORES[[#This Row],[PROG. ACUM]]</f>
        <v>0</v>
      </c>
      <c r="AR161" s="46" t="str">
        <f>IFERROR((TABLA_AVANCE_INDICADORES[[#This Row],[DIFERENCIA ABSOLUTA SEMESTRAL]]/TABLA_AVANCE_INDICADORES[[#This Row],[PROG. ACUM]])*100,"N/A")</f>
        <v>N/A</v>
      </c>
      <c r="AS161"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T161" s="40">
        <f>IFERROR((TABLA_AVANCE_INDICADORES[[#This Row],[AVANCE ACUM. ANUAL]]/TABLA_AVANCE_INDICADORES[[#This Row],[PROGRAMADO ANUAL]])*100,"N/A")</f>
        <v>0</v>
      </c>
      <c r="AU161"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161" s="121">
        <f>TABLA_AVANCE_INDICADORES[[#This Row],[AVANCE ACUM. ANUAL]]-TABLA_AVANCE_INDICADORES[[#This Row],[PROGRAMADO ANUAL]]</f>
        <v>-2</v>
      </c>
      <c r="AW161" s="46">
        <f>IFERROR((TABLA_AVANCE_INDICADORES[[#This Row],[DIFERENCIA ABSOLUTA ANUAL]]/TABLA_AVANCE_INDICADORES[[#This Row],[PROGRAMADO ANUAL]])*100,"N/A")</f>
        <v>-100</v>
      </c>
      <c r="AX161" s="148" t="s">
        <v>63</v>
      </c>
      <c r="AY161" s="100" t="s">
        <v>63</v>
      </c>
      <c r="AZ161" s="100"/>
      <c r="BA161" s="100"/>
      <c r="BB161"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62" spans="1:54" ht="150" hidden="1" x14ac:dyDescent="0.3">
      <c r="A162" s="31" t="s">
        <v>1287</v>
      </c>
      <c r="B162" s="113" t="s">
        <v>575</v>
      </c>
      <c r="C162" s="32" t="s">
        <v>445</v>
      </c>
      <c r="D162" s="114" t="s">
        <v>446</v>
      </c>
      <c r="E162" s="32" t="s">
        <v>576</v>
      </c>
      <c r="F162" s="115" t="s">
        <v>577</v>
      </c>
      <c r="G162" s="146" t="s">
        <v>578</v>
      </c>
      <c r="H162" s="94" t="s">
        <v>1288</v>
      </c>
      <c r="I162" s="34" t="s">
        <v>1204</v>
      </c>
      <c r="J162" s="34" t="s">
        <v>177</v>
      </c>
      <c r="K162" s="94" t="s">
        <v>178</v>
      </c>
      <c r="L162" s="34" t="s">
        <v>568</v>
      </c>
      <c r="M162" s="94" t="s">
        <v>569</v>
      </c>
      <c r="N162" s="33">
        <v>1</v>
      </c>
      <c r="O162" s="33" t="s">
        <v>743</v>
      </c>
      <c r="P162" s="125" t="s">
        <v>1289</v>
      </c>
      <c r="Q162" s="125" t="s">
        <v>1290</v>
      </c>
      <c r="R162" s="116" t="s">
        <v>1291</v>
      </c>
      <c r="S162" s="34" t="s">
        <v>1292</v>
      </c>
      <c r="T162" s="56" t="s">
        <v>728</v>
      </c>
      <c r="U162" s="56" t="s">
        <v>747</v>
      </c>
      <c r="V162" s="95">
        <v>1</v>
      </c>
      <c r="W162" s="95">
        <v>0</v>
      </c>
      <c r="X162" s="117">
        <v>0</v>
      </c>
      <c r="Y162" s="38" t="str">
        <f>IFERROR((TABLA_AVANCE_INDICADORES[[#This Row],[AVANCE 1°. TRIM]]/TABLA_AVANCE_INDICADORES[[#This Row],[PROGR. 1° TRIM]])*100,"0")</f>
        <v>0</v>
      </c>
      <c r="Z162"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162" s="118">
        <v>0</v>
      </c>
      <c r="AB162" s="119">
        <v>0</v>
      </c>
      <c r="AC162" s="40" t="str">
        <f t="shared" si="4"/>
        <v>0</v>
      </c>
      <c r="AD162" s="39" t="str">
        <f t="shared" si="5"/>
        <v>NO PROG.</v>
      </c>
      <c r="AE162" s="118">
        <v>0</v>
      </c>
      <c r="AF162" s="119">
        <v>0</v>
      </c>
      <c r="AG162" s="40" t="str">
        <f>IFERROR((TABLA_AVANCE_INDICADORES[[#This Row],[AVANCE 3°. TRIM]]/TABLA_AVANCE_INDICADORES[[#This Row],[PROGR. 3° TRIM]])*100,"0")</f>
        <v>0</v>
      </c>
      <c r="AH162"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162" s="118">
        <v>1</v>
      </c>
      <c r="AJ162" s="119">
        <v>0</v>
      </c>
      <c r="AK162" s="96">
        <f>IFERROR((TABLA_AVANCE_INDICADORES[[#This Row],[AVANCE 4°. TRIM]]/TABLA_AVANCE_INDICADORES[[#This Row],[PROGR. 4° TRIM]])*100,"0")</f>
        <v>0</v>
      </c>
      <c r="AL162"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162"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0</v>
      </c>
      <c r="AN162"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O162" s="40" t="str">
        <f>IFERROR((TABLA_AVANCE_INDICADORES[[#This Row],[AVANCE ACUM. TRIM.]]/TABLA_AVANCE_INDICADORES[[#This Row],[PROG. ACUM]])*100,"N/A")</f>
        <v>N/A</v>
      </c>
      <c r="AP162"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NO PROG.</v>
      </c>
      <c r="AQ162" s="121">
        <f>TABLA_AVANCE_INDICADORES[[#This Row],[AVANCE ACUM. TRIM.]]-TABLA_AVANCE_INDICADORES[[#This Row],[PROG. ACUM]]</f>
        <v>0</v>
      </c>
      <c r="AR162" s="46" t="str">
        <f>IFERROR((TABLA_AVANCE_INDICADORES[[#This Row],[DIFERENCIA ABSOLUTA SEMESTRAL]]/TABLA_AVANCE_INDICADORES[[#This Row],[PROG. ACUM]])*100,"N/A")</f>
        <v>N/A</v>
      </c>
      <c r="AS162"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T162" s="40">
        <f>IFERROR((TABLA_AVANCE_INDICADORES[[#This Row],[AVANCE ACUM. ANUAL]]/TABLA_AVANCE_INDICADORES[[#This Row],[PROGRAMADO ANUAL]])*100,"N/A")</f>
        <v>0</v>
      </c>
      <c r="AU162"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162" s="121">
        <f>TABLA_AVANCE_INDICADORES[[#This Row],[AVANCE ACUM. ANUAL]]-TABLA_AVANCE_INDICADORES[[#This Row],[PROGRAMADO ANUAL]]</f>
        <v>-1</v>
      </c>
      <c r="AW162" s="46">
        <f>IFERROR((TABLA_AVANCE_INDICADORES[[#This Row],[DIFERENCIA ABSOLUTA ANUAL]]/TABLA_AVANCE_INDICADORES[[#This Row],[PROGRAMADO ANUAL]])*100,"N/A")</f>
        <v>-100</v>
      </c>
      <c r="AX162" s="148" t="s">
        <v>63</v>
      </c>
      <c r="AY162" s="100" t="s">
        <v>63</v>
      </c>
      <c r="AZ162" s="100"/>
      <c r="BA162" s="100"/>
      <c r="BB162"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63" spans="1:54" ht="150" hidden="1" x14ac:dyDescent="0.3">
      <c r="A163" s="31" t="s">
        <v>1293</v>
      </c>
      <c r="B163" s="113" t="s">
        <v>575</v>
      </c>
      <c r="C163" s="32" t="s">
        <v>445</v>
      </c>
      <c r="D163" s="114" t="s">
        <v>446</v>
      </c>
      <c r="E163" s="32" t="s">
        <v>576</v>
      </c>
      <c r="F163" s="115" t="s">
        <v>577</v>
      </c>
      <c r="G163" s="146" t="s">
        <v>578</v>
      </c>
      <c r="H163" s="94" t="s">
        <v>1288</v>
      </c>
      <c r="I163" s="34" t="s">
        <v>1204</v>
      </c>
      <c r="J163" s="34" t="s">
        <v>177</v>
      </c>
      <c r="K163" s="94" t="s">
        <v>178</v>
      </c>
      <c r="L163" s="34" t="s">
        <v>568</v>
      </c>
      <c r="M163" s="94" t="s">
        <v>569</v>
      </c>
      <c r="N163" s="33">
        <v>2</v>
      </c>
      <c r="O163" s="33" t="s">
        <v>743</v>
      </c>
      <c r="P163" s="125" t="s">
        <v>1289</v>
      </c>
      <c r="Q163" s="125" t="s">
        <v>1294</v>
      </c>
      <c r="R163" s="116" t="s">
        <v>1291</v>
      </c>
      <c r="S163" s="34" t="s">
        <v>306</v>
      </c>
      <c r="T163" s="56" t="s">
        <v>728</v>
      </c>
      <c r="U163" s="56" t="s">
        <v>747</v>
      </c>
      <c r="V163" s="95">
        <v>1</v>
      </c>
      <c r="W163" s="95">
        <v>0</v>
      </c>
      <c r="X163" s="127">
        <v>0</v>
      </c>
      <c r="Y163" s="38" t="str">
        <f>IFERROR((TABLA_AVANCE_INDICADORES[[#This Row],[AVANCE 1°. TRIM]]/TABLA_AVANCE_INDICADORES[[#This Row],[PROGR. 1° TRIM]])*100,"0")</f>
        <v>0</v>
      </c>
      <c r="Z163"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163" s="118">
        <v>0</v>
      </c>
      <c r="AB163" s="128">
        <v>0</v>
      </c>
      <c r="AC163" s="40" t="str">
        <f t="shared" si="4"/>
        <v>0</v>
      </c>
      <c r="AD163" s="39" t="str">
        <f t="shared" si="5"/>
        <v>NO PROG.</v>
      </c>
      <c r="AE163" s="118">
        <v>0</v>
      </c>
      <c r="AF163" s="128">
        <f>AE163</f>
        <v>0</v>
      </c>
      <c r="AG163" s="40" t="str">
        <f>IFERROR((TABLA_AVANCE_INDICADORES[[#This Row],[AVANCE 3°. TRIM]]/TABLA_AVANCE_INDICADORES[[#This Row],[PROGR. 3° TRIM]])*100,"0")</f>
        <v>0</v>
      </c>
      <c r="AH163"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163" s="118">
        <v>1</v>
      </c>
      <c r="AJ163" s="128">
        <f>AI163</f>
        <v>1</v>
      </c>
      <c r="AK163" s="96">
        <f>IFERROR((TABLA_AVANCE_INDICADORES[[#This Row],[AVANCE 4°. TRIM]]/TABLA_AVANCE_INDICADORES[[#This Row],[PROGR. 4° TRIM]])*100,"0")</f>
        <v>100</v>
      </c>
      <c r="AL163"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ADECUADO</v>
      </c>
      <c r="AM163"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0</v>
      </c>
      <c r="AN163"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O163" s="40" t="str">
        <f>IFERROR((TABLA_AVANCE_INDICADORES[[#This Row],[AVANCE ACUM. TRIM.]]/TABLA_AVANCE_INDICADORES[[#This Row],[PROG. ACUM]])*100,"N/A")</f>
        <v>N/A</v>
      </c>
      <c r="AP163"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NO PROG.</v>
      </c>
      <c r="AQ163" s="121">
        <f>TABLA_AVANCE_INDICADORES[[#This Row],[AVANCE ACUM. TRIM.]]-TABLA_AVANCE_INDICADORES[[#This Row],[PROG. ACUM]]</f>
        <v>0</v>
      </c>
      <c r="AR163" s="46" t="str">
        <f>IFERROR((TABLA_AVANCE_INDICADORES[[#This Row],[DIFERENCIA ABSOLUTA SEMESTRAL]]/TABLA_AVANCE_INDICADORES[[#This Row],[PROG. ACUM]])*100,"N/A")</f>
        <v>N/A</v>
      </c>
      <c r="AS163"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T163" s="40">
        <f>IFERROR((TABLA_AVANCE_INDICADORES[[#This Row],[AVANCE ACUM. ANUAL]]/TABLA_AVANCE_INDICADORES[[#This Row],[PROGRAMADO ANUAL]])*100,"N/A")</f>
        <v>0</v>
      </c>
      <c r="AU163"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163" s="121">
        <f>TABLA_AVANCE_INDICADORES[[#This Row],[AVANCE ACUM. ANUAL]]-TABLA_AVANCE_INDICADORES[[#This Row],[PROGRAMADO ANUAL]]</f>
        <v>-1</v>
      </c>
      <c r="AW163" s="46">
        <f>IFERROR((TABLA_AVANCE_INDICADORES[[#This Row],[DIFERENCIA ABSOLUTA ANUAL]]/TABLA_AVANCE_INDICADORES[[#This Row],[PROGRAMADO ANUAL]])*100,"N/A")</f>
        <v>-100</v>
      </c>
      <c r="AX163" s="148" t="s">
        <v>63</v>
      </c>
      <c r="AY163" s="100" t="s">
        <v>63</v>
      </c>
      <c r="AZ163" s="100"/>
      <c r="BA163" s="100"/>
      <c r="BB163"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64" spans="1:54" ht="150" hidden="1" x14ac:dyDescent="0.3">
      <c r="A164" s="31" t="s">
        <v>1295</v>
      </c>
      <c r="B164" s="113" t="s">
        <v>516</v>
      </c>
      <c r="C164" s="32" t="s">
        <v>445</v>
      </c>
      <c r="D164" s="114" t="s">
        <v>446</v>
      </c>
      <c r="E164" s="32" t="s">
        <v>401</v>
      </c>
      <c r="F164" s="115" t="s">
        <v>402</v>
      </c>
      <c r="G164" s="146" t="s">
        <v>517</v>
      </c>
      <c r="H164" s="94" t="s">
        <v>1273</v>
      </c>
      <c r="I164" s="34" t="s">
        <v>1204</v>
      </c>
      <c r="J164" s="34" t="s">
        <v>177</v>
      </c>
      <c r="K164" s="94" t="s">
        <v>178</v>
      </c>
      <c r="L164" s="34" t="s">
        <v>518</v>
      </c>
      <c r="M164" s="94" t="s">
        <v>519</v>
      </c>
      <c r="N164" s="33">
        <v>1</v>
      </c>
      <c r="O164" s="33" t="s">
        <v>786</v>
      </c>
      <c r="P164" s="125" t="s">
        <v>1296</v>
      </c>
      <c r="Q164" s="125" t="s">
        <v>1297</v>
      </c>
      <c r="R164" s="116" t="s">
        <v>1298</v>
      </c>
      <c r="S164" s="34" t="s">
        <v>487</v>
      </c>
      <c r="T164" s="56" t="s">
        <v>728</v>
      </c>
      <c r="U164" s="56" t="s">
        <v>747</v>
      </c>
      <c r="V164" s="95">
        <v>52912215.799999997</v>
      </c>
      <c r="W164" s="95">
        <v>0</v>
      </c>
      <c r="X164" s="117">
        <v>0</v>
      </c>
      <c r="Y164" s="38" t="str">
        <f>IFERROR((TABLA_AVANCE_INDICADORES[[#This Row],[AVANCE 1°. TRIM]]/TABLA_AVANCE_INDICADORES[[#This Row],[PROGR. 1° TRIM]])*100,"0")</f>
        <v>0</v>
      </c>
      <c r="Z164"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164" s="118">
        <v>26165381.440000001</v>
      </c>
      <c r="AB164" s="119">
        <v>24275086.66</v>
      </c>
      <c r="AC164" s="40">
        <f t="shared" si="4"/>
        <v>92.775588674926652</v>
      </c>
      <c r="AD164" s="39" t="str">
        <f t="shared" si="5"/>
        <v>ADECUADO</v>
      </c>
      <c r="AE164" s="118">
        <v>0</v>
      </c>
      <c r="AF164" s="119">
        <v>0</v>
      </c>
      <c r="AG164" s="40" t="str">
        <f>IFERROR((TABLA_AVANCE_INDICADORES[[#This Row],[AVANCE 3°. TRIM]]/TABLA_AVANCE_INDICADORES[[#This Row],[PROGR. 3° TRIM]])*100,"0")</f>
        <v>0</v>
      </c>
      <c r="AH164"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164" s="118">
        <v>26746834.359999999</v>
      </c>
      <c r="AJ164" s="119">
        <v>0</v>
      </c>
      <c r="AK164" s="96">
        <f>IFERROR((TABLA_AVANCE_INDICADORES[[#This Row],[AVANCE 4°. TRIM]]/TABLA_AVANCE_INDICADORES[[#This Row],[PROGR. 4° TRIM]])*100,"0")</f>
        <v>0</v>
      </c>
      <c r="AL164"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164"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26165381.440000001</v>
      </c>
      <c r="AN164"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24275086.66</v>
      </c>
      <c r="AO164" s="40">
        <f>IFERROR((TABLA_AVANCE_INDICADORES[[#This Row],[AVANCE ACUM. TRIM.]]/TABLA_AVANCE_INDICADORES[[#This Row],[PROG. ACUM]])*100,"N/A")</f>
        <v>92.775588674926652</v>
      </c>
      <c r="AP164"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164" s="121">
        <f>TABLA_AVANCE_INDICADORES[[#This Row],[AVANCE ACUM. TRIM.]]-TABLA_AVANCE_INDICADORES[[#This Row],[PROG. ACUM]]</f>
        <v>-1890294.7800000012</v>
      </c>
      <c r="AR164" s="46">
        <f>IFERROR((TABLA_AVANCE_INDICADORES[[#This Row],[DIFERENCIA ABSOLUTA SEMESTRAL]]/TABLA_AVANCE_INDICADORES[[#This Row],[PROG. ACUM]])*100,"N/A")</f>
        <v>-7.224411325073353</v>
      </c>
      <c r="AS164"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24275086.66</v>
      </c>
      <c r="AT164" s="40">
        <f>IFERROR((TABLA_AVANCE_INDICADORES[[#This Row],[AVANCE ACUM. ANUAL]]/TABLA_AVANCE_INDICADORES[[#This Row],[PROGRAMADO ANUAL]])*100,"N/A")</f>
        <v>45.87803835650368</v>
      </c>
      <c r="AU164"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164" s="121">
        <f>TABLA_AVANCE_INDICADORES[[#This Row],[AVANCE ACUM. ANUAL]]-TABLA_AVANCE_INDICADORES[[#This Row],[PROGRAMADO ANUAL]]</f>
        <v>-28637129.139999997</v>
      </c>
      <c r="AW164" s="46">
        <f>IFERROR((TABLA_AVANCE_INDICADORES[[#This Row],[DIFERENCIA ABSOLUTA ANUAL]]/TABLA_AVANCE_INDICADORES[[#This Row],[PROGRAMADO ANUAL]])*100,"N/A")</f>
        <v>-54.12196164349632</v>
      </c>
      <c r="AX164" s="148"/>
      <c r="AY164" s="100" t="s">
        <v>63</v>
      </c>
      <c r="AZ164" s="100"/>
      <c r="BA164" s="100"/>
      <c r="BB164"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65" spans="1:54" ht="150" hidden="1" x14ac:dyDescent="0.3">
      <c r="A165" s="31" t="s">
        <v>1299</v>
      </c>
      <c r="B165" s="113" t="s">
        <v>516</v>
      </c>
      <c r="C165" s="32" t="s">
        <v>445</v>
      </c>
      <c r="D165" s="114" t="s">
        <v>446</v>
      </c>
      <c r="E165" s="32" t="s">
        <v>401</v>
      </c>
      <c r="F165" s="115" t="s">
        <v>402</v>
      </c>
      <c r="G165" s="146" t="s">
        <v>517</v>
      </c>
      <c r="H165" s="94" t="s">
        <v>1273</v>
      </c>
      <c r="I165" s="34" t="s">
        <v>1204</v>
      </c>
      <c r="J165" s="34" t="s">
        <v>177</v>
      </c>
      <c r="K165" s="94" t="s">
        <v>178</v>
      </c>
      <c r="L165" s="34" t="s">
        <v>518</v>
      </c>
      <c r="M165" s="94" t="s">
        <v>519</v>
      </c>
      <c r="N165" s="33">
        <v>2</v>
      </c>
      <c r="O165" s="33" t="s">
        <v>786</v>
      </c>
      <c r="P165" s="125" t="s">
        <v>1296</v>
      </c>
      <c r="Q165" s="125" t="s">
        <v>1300</v>
      </c>
      <c r="R165" s="116" t="s">
        <v>1298</v>
      </c>
      <c r="S165" s="34" t="s">
        <v>1301</v>
      </c>
      <c r="T165" s="56" t="s">
        <v>885</v>
      </c>
      <c r="U165" s="56" t="s">
        <v>747</v>
      </c>
      <c r="V165" s="95">
        <v>52912215.799999997</v>
      </c>
      <c r="W165" s="95">
        <v>0</v>
      </c>
      <c r="X165" s="117">
        <v>0</v>
      </c>
      <c r="Y165" s="38" t="str">
        <f>IFERROR((TABLA_AVANCE_INDICADORES[[#This Row],[AVANCE 1°. TRIM]]/TABLA_AVANCE_INDICADORES[[#This Row],[PROGR. 1° TRIM]])*100,"0")</f>
        <v>0</v>
      </c>
      <c r="Z165"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165" s="118">
        <v>26165381.440000001</v>
      </c>
      <c r="AB165" s="119">
        <v>24275087.66</v>
      </c>
      <c r="AC165" s="40">
        <f t="shared" si="4"/>
        <v>92.775592496770415</v>
      </c>
      <c r="AD165" s="39" t="str">
        <f t="shared" si="5"/>
        <v>ADECUADO</v>
      </c>
      <c r="AE165" s="118">
        <v>0</v>
      </c>
      <c r="AF165" s="119">
        <v>0</v>
      </c>
      <c r="AG165" s="40" t="str">
        <f>IFERROR((TABLA_AVANCE_INDICADORES[[#This Row],[AVANCE 3°. TRIM]]/TABLA_AVANCE_INDICADORES[[#This Row],[PROGR. 3° TRIM]])*100,"0")</f>
        <v>0</v>
      </c>
      <c r="AH165"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165" s="118">
        <v>26746834.359999999</v>
      </c>
      <c r="AJ165" s="119">
        <v>0</v>
      </c>
      <c r="AK165" s="96">
        <f>IFERROR((TABLA_AVANCE_INDICADORES[[#This Row],[AVANCE 4°. TRIM]]/TABLA_AVANCE_INDICADORES[[#This Row],[PROGR. 4° TRIM]])*100,"0")</f>
        <v>0</v>
      </c>
      <c r="AL165"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165"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26165381.440000001</v>
      </c>
      <c r="AN165"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24275087.66</v>
      </c>
      <c r="AO165" s="40">
        <f>IFERROR((TABLA_AVANCE_INDICADORES[[#This Row],[AVANCE ACUM. TRIM.]]/TABLA_AVANCE_INDICADORES[[#This Row],[PROG. ACUM]])*100,"N/A")</f>
        <v>92.775592496770415</v>
      </c>
      <c r="AP165"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165" s="121">
        <f>TABLA_AVANCE_INDICADORES[[#This Row],[AVANCE ACUM. TRIM.]]-TABLA_AVANCE_INDICADORES[[#This Row],[PROG. ACUM]]</f>
        <v>-1890293.7800000012</v>
      </c>
      <c r="AR165" s="46">
        <f>IFERROR((TABLA_AVANCE_INDICADORES[[#This Row],[DIFERENCIA ABSOLUTA SEMESTRAL]]/TABLA_AVANCE_INDICADORES[[#This Row],[PROG. ACUM]])*100,"N/A")</f>
        <v>-7.2244075032295854</v>
      </c>
      <c r="AS165"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24275087.66</v>
      </c>
      <c r="AT165" s="40">
        <f>IFERROR((TABLA_AVANCE_INDICADORES[[#This Row],[AVANCE ACUM. ANUAL]]/TABLA_AVANCE_INDICADORES[[#This Row],[PROGRAMADO ANUAL]])*100,"N/A")</f>
        <v>45.87804024642643</v>
      </c>
      <c r="AU165"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165" s="121">
        <f>TABLA_AVANCE_INDICADORES[[#This Row],[AVANCE ACUM. ANUAL]]-TABLA_AVANCE_INDICADORES[[#This Row],[PROGRAMADO ANUAL]]</f>
        <v>-28637128.139999997</v>
      </c>
      <c r="AW165" s="46">
        <f>IFERROR((TABLA_AVANCE_INDICADORES[[#This Row],[DIFERENCIA ABSOLUTA ANUAL]]/TABLA_AVANCE_INDICADORES[[#This Row],[PROGRAMADO ANUAL]])*100,"N/A")</f>
        <v>-54.121959753573577</v>
      </c>
      <c r="AX165" s="148"/>
      <c r="AY165" s="100" t="s">
        <v>63</v>
      </c>
      <c r="AZ165" s="100"/>
      <c r="BA165" s="100"/>
      <c r="BB165" s="124">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26165381.440000001</v>
      </c>
    </row>
    <row r="166" spans="1:54" ht="150" hidden="1" x14ac:dyDescent="0.3">
      <c r="A166" s="31" t="s">
        <v>1302</v>
      </c>
      <c r="B166" s="113" t="s">
        <v>604</v>
      </c>
      <c r="C166" s="32" t="s">
        <v>445</v>
      </c>
      <c r="D166" s="114" t="s">
        <v>446</v>
      </c>
      <c r="E166" s="32" t="s">
        <v>526</v>
      </c>
      <c r="F166" s="115" t="s">
        <v>527</v>
      </c>
      <c r="G166" s="146" t="s">
        <v>605</v>
      </c>
      <c r="H166" s="94" t="s">
        <v>1303</v>
      </c>
      <c r="I166" s="34" t="s">
        <v>1204</v>
      </c>
      <c r="J166" s="34" t="s">
        <v>177</v>
      </c>
      <c r="K166" s="94" t="s">
        <v>178</v>
      </c>
      <c r="L166" s="34" t="s">
        <v>518</v>
      </c>
      <c r="M166" s="94" t="s">
        <v>519</v>
      </c>
      <c r="N166" s="33">
        <v>1</v>
      </c>
      <c r="O166" s="33" t="s">
        <v>898</v>
      </c>
      <c r="P166" s="125" t="s">
        <v>1304</v>
      </c>
      <c r="Q166" s="125" t="s">
        <v>1305</v>
      </c>
      <c r="R166" s="116" t="s">
        <v>1306</v>
      </c>
      <c r="S166" s="34" t="s">
        <v>487</v>
      </c>
      <c r="T166" s="56" t="s">
        <v>728</v>
      </c>
      <c r="U166" s="56" t="s">
        <v>747</v>
      </c>
      <c r="V166" s="95">
        <v>52912215.799999997</v>
      </c>
      <c r="W166" s="95">
        <v>0</v>
      </c>
      <c r="X166" s="117">
        <v>0</v>
      </c>
      <c r="Y166" s="38" t="str">
        <f>IFERROR((TABLA_AVANCE_INDICADORES[[#This Row],[AVANCE 1°. TRIM]]/TABLA_AVANCE_INDICADORES[[#This Row],[PROGR. 1° TRIM]])*100,"0")</f>
        <v>0</v>
      </c>
      <c r="Z166"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166" s="118">
        <v>26165381.440000001</v>
      </c>
      <c r="AB166" s="119">
        <v>24275086.66</v>
      </c>
      <c r="AC166" s="40">
        <f t="shared" si="4"/>
        <v>92.775588674926652</v>
      </c>
      <c r="AD166" s="39" t="str">
        <f t="shared" si="5"/>
        <v>ADECUADO</v>
      </c>
      <c r="AE166" s="118">
        <v>0</v>
      </c>
      <c r="AF166" s="119">
        <v>0</v>
      </c>
      <c r="AG166" s="40" t="str">
        <f>IFERROR((TABLA_AVANCE_INDICADORES[[#This Row],[AVANCE 3°. TRIM]]/TABLA_AVANCE_INDICADORES[[#This Row],[PROGR. 3° TRIM]])*100,"0")</f>
        <v>0</v>
      </c>
      <c r="AH166"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166" s="118">
        <v>26746834.359999999</v>
      </c>
      <c r="AJ166" s="119">
        <v>0</v>
      </c>
      <c r="AK166" s="96">
        <f>IFERROR((TABLA_AVANCE_INDICADORES[[#This Row],[AVANCE 4°. TRIM]]/TABLA_AVANCE_INDICADORES[[#This Row],[PROGR. 4° TRIM]])*100,"0")</f>
        <v>0</v>
      </c>
      <c r="AL166"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166"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26165381.440000001</v>
      </c>
      <c r="AN166"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24275086.66</v>
      </c>
      <c r="AO166" s="40">
        <f>IFERROR((TABLA_AVANCE_INDICADORES[[#This Row],[AVANCE ACUM. TRIM.]]/TABLA_AVANCE_INDICADORES[[#This Row],[PROG. ACUM]])*100,"N/A")</f>
        <v>92.775588674926652</v>
      </c>
      <c r="AP166"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166" s="121">
        <f>TABLA_AVANCE_INDICADORES[[#This Row],[AVANCE ACUM. TRIM.]]-TABLA_AVANCE_INDICADORES[[#This Row],[PROG. ACUM]]</f>
        <v>-1890294.7800000012</v>
      </c>
      <c r="AR166" s="46">
        <f>IFERROR((TABLA_AVANCE_INDICADORES[[#This Row],[DIFERENCIA ABSOLUTA SEMESTRAL]]/TABLA_AVANCE_INDICADORES[[#This Row],[PROG. ACUM]])*100,"N/A")</f>
        <v>-7.224411325073353</v>
      </c>
      <c r="AS166"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24275086.66</v>
      </c>
      <c r="AT166" s="40">
        <f>IFERROR((TABLA_AVANCE_INDICADORES[[#This Row],[AVANCE ACUM. ANUAL]]/TABLA_AVANCE_INDICADORES[[#This Row],[PROGRAMADO ANUAL]])*100,"N/A")</f>
        <v>45.87803835650368</v>
      </c>
      <c r="AU166"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166" s="121">
        <f>TABLA_AVANCE_INDICADORES[[#This Row],[AVANCE ACUM. ANUAL]]-TABLA_AVANCE_INDICADORES[[#This Row],[PROGRAMADO ANUAL]]</f>
        <v>-28637129.139999997</v>
      </c>
      <c r="AW166" s="46">
        <f>IFERROR((TABLA_AVANCE_INDICADORES[[#This Row],[DIFERENCIA ABSOLUTA ANUAL]]/TABLA_AVANCE_INDICADORES[[#This Row],[PROGRAMADO ANUAL]])*100,"N/A")</f>
        <v>-54.12196164349632</v>
      </c>
      <c r="AX166" s="148" t="s">
        <v>63</v>
      </c>
      <c r="AY166" s="100" t="s">
        <v>63</v>
      </c>
      <c r="AZ166" s="100"/>
      <c r="BA166" s="100"/>
      <c r="BB166"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67" spans="1:54" ht="150" hidden="1" x14ac:dyDescent="0.3">
      <c r="A167" s="31" t="s">
        <v>1307</v>
      </c>
      <c r="B167" s="113" t="s">
        <v>604</v>
      </c>
      <c r="C167" s="32" t="s">
        <v>445</v>
      </c>
      <c r="D167" s="114" t="s">
        <v>446</v>
      </c>
      <c r="E167" s="32" t="s">
        <v>526</v>
      </c>
      <c r="F167" s="115" t="s">
        <v>527</v>
      </c>
      <c r="G167" s="146" t="s">
        <v>605</v>
      </c>
      <c r="H167" s="94" t="s">
        <v>1303</v>
      </c>
      <c r="I167" s="34" t="s">
        <v>1204</v>
      </c>
      <c r="J167" s="34" t="s">
        <v>177</v>
      </c>
      <c r="K167" s="94" t="s">
        <v>178</v>
      </c>
      <c r="L167" s="34" t="s">
        <v>518</v>
      </c>
      <c r="M167" s="94" t="s">
        <v>519</v>
      </c>
      <c r="N167" s="33">
        <v>2</v>
      </c>
      <c r="O167" s="33" t="s">
        <v>898</v>
      </c>
      <c r="P167" s="125" t="s">
        <v>1304</v>
      </c>
      <c r="Q167" s="125" t="s">
        <v>1308</v>
      </c>
      <c r="R167" s="116" t="s">
        <v>1306</v>
      </c>
      <c r="S167" s="34" t="s">
        <v>1208</v>
      </c>
      <c r="T167" s="56" t="s">
        <v>728</v>
      </c>
      <c r="U167" s="56" t="s">
        <v>747</v>
      </c>
      <c r="V167" s="95">
        <v>52912215.799999997</v>
      </c>
      <c r="W167" s="95">
        <v>0</v>
      </c>
      <c r="X167" s="127">
        <v>0</v>
      </c>
      <c r="Y167" s="38" t="str">
        <f>IFERROR((TABLA_AVANCE_INDICADORES[[#This Row],[AVANCE 1°. TRIM]]/TABLA_AVANCE_INDICADORES[[#This Row],[PROGR. 1° TRIM]])*100,"0")</f>
        <v>0</v>
      </c>
      <c r="Z167"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167" s="118">
        <v>26165381.440000001</v>
      </c>
      <c r="AB167" s="128">
        <v>26165381.440000001</v>
      </c>
      <c r="AC167" s="40">
        <f t="shared" si="4"/>
        <v>100</v>
      </c>
      <c r="AD167" s="39" t="str">
        <f t="shared" si="5"/>
        <v>ADECUADO</v>
      </c>
      <c r="AE167" s="118">
        <v>0</v>
      </c>
      <c r="AF167" s="128">
        <f>AE167</f>
        <v>0</v>
      </c>
      <c r="AG167" s="40" t="str">
        <f>IFERROR((TABLA_AVANCE_INDICADORES[[#This Row],[AVANCE 3°. TRIM]]/TABLA_AVANCE_INDICADORES[[#This Row],[PROGR. 3° TRIM]])*100,"0")</f>
        <v>0</v>
      </c>
      <c r="AH167"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167" s="118">
        <v>26746834.359999999</v>
      </c>
      <c r="AJ167" s="128">
        <f>AI167</f>
        <v>26746834.359999999</v>
      </c>
      <c r="AK167" s="96">
        <f>IFERROR((TABLA_AVANCE_INDICADORES[[#This Row],[AVANCE 4°. TRIM]]/TABLA_AVANCE_INDICADORES[[#This Row],[PROGR. 4° TRIM]])*100,"0")</f>
        <v>100</v>
      </c>
      <c r="AL167"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ADECUADO</v>
      </c>
      <c r="AM167"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26165381.440000001</v>
      </c>
      <c r="AN167"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26165381.440000001</v>
      </c>
      <c r="AO167" s="40">
        <f>IFERROR((TABLA_AVANCE_INDICADORES[[#This Row],[AVANCE ACUM. TRIM.]]/TABLA_AVANCE_INDICADORES[[#This Row],[PROG. ACUM]])*100,"N/A")</f>
        <v>100</v>
      </c>
      <c r="AP167"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167" s="121">
        <f>TABLA_AVANCE_INDICADORES[[#This Row],[AVANCE ACUM. TRIM.]]-TABLA_AVANCE_INDICADORES[[#This Row],[PROG. ACUM]]</f>
        <v>0</v>
      </c>
      <c r="AR167" s="46">
        <f>IFERROR((TABLA_AVANCE_INDICADORES[[#This Row],[DIFERENCIA ABSOLUTA SEMESTRAL]]/TABLA_AVANCE_INDICADORES[[#This Row],[PROG. ACUM]])*100,"N/A")</f>
        <v>0</v>
      </c>
      <c r="AS167"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26165381.440000001</v>
      </c>
      <c r="AT167" s="40">
        <f>IFERROR((TABLA_AVANCE_INDICADORES[[#This Row],[AVANCE ACUM. ANUAL]]/TABLA_AVANCE_INDICADORES[[#This Row],[PROGRAMADO ANUAL]])*100,"N/A")</f>
        <v>49.450549451380191</v>
      </c>
      <c r="AU167"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167" s="121">
        <f>TABLA_AVANCE_INDICADORES[[#This Row],[AVANCE ACUM. ANUAL]]-TABLA_AVANCE_INDICADORES[[#This Row],[PROGRAMADO ANUAL]]</f>
        <v>-26746834.359999996</v>
      </c>
      <c r="AW167" s="46">
        <f>IFERROR((TABLA_AVANCE_INDICADORES[[#This Row],[DIFERENCIA ABSOLUTA ANUAL]]/TABLA_AVANCE_INDICADORES[[#This Row],[PROGRAMADO ANUAL]])*100,"N/A")</f>
        <v>-50.549450548619809</v>
      </c>
      <c r="AX167" s="148" t="s">
        <v>63</v>
      </c>
      <c r="AY167" s="100" t="s">
        <v>63</v>
      </c>
      <c r="AZ167" s="100"/>
      <c r="BA167" s="100"/>
      <c r="BB167"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68" spans="1:54" ht="150" hidden="1" x14ac:dyDescent="0.3">
      <c r="A168" s="31" t="s">
        <v>1309</v>
      </c>
      <c r="B168" s="113" t="s">
        <v>446</v>
      </c>
      <c r="C168" s="32" t="s">
        <v>445</v>
      </c>
      <c r="D168" s="114" t="s">
        <v>446</v>
      </c>
      <c r="E168" s="32" t="s">
        <v>401</v>
      </c>
      <c r="F168" s="115" t="s">
        <v>402</v>
      </c>
      <c r="G168" s="146" t="s">
        <v>597</v>
      </c>
      <c r="H168" s="94" t="s">
        <v>1273</v>
      </c>
      <c r="I168" s="34" t="s">
        <v>1204</v>
      </c>
      <c r="J168" s="34" t="s">
        <v>177</v>
      </c>
      <c r="K168" s="94" t="s">
        <v>178</v>
      </c>
      <c r="L168" s="34" t="s">
        <v>529</v>
      </c>
      <c r="M168" s="94" t="s">
        <v>530</v>
      </c>
      <c r="N168" s="33">
        <v>1</v>
      </c>
      <c r="O168" s="33" t="s">
        <v>906</v>
      </c>
      <c r="P168" s="149" t="s">
        <v>1310</v>
      </c>
      <c r="Q168" s="125" t="s">
        <v>1311</v>
      </c>
      <c r="R168" s="116" t="s">
        <v>1312</v>
      </c>
      <c r="S168" s="34" t="s">
        <v>506</v>
      </c>
      <c r="T168" s="56" t="s">
        <v>728</v>
      </c>
      <c r="U168" s="56" t="s">
        <v>747</v>
      </c>
      <c r="V168" s="95">
        <v>520</v>
      </c>
      <c r="W168" s="95">
        <v>0</v>
      </c>
      <c r="X168" s="117">
        <v>0</v>
      </c>
      <c r="Y168" s="38" t="str">
        <f>IFERROR((TABLA_AVANCE_INDICADORES[[#This Row],[AVANCE 1°. TRIM]]/TABLA_AVANCE_INDICADORES[[#This Row],[PROGR. 1° TRIM]])*100,"0")</f>
        <v>0</v>
      </c>
      <c r="Z168"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168" s="118">
        <v>260</v>
      </c>
      <c r="AB168" s="119">
        <v>208</v>
      </c>
      <c r="AC168" s="40">
        <f t="shared" si="4"/>
        <v>80</v>
      </c>
      <c r="AD168" s="39" t="str">
        <f t="shared" si="5"/>
        <v>REGULAR</v>
      </c>
      <c r="AE168" s="118">
        <v>0</v>
      </c>
      <c r="AF168" s="119">
        <v>0</v>
      </c>
      <c r="AG168" s="40" t="str">
        <f>IFERROR((TABLA_AVANCE_INDICADORES[[#This Row],[AVANCE 3°. TRIM]]/TABLA_AVANCE_INDICADORES[[#This Row],[PROGR. 3° TRIM]])*100,"0")</f>
        <v>0</v>
      </c>
      <c r="AH168"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168" s="118">
        <v>100</v>
      </c>
      <c r="AJ168" s="119">
        <v>0</v>
      </c>
      <c r="AK168" s="96">
        <f>IFERROR((TABLA_AVANCE_INDICADORES[[#This Row],[AVANCE 4°. TRIM]]/TABLA_AVANCE_INDICADORES[[#This Row],[PROGR. 4° TRIM]])*100,"0")</f>
        <v>0</v>
      </c>
      <c r="AL168"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168" s="43">
        <v>160</v>
      </c>
      <c r="AN168"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208</v>
      </c>
      <c r="AO168" s="40">
        <f>IFERROR((TABLA_AVANCE_INDICADORES[[#This Row],[AVANCE ACUM. TRIM.]]/TABLA_AVANCE_INDICADORES[[#This Row],[PROG. ACUM]])*100,"N/A")</f>
        <v>130</v>
      </c>
      <c r="AP168"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SOBREPASADO</v>
      </c>
      <c r="AQ168" s="121">
        <f>TABLA_AVANCE_INDICADORES[[#This Row],[AVANCE ACUM. TRIM.]]-TABLA_AVANCE_INDICADORES[[#This Row],[PROG. ACUM]]</f>
        <v>48</v>
      </c>
      <c r="AR168" s="46">
        <f>IFERROR((TABLA_AVANCE_INDICADORES[[#This Row],[DIFERENCIA ABSOLUTA SEMESTRAL]]/TABLA_AVANCE_INDICADORES[[#This Row],[PROG. ACUM]])*100,"N/A")</f>
        <v>30</v>
      </c>
      <c r="AS168"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208</v>
      </c>
      <c r="AT168" s="40">
        <f>IFERROR((TABLA_AVANCE_INDICADORES[[#This Row],[AVANCE ACUM. ANUAL]]/TABLA_AVANCE_INDICADORES[[#This Row],[PROGRAMADO ANUAL]])*100,"N/A")</f>
        <v>40</v>
      </c>
      <c r="AU168"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168" s="121">
        <f>TABLA_AVANCE_INDICADORES[[#This Row],[AVANCE ACUM. ANUAL]]-TABLA_AVANCE_INDICADORES[[#This Row],[PROGRAMADO ANUAL]]</f>
        <v>-312</v>
      </c>
      <c r="AW168" s="46">
        <f>IFERROR((TABLA_AVANCE_INDICADORES[[#This Row],[DIFERENCIA ABSOLUTA ANUAL]]/TABLA_AVANCE_INDICADORES[[#This Row],[PROGRAMADO ANUAL]])*100,"N/A")</f>
        <v>-60</v>
      </c>
      <c r="AX168" s="148" t="s">
        <v>63</v>
      </c>
      <c r="AY168" s="100" t="s">
        <v>63</v>
      </c>
      <c r="AZ168" s="100"/>
      <c r="BA168" s="100"/>
      <c r="BB168"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ERROR</v>
      </c>
    </row>
    <row r="169" spans="1:54" ht="150" hidden="1" x14ac:dyDescent="0.3">
      <c r="A169" s="31" t="s">
        <v>1313</v>
      </c>
      <c r="B169" s="113" t="s">
        <v>446</v>
      </c>
      <c r="C169" s="32" t="s">
        <v>445</v>
      </c>
      <c r="D169" s="114" t="s">
        <v>446</v>
      </c>
      <c r="E169" s="32" t="s">
        <v>401</v>
      </c>
      <c r="F169" s="115" t="s">
        <v>402</v>
      </c>
      <c r="G169" s="146" t="s">
        <v>597</v>
      </c>
      <c r="H169" s="94" t="s">
        <v>1273</v>
      </c>
      <c r="I169" s="34" t="s">
        <v>1204</v>
      </c>
      <c r="J169" s="34" t="s">
        <v>177</v>
      </c>
      <c r="K169" s="94" t="s">
        <v>178</v>
      </c>
      <c r="L169" s="34" t="s">
        <v>529</v>
      </c>
      <c r="M169" s="94" t="s">
        <v>530</v>
      </c>
      <c r="N169" s="33">
        <v>2</v>
      </c>
      <c r="O169" s="33" t="s">
        <v>906</v>
      </c>
      <c r="P169" s="149" t="s">
        <v>1310</v>
      </c>
      <c r="Q169" s="125" t="s">
        <v>1314</v>
      </c>
      <c r="R169" s="116" t="s">
        <v>1312</v>
      </c>
      <c r="S169" s="34" t="s">
        <v>155</v>
      </c>
      <c r="T169" s="56" t="s">
        <v>728</v>
      </c>
      <c r="U169" s="56" t="s">
        <v>747</v>
      </c>
      <c r="V169" s="95">
        <v>520</v>
      </c>
      <c r="W169" s="95">
        <v>0</v>
      </c>
      <c r="X169" s="127">
        <v>0</v>
      </c>
      <c r="Y169" s="38" t="str">
        <f>IFERROR((TABLA_AVANCE_INDICADORES[[#This Row],[AVANCE 1°. TRIM]]/TABLA_AVANCE_INDICADORES[[#This Row],[PROGR. 1° TRIM]])*100,"0")</f>
        <v>0</v>
      </c>
      <c r="Z169"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169" s="118">
        <v>260</v>
      </c>
      <c r="AB169" s="128">
        <v>260</v>
      </c>
      <c r="AC169" s="40">
        <f t="shared" si="4"/>
        <v>100</v>
      </c>
      <c r="AD169" s="39" t="str">
        <f t="shared" si="5"/>
        <v>ADECUADO</v>
      </c>
      <c r="AE169" s="118">
        <v>0</v>
      </c>
      <c r="AF169" s="128">
        <f>AE169</f>
        <v>0</v>
      </c>
      <c r="AG169" s="40" t="str">
        <f>IFERROR((TABLA_AVANCE_INDICADORES[[#This Row],[AVANCE 3°. TRIM]]/TABLA_AVANCE_INDICADORES[[#This Row],[PROGR. 3° TRIM]])*100,"0")</f>
        <v>0</v>
      </c>
      <c r="AH169"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169" s="118">
        <v>100</v>
      </c>
      <c r="AJ169" s="128">
        <f>AI169</f>
        <v>100</v>
      </c>
      <c r="AK169" s="96">
        <f>IFERROR((TABLA_AVANCE_INDICADORES[[#This Row],[AVANCE 4°. TRIM]]/TABLA_AVANCE_INDICADORES[[#This Row],[PROGR. 4° TRIM]])*100,"0")</f>
        <v>100</v>
      </c>
      <c r="AL169"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ADECUADO</v>
      </c>
      <c r="AM169" s="43">
        <v>160</v>
      </c>
      <c r="AN169"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260</v>
      </c>
      <c r="AO169" s="40">
        <f>IFERROR((TABLA_AVANCE_INDICADORES[[#This Row],[AVANCE ACUM. TRIM.]]/TABLA_AVANCE_INDICADORES[[#This Row],[PROG. ACUM]])*100,"N/A")</f>
        <v>162.5</v>
      </c>
      <c r="AP169"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SOBREPASADO</v>
      </c>
      <c r="AQ169" s="121">
        <f>TABLA_AVANCE_INDICADORES[[#This Row],[AVANCE ACUM. TRIM.]]-TABLA_AVANCE_INDICADORES[[#This Row],[PROG. ACUM]]</f>
        <v>100</v>
      </c>
      <c r="AR169" s="46">
        <f>IFERROR((TABLA_AVANCE_INDICADORES[[#This Row],[DIFERENCIA ABSOLUTA SEMESTRAL]]/TABLA_AVANCE_INDICADORES[[#This Row],[PROG. ACUM]])*100,"N/A")</f>
        <v>62.5</v>
      </c>
      <c r="AS169"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260</v>
      </c>
      <c r="AT169" s="40">
        <f>IFERROR((TABLA_AVANCE_INDICADORES[[#This Row],[AVANCE ACUM. ANUAL]]/TABLA_AVANCE_INDICADORES[[#This Row],[PROGRAMADO ANUAL]])*100,"N/A")</f>
        <v>50</v>
      </c>
      <c r="AU169"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169" s="121">
        <f>TABLA_AVANCE_INDICADORES[[#This Row],[AVANCE ACUM. ANUAL]]-TABLA_AVANCE_INDICADORES[[#This Row],[PROGRAMADO ANUAL]]</f>
        <v>-260</v>
      </c>
      <c r="AW169" s="46">
        <f>IFERROR((TABLA_AVANCE_INDICADORES[[#This Row],[DIFERENCIA ABSOLUTA ANUAL]]/TABLA_AVANCE_INDICADORES[[#This Row],[PROGRAMADO ANUAL]])*100,"N/A")</f>
        <v>-50</v>
      </c>
      <c r="AX169" s="148" t="s">
        <v>63</v>
      </c>
      <c r="AY169" s="100" t="s">
        <v>63</v>
      </c>
      <c r="AZ169" s="100"/>
      <c r="BA169" s="100"/>
      <c r="BB169"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ERROR</v>
      </c>
    </row>
    <row r="170" spans="1:54" ht="150" hidden="1" x14ac:dyDescent="0.3">
      <c r="A170" s="31" t="s">
        <v>1315</v>
      </c>
      <c r="B170" s="113" t="s">
        <v>575</v>
      </c>
      <c r="C170" s="32" t="s">
        <v>445</v>
      </c>
      <c r="D170" s="114" t="s">
        <v>446</v>
      </c>
      <c r="E170" s="32" t="s">
        <v>576</v>
      </c>
      <c r="F170" s="115" t="s">
        <v>577</v>
      </c>
      <c r="G170" s="146" t="s">
        <v>578</v>
      </c>
      <c r="H170" s="94" t="s">
        <v>1288</v>
      </c>
      <c r="I170" s="34" t="s">
        <v>1204</v>
      </c>
      <c r="J170" s="34" t="s">
        <v>177</v>
      </c>
      <c r="K170" s="94" t="s">
        <v>178</v>
      </c>
      <c r="L170" s="34" t="s">
        <v>568</v>
      </c>
      <c r="M170" s="94" t="s">
        <v>569</v>
      </c>
      <c r="N170" s="33">
        <v>1</v>
      </c>
      <c r="O170" s="33" t="s">
        <v>751</v>
      </c>
      <c r="P170" s="125" t="s">
        <v>1316</v>
      </c>
      <c r="Q170" s="125" t="s">
        <v>1317</v>
      </c>
      <c r="R170" s="116" t="s">
        <v>1318</v>
      </c>
      <c r="S170" s="34" t="s">
        <v>1292</v>
      </c>
      <c r="T170" s="56" t="s">
        <v>728</v>
      </c>
      <c r="U170" s="56" t="s">
        <v>1131</v>
      </c>
      <c r="V170" s="95">
        <v>1</v>
      </c>
      <c r="W170" s="95">
        <v>0</v>
      </c>
      <c r="X170" s="117">
        <v>0</v>
      </c>
      <c r="Y170" s="38" t="str">
        <f>IFERROR((TABLA_AVANCE_INDICADORES[[#This Row],[AVANCE 1°. TRIM]]/TABLA_AVANCE_INDICADORES[[#This Row],[PROGR. 1° TRIM]])*100,"0")</f>
        <v>0</v>
      </c>
      <c r="Z170"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170" s="118">
        <v>0</v>
      </c>
      <c r="AB170" s="119">
        <v>0</v>
      </c>
      <c r="AC170" s="40" t="str">
        <f t="shared" si="4"/>
        <v>0</v>
      </c>
      <c r="AD170" s="39" t="str">
        <f t="shared" si="5"/>
        <v>NO PROG.</v>
      </c>
      <c r="AE170" s="118">
        <v>0</v>
      </c>
      <c r="AF170" s="119">
        <v>0</v>
      </c>
      <c r="AG170" s="40" t="str">
        <f>IFERROR((TABLA_AVANCE_INDICADORES[[#This Row],[AVANCE 3°. TRIM]]/TABLA_AVANCE_INDICADORES[[#This Row],[PROGR. 3° TRIM]])*100,"0")</f>
        <v>0</v>
      </c>
      <c r="AH170"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170" s="118">
        <v>1</v>
      </c>
      <c r="AJ170" s="119">
        <v>0</v>
      </c>
      <c r="AK170" s="96">
        <f>IFERROR((TABLA_AVANCE_INDICADORES[[#This Row],[AVANCE 4°. TRIM]]/TABLA_AVANCE_INDICADORES[[#This Row],[PROGR. 4° TRIM]])*100,"0")</f>
        <v>0</v>
      </c>
      <c r="AL170"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170"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0</v>
      </c>
      <c r="AN170"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O170" s="40" t="str">
        <f>IFERROR((TABLA_AVANCE_INDICADORES[[#This Row],[AVANCE ACUM. TRIM.]]/TABLA_AVANCE_INDICADORES[[#This Row],[PROG. ACUM]])*100,"N/A")</f>
        <v>N/A</v>
      </c>
      <c r="AP170"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NO PROG.</v>
      </c>
      <c r="AQ170" s="121">
        <f>TABLA_AVANCE_INDICADORES[[#This Row],[AVANCE ACUM. TRIM.]]-TABLA_AVANCE_INDICADORES[[#This Row],[PROG. ACUM]]</f>
        <v>0</v>
      </c>
      <c r="AR170" s="46" t="str">
        <f>IFERROR((TABLA_AVANCE_INDICADORES[[#This Row],[DIFERENCIA ABSOLUTA SEMESTRAL]]/TABLA_AVANCE_INDICADORES[[#This Row],[PROG. ACUM]])*100,"N/A")</f>
        <v>N/A</v>
      </c>
      <c r="AS170"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T170" s="40">
        <f>IFERROR((TABLA_AVANCE_INDICADORES[[#This Row],[AVANCE ACUM. ANUAL]]/TABLA_AVANCE_INDICADORES[[#This Row],[PROGRAMADO ANUAL]])*100,"N/A")</f>
        <v>0</v>
      </c>
      <c r="AU170"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170" s="121">
        <f>TABLA_AVANCE_INDICADORES[[#This Row],[AVANCE ACUM. ANUAL]]-TABLA_AVANCE_INDICADORES[[#This Row],[PROGRAMADO ANUAL]]</f>
        <v>-1</v>
      </c>
      <c r="AW170" s="46">
        <f>IFERROR((TABLA_AVANCE_INDICADORES[[#This Row],[DIFERENCIA ABSOLUTA ANUAL]]/TABLA_AVANCE_INDICADORES[[#This Row],[PROGRAMADO ANUAL]])*100,"N/A")</f>
        <v>-100</v>
      </c>
      <c r="AX170" s="148" t="s">
        <v>63</v>
      </c>
      <c r="AY170" s="100" t="s">
        <v>63</v>
      </c>
      <c r="AZ170" s="100"/>
      <c r="BA170" s="100"/>
      <c r="BB170"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71" spans="1:54" ht="150" hidden="1" x14ac:dyDescent="0.3">
      <c r="A171" s="31" t="s">
        <v>1319</v>
      </c>
      <c r="B171" s="113" t="s">
        <v>575</v>
      </c>
      <c r="C171" s="32" t="s">
        <v>445</v>
      </c>
      <c r="D171" s="114" t="s">
        <v>446</v>
      </c>
      <c r="E171" s="32" t="s">
        <v>576</v>
      </c>
      <c r="F171" s="115" t="s">
        <v>577</v>
      </c>
      <c r="G171" s="146" t="s">
        <v>578</v>
      </c>
      <c r="H171" s="94" t="s">
        <v>1288</v>
      </c>
      <c r="I171" s="34" t="s">
        <v>1204</v>
      </c>
      <c r="J171" s="34" t="s">
        <v>177</v>
      </c>
      <c r="K171" s="94" t="s">
        <v>178</v>
      </c>
      <c r="L171" s="34" t="s">
        <v>568</v>
      </c>
      <c r="M171" s="94" t="s">
        <v>569</v>
      </c>
      <c r="N171" s="33">
        <v>2</v>
      </c>
      <c r="O171" s="33" t="s">
        <v>751</v>
      </c>
      <c r="P171" s="125" t="s">
        <v>1316</v>
      </c>
      <c r="Q171" s="125" t="s">
        <v>1320</v>
      </c>
      <c r="R171" s="116" t="s">
        <v>1318</v>
      </c>
      <c r="S171" s="34" t="s">
        <v>306</v>
      </c>
      <c r="T171" s="56" t="s">
        <v>728</v>
      </c>
      <c r="U171" s="56" t="s">
        <v>1131</v>
      </c>
      <c r="V171" s="95">
        <v>1</v>
      </c>
      <c r="W171" s="95">
        <v>0</v>
      </c>
      <c r="X171" s="127">
        <v>0</v>
      </c>
      <c r="Y171" s="38" t="str">
        <f>IFERROR((TABLA_AVANCE_INDICADORES[[#This Row],[AVANCE 1°. TRIM]]/TABLA_AVANCE_INDICADORES[[#This Row],[PROGR. 1° TRIM]])*100,"0")</f>
        <v>0</v>
      </c>
      <c r="Z171"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171" s="118">
        <v>0</v>
      </c>
      <c r="AB171" s="128">
        <v>0</v>
      </c>
      <c r="AC171" s="40" t="str">
        <f t="shared" si="4"/>
        <v>0</v>
      </c>
      <c r="AD171" s="39" t="str">
        <f t="shared" si="5"/>
        <v>NO PROG.</v>
      </c>
      <c r="AE171" s="118">
        <v>0</v>
      </c>
      <c r="AF171" s="128">
        <f>AE171</f>
        <v>0</v>
      </c>
      <c r="AG171" s="40" t="str">
        <f>IFERROR((TABLA_AVANCE_INDICADORES[[#This Row],[AVANCE 3°. TRIM]]/TABLA_AVANCE_INDICADORES[[#This Row],[PROGR. 3° TRIM]])*100,"0")</f>
        <v>0</v>
      </c>
      <c r="AH171"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171" s="118">
        <v>1</v>
      </c>
      <c r="AJ171" s="128">
        <f>AI171</f>
        <v>1</v>
      </c>
      <c r="AK171" s="96">
        <f>IFERROR((TABLA_AVANCE_INDICADORES[[#This Row],[AVANCE 4°. TRIM]]/TABLA_AVANCE_INDICADORES[[#This Row],[PROGR. 4° TRIM]])*100,"0")</f>
        <v>100</v>
      </c>
      <c r="AL171"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ADECUADO</v>
      </c>
      <c r="AM171"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0</v>
      </c>
      <c r="AN171"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O171" s="40" t="str">
        <f>IFERROR((TABLA_AVANCE_INDICADORES[[#This Row],[AVANCE ACUM. TRIM.]]/TABLA_AVANCE_INDICADORES[[#This Row],[PROG. ACUM]])*100,"N/A")</f>
        <v>N/A</v>
      </c>
      <c r="AP171"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NO PROG.</v>
      </c>
      <c r="AQ171" s="121">
        <f>TABLA_AVANCE_INDICADORES[[#This Row],[AVANCE ACUM. TRIM.]]-TABLA_AVANCE_INDICADORES[[#This Row],[PROG. ACUM]]</f>
        <v>0</v>
      </c>
      <c r="AR171" s="46" t="str">
        <f>IFERROR((TABLA_AVANCE_INDICADORES[[#This Row],[DIFERENCIA ABSOLUTA SEMESTRAL]]/TABLA_AVANCE_INDICADORES[[#This Row],[PROG. ACUM]])*100,"N/A")</f>
        <v>N/A</v>
      </c>
      <c r="AS171"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T171" s="40">
        <f>IFERROR((TABLA_AVANCE_INDICADORES[[#This Row],[AVANCE ACUM. ANUAL]]/TABLA_AVANCE_INDICADORES[[#This Row],[PROGRAMADO ANUAL]])*100,"N/A")</f>
        <v>0</v>
      </c>
      <c r="AU171"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171" s="121">
        <f>TABLA_AVANCE_INDICADORES[[#This Row],[AVANCE ACUM. ANUAL]]-TABLA_AVANCE_INDICADORES[[#This Row],[PROGRAMADO ANUAL]]</f>
        <v>-1</v>
      </c>
      <c r="AW171" s="46">
        <f>IFERROR((TABLA_AVANCE_INDICADORES[[#This Row],[DIFERENCIA ABSOLUTA ANUAL]]/TABLA_AVANCE_INDICADORES[[#This Row],[PROGRAMADO ANUAL]])*100,"N/A")</f>
        <v>-100</v>
      </c>
      <c r="AX171" s="148" t="s">
        <v>63</v>
      </c>
      <c r="AY171" s="100" t="s">
        <v>63</v>
      </c>
      <c r="AZ171" s="100"/>
      <c r="BA171" s="100"/>
      <c r="BB171"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72" spans="1:54" ht="150" hidden="1" x14ac:dyDescent="0.3">
      <c r="A172" s="31" t="s">
        <v>1321</v>
      </c>
      <c r="B172" s="113" t="s">
        <v>575</v>
      </c>
      <c r="C172" s="32" t="s">
        <v>445</v>
      </c>
      <c r="D172" s="114" t="s">
        <v>446</v>
      </c>
      <c r="E172" s="32" t="s">
        <v>576</v>
      </c>
      <c r="F172" s="115" t="s">
        <v>577</v>
      </c>
      <c r="G172" s="146" t="s">
        <v>578</v>
      </c>
      <c r="H172" s="94" t="s">
        <v>1288</v>
      </c>
      <c r="I172" s="34" t="s">
        <v>1204</v>
      </c>
      <c r="J172" s="34" t="s">
        <v>177</v>
      </c>
      <c r="K172" s="94" t="s">
        <v>178</v>
      </c>
      <c r="L172" s="34" t="s">
        <v>568</v>
      </c>
      <c r="M172" s="94" t="s">
        <v>569</v>
      </c>
      <c r="N172" s="33">
        <v>1</v>
      </c>
      <c r="O172" s="33" t="s">
        <v>858</v>
      </c>
      <c r="P172" s="125" t="s">
        <v>1322</v>
      </c>
      <c r="Q172" s="125" t="s">
        <v>1323</v>
      </c>
      <c r="R172" s="116" t="s">
        <v>1324</v>
      </c>
      <c r="S172" s="34" t="s">
        <v>240</v>
      </c>
      <c r="T172" s="56" t="s">
        <v>728</v>
      </c>
      <c r="U172" s="56" t="s">
        <v>1131</v>
      </c>
      <c r="V172" s="95">
        <v>1</v>
      </c>
      <c r="W172" s="95">
        <v>0</v>
      </c>
      <c r="X172" s="117">
        <v>0</v>
      </c>
      <c r="Y172" s="38" t="str">
        <f>IFERROR((TABLA_AVANCE_INDICADORES[[#This Row],[AVANCE 1°. TRIM]]/TABLA_AVANCE_INDICADORES[[#This Row],[PROGR. 1° TRIM]])*100,"0")</f>
        <v>0</v>
      </c>
      <c r="Z172"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172" s="118">
        <v>0</v>
      </c>
      <c r="AB172" s="119">
        <v>0</v>
      </c>
      <c r="AC172" s="40" t="str">
        <f t="shared" si="4"/>
        <v>0</v>
      </c>
      <c r="AD172" s="39" t="str">
        <f t="shared" si="5"/>
        <v>NO PROG.</v>
      </c>
      <c r="AE172" s="118">
        <v>0</v>
      </c>
      <c r="AF172" s="119">
        <v>0</v>
      </c>
      <c r="AG172" s="40" t="str">
        <f>IFERROR((TABLA_AVANCE_INDICADORES[[#This Row],[AVANCE 3°. TRIM]]/TABLA_AVANCE_INDICADORES[[#This Row],[PROGR. 3° TRIM]])*100,"0")</f>
        <v>0</v>
      </c>
      <c r="AH172"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172" s="118">
        <v>1</v>
      </c>
      <c r="AJ172" s="119">
        <v>0</v>
      </c>
      <c r="AK172" s="96">
        <f>IFERROR((TABLA_AVANCE_INDICADORES[[#This Row],[AVANCE 4°. TRIM]]/TABLA_AVANCE_INDICADORES[[#This Row],[PROGR. 4° TRIM]])*100,"0")</f>
        <v>0</v>
      </c>
      <c r="AL172"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172"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0</v>
      </c>
      <c r="AN172"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O172" s="40" t="str">
        <f>IFERROR((TABLA_AVANCE_INDICADORES[[#This Row],[AVANCE ACUM. TRIM.]]/TABLA_AVANCE_INDICADORES[[#This Row],[PROG. ACUM]])*100,"N/A")</f>
        <v>N/A</v>
      </c>
      <c r="AP172"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NO PROG.</v>
      </c>
      <c r="AQ172" s="121">
        <f>TABLA_AVANCE_INDICADORES[[#This Row],[AVANCE ACUM. TRIM.]]-TABLA_AVANCE_INDICADORES[[#This Row],[PROG. ACUM]]</f>
        <v>0</v>
      </c>
      <c r="AR172" s="46" t="str">
        <f>IFERROR((TABLA_AVANCE_INDICADORES[[#This Row],[DIFERENCIA ABSOLUTA SEMESTRAL]]/TABLA_AVANCE_INDICADORES[[#This Row],[PROG. ACUM]])*100,"N/A")</f>
        <v>N/A</v>
      </c>
      <c r="AS172"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T172" s="40">
        <f>IFERROR((TABLA_AVANCE_INDICADORES[[#This Row],[AVANCE ACUM. ANUAL]]/TABLA_AVANCE_INDICADORES[[#This Row],[PROGRAMADO ANUAL]])*100,"N/A")</f>
        <v>0</v>
      </c>
      <c r="AU172"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172" s="121">
        <f>TABLA_AVANCE_INDICADORES[[#This Row],[AVANCE ACUM. ANUAL]]-TABLA_AVANCE_INDICADORES[[#This Row],[PROGRAMADO ANUAL]]</f>
        <v>-1</v>
      </c>
      <c r="AW172" s="46">
        <f>IFERROR((TABLA_AVANCE_INDICADORES[[#This Row],[DIFERENCIA ABSOLUTA ANUAL]]/TABLA_AVANCE_INDICADORES[[#This Row],[PROGRAMADO ANUAL]])*100,"N/A")</f>
        <v>-100</v>
      </c>
      <c r="AX172" s="148" t="s">
        <v>63</v>
      </c>
      <c r="AY172" s="100" t="s">
        <v>63</v>
      </c>
      <c r="AZ172" s="100"/>
      <c r="BA172" s="100"/>
      <c r="BB172"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73" spans="1:54" ht="150" hidden="1" x14ac:dyDescent="0.3">
      <c r="A173" s="31" t="s">
        <v>1325</v>
      </c>
      <c r="B173" s="113" t="s">
        <v>575</v>
      </c>
      <c r="C173" s="32" t="s">
        <v>445</v>
      </c>
      <c r="D173" s="114" t="s">
        <v>446</v>
      </c>
      <c r="E173" s="32" t="s">
        <v>576</v>
      </c>
      <c r="F173" s="115" t="s">
        <v>577</v>
      </c>
      <c r="G173" s="146" t="s">
        <v>578</v>
      </c>
      <c r="H173" s="94" t="s">
        <v>1288</v>
      </c>
      <c r="I173" s="34" t="s">
        <v>1204</v>
      </c>
      <c r="J173" s="34" t="s">
        <v>177</v>
      </c>
      <c r="K173" s="94" t="s">
        <v>178</v>
      </c>
      <c r="L173" s="34" t="s">
        <v>568</v>
      </c>
      <c r="M173" s="94" t="s">
        <v>569</v>
      </c>
      <c r="N173" s="33">
        <v>2</v>
      </c>
      <c r="O173" s="33" t="s">
        <v>858</v>
      </c>
      <c r="P173" s="125" t="s">
        <v>1322</v>
      </c>
      <c r="Q173" s="125" t="s">
        <v>1326</v>
      </c>
      <c r="R173" s="116" t="s">
        <v>1324</v>
      </c>
      <c r="S173" s="34" t="s">
        <v>306</v>
      </c>
      <c r="T173" s="56" t="s">
        <v>728</v>
      </c>
      <c r="U173" s="56" t="s">
        <v>1131</v>
      </c>
      <c r="V173" s="95">
        <v>1</v>
      </c>
      <c r="W173" s="95">
        <v>0</v>
      </c>
      <c r="X173" s="117">
        <v>0</v>
      </c>
      <c r="Y173" s="38" t="str">
        <f>IFERROR((TABLA_AVANCE_INDICADORES[[#This Row],[AVANCE 1°. TRIM]]/TABLA_AVANCE_INDICADORES[[#This Row],[PROGR. 1° TRIM]])*100,"0")</f>
        <v>0</v>
      </c>
      <c r="Z173"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173" s="118">
        <v>0</v>
      </c>
      <c r="AB173" s="119">
        <v>0</v>
      </c>
      <c r="AC173" s="40" t="str">
        <f t="shared" si="4"/>
        <v>0</v>
      </c>
      <c r="AD173" s="39" t="str">
        <f t="shared" si="5"/>
        <v>NO PROG.</v>
      </c>
      <c r="AE173" s="118">
        <v>0</v>
      </c>
      <c r="AF173" s="119">
        <v>0</v>
      </c>
      <c r="AG173" s="40" t="str">
        <f>IFERROR((TABLA_AVANCE_INDICADORES[[#This Row],[AVANCE 3°. TRIM]]/TABLA_AVANCE_INDICADORES[[#This Row],[PROGR. 3° TRIM]])*100,"0")</f>
        <v>0</v>
      </c>
      <c r="AH173"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173" s="118">
        <v>1</v>
      </c>
      <c r="AJ173" s="119">
        <v>0</v>
      </c>
      <c r="AK173" s="96">
        <f>IFERROR((TABLA_AVANCE_INDICADORES[[#This Row],[AVANCE 4°. TRIM]]/TABLA_AVANCE_INDICADORES[[#This Row],[PROGR. 4° TRIM]])*100,"0")</f>
        <v>0</v>
      </c>
      <c r="AL173"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173"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0</v>
      </c>
      <c r="AN173"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O173" s="40" t="str">
        <f>IFERROR((TABLA_AVANCE_INDICADORES[[#This Row],[AVANCE ACUM. TRIM.]]/TABLA_AVANCE_INDICADORES[[#This Row],[PROG. ACUM]])*100,"N/A")</f>
        <v>N/A</v>
      </c>
      <c r="AP173"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NO PROG.</v>
      </c>
      <c r="AQ173" s="121">
        <f>TABLA_AVANCE_INDICADORES[[#This Row],[AVANCE ACUM. TRIM.]]-TABLA_AVANCE_INDICADORES[[#This Row],[PROG. ACUM]]</f>
        <v>0</v>
      </c>
      <c r="AR173" s="46" t="str">
        <f>IFERROR((TABLA_AVANCE_INDICADORES[[#This Row],[DIFERENCIA ABSOLUTA SEMESTRAL]]/TABLA_AVANCE_INDICADORES[[#This Row],[PROG. ACUM]])*100,"N/A")</f>
        <v>N/A</v>
      </c>
      <c r="AS173"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T173" s="40">
        <f>IFERROR((TABLA_AVANCE_INDICADORES[[#This Row],[AVANCE ACUM. ANUAL]]/TABLA_AVANCE_INDICADORES[[#This Row],[PROGRAMADO ANUAL]])*100,"N/A")</f>
        <v>0</v>
      </c>
      <c r="AU173"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173" s="121">
        <f>TABLA_AVANCE_INDICADORES[[#This Row],[AVANCE ACUM. ANUAL]]-TABLA_AVANCE_INDICADORES[[#This Row],[PROGRAMADO ANUAL]]</f>
        <v>-1</v>
      </c>
      <c r="AW173" s="46">
        <f>IFERROR((TABLA_AVANCE_INDICADORES[[#This Row],[DIFERENCIA ABSOLUTA ANUAL]]/TABLA_AVANCE_INDICADORES[[#This Row],[PROGRAMADO ANUAL]])*100,"N/A")</f>
        <v>-100</v>
      </c>
      <c r="AX173" s="148" t="s">
        <v>63</v>
      </c>
      <c r="AY173" s="100" t="s">
        <v>63</v>
      </c>
      <c r="AZ173" s="100"/>
      <c r="BA173" s="100"/>
      <c r="BB173"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74" spans="1:54" ht="150" hidden="1" x14ac:dyDescent="0.3">
      <c r="A174" s="31" t="s">
        <v>1327</v>
      </c>
      <c r="B174" s="113" t="s">
        <v>575</v>
      </c>
      <c r="C174" s="32" t="s">
        <v>445</v>
      </c>
      <c r="D174" s="114" t="s">
        <v>446</v>
      </c>
      <c r="E174" s="32" t="s">
        <v>576</v>
      </c>
      <c r="F174" s="115" t="s">
        <v>577</v>
      </c>
      <c r="G174" s="146" t="s">
        <v>578</v>
      </c>
      <c r="H174" s="94" t="s">
        <v>1288</v>
      </c>
      <c r="I174" s="34" t="s">
        <v>1204</v>
      </c>
      <c r="J174" s="34" t="s">
        <v>177</v>
      </c>
      <c r="K174" s="94" t="s">
        <v>178</v>
      </c>
      <c r="L174" s="34" t="s">
        <v>568</v>
      </c>
      <c r="M174" s="94" t="s">
        <v>569</v>
      </c>
      <c r="N174" s="33">
        <v>1</v>
      </c>
      <c r="O174" s="33" t="s">
        <v>1328</v>
      </c>
      <c r="P174" s="125" t="s">
        <v>1329</v>
      </c>
      <c r="Q174" s="125" t="s">
        <v>1330</v>
      </c>
      <c r="R174" s="116" t="s">
        <v>1331</v>
      </c>
      <c r="S174" s="34" t="s">
        <v>240</v>
      </c>
      <c r="T174" s="56" t="s">
        <v>728</v>
      </c>
      <c r="U174" s="56" t="s">
        <v>1131</v>
      </c>
      <c r="V174" s="95">
        <v>1</v>
      </c>
      <c r="W174" s="95">
        <v>0</v>
      </c>
      <c r="X174" s="117">
        <v>0</v>
      </c>
      <c r="Y174" s="38" t="str">
        <f>IFERROR((TABLA_AVANCE_INDICADORES[[#This Row],[AVANCE 1°. TRIM]]/TABLA_AVANCE_INDICADORES[[#This Row],[PROGR. 1° TRIM]])*100,"0")</f>
        <v>0</v>
      </c>
      <c r="Z174"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174" s="118">
        <v>0</v>
      </c>
      <c r="AB174" s="119">
        <v>0</v>
      </c>
      <c r="AC174" s="40" t="str">
        <f t="shared" si="4"/>
        <v>0</v>
      </c>
      <c r="AD174" s="39" t="str">
        <f t="shared" si="5"/>
        <v>NO PROG.</v>
      </c>
      <c r="AE174" s="118">
        <v>0</v>
      </c>
      <c r="AF174" s="119">
        <v>0</v>
      </c>
      <c r="AG174" s="40" t="str">
        <f>IFERROR((TABLA_AVANCE_INDICADORES[[#This Row],[AVANCE 3°. TRIM]]/TABLA_AVANCE_INDICADORES[[#This Row],[PROGR. 3° TRIM]])*100,"0")</f>
        <v>0</v>
      </c>
      <c r="AH174"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174" s="118">
        <v>1</v>
      </c>
      <c r="AJ174" s="119">
        <v>0</v>
      </c>
      <c r="AK174" s="96">
        <f>IFERROR((TABLA_AVANCE_INDICADORES[[#This Row],[AVANCE 4°. TRIM]]/TABLA_AVANCE_INDICADORES[[#This Row],[PROGR. 4° TRIM]])*100,"0")</f>
        <v>0</v>
      </c>
      <c r="AL174"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174"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0</v>
      </c>
      <c r="AN174"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O174" s="40" t="str">
        <f>IFERROR((TABLA_AVANCE_INDICADORES[[#This Row],[AVANCE ACUM. TRIM.]]/TABLA_AVANCE_INDICADORES[[#This Row],[PROG. ACUM]])*100,"N/A")</f>
        <v>N/A</v>
      </c>
      <c r="AP174"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NO PROG.</v>
      </c>
      <c r="AQ174" s="121">
        <f>TABLA_AVANCE_INDICADORES[[#This Row],[AVANCE ACUM. TRIM.]]-TABLA_AVANCE_INDICADORES[[#This Row],[PROG. ACUM]]</f>
        <v>0</v>
      </c>
      <c r="AR174" s="46" t="str">
        <f>IFERROR((TABLA_AVANCE_INDICADORES[[#This Row],[DIFERENCIA ABSOLUTA SEMESTRAL]]/TABLA_AVANCE_INDICADORES[[#This Row],[PROG. ACUM]])*100,"N/A")</f>
        <v>N/A</v>
      </c>
      <c r="AS174"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T174" s="40">
        <f>IFERROR((TABLA_AVANCE_INDICADORES[[#This Row],[AVANCE ACUM. ANUAL]]/TABLA_AVANCE_INDICADORES[[#This Row],[PROGRAMADO ANUAL]])*100,"N/A")</f>
        <v>0</v>
      </c>
      <c r="AU174"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174" s="121">
        <f>TABLA_AVANCE_INDICADORES[[#This Row],[AVANCE ACUM. ANUAL]]-TABLA_AVANCE_INDICADORES[[#This Row],[PROGRAMADO ANUAL]]</f>
        <v>-1</v>
      </c>
      <c r="AW174" s="46">
        <f>IFERROR((TABLA_AVANCE_INDICADORES[[#This Row],[DIFERENCIA ABSOLUTA ANUAL]]/TABLA_AVANCE_INDICADORES[[#This Row],[PROGRAMADO ANUAL]])*100,"N/A")</f>
        <v>-100</v>
      </c>
      <c r="AX174" s="148" t="s">
        <v>63</v>
      </c>
      <c r="AY174" s="100" t="s">
        <v>63</v>
      </c>
      <c r="AZ174" s="100"/>
      <c r="BA174" s="100"/>
      <c r="BB174"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75" spans="1:54" ht="150" hidden="1" x14ac:dyDescent="0.3">
      <c r="A175" s="31" t="s">
        <v>1332</v>
      </c>
      <c r="B175" s="113" t="s">
        <v>575</v>
      </c>
      <c r="C175" s="32" t="s">
        <v>445</v>
      </c>
      <c r="D175" s="114" t="s">
        <v>446</v>
      </c>
      <c r="E175" s="32" t="s">
        <v>576</v>
      </c>
      <c r="F175" s="115" t="s">
        <v>577</v>
      </c>
      <c r="G175" s="146" t="s">
        <v>578</v>
      </c>
      <c r="H175" s="94" t="s">
        <v>1288</v>
      </c>
      <c r="I175" s="34" t="s">
        <v>1204</v>
      </c>
      <c r="J175" s="34" t="s">
        <v>177</v>
      </c>
      <c r="K175" s="94" t="s">
        <v>178</v>
      </c>
      <c r="L175" s="34" t="s">
        <v>568</v>
      </c>
      <c r="M175" s="94" t="s">
        <v>569</v>
      </c>
      <c r="N175" s="33">
        <v>2</v>
      </c>
      <c r="O175" s="33" t="s">
        <v>1328</v>
      </c>
      <c r="P175" s="125" t="s">
        <v>1329</v>
      </c>
      <c r="Q175" s="125" t="s">
        <v>1333</v>
      </c>
      <c r="R175" s="116" t="s">
        <v>1331</v>
      </c>
      <c r="S175" s="34" t="s">
        <v>85</v>
      </c>
      <c r="T175" s="56" t="s">
        <v>728</v>
      </c>
      <c r="U175" s="56" t="s">
        <v>1131</v>
      </c>
      <c r="V175" s="95">
        <v>1</v>
      </c>
      <c r="W175" s="95">
        <v>0</v>
      </c>
      <c r="X175" s="127">
        <v>0</v>
      </c>
      <c r="Y175" s="38" t="str">
        <f>IFERROR((TABLA_AVANCE_INDICADORES[[#This Row],[AVANCE 1°. TRIM]]/TABLA_AVANCE_INDICADORES[[#This Row],[PROGR. 1° TRIM]])*100,"0")</f>
        <v>0</v>
      </c>
      <c r="Z175"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175" s="118">
        <v>0</v>
      </c>
      <c r="AB175" s="128">
        <v>0</v>
      </c>
      <c r="AC175" s="40" t="str">
        <f t="shared" si="4"/>
        <v>0</v>
      </c>
      <c r="AD175" s="39" t="str">
        <f t="shared" si="5"/>
        <v>NO PROG.</v>
      </c>
      <c r="AE175" s="118">
        <v>0</v>
      </c>
      <c r="AF175" s="128">
        <f>AE175</f>
        <v>0</v>
      </c>
      <c r="AG175" s="40" t="str">
        <f>IFERROR((TABLA_AVANCE_INDICADORES[[#This Row],[AVANCE 3°. TRIM]]/TABLA_AVANCE_INDICADORES[[#This Row],[PROGR. 3° TRIM]])*100,"0")</f>
        <v>0</v>
      </c>
      <c r="AH175"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175" s="118">
        <v>1</v>
      </c>
      <c r="AJ175" s="128">
        <f>AI175</f>
        <v>1</v>
      </c>
      <c r="AK175" s="96">
        <f>IFERROR((TABLA_AVANCE_INDICADORES[[#This Row],[AVANCE 4°. TRIM]]/TABLA_AVANCE_INDICADORES[[#This Row],[PROGR. 4° TRIM]])*100,"0")</f>
        <v>100</v>
      </c>
      <c r="AL175"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ADECUADO</v>
      </c>
      <c r="AM175"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0</v>
      </c>
      <c r="AN175"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O175" s="40" t="str">
        <f>IFERROR((TABLA_AVANCE_INDICADORES[[#This Row],[AVANCE ACUM. TRIM.]]/TABLA_AVANCE_INDICADORES[[#This Row],[PROG. ACUM]])*100,"N/A")</f>
        <v>N/A</v>
      </c>
      <c r="AP175"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NO PROG.</v>
      </c>
      <c r="AQ175" s="121">
        <f>TABLA_AVANCE_INDICADORES[[#This Row],[AVANCE ACUM. TRIM.]]-TABLA_AVANCE_INDICADORES[[#This Row],[PROG. ACUM]]</f>
        <v>0</v>
      </c>
      <c r="AR175" s="46" t="str">
        <f>IFERROR((TABLA_AVANCE_INDICADORES[[#This Row],[DIFERENCIA ABSOLUTA SEMESTRAL]]/TABLA_AVANCE_INDICADORES[[#This Row],[PROG. ACUM]])*100,"N/A")</f>
        <v>N/A</v>
      </c>
      <c r="AS175"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T175" s="40">
        <f>IFERROR((TABLA_AVANCE_INDICADORES[[#This Row],[AVANCE ACUM. ANUAL]]/TABLA_AVANCE_INDICADORES[[#This Row],[PROGRAMADO ANUAL]])*100,"N/A")</f>
        <v>0</v>
      </c>
      <c r="AU175"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175" s="121">
        <f>TABLA_AVANCE_INDICADORES[[#This Row],[AVANCE ACUM. ANUAL]]-TABLA_AVANCE_INDICADORES[[#This Row],[PROGRAMADO ANUAL]]</f>
        <v>-1</v>
      </c>
      <c r="AW175" s="46">
        <f>IFERROR((TABLA_AVANCE_INDICADORES[[#This Row],[DIFERENCIA ABSOLUTA ANUAL]]/TABLA_AVANCE_INDICADORES[[#This Row],[PROGRAMADO ANUAL]])*100,"N/A")</f>
        <v>-100</v>
      </c>
      <c r="AX175" s="148" t="s">
        <v>63</v>
      </c>
      <c r="AY175" s="100" t="s">
        <v>63</v>
      </c>
      <c r="AZ175" s="100"/>
      <c r="BA175" s="100"/>
      <c r="BB175"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76" spans="1:54" ht="168.75" hidden="1" x14ac:dyDescent="0.3">
      <c r="A176" s="31" t="s">
        <v>1334</v>
      </c>
      <c r="B176" s="113" t="s">
        <v>575</v>
      </c>
      <c r="C176" s="32" t="s">
        <v>445</v>
      </c>
      <c r="D176" s="114" t="s">
        <v>446</v>
      </c>
      <c r="E176" s="32" t="s">
        <v>576</v>
      </c>
      <c r="F176" s="115" t="s">
        <v>577</v>
      </c>
      <c r="G176" s="146" t="s">
        <v>578</v>
      </c>
      <c r="H176" s="94" t="s">
        <v>1288</v>
      </c>
      <c r="I176" s="34" t="s">
        <v>1204</v>
      </c>
      <c r="J176" s="34" t="s">
        <v>177</v>
      </c>
      <c r="K176" s="94" t="s">
        <v>178</v>
      </c>
      <c r="L176" s="34" t="s">
        <v>568</v>
      </c>
      <c r="M176" s="94" t="s">
        <v>569</v>
      </c>
      <c r="N176" s="33">
        <v>1</v>
      </c>
      <c r="O176" s="33" t="s">
        <v>1335</v>
      </c>
      <c r="P176" s="125" t="s">
        <v>1336</v>
      </c>
      <c r="Q176" s="125" t="s">
        <v>1337</v>
      </c>
      <c r="R176" s="116" t="s">
        <v>1338</v>
      </c>
      <c r="S176" s="34" t="s">
        <v>240</v>
      </c>
      <c r="T176" s="56" t="s">
        <v>728</v>
      </c>
      <c r="U176" s="56" t="s">
        <v>1131</v>
      </c>
      <c r="V176" s="95">
        <v>1</v>
      </c>
      <c r="W176" s="95">
        <v>0</v>
      </c>
      <c r="X176" s="117">
        <v>0</v>
      </c>
      <c r="Y176" s="38" t="str">
        <f>IFERROR((TABLA_AVANCE_INDICADORES[[#This Row],[AVANCE 1°. TRIM]]/TABLA_AVANCE_INDICADORES[[#This Row],[PROGR. 1° TRIM]])*100,"0")</f>
        <v>0</v>
      </c>
      <c r="Z176"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176" s="118">
        <v>0</v>
      </c>
      <c r="AB176" s="119">
        <v>0</v>
      </c>
      <c r="AC176" s="40" t="str">
        <f t="shared" si="4"/>
        <v>0</v>
      </c>
      <c r="AD176" s="39" t="str">
        <f t="shared" si="5"/>
        <v>NO PROG.</v>
      </c>
      <c r="AE176" s="118">
        <v>0</v>
      </c>
      <c r="AF176" s="119">
        <v>0</v>
      </c>
      <c r="AG176" s="40" t="str">
        <f>IFERROR((TABLA_AVANCE_INDICADORES[[#This Row],[AVANCE 3°. TRIM]]/TABLA_AVANCE_INDICADORES[[#This Row],[PROGR. 3° TRIM]])*100,"0")</f>
        <v>0</v>
      </c>
      <c r="AH176"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176" s="118">
        <v>1</v>
      </c>
      <c r="AJ176" s="119">
        <v>0</v>
      </c>
      <c r="AK176" s="96">
        <f>IFERROR((TABLA_AVANCE_INDICADORES[[#This Row],[AVANCE 4°. TRIM]]/TABLA_AVANCE_INDICADORES[[#This Row],[PROGR. 4° TRIM]])*100,"0")</f>
        <v>0</v>
      </c>
      <c r="AL176"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176"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0</v>
      </c>
      <c r="AN176"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O176" s="40" t="str">
        <f>IFERROR((TABLA_AVANCE_INDICADORES[[#This Row],[AVANCE ACUM. TRIM.]]/TABLA_AVANCE_INDICADORES[[#This Row],[PROG. ACUM]])*100,"N/A")</f>
        <v>N/A</v>
      </c>
      <c r="AP176"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NO PROG.</v>
      </c>
      <c r="AQ176" s="121">
        <f>TABLA_AVANCE_INDICADORES[[#This Row],[AVANCE ACUM. TRIM.]]-TABLA_AVANCE_INDICADORES[[#This Row],[PROG. ACUM]]</f>
        <v>0</v>
      </c>
      <c r="AR176" s="46" t="str">
        <f>IFERROR((TABLA_AVANCE_INDICADORES[[#This Row],[DIFERENCIA ABSOLUTA SEMESTRAL]]/TABLA_AVANCE_INDICADORES[[#This Row],[PROG. ACUM]])*100,"N/A")</f>
        <v>N/A</v>
      </c>
      <c r="AS176"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T176" s="40">
        <f>IFERROR((TABLA_AVANCE_INDICADORES[[#This Row],[AVANCE ACUM. ANUAL]]/TABLA_AVANCE_INDICADORES[[#This Row],[PROGRAMADO ANUAL]])*100,"N/A")</f>
        <v>0</v>
      </c>
      <c r="AU176"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176" s="121">
        <f>TABLA_AVANCE_INDICADORES[[#This Row],[AVANCE ACUM. ANUAL]]-TABLA_AVANCE_INDICADORES[[#This Row],[PROGRAMADO ANUAL]]</f>
        <v>-1</v>
      </c>
      <c r="AW176" s="46">
        <f>IFERROR((TABLA_AVANCE_INDICADORES[[#This Row],[DIFERENCIA ABSOLUTA ANUAL]]/TABLA_AVANCE_INDICADORES[[#This Row],[PROGRAMADO ANUAL]])*100,"N/A")</f>
        <v>-100</v>
      </c>
      <c r="AX176" s="148" t="s">
        <v>63</v>
      </c>
      <c r="AY176" s="100" t="s">
        <v>63</v>
      </c>
      <c r="AZ176" s="100"/>
      <c r="BA176" s="100"/>
      <c r="BB176"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77" spans="1:54" ht="168.75" hidden="1" x14ac:dyDescent="0.3">
      <c r="A177" s="31" t="s">
        <v>1339</v>
      </c>
      <c r="B177" s="113" t="s">
        <v>575</v>
      </c>
      <c r="C177" s="32" t="s">
        <v>445</v>
      </c>
      <c r="D177" s="114" t="s">
        <v>446</v>
      </c>
      <c r="E177" s="32" t="s">
        <v>576</v>
      </c>
      <c r="F177" s="115" t="s">
        <v>577</v>
      </c>
      <c r="G177" s="146" t="s">
        <v>578</v>
      </c>
      <c r="H177" s="94" t="s">
        <v>1288</v>
      </c>
      <c r="I177" s="34" t="s">
        <v>1204</v>
      </c>
      <c r="J177" s="34" t="s">
        <v>177</v>
      </c>
      <c r="K177" s="94" t="s">
        <v>178</v>
      </c>
      <c r="L177" s="34" t="s">
        <v>568</v>
      </c>
      <c r="M177" s="94" t="s">
        <v>569</v>
      </c>
      <c r="N177" s="33">
        <v>2</v>
      </c>
      <c r="O177" s="33" t="s">
        <v>1335</v>
      </c>
      <c r="P177" s="125" t="s">
        <v>1336</v>
      </c>
      <c r="Q177" s="125" t="s">
        <v>1340</v>
      </c>
      <c r="R177" s="116" t="s">
        <v>1338</v>
      </c>
      <c r="S177" s="34" t="s">
        <v>85</v>
      </c>
      <c r="T177" s="56" t="s">
        <v>728</v>
      </c>
      <c r="U177" s="56" t="s">
        <v>1131</v>
      </c>
      <c r="V177" s="95">
        <v>1</v>
      </c>
      <c r="W177" s="95">
        <v>0</v>
      </c>
      <c r="X177" s="127">
        <v>0</v>
      </c>
      <c r="Y177" s="38" t="str">
        <f>IFERROR((TABLA_AVANCE_INDICADORES[[#This Row],[AVANCE 1°. TRIM]]/TABLA_AVANCE_INDICADORES[[#This Row],[PROGR. 1° TRIM]])*100,"0")</f>
        <v>0</v>
      </c>
      <c r="Z177"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177" s="118">
        <v>0</v>
      </c>
      <c r="AB177" s="128">
        <v>0</v>
      </c>
      <c r="AC177" s="40" t="str">
        <f t="shared" si="4"/>
        <v>0</v>
      </c>
      <c r="AD177" s="39" t="str">
        <f t="shared" si="5"/>
        <v>NO PROG.</v>
      </c>
      <c r="AE177" s="118">
        <v>0</v>
      </c>
      <c r="AF177" s="128">
        <f>AE177</f>
        <v>0</v>
      </c>
      <c r="AG177" s="40" t="str">
        <f>IFERROR((TABLA_AVANCE_INDICADORES[[#This Row],[AVANCE 3°. TRIM]]/TABLA_AVANCE_INDICADORES[[#This Row],[PROGR. 3° TRIM]])*100,"0")</f>
        <v>0</v>
      </c>
      <c r="AH177"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177" s="118">
        <v>1</v>
      </c>
      <c r="AJ177" s="128">
        <f>AI177</f>
        <v>1</v>
      </c>
      <c r="AK177" s="96">
        <f>IFERROR((TABLA_AVANCE_INDICADORES[[#This Row],[AVANCE 4°. TRIM]]/TABLA_AVANCE_INDICADORES[[#This Row],[PROGR. 4° TRIM]])*100,"0")</f>
        <v>100</v>
      </c>
      <c r="AL177"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ADECUADO</v>
      </c>
      <c r="AM177"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0</v>
      </c>
      <c r="AN177"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O177" s="40" t="str">
        <f>IFERROR((TABLA_AVANCE_INDICADORES[[#This Row],[AVANCE ACUM. TRIM.]]/TABLA_AVANCE_INDICADORES[[#This Row],[PROG. ACUM]])*100,"N/A")</f>
        <v>N/A</v>
      </c>
      <c r="AP177"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NO PROG.</v>
      </c>
      <c r="AQ177" s="121">
        <f>TABLA_AVANCE_INDICADORES[[#This Row],[AVANCE ACUM. TRIM.]]-TABLA_AVANCE_INDICADORES[[#This Row],[PROG. ACUM]]</f>
        <v>0</v>
      </c>
      <c r="AR177" s="46" t="str">
        <f>IFERROR((TABLA_AVANCE_INDICADORES[[#This Row],[DIFERENCIA ABSOLUTA SEMESTRAL]]/TABLA_AVANCE_INDICADORES[[#This Row],[PROG. ACUM]])*100,"N/A")</f>
        <v>N/A</v>
      </c>
      <c r="AS177"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T177" s="40">
        <f>IFERROR((TABLA_AVANCE_INDICADORES[[#This Row],[AVANCE ACUM. ANUAL]]/TABLA_AVANCE_INDICADORES[[#This Row],[PROGRAMADO ANUAL]])*100,"N/A")</f>
        <v>0</v>
      </c>
      <c r="AU177"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177" s="121">
        <f>TABLA_AVANCE_INDICADORES[[#This Row],[AVANCE ACUM. ANUAL]]-TABLA_AVANCE_INDICADORES[[#This Row],[PROGRAMADO ANUAL]]</f>
        <v>-1</v>
      </c>
      <c r="AW177" s="46">
        <f>IFERROR((TABLA_AVANCE_INDICADORES[[#This Row],[DIFERENCIA ABSOLUTA ANUAL]]/TABLA_AVANCE_INDICADORES[[#This Row],[PROGRAMADO ANUAL]])*100,"N/A")</f>
        <v>-100</v>
      </c>
      <c r="AX177" s="148" t="s">
        <v>63</v>
      </c>
      <c r="AY177" s="100" t="s">
        <v>63</v>
      </c>
      <c r="AZ177" s="100"/>
      <c r="BA177" s="100"/>
      <c r="BB177"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78" spans="1:54" ht="150" hidden="1" x14ac:dyDescent="0.3">
      <c r="A178" s="31" t="s">
        <v>1341</v>
      </c>
      <c r="B178" s="113" t="s">
        <v>575</v>
      </c>
      <c r="C178" s="32" t="s">
        <v>445</v>
      </c>
      <c r="D178" s="114" t="s">
        <v>446</v>
      </c>
      <c r="E178" s="32" t="s">
        <v>576</v>
      </c>
      <c r="F178" s="115" t="s">
        <v>577</v>
      </c>
      <c r="G178" s="146" t="s">
        <v>578</v>
      </c>
      <c r="H178" s="94" t="s">
        <v>1288</v>
      </c>
      <c r="I178" s="34" t="s">
        <v>1204</v>
      </c>
      <c r="J178" s="34" t="s">
        <v>177</v>
      </c>
      <c r="K178" s="94" t="s">
        <v>178</v>
      </c>
      <c r="L178" s="34" t="s">
        <v>568</v>
      </c>
      <c r="M178" s="94" t="s">
        <v>569</v>
      </c>
      <c r="N178" s="33">
        <v>1</v>
      </c>
      <c r="O178" s="33" t="s">
        <v>1342</v>
      </c>
      <c r="P178" s="125" t="s">
        <v>1343</v>
      </c>
      <c r="Q178" s="125" t="s">
        <v>1344</v>
      </c>
      <c r="R178" s="116" t="s">
        <v>1345</v>
      </c>
      <c r="S178" s="34" t="s">
        <v>240</v>
      </c>
      <c r="T178" s="56" t="s">
        <v>728</v>
      </c>
      <c r="U178" s="56" t="s">
        <v>1131</v>
      </c>
      <c r="V178" s="95">
        <v>1</v>
      </c>
      <c r="W178" s="95">
        <v>0</v>
      </c>
      <c r="X178" s="117">
        <v>0</v>
      </c>
      <c r="Y178" s="38" t="str">
        <f>IFERROR((TABLA_AVANCE_INDICADORES[[#This Row],[AVANCE 1°. TRIM]]/TABLA_AVANCE_INDICADORES[[#This Row],[PROGR. 1° TRIM]])*100,"0")</f>
        <v>0</v>
      </c>
      <c r="Z178"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178" s="118">
        <v>0</v>
      </c>
      <c r="AB178" s="119">
        <v>0</v>
      </c>
      <c r="AC178" s="40" t="str">
        <f t="shared" si="4"/>
        <v>0</v>
      </c>
      <c r="AD178" s="39" t="str">
        <f t="shared" si="5"/>
        <v>NO PROG.</v>
      </c>
      <c r="AE178" s="118">
        <v>0</v>
      </c>
      <c r="AF178" s="119">
        <v>0</v>
      </c>
      <c r="AG178" s="40" t="str">
        <f>IFERROR((TABLA_AVANCE_INDICADORES[[#This Row],[AVANCE 3°. TRIM]]/TABLA_AVANCE_INDICADORES[[#This Row],[PROGR. 3° TRIM]])*100,"0")</f>
        <v>0</v>
      </c>
      <c r="AH178"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178" s="118">
        <v>1</v>
      </c>
      <c r="AJ178" s="119">
        <v>0</v>
      </c>
      <c r="AK178" s="96">
        <f>IFERROR((TABLA_AVANCE_INDICADORES[[#This Row],[AVANCE 4°. TRIM]]/TABLA_AVANCE_INDICADORES[[#This Row],[PROGR. 4° TRIM]])*100,"0")</f>
        <v>0</v>
      </c>
      <c r="AL178"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178"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0</v>
      </c>
      <c r="AN178"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O178" s="40" t="str">
        <f>IFERROR((TABLA_AVANCE_INDICADORES[[#This Row],[AVANCE ACUM. TRIM.]]/TABLA_AVANCE_INDICADORES[[#This Row],[PROG. ACUM]])*100,"N/A")</f>
        <v>N/A</v>
      </c>
      <c r="AP178"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NO PROG.</v>
      </c>
      <c r="AQ178" s="121">
        <f>TABLA_AVANCE_INDICADORES[[#This Row],[AVANCE ACUM. TRIM.]]-TABLA_AVANCE_INDICADORES[[#This Row],[PROG. ACUM]]</f>
        <v>0</v>
      </c>
      <c r="AR178" s="46" t="str">
        <f>IFERROR((TABLA_AVANCE_INDICADORES[[#This Row],[DIFERENCIA ABSOLUTA SEMESTRAL]]/TABLA_AVANCE_INDICADORES[[#This Row],[PROG. ACUM]])*100,"N/A")</f>
        <v>N/A</v>
      </c>
      <c r="AS178"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T178" s="40">
        <f>IFERROR((TABLA_AVANCE_INDICADORES[[#This Row],[AVANCE ACUM. ANUAL]]/TABLA_AVANCE_INDICADORES[[#This Row],[PROGRAMADO ANUAL]])*100,"N/A")</f>
        <v>0</v>
      </c>
      <c r="AU178"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178" s="121">
        <f>TABLA_AVANCE_INDICADORES[[#This Row],[AVANCE ACUM. ANUAL]]-TABLA_AVANCE_INDICADORES[[#This Row],[PROGRAMADO ANUAL]]</f>
        <v>-1</v>
      </c>
      <c r="AW178" s="46">
        <f>IFERROR((TABLA_AVANCE_INDICADORES[[#This Row],[DIFERENCIA ABSOLUTA ANUAL]]/TABLA_AVANCE_INDICADORES[[#This Row],[PROGRAMADO ANUAL]])*100,"N/A")</f>
        <v>-100</v>
      </c>
      <c r="AX178" s="148" t="s">
        <v>63</v>
      </c>
      <c r="AY178" s="100" t="s">
        <v>63</v>
      </c>
      <c r="AZ178" s="100"/>
      <c r="BA178" s="100"/>
      <c r="BB178"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79" spans="1:54" ht="150" hidden="1" x14ac:dyDescent="0.3">
      <c r="A179" s="31" t="s">
        <v>1346</v>
      </c>
      <c r="B179" s="113" t="s">
        <v>575</v>
      </c>
      <c r="C179" s="32" t="s">
        <v>445</v>
      </c>
      <c r="D179" s="114" t="s">
        <v>446</v>
      </c>
      <c r="E179" s="32" t="s">
        <v>576</v>
      </c>
      <c r="F179" s="115" t="s">
        <v>577</v>
      </c>
      <c r="G179" s="146" t="s">
        <v>578</v>
      </c>
      <c r="H179" s="94" t="s">
        <v>1288</v>
      </c>
      <c r="I179" s="34" t="s">
        <v>1204</v>
      </c>
      <c r="J179" s="34" t="s">
        <v>177</v>
      </c>
      <c r="K179" s="94" t="s">
        <v>178</v>
      </c>
      <c r="L179" s="34" t="s">
        <v>568</v>
      </c>
      <c r="M179" s="94" t="s">
        <v>569</v>
      </c>
      <c r="N179" s="33">
        <v>2</v>
      </c>
      <c r="O179" s="33" t="s">
        <v>1342</v>
      </c>
      <c r="P179" s="125" t="s">
        <v>1343</v>
      </c>
      <c r="Q179" s="125" t="s">
        <v>1347</v>
      </c>
      <c r="R179" s="116" t="s">
        <v>1345</v>
      </c>
      <c r="S179" s="34" t="s">
        <v>586</v>
      </c>
      <c r="T179" s="56" t="s">
        <v>728</v>
      </c>
      <c r="U179" s="56" t="s">
        <v>1131</v>
      </c>
      <c r="V179" s="95">
        <v>1</v>
      </c>
      <c r="W179" s="95">
        <v>0</v>
      </c>
      <c r="X179" s="117">
        <v>0</v>
      </c>
      <c r="Y179" s="38" t="str">
        <f>IFERROR((TABLA_AVANCE_INDICADORES[[#This Row],[AVANCE 1°. TRIM]]/TABLA_AVANCE_INDICADORES[[#This Row],[PROGR. 1° TRIM]])*100,"0")</f>
        <v>0</v>
      </c>
      <c r="Z179"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179" s="118">
        <v>0</v>
      </c>
      <c r="AB179" s="119">
        <v>0</v>
      </c>
      <c r="AC179" s="40" t="str">
        <f t="shared" si="4"/>
        <v>0</v>
      </c>
      <c r="AD179" s="39" t="str">
        <f t="shared" si="5"/>
        <v>NO PROG.</v>
      </c>
      <c r="AE179" s="118">
        <v>0</v>
      </c>
      <c r="AF179" s="119">
        <v>0</v>
      </c>
      <c r="AG179" s="40" t="str">
        <f>IFERROR((TABLA_AVANCE_INDICADORES[[#This Row],[AVANCE 3°. TRIM]]/TABLA_AVANCE_INDICADORES[[#This Row],[PROGR. 3° TRIM]])*100,"0")</f>
        <v>0</v>
      </c>
      <c r="AH179"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179" s="118">
        <v>1</v>
      </c>
      <c r="AJ179" s="119">
        <v>0</v>
      </c>
      <c r="AK179" s="96">
        <f>IFERROR((TABLA_AVANCE_INDICADORES[[#This Row],[AVANCE 4°. TRIM]]/TABLA_AVANCE_INDICADORES[[#This Row],[PROGR. 4° TRIM]])*100,"0")</f>
        <v>0</v>
      </c>
      <c r="AL179"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179"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0</v>
      </c>
      <c r="AN179"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O179" s="40" t="str">
        <f>IFERROR((TABLA_AVANCE_INDICADORES[[#This Row],[AVANCE ACUM. TRIM.]]/TABLA_AVANCE_INDICADORES[[#This Row],[PROG. ACUM]])*100,"N/A")</f>
        <v>N/A</v>
      </c>
      <c r="AP179"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NO PROG.</v>
      </c>
      <c r="AQ179" s="121">
        <f>TABLA_AVANCE_INDICADORES[[#This Row],[AVANCE ACUM. TRIM.]]-TABLA_AVANCE_INDICADORES[[#This Row],[PROG. ACUM]]</f>
        <v>0</v>
      </c>
      <c r="AR179" s="46" t="str">
        <f>IFERROR((TABLA_AVANCE_INDICADORES[[#This Row],[DIFERENCIA ABSOLUTA SEMESTRAL]]/TABLA_AVANCE_INDICADORES[[#This Row],[PROG. ACUM]])*100,"N/A")</f>
        <v>N/A</v>
      </c>
      <c r="AS179"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T179" s="40">
        <f>IFERROR((TABLA_AVANCE_INDICADORES[[#This Row],[AVANCE ACUM. ANUAL]]/TABLA_AVANCE_INDICADORES[[#This Row],[PROGRAMADO ANUAL]])*100,"N/A")</f>
        <v>0</v>
      </c>
      <c r="AU179"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179" s="121">
        <f>TABLA_AVANCE_INDICADORES[[#This Row],[AVANCE ACUM. ANUAL]]-TABLA_AVANCE_INDICADORES[[#This Row],[PROGRAMADO ANUAL]]</f>
        <v>-1</v>
      </c>
      <c r="AW179" s="46">
        <f>IFERROR((TABLA_AVANCE_INDICADORES[[#This Row],[DIFERENCIA ABSOLUTA ANUAL]]/TABLA_AVANCE_INDICADORES[[#This Row],[PROGRAMADO ANUAL]])*100,"N/A")</f>
        <v>-100</v>
      </c>
      <c r="AX179" s="148" t="s">
        <v>63</v>
      </c>
      <c r="AY179" s="100" t="s">
        <v>63</v>
      </c>
      <c r="AZ179" s="100"/>
      <c r="BA179" s="100"/>
      <c r="BB179"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80" spans="1:54" ht="150" hidden="1" x14ac:dyDescent="0.3">
      <c r="A180" s="31" t="s">
        <v>1348</v>
      </c>
      <c r="B180" s="113" t="s">
        <v>446</v>
      </c>
      <c r="C180" s="32" t="s">
        <v>445</v>
      </c>
      <c r="D180" s="114" t="s">
        <v>446</v>
      </c>
      <c r="E180" s="32" t="s">
        <v>401</v>
      </c>
      <c r="F180" s="115" t="s">
        <v>402</v>
      </c>
      <c r="G180" s="146" t="s">
        <v>597</v>
      </c>
      <c r="H180" s="94" t="s">
        <v>1273</v>
      </c>
      <c r="I180" s="34" t="s">
        <v>1204</v>
      </c>
      <c r="J180" s="34" t="s">
        <v>177</v>
      </c>
      <c r="K180" s="94" t="s">
        <v>178</v>
      </c>
      <c r="L180" s="34" t="s">
        <v>529</v>
      </c>
      <c r="M180" s="94" t="s">
        <v>530</v>
      </c>
      <c r="N180" s="33">
        <v>1</v>
      </c>
      <c r="O180" s="33" t="s">
        <v>759</v>
      </c>
      <c r="P180" s="125" t="s">
        <v>1349</v>
      </c>
      <c r="Q180" s="125" t="s">
        <v>1350</v>
      </c>
      <c r="R180" s="116" t="s">
        <v>1351</v>
      </c>
      <c r="S180" s="34" t="s">
        <v>1208</v>
      </c>
      <c r="T180" s="56" t="s">
        <v>728</v>
      </c>
      <c r="U180" s="56" t="s">
        <v>1131</v>
      </c>
      <c r="V180" s="95">
        <v>31747329.479999997</v>
      </c>
      <c r="W180" s="95">
        <v>7762396.5</v>
      </c>
      <c r="X180" s="117">
        <v>7098382.5099999998</v>
      </c>
      <c r="Y180" s="38">
        <f>IFERROR((TABLA_AVANCE_INDICADORES[[#This Row],[AVANCE 1°. TRIM]]/TABLA_AVANCE_INDICADORES[[#This Row],[PROGR. 1° TRIM]])*100,"0")</f>
        <v>91.445760468432653</v>
      </c>
      <c r="Z180"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180" s="118">
        <v>7936832.3600000003</v>
      </c>
      <c r="AB180" s="119">
        <v>6626382.3399999999</v>
      </c>
      <c r="AC180" s="40">
        <f t="shared" si="4"/>
        <v>83.489004673899899</v>
      </c>
      <c r="AD180" s="39" t="str">
        <f t="shared" si="5"/>
        <v>REGULAR</v>
      </c>
      <c r="AE180" s="118">
        <v>8024050.3099999996</v>
      </c>
      <c r="AF180" s="119">
        <v>0</v>
      </c>
      <c r="AG180" s="40">
        <f>IFERROR((TABLA_AVANCE_INDICADORES[[#This Row],[AVANCE 3°. TRIM]]/TABLA_AVANCE_INDICADORES[[#This Row],[PROGR. 3° TRIM]])*100,"0")</f>
        <v>0</v>
      </c>
      <c r="AH180"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CRÍTICO</v>
      </c>
      <c r="AI180" s="118">
        <v>8024050.3099999996</v>
      </c>
      <c r="AJ180" s="119">
        <v>0</v>
      </c>
      <c r="AK180" s="96">
        <f>IFERROR((TABLA_AVANCE_INDICADORES[[#This Row],[AVANCE 4°. TRIM]]/TABLA_AVANCE_INDICADORES[[#This Row],[PROGR. 4° TRIM]])*100,"0")</f>
        <v>0</v>
      </c>
      <c r="AL180"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180"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15699228.859999999</v>
      </c>
      <c r="AN180"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13724764.85</v>
      </c>
      <c r="AO180" s="40">
        <f>IFERROR((TABLA_AVANCE_INDICADORES[[#This Row],[AVANCE ACUM. TRIM.]]/TABLA_AVANCE_INDICADORES[[#This Row],[PROG. ACUM]])*100,"N/A")</f>
        <v>87.423178376418676</v>
      </c>
      <c r="AP180"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REGULAR</v>
      </c>
      <c r="AQ180" s="121">
        <f>TABLA_AVANCE_INDICADORES[[#This Row],[AVANCE ACUM. TRIM.]]-TABLA_AVANCE_INDICADORES[[#This Row],[PROG. ACUM]]</f>
        <v>-1974464.0099999998</v>
      </c>
      <c r="AR180" s="46">
        <f>IFERROR((TABLA_AVANCE_INDICADORES[[#This Row],[DIFERENCIA ABSOLUTA SEMESTRAL]]/TABLA_AVANCE_INDICADORES[[#This Row],[PROG. ACUM]])*100,"N/A")</f>
        <v>-12.576821623581324</v>
      </c>
      <c r="AS180"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13724764.85</v>
      </c>
      <c r="AT180" s="40">
        <f>IFERROR((TABLA_AVANCE_INDICADORES[[#This Row],[AVANCE ACUM. ANUAL]]/TABLA_AVANCE_INDICADORES[[#This Row],[PROGRAMADO ANUAL]])*100,"N/A")</f>
        <v>43.231242043984359</v>
      </c>
      <c r="AU180"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180" s="121">
        <f>TABLA_AVANCE_INDICADORES[[#This Row],[AVANCE ACUM. ANUAL]]-TABLA_AVANCE_INDICADORES[[#This Row],[PROGRAMADO ANUAL]]</f>
        <v>-18022564.629999995</v>
      </c>
      <c r="AW180" s="46">
        <f>IFERROR((TABLA_AVANCE_INDICADORES[[#This Row],[DIFERENCIA ABSOLUTA ANUAL]]/TABLA_AVANCE_INDICADORES[[#This Row],[PROGRAMADO ANUAL]])*100,"N/A")</f>
        <v>-56.768757956015634</v>
      </c>
      <c r="AX180" s="148" t="s">
        <v>63</v>
      </c>
      <c r="AY180" s="100" t="s">
        <v>63</v>
      </c>
      <c r="AZ180" s="100"/>
      <c r="BA180" s="100"/>
      <c r="BB180"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81" spans="1:54" ht="150" hidden="1" x14ac:dyDescent="0.3">
      <c r="A181" s="31" t="s">
        <v>1352</v>
      </c>
      <c r="B181" s="113" t="s">
        <v>446</v>
      </c>
      <c r="C181" s="32" t="s">
        <v>445</v>
      </c>
      <c r="D181" s="114" t="s">
        <v>446</v>
      </c>
      <c r="E181" s="32" t="s">
        <v>401</v>
      </c>
      <c r="F181" s="115" t="s">
        <v>402</v>
      </c>
      <c r="G181" s="146" t="s">
        <v>597</v>
      </c>
      <c r="H181" s="94" t="s">
        <v>1273</v>
      </c>
      <c r="I181" s="34" t="s">
        <v>1204</v>
      </c>
      <c r="J181" s="34" t="s">
        <v>177</v>
      </c>
      <c r="K181" s="94" t="s">
        <v>178</v>
      </c>
      <c r="L181" s="34" t="s">
        <v>529</v>
      </c>
      <c r="M181" s="94" t="s">
        <v>530</v>
      </c>
      <c r="N181" s="33">
        <v>2</v>
      </c>
      <c r="O181" s="33" t="s">
        <v>759</v>
      </c>
      <c r="P181" s="125" t="s">
        <v>1349</v>
      </c>
      <c r="Q181" s="125" t="s">
        <v>1353</v>
      </c>
      <c r="R181" s="116" t="s">
        <v>1351</v>
      </c>
      <c r="S181" s="34" t="s">
        <v>1208</v>
      </c>
      <c r="T181" s="56" t="s">
        <v>728</v>
      </c>
      <c r="U181" s="56" t="s">
        <v>1131</v>
      </c>
      <c r="V181" s="95">
        <v>31747329.479999997</v>
      </c>
      <c r="W181" s="95">
        <v>7762396.5</v>
      </c>
      <c r="X181" s="127">
        <v>7762396.5</v>
      </c>
      <c r="Y181" s="38">
        <f>IFERROR((TABLA_AVANCE_INDICADORES[[#This Row],[AVANCE 1°. TRIM]]/TABLA_AVANCE_INDICADORES[[#This Row],[PROGR. 1° TRIM]])*100,"0")</f>
        <v>100</v>
      </c>
      <c r="Z181"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181" s="118">
        <v>7936832.3600000003</v>
      </c>
      <c r="AB181" s="128">
        <v>7936832.3600000003</v>
      </c>
      <c r="AC181" s="40">
        <f t="shared" si="4"/>
        <v>100</v>
      </c>
      <c r="AD181" s="39" t="str">
        <f t="shared" si="5"/>
        <v>ADECUADO</v>
      </c>
      <c r="AE181" s="118">
        <v>8024050.3099999996</v>
      </c>
      <c r="AF181" s="128">
        <f>AE181</f>
        <v>8024050.3099999996</v>
      </c>
      <c r="AG181" s="40">
        <f>IFERROR((TABLA_AVANCE_INDICADORES[[#This Row],[AVANCE 3°. TRIM]]/TABLA_AVANCE_INDICADORES[[#This Row],[PROGR. 3° TRIM]])*100,"0")</f>
        <v>100</v>
      </c>
      <c r="AH181"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ADECUADO</v>
      </c>
      <c r="AI181" s="118">
        <v>8024050.3099999996</v>
      </c>
      <c r="AJ181" s="128">
        <f>AI181</f>
        <v>8024050.3099999996</v>
      </c>
      <c r="AK181" s="96">
        <f>IFERROR((TABLA_AVANCE_INDICADORES[[#This Row],[AVANCE 4°. TRIM]]/TABLA_AVANCE_INDICADORES[[#This Row],[PROGR. 4° TRIM]])*100,"0")</f>
        <v>100</v>
      </c>
      <c r="AL181"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ADECUADO</v>
      </c>
      <c r="AM181"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15699228.859999999</v>
      </c>
      <c r="AN181"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15699228.859999999</v>
      </c>
      <c r="AO181" s="40">
        <f>IFERROR((TABLA_AVANCE_INDICADORES[[#This Row],[AVANCE ACUM. TRIM.]]/TABLA_AVANCE_INDICADORES[[#This Row],[PROG. ACUM]])*100,"N/A")</f>
        <v>100</v>
      </c>
      <c r="AP181"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181" s="121">
        <f>TABLA_AVANCE_INDICADORES[[#This Row],[AVANCE ACUM. TRIM.]]-TABLA_AVANCE_INDICADORES[[#This Row],[PROG. ACUM]]</f>
        <v>0</v>
      </c>
      <c r="AR181" s="46">
        <f>IFERROR((TABLA_AVANCE_INDICADORES[[#This Row],[DIFERENCIA ABSOLUTA SEMESTRAL]]/TABLA_AVANCE_INDICADORES[[#This Row],[PROG. ACUM]])*100,"N/A")</f>
        <v>0</v>
      </c>
      <c r="AS181"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15699228.859999999</v>
      </c>
      <c r="AT181" s="40">
        <f>IFERROR((TABLA_AVANCE_INDICADORES[[#This Row],[AVANCE ACUM. ANUAL]]/TABLA_AVANCE_INDICADORES[[#This Row],[PROGRAMADO ANUAL]])*100,"N/A")</f>
        <v>49.450549438780705</v>
      </c>
      <c r="AU181"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181" s="121">
        <f>TABLA_AVANCE_INDICADORES[[#This Row],[AVANCE ACUM. ANUAL]]-TABLA_AVANCE_INDICADORES[[#This Row],[PROGRAMADO ANUAL]]</f>
        <v>-16048100.619999997</v>
      </c>
      <c r="AW181" s="46">
        <f>IFERROR((TABLA_AVANCE_INDICADORES[[#This Row],[DIFERENCIA ABSOLUTA ANUAL]]/TABLA_AVANCE_INDICADORES[[#This Row],[PROGRAMADO ANUAL]])*100,"N/A")</f>
        <v>-50.549450561219302</v>
      </c>
      <c r="AX181" s="148" t="s">
        <v>63</v>
      </c>
      <c r="AY181" s="100" t="s">
        <v>63</v>
      </c>
      <c r="AZ181" s="100"/>
      <c r="BA181" s="100"/>
      <c r="BB181"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82" spans="1:54" ht="150" hidden="1" x14ac:dyDescent="0.3">
      <c r="A182" s="31" t="s">
        <v>1354</v>
      </c>
      <c r="B182" s="113" t="s">
        <v>556</v>
      </c>
      <c r="C182" s="32" t="s">
        <v>445</v>
      </c>
      <c r="D182" s="114" t="s">
        <v>446</v>
      </c>
      <c r="E182" s="32" t="s">
        <v>557</v>
      </c>
      <c r="F182" s="115" t="s">
        <v>558</v>
      </c>
      <c r="G182" s="146" t="s">
        <v>559</v>
      </c>
      <c r="H182" s="94" t="s">
        <v>1280</v>
      </c>
      <c r="I182" s="34" t="s">
        <v>1204</v>
      </c>
      <c r="J182" s="34" t="s">
        <v>177</v>
      </c>
      <c r="K182" s="94" t="s">
        <v>178</v>
      </c>
      <c r="L182" s="34" t="s">
        <v>518</v>
      </c>
      <c r="M182" s="94" t="s">
        <v>519</v>
      </c>
      <c r="N182" s="33">
        <v>1</v>
      </c>
      <c r="O182" s="33" t="s">
        <v>799</v>
      </c>
      <c r="P182" s="125" t="s">
        <v>1355</v>
      </c>
      <c r="Q182" s="125" t="s">
        <v>1356</v>
      </c>
      <c r="R182" s="116" t="s">
        <v>1357</v>
      </c>
      <c r="S182" s="34" t="s">
        <v>1208</v>
      </c>
      <c r="T182" s="56" t="s">
        <v>728</v>
      </c>
      <c r="U182" s="56" t="s">
        <v>1131</v>
      </c>
      <c r="V182" s="95">
        <v>52912215.799999997</v>
      </c>
      <c r="W182" s="95">
        <v>12937327.49</v>
      </c>
      <c r="X182" s="117">
        <v>11682016.84</v>
      </c>
      <c r="Y182" s="38">
        <f>IFERROR((TABLA_AVANCE_INDICADORES[[#This Row],[AVANCE 1°. TRIM]]/TABLA_AVANCE_INDICADORES[[#This Row],[PROGR. 1° TRIM]])*100,"0")</f>
        <v>90.296986367777251</v>
      </c>
      <c r="Z182"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182" s="118">
        <v>13228053.949999999</v>
      </c>
      <c r="AB182" s="119">
        <v>12593069</v>
      </c>
      <c r="AC182" s="40">
        <f t="shared" si="4"/>
        <v>95.199710007230507</v>
      </c>
      <c r="AD182" s="39" t="str">
        <f t="shared" si="5"/>
        <v>ADECUADO</v>
      </c>
      <c r="AE182" s="118">
        <v>13373417.18</v>
      </c>
      <c r="AF182" s="119">
        <v>0</v>
      </c>
      <c r="AG182" s="40">
        <f>IFERROR((TABLA_AVANCE_INDICADORES[[#This Row],[AVANCE 3°. TRIM]]/TABLA_AVANCE_INDICADORES[[#This Row],[PROGR. 3° TRIM]])*100,"0")</f>
        <v>0</v>
      </c>
      <c r="AH182"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CRÍTICO</v>
      </c>
      <c r="AI182" s="118">
        <v>13373417.18</v>
      </c>
      <c r="AJ182" s="119">
        <v>0</v>
      </c>
      <c r="AK182" s="96">
        <f>IFERROR((TABLA_AVANCE_INDICADORES[[#This Row],[AVANCE 4°. TRIM]]/TABLA_AVANCE_INDICADORES[[#This Row],[PROGR. 4° TRIM]])*100,"0")</f>
        <v>0</v>
      </c>
      <c r="AL182"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182"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26165381.439999998</v>
      </c>
      <c r="AN182"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24275085.84</v>
      </c>
      <c r="AO182" s="40">
        <f>IFERROR((TABLA_AVANCE_INDICADORES[[#This Row],[AVANCE ACUM. TRIM.]]/TABLA_AVANCE_INDICADORES[[#This Row],[PROG. ACUM]])*100,"N/A")</f>
        <v>92.775585541014777</v>
      </c>
      <c r="AP182"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182" s="121">
        <f>TABLA_AVANCE_INDICADORES[[#This Row],[AVANCE ACUM. TRIM.]]-TABLA_AVANCE_INDICADORES[[#This Row],[PROG. ACUM]]</f>
        <v>-1890295.5999999978</v>
      </c>
      <c r="AR182" s="46">
        <f>IFERROR((TABLA_AVANCE_INDICADORES[[#This Row],[DIFERENCIA ABSOLUTA SEMESTRAL]]/TABLA_AVANCE_INDICADORES[[#This Row],[PROG. ACUM]])*100,"N/A")</f>
        <v>-7.2244144589852306</v>
      </c>
      <c r="AS182"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24275085.84</v>
      </c>
      <c r="AT182" s="40">
        <f>IFERROR((TABLA_AVANCE_INDICADORES[[#This Row],[AVANCE ACUM. ANUAL]]/TABLA_AVANCE_INDICADORES[[#This Row],[PROGRAMADO ANUAL]])*100,"N/A")</f>
        <v>45.878036806767028</v>
      </c>
      <c r="AU182"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182" s="121">
        <f>TABLA_AVANCE_INDICADORES[[#This Row],[AVANCE ACUM. ANUAL]]-TABLA_AVANCE_INDICADORES[[#This Row],[PROGRAMADO ANUAL]]</f>
        <v>-28637129.959999997</v>
      </c>
      <c r="AW182" s="46">
        <f>IFERROR((TABLA_AVANCE_INDICADORES[[#This Row],[DIFERENCIA ABSOLUTA ANUAL]]/TABLA_AVANCE_INDICADORES[[#This Row],[PROGRAMADO ANUAL]])*100,"N/A")</f>
        <v>-54.121963193232972</v>
      </c>
      <c r="AX182" s="148" t="s">
        <v>63</v>
      </c>
      <c r="AY182" s="100" t="s">
        <v>63</v>
      </c>
      <c r="AZ182" s="100"/>
      <c r="BA182" s="100"/>
      <c r="BB182"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83" spans="1:54" ht="150" hidden="1" x14ac:dyDescent="0.3">
      <c r="A183" s="31" t="s">
        <v>1358</v>
      </c>
      <c r="B183" s="113" t="s">
        <v>556</v>
      </c>
      <c r="C183" s="32" t="s">
        <v>445</v>
      </c>
      <c r="D183" s="114" t="s">
        <v>446</v>
      </c>
      <c r="E183" s="32" t="s">
        <v>557</v>
      </c>
      <c r="F183" s="115" t="s">
        <v>558</v>
      </c>
      <c r="G183" s="146" t="s">
        <v>559</v>
      </c>
      <c r="H183" s="94" t="s">
        <v>1280</v>
      </c>
      <c r="I183" s="34" t="s">
        <v>1204</v>
      </c>
      <c r="J183" s="34" t="s">
        <v>177</v>
      </c>
      <c r="K183" s="94" t="s">
        <v>178</v>
      </c>
      <c r="L183" s="34" t="s">
        <v>518</v>
      </c>
      <c r="M183" s="94" t="s">
        <v>519</v>
      </c>
      <c r="N183" s="33">
        <v>2</v>
      </c>
      <c r="O183" s="33" t="s">
        <v>799</v>
      </c>
      <c r="P183" s="125" t="s">
        <v>1355</v>
      </c>
      <c r="Q183" s="125" t="s">
        <v>1359</v>
      </c>
      <c r="R183" s="116" t="s">
        <v>1357</v>
      </c>
      <c r="S183" s="34" t="s">
        <v>1208</v>
      </c>
      <c r="T183" s="56" t="s">
        <v>728</v>
      </c>
      <c r="U183" s="56" t="s">
        <v>1131</v>
      </c>
      <c r="V183" s="95">
        <v>52912215.799999997</v>
      </c>
      <c r="W183" s="95">
        <v>12937327.49</v>
      </c>
      <c r="X183" s="127">
        <v>12937327.49</v>
      </c>
      <c r="Y183" s="38">
        <f>IFERROR((TABLA_AVANCE_INDICADORES[[#This Row],[AVANCE 1°. TRIM]]/TABLA_AVANCE_INDICADORES[[#This Row],[PROGR. 1° TRIM]])*100,"0")</f>
        <v>100</v>
      </c>
      <c r="Z183"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183" s="118">
        <v>13228053.949999999</v>
      </c>
      <c r="AB183" s="128">
        <v>13228053.949999999</v>
      </c>
      <c r="AC183" s="40">
        <f t="shared" si="4"/>
        <v>100</v>
      </c>
      <c r="AD183" s="39" t="str">
        <f t="shared" si="5"/>
        <v>ADECUADO</v>
      </c>
      <c r="AE183" s="118">
        <v>13373417.18</v>
      </c>
      <c r="AF183" s="128">
        <f>AE183</f>
        <v>13373417.18</v>
      </c>
      <c r="AG183" s="40">
        <f>IFERROR((TABLA_AVANCE_INDICADORES[[#This Row],[AVANCE 3°. TRIM]]/TABLA_AVANCE_INDICADORES[[#This Row],[PROGR. 3° TRIM]])*100,"0")</f>
        <v>100</v>
      </c>
      <c r="AH183"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ADECUADO</v>
      </c>
      <c r="AI183" s="118">
        <v>13373417.18</v>
      </c>
      <c r="AJ183" s="128">
        <f>AI183</f>
        <v>13373417.18</v>
      </c>
      <c r="AK183" s="96">
        <f>IFERROR((TABLA_AVANCE_INDICADORES[[#This Row],[AVANCE 4°. TRIM]]/TABLA_AVANCE_INDICADORES[[#This Row],[PROGR. 4° TRIM]])*100,"0")</f>
        <v>100</v>
      </c>
      <c r="AL183"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ADECUADO</v>
      </c>
      <c r="AM183"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26165381.439999998</v>
      </c>
      <c r="AN183"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26165381.439999998</v>
      </c>
      <c r="AO183" s="40">
        <f>IFERROR((TABLA_AVANCE_INDICADORES[[#This Row],[AVANCE ACUM. TRIM.]]/TABLA_AVANCE_INDICADORES[[#This Row],[PROG. ACUM]])*100,"N/A")</f>
        <v>100</v>
      </c>
      <c r="AP183"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183" s="121">
        <f>TABLA_AVANCE_INDICADORES[[#This Row],[AVANCE ACUM. TRIM.]]-TABLA_AVANCE_INDICADORES[[#This Row],[PROG. ACUM]]</f>
        <v>0</v>
      </c>
      <c r="AR183" s="46">
        <f>IFERROR((TABLA_AVANCE_INDICADORES[[#This Row],[DIFERENCIA ABSOLUTA SEMESTRAL]]/TABLA_AVANCE_INDICADORES[[#This Row],[PROG. ACUM]])*100,"N/A")</f>
        <v>0</v>
      </c>
      <c r="AS183"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26165381.439999998</v>
      </c>
      <c r="AT183" s="40">
        <f>IFERROR((TABLA_AVANCE_INDICADORES[[#This Row],[AVANCE ACUM. ANUAL]]/TABLA_AVANCE_INDICADORES[[#This Row],[PROGRAMADO ANUAL]])*100,"N/A")</f>
        <v>49.450549451380184</v>
      </c>
      <c r="AU183"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183" s="121">
        <f>TABLA_AVANCE_INDICADORES[[#This Row],[AVANCE ACUM. ANUAL]]-TABLA_AVANCE_INDICADORES[[#This Row],[PROGRAMADO ANUAL]]</f>
        <v>-26746834.359999999</v>
      </c>
      <c r="AW183" s="46">
        <f>IFERROR((TABLA_AVANCE_INDICADORES[[#This Row],[DIFERENCIA ABSOLUTA ANUAL]]/TABLA_AVANCE_INDICADORES[[#This Row],[PROGRAMADO ANUAL]])*100,"N/A")</f>
        <v>-50.549450548619809</v>
      </c>
      <c r="AX183" s="148" t="s">
        <v>63</v>
      </c>
      <c r="AY183" s="100" t="s">
        <v>63</v>
      </c>
      <c r="AZ183" s="100"/>
      <c r="BA183" s="100"/>
      <c r="BB183"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84" spans="1:54" ht="150" hidden="1" x14ac:dyDescent="0.3">
      <c r="A184" s="31" t="s">
        <v>1360</v>
      </c>
      <c r="B184" s="113" t="s">
        <v>604</v>
      </c>
      <c r="C184" s="32" t="s">
        <v>445</v>
      </c>
      <c r="D184" s="114" t="s">
        <v>446</v>
      </c>
      <c r="E184" s="32" t="s">
        <v>526</v>
      </c>
      <c r="F184" s="115" t="s">
        <v>527</v>
      </c>
      <c r="G184" s="146" t="s">
        <v>605</v>
      </c>
      <c r="H184" s="94" t="s">
        <v>1303</v>
      </c>
      <c r="I184" s="34" t="s">
        <v>1204</v>
      </c>
      <c r="J184" s="34" t="s">
        <v>177</v>
      </c>
      <c r="K184" s="94" t="s">
        <v>178</v>
      </c>
      <c r="L184" s="34" t="s">
        <v>518</v>
      </c>
      <c r="M184" s="94" t="s">
        <v>519</v>
      </c>
      <c r="N184" s="33">
        <v>1</v>
      </c>
      <c r="O184" s="33" t="s">
        <v>806</v>
      </c>
      <c r="P184" s="125" t="s">
        <v>1361</v>
      </c>
      <c r="Q184" s="125" t="s">
        <v>1362</v>
      </c>
      <c r="R184" s="116" t="s">
        <v>1363</v>
      </c>
      <c r="S184" s="34" t="s">
        <v>1208</v>
      </c>
      <c r="T184" s="56" t="s">
        <v>728</v>
      </c>
      <c r="U184" s="56" t="s">
        <v>1131</v>
      </c>
      <c r="V184" s="95">
        <v>21164886.32</v>
      </c>
      <c r="W184" s="95">
        <v>5174931</v>
      </c>
      <c r="X184" s="117">
        <v>4584634.33</v>
      </c>
      <c r="Y184" s="38">
        <f>IFERROR((TABLA_AVANCE_INDICADORES[[#This Row],[AVANCE 1°. TRIM]]/TABLA_AVANCE_INDICADORES[[#This Row],[PROGR. 1° TRIM]])*100,"0")</f>
        <v>88.59314897145488</v>
      </c>
      <c r="Z184"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REGULAR</v>
      </c>
      <c r="AA184" s="118">
        <v>5291221.58</v>
      </c>
      <c r="AB184" s="119">
        <v>4966687</v>
      </c>
      <c r="AC184" s="40">
        <f t="shared" ref="AC184:AC235" si="6">IFERROR((AB184/AA184)*100,"0")</f>
        <v>93.866547165087724</v>
      </c>
      <c r="AD184" s="39" t="str">
        <f t="shared" ref="AD184:AD235" si="7">IF(AND(AC184&gt;=0,AC184&lt;=49.9999999999999),"CRÍTICO",IF(AND(AC184&gt;=50,AC184&lt;=69.9999999999999),"DEFICIENTE",IF(AND(AC184&gt;=70,AC184&lt;=89.9999999999999),"REGULAR",IF(AND(AC184&gt;=90,AC184&lt;=110.999999999999),"ADECUADO",IF(AND(AC184&gt;=111,AC184&lt;=999999),"SOBREPASADO","NO PROG.")))))</f>
        <v>ADECUADO</v>
      </c>
      <c r="AE184" s="118">
        <v>5349366.87</v>
      </c>
      <c r="AF184" s="119">
        <v>0</v>
      </c>
      <c r="AG184" s="40">
        <f>IFERROR((TABLA_AVANCE_INDICADORES[[#This Row],[AVANCE 3°. TRIM]]/TABLA_AVANCE_INDICADORES[[#This Row],[PROGR. 3° TRIM]])*100,"0")</f>
        <v>0</v>
      </c>
      <c r="AH184"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CRÍTICO</v>
      </c>
      <c r="AI184" s="118">
        <v>5349366.87</v>
      </c>
      <c r="AJ184" s="119">
        <v>0</v>
      </c>
      <c r="AK184" s="96">
        <f>IFERROR((TABLA_AVANCE_INDICADORES[[#This Row],[AVANCE 4°. TRIM]]/TABLA_AVANCE_INDICADORES[[#This Row],[PROGR. 4° TRIM]])*100,"0")</f>
        <v>0</v>
      </c>
      <c r="AL184"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184"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10466152.58</v>
      </c>
      <c r="AN184"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9551321.3300000001</v>
      </c>
      <c r="AO184" s="40">
        <f>IFERROR((TABLA_AVANCE_INDICADORES[[#This Row],[AVANCE ACUM. TRIM.]]/TABLA_AVANCE_INDICADORES[[#This Row],[PROG. ACUM]])*100,"N/A")</f>
        <v>91.259144723838915</v>
      </c>
      <c r="AP184"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184" s="121">
        <f>TABLA_AVANCE_INDICADORES[[#This Row],[AVANCE ACUM. TRIM.]]-TABLA_AVANCE_INDICADORES[[#This Row],[PROG. ACUM]]</f>
        <v>-914831.25</v>
      </c>
      <c r="AR184" s="46">
        <f>IFERROR((TABLA_AVANCE_INDICADORES[[#This Row],[DIFERENCIA ABSOLUTA SEMESTRAL]]/TABLA_AVANCE_INDICADORES[[#This Row],[PROG. ACUM]])*100,"N/A")</f>
        <v>-8.7408552761610903</v>
      </c>
      <c r="AS184"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9551321.3300000001</v>
      </c>
      <c r="AT184" s="40">
        <f>IFERROR((TABLA_AVANCE_INDICADORES[[#This Row],[AVANCE ACUM. ANUAL]]/TABLA_AVANCE_INDICADORES[[#This Row],[PROGRAMADO ANUAL]])*100,"N/A")</f>
        <v>45.128148507815844</v>
      </c>
      <c r="AU184"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184" s="121">
        <f>TABLA_AVANCE_INDICADORES[[#This Row],[AVANCE ACUM. ANUAL]]-TABLA_AVANCE_INDICADORES[[#This Row],[PROGRAMADO ANUAL]]</f>
        <v>-11613564.99</v>
      </c>
      <c r="AW184" s="46">
        <f>IFERROR((TABLA_AVANCE_INDICADORES[[#This Row],[DIFERENCIA ABSOLUTA ANUAL]]/TABLA_AVANCE_INDICADORES[[#This Row],[PROGRAMADO ANUAL]])*100,"N/A")</f>
        <v>-54.871851492184156</v>
      </c>
      <c r="AX184" s="148" t="s">
        <v>1364</v>
      </c>
      <c r="AY184" s="100" t="s">
        <v>63</v>
      </c>
      <c r="AZ184" s="100"/>
      <c r="BA184" s="100"/>
      <c r="BB184"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85" spans="1:54" ht="150" hidden="1" x14ac:dyDescent="0.3">
      <c r="A185" s="31" t="s">
        <v>1365</v>
      </c>
      <c r="B185" s="113" t="s">
        <v>604</v>
      </c>
      <c r="C185" s="32" t="s">
        <v>445</v>
      </c>
      <c r="D185" s="114" t="s">
        <v>446</v>
      </c>
      <c r="E185" s="32" t="s">
        <v>526</v>
      </c>
      <c r="F185" s="115" t="s">
        <v>527</v>
      </c>
      <c r="G185" s="146" t="s">
        <v>605</v>
      </c>
      <c r="H185" s="94" t="s">
        <v>1303</v>
      </c>
      <c r="I185" s="34" t="s">
        <v>1204</v>
      </c>
      <c r="J185" s="34" t="s">
        <v>177</v>
      </c>
      <c r="K185" s="94" t="s">
        <v>178</v>
      </c>
      <c r="L185" s="34" t="s">
        <v>518</v>
      </c>
      <c r="M185" s="94" t="s">
        <v>519</v>
      </c>
      <c r="N185" s="33">
        <v>2</v>
      </c>
      <c r="O185" s="33" t="s">
        <v>806</v>
      </c>
      <c r="P185" s="125" t="s">
        <v>1361</v>
      </c>
      <c r="Q185" s="125" t="s">
        <v>1366</v>
      </c>
      <c r="R185" s="116" t="s">
        <v>1363</v>
      </c>
      <c r="S185" s="34" t="s">
        <v>1208</v>
      </c>
      <c r="T185" s="56" t="s">
        <v>728</v>
      </c>
      <c r="U185" s="56" t="s">
        <v>1131</v>
      </c>
      <c r="V185" s="95">
        <v>21164886.32</v>
      </c>
      <c r="W185" s="95">
        <v>5174931</v>
      </c>
      <c r="X185" s="127">
        <v>5174931</v>
      </c>
      <c r="Y185" s="38">
        <f>IFERROR((TABLA_AVANCE_INDICADORES[[#This Row],[AVANCE 1°. TRIM]]/TABLA_AVANCE_INDICADORES[[#This Row],[PROGR. 1° TRIM]])*100,"0")</f>
        <v>100</v>
      </c>
      <c r="Z185"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185" s="118">
        <v>5291221.58</v>
      </c>
      <c r="AB185" s="128">
        <v>5291221.58</v>
      </c>
      <c r="AC185" s="40">
        <f t="shared" si="6"/>
        <v>100</v>
      </c>
      <c r="AD185" s="39" t="str">
        <f t="shared" si="7"/>
        <v>ADECUADO</v>
      </c>
      <c r="AE185" s="118">
        <v>5349366.87</v>
      </c>
      <c r="AF185" s="128">
        <f>AE185</f>
        <v>5349366.87</v>
      </c>
      <c r="AG185" s="40">
        <f>IFERROR((TABLA_AVANCE_INDICADORES[[#This Row],[AVANCE 3°. TRIM]]/TABLA_AVANCE_INDICADORES[[#This Row],[PROGR. 3° TRIM]])*100,"0")</f>
        <v>100</v>
      </c>
      <c r="AH185"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ADECUADO</v>
      </c>
      <c r="AI185" s="118">
        <v>5349366.87</v>
      </c>
      <c r="AJ185" s="128">
        <f>AI185</f>
        <v>5349366.87</v>
      </c>
      <c r="AK185" s="96">
        <f>IFERROR((TABLA_AVANCE_INDICADORES[[#This Row],[AVANCE 4°. TRIM]]/TABLA_AVANCE_INDICADORES[[#This Row],[PROGR. 4° TRIM]])*100,"0")</f>
        <v>100</v>
      </c>
      <c r="AL185"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ADECUADO</v>
      </c>
      <c r="AM185"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10466152.58</v>
      </c>
      <c r="AN185"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10466152.58</v>
      </c>
      <c r="AO185" s="40">
        <f>IFERROR((TABLA_AVANCE_INDICADORES[[#This Row],[AVANCE ACUM. TRIM.]]/TABLA_AVANCE_INDICADORES[[#This Row],[PROG. ACUM]])*100,"N/A")</f>
        <v>100</v>
      </c>
      <c r="AP185"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185" s="121">
        <f>TABLA_AVANCE_INDICADORES[[#This Row],[AVANCE ACUM. TRIM.]]-TABLA_AVANCE_INDICADORES[[#This Row],[PROG. ACUM]]</f>
        <v>0</v>
      </c>
      <c r="AR185" s="46">
        <f>IFERROR((TABLA_AVANCE_INDICADORES[[#This Row],[DIFERENCIA ABSOLUTA SEMESTRAL]]/TABLA_AVANCE_INDICADORES[[#This Row],[PROG. ACUM]])*100,"N/A")</f>
        <v>0</v>
      </c>
      <c r="AS185"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10466152.58</v>
      </c>
      <c r="AT185" s="40">
        <f>IFERROR((TABLA_AVANCE_INDICADORES[[#This Row],[AVANCE ACUM. ANUAL]]/TABLA_AVANCE_INDICADORES[[#This Row],[PROGRAMADO ANUAL]])*100,"N/A")</f>
        <v>49.450549470279412</v>
      </c>
      <c r="AU185"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185" s="121">
        <f>TABLA_AVANCE_INDICADORES[[#This Row],[AVANCE ACUM. ANUAL]]-TABLA_AVANCE_INDICADORES[[#This Row],[PROGRAMADO ANUAL]]</f>
        <v>-10698733.74</v>
      </c>
      <c r="AW185" s="46">
        <f>IFERROR((TABLA_AVANCE_INDICADORES[[#This Row],[DIFERENCIA ABSOLUTA ANUAL]]/TABLA_AVANCE_INDICADORES[[#This Row],[PROGRAMADO ANUAL]])*100,"N/A")</f>
        <v>-50.549450529720588</v>
      </c>
      <c r="AX185" s="148" t="s">
        <v>1364</v>
      </c>
      <c r="AY185" s="100" t="s">
        <v>63</v>
      </c>
      <c r="AZ185" s="100"/>
      <c r="BA185" s="100"/>
      <c r="BB185"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86" spans="1:54" ht="150" hidden="1" x14ac:dyDescent="0.3">
      <c r="A186" s="31" t="s">
        <v>1367</v>
      </c>
      <c r="B186" s="113" t="s">
        <v>604</v>
      </c>
      <c r="C186" s="32" t="s">
        <v>445</v>
      </c>
      <c r="D186" s="114" t="s">
        <v>446</v>
      </c>
      <c r="E186" s="32" t="s">
        <v>526</v>
      </c>
      <c r="F186" s="115" t="s">
        <v>527</v>
      </c>
      <c r="G186" s="146" t="s">
        <v>605</v>
      </c>
      <c r="H186" s="94" t="s">
        <v>1303</v>
      </c>
      <c r="I186" s="34" t="s">
        <v>1204</v>
      </c>
      <c r="J186" s="34" t="s">
        <v>177</v>
      </c>
      <c r="K186" s="94" t="s">
        <v>178</v>
      </c>
      <c r="L186" s="34" t="s">
        <v>518</v>
      </c>
      <c r="M186" s="94" t="s">
        <v>519</v>
      </c>
      <c r="N186" s="33">
        <v>1</v>
      </c>
      <c r="O186" s="33" t="s">
        <v>1078</v>
      </c>
      <c r="P186" s="125" t="s">
        <v>1368</v>
      </c>
      <c r="Q186" s="125" t="s">
        <v>1369</v>
      </c>
      <c r="R186" s="116" t="s">
        <v>1370</v>
      </c>
      <c r="S186" s="34" t="s">
        <v>1208</v>
      </c>
      <c r="T186" s="56" t="s">
        <v>728</v>
      </c>
      <c r="U186" s="56" t="s">
        <v>1131</v>
      </c>
      <c r="V186" s="95">
        <v>52912215.799999997</v>
      </c>
      <c r="W186" s="95">
        <v>12937327.49</v>
      </c>
      <c r="X186" s="117">
        <v>11682016.84</v>
      </c>
      <c r="Y186" s="38">
        <f>IFERROR((TABLA_AVANCE_INDICADORES[[#This Row],[AVANCE 1°. TRIM]]/TABLA_AVANCE_INDICADORES[[#This Row],[PROGR. 1° TRIM]])*100,"0")</f>
        <v>90.296986367777251</v>
      </c>
      <c r="Z186"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186" s="118">
        <v>13228053.949999999</v>
      </c>
      <c r="AB186" s="119">
        <v>12593069.82</v>
      </c>
      <c r="AC186" s="40">
        <f t="shared" si="6"/>
        <v>95.199716206177115</v>
      </c>
      <c r="AD186" s="39" t="str">
        <f t="shared" si="7"/>
        <v>ADECUADO</v>
      </c>
      <c r="AE186" s="118">
        <v>13373417.18</v>
      </c>
      <c r="AF186" s="119">
        <v>0</v>
      </c>
      <c r="AG186" s="40">
        <f>IFERROR((TABLA_AVANCE_INDICADORES[[#This Row],[AVANCE 3°. TRIM]]/TABLA_AVANCE_INDICADORES[[#This Row],[PROGR. 3° TRIM]])*100,"0")</f>
        <v>0</v>
      </c>
      <c r="AH186"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CRÍTICO</v>
      </c>
      <c r="AI186" s="118">
        <v>13373417.18</v>
      </c>
      <c r="AJ186" s="119">
        <v>0</v>
      </c>
      <c r="AK186" s="96">
        <f>IFERROR((TABLA_AVANCE_INDICADORES[[#This Row],[AVANCE 4°. TRIM]]/TABLA_AVANCE_INDICADORES[[#This Row],[PROGR. 4° TRIM]])*100,"0")</f>
        <v>0</v>
      </c>
      <c r="AL186"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186"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26165381.439999998</v>
      </c>
      <c r="AN186"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24275086.66</v>
      </c>
      <c r="AO186" s="40">
        <f>IFERROR((TABLA_AVANCE_INDICADORES[[#This Row],[AVANCE ACUM. TRIM.]]/TABLA_AVANCE_INDICADORES[[#This Row],[PROG. ACUM]])*100,"N/A")</f>
        <v>92.775588674926652</v>
      </c>
      <c r="AP186"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186" s="121">
        <f>TABLA_AVANCE_INDICADORES[[#This Row],[AVANCE ACUM. TRIM.]]-TABLA_AVANCE_INDICADORES[[#This Row],[PROG. ACUM]]</f>
        <v>-1890294.7799999975</v>
      </c>
      <c r="AR186" s="46">
        <f>IFERROR((TABLA_AVANCE_INDICADORES[[#This Row],[DIFERENCIA ABSOLUTA SEMESTRAL]]/TABLA_AVANCE_INDICADORES[[#This Row],[PROG. ACUM]])*100,"N/A")</f>
        <v>-7.2244113250733388</v>
      </c>
      <c r="AS186"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24275086.66</v>
      </c>
      <c r="AT186" s="40">
        <f>IFERROR((TABLA_AVANCE_INDICADORES[[#This Row],[AVANCE ACUM. ANUAL]]/TABLA_AVANCE_INDICADORES[[#This Row],[PROGRAMADO ANUAL]])*100,"N/A")</f>
        <v>45.87803835650368</v>
      </c>
      <c r="AU186"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186" s="121">
        <f>TABLA_AVANCE_INDICADORES[[#This Row],[AVANCE ACUM. ANUAL]]-TABLA_AVANCE_INDICADORES[[#This Row],[PROGRAMADO ANUAL]]</f>
        <v>-28637129.139999997</v>
      </c>
      <c r="AW186" s="46">
        <f>IFERROR((TABLA_AVANCE_INDICADORES[[#This Row],[DIFERENCIA ABSOLUTA ANUAL]]/TABLA_AVANCE_INDICADORES[[#This Row],[PROGRAMADO ANUAL]])*100,"N/A")</f>
        <v>-54.12196164349632</v>
      </c>
      <c r="AX186" s="148" t="s">
        <v>63</v>
      </c>
      <c r="AY186" s="100" t="s">
        <v>63</v>
      </c>
      <c r="AZ186" s="100"/>
      <c r="BA186" s="100"/>
      <c r="BB186"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87" spans="1:54" ht="150" hidden="1" x14ac:dyDescent="0.3">
      <c r="A187" s="31" t="s">
        <v>1371</v>
      </c>
      <c r="B187" s="113" t="s">
        <v>604</v>
      </c>
      <c r="C187" s="32" t="s">
        <v>445</v>
      </c>
      <c r="D187" s="114" t="s">
        <v>446</v>
      </c>
      <c r="E187" s="32" t="s">
        <v>526</v>
      </c>
      <c r="F187" s="115" t="s">
        <v>527</v>
      </c>
      <c r="G187" s="146" t="s">
        <v>605</v>
      </c>
      <c r="H187" s="94" t="s">
        <v>1303</v>
      </c>
      <c r="I187" s="34" t="s">
        <v>1204</v>
      </c>
      <c r="J187" s="34" t="s">
        <v>177</v>
      </c>
      <c r="K187" s="94" t="s">
        <v>178</v>
      </c>
      <c r="L187" s="34" t="s">
        <v>518</v>
      </c>
      <c r="M187" s="94" t="s">
        <v>519</v>
      </c>
      <c r="N187" s="33">
        <v>2</v>
      </c>
      <c r="O187" s="33" t="s">
        <v>1078</v>
      </c>
      <c r="P187" s="125" t="s">
        <v>1368</v>
      </c>
      <c r="Q187" s="125" t="s">
        <v>1372</v>
      </c>
      <c r="R187" s="116" t="s">
        <v>1370</v>
      </c>
      <c r="S187" s="34" t="s">
        <v>1208</v>
      </c>
      <c r="T187" s="56" t="s">
        <v>728</v>
      </c>
      <c r="U187" s="56" t="s">
        <v>1131</v>
      </c>
      <c r="V187" s="95">
        <v>52912215.799999997</v>
      </c>
      <c r="W187" s="95">
        <v>12937327.49</v>
      </c>
      <c r="X187" s="127">
        <v>12937327.49</v>
      </c>
      <c r="Y187" s="38">
        <f>IFERROR((TABLA_AVANCE_INDICADORES[[#This Row],[AVANCE 1°. TRIM]]/TABLA_AVANCE_INDICADORES[[#This Row],[PROGR. 1° TRIM]])*100,"0")</f>
        <v>100</v>
      </c>
      <c r="Z187"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187" s="118">
        <v>13228053.949999999</v>
      </c>
      <c r="AB187" s="128">
        <v>13228053.949999999</v>
      </c>
      <c r="AC187" s="40">
        <f t="shared" si="6"/>
        <v>100</v>
      </c>
      <c r="AD187" s="39" t="str">
        <f t="shared" si="7"/>
        <v>ADECUADO</v>
      </c>
      <c r="AE187" s="118">
        <v>13373417.18</v>
      </c>
      <c r="AF187" s="128">
        <f>AE187</f>
        <v>13373417.18</v>
      </c>
      <c r="AG187" s="40">
        <f>IFERROR((TABLA_AVANCE_INDICADORES[[#This Row],[AVANCE 3°. TRIM]]/TABLA_AVANCE_INDICADORES[[#This Row],[PROGR. 3° TRIM]])*100,"0")</f>
        <v>100</v>
      </c>
      <c r="AH187"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ADECUADO</v>
      </c>
      <c r="AI187" s="118">
        <v>13373417.18</v>
      </c>
      <c r="AJ187" s="128">
        <f>AI187</f>
        <v>13373417.18</v>
      </c>
      <c r="AK187" s="96">
        <f>IFERROR((TABLA_AVANCE_INDICADORES[[#This Row],[AVANCE 4°. TRIM]]/TABLA_AVANCE_INDICADORES[[#This Row],[PROGR. 4° TRIM]])*100,"0")</f>
        <v>100</v>
      </c>
      <c r="AL187"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ADECUADO</v>
      </c>
      <c r="AM187"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26165381.439999998</v>
      </c>
      <c r="AN187"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26165381.439999998</v>
      </c>
      <c r="AO187" s="40">
        <f>IFERROR((TABLA_AVANCE_INDICADORES[[#This Row],[AVANCE ACUM. TRIM.]]/TABLA_AVANCE_INDICADORES[[#This Row],[PROG. ACUM]])*100,"N/A")</f>
        <v>100</v>
      </c>
      <c r="AP187"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187" s="121">
        <f>TABLA_AVANCE_INDICADORES[[#This Row],[AVANCE ACUM. TRIM.]]-TABLA_AVANCE_INDICADORES[[#This Row],[PROG. ACUM]]</f>
        <v>0</v>
      </c>
      <c r="AR187" s="46">
        <f>IFERROR((TABLA_AVANCE_INDICADORES[[#This Row],[DIFERENCIA ABSOLUTA SEMESTRAL]]/TABLA_AVANCE_INDICADORES[[#This Row],[PROG. ACUM]])*100,"N/A")</f>
        <v>0</v>
      </c>
      <c r="AS187"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26165381.439999998</v>
      </c>
      <c r="AT187" s="40">
        <f>IFERROR((TABLA_AVANCE_INDICADORES[[#This Row],[AVANCE ACUM. ANUAL]]/TABLA_AVANCE_INDICADORES[[#This Row],[PROGRAMADO ANUAL]])*100,"N/A")</f>
        <v>49.450549451380184</v>
      </c>
      <c r="AU187"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187" s="121">
        <f>TABLA_AVANCE_INDICADORES[[#This Row],[AVANCE ACUM. ANUAL]]-TABLA_AVANCE_INDICADORES[[#This Row],[PROGRAMADO ANUAL]]</f>
        <v>-26746834.359999999</v>
      </c>
      <c r="AW187" s="46">
        <f>IFERROR((TABLA_AVANCE_INDICADORES[[#This Row],[DIFERENCIA ABSOLUTA ANUAL]]/TABLA_AVANCE_INDICADORES[[#This Row],[PROGRAMADO ANUAL]])*100,"N/A")</f>
        <v>-50.549450548619809</v>
      </c>
      <c r="AX187" s="148" t="s">
        <v>63</v>
      </c>
      <c r="AY187" s="100" t="s">
        <v>63</v>
      </c>
      <c r="AZ187" s="100"/>
      <c r="BA187" s="100"/>
      <c r="BB187"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88" spans="1:54" ht="150" hidden="1" x14ac:dyDescent="0.3">
      <c r="A188" s="31" t="s">
        <v>1373</v>
      </c>
      <c r="B188" s="113" t="s">
        <v>604</v>
      </c>
      <c r="C188" s="32" t="s">
        <v>445</v>
      </c>
      <c r="D188" s="114" t="s">
        <v>446</v>
      </c>
      <c r="E188" s="32" t="s">
        <v>526</v>
      </c>
      <c r="F188" s="115" t="s">
        <v>527</v>
      </c>
      <c r="G188" s="146" t="s">
        <v>605</v>
      </c>
      <c r="H188" s="94" t="s">
        <v>1303</v>
      </c>
      <c r="I188" s="34" t="s">
        <v>1204</v>
      </c>
      <c r="J188" s="34" t="s">
        <v>177</v>
      </c>
      <c r="K188" s="94" t="s">
        <v>178</v>
      </c>
      <c r="L188" s="34" t="s">
        <v>518</v>
      </c>
      <c r="M188" s="94" t="s">
        <v>519</v>
      </c>
      <c r="N188" s="33">
        <v>1</v>
      </c>
      <c r="O188" s="33" t="s">
        <v>938</v>
      </c>
      <c r="P188" s="125" t="s">
        <v>1374</v>
      </c>
      <c r="Q188" s="125" t="s">
        <v>1375</v>
      </c>
      <c r="R188" s="116" t="s">
        <v>1376</v>
      </c>
      <c r="S188" s="34" t="s">
        <v>550</v>
      </c>
      <c r="T188" s="56" t="s">
        <v>728</v>
      </c>
      <c r="U188" s="56" t="s">
        <v>1131</v>
      </c>
      <c r="V188" s="95">
        <v>13000</v>
      </c>
      <c r="W188" s="95">
        <v>3650</v>
      </c>
      <c r="X188" s="117">
        <v>2769</v>
      </c>
      <c r="Y188" s="38">
        <f>IFERROR((TABLA_AVANCE_INDICADORES[[#This Row],[AVANCE 1°. TRIM]]/TABLA_AVANCE_INDICADORES[[#This Row],[PROGR. 1° TRIM]])*100,"0")</f>
        <v>75.863013698630127</v>
      </c>
      <c r="Z188"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REGULAR</v>
      </c>
      <c r="AA188" s="118">
        <v>3950</v>
      </c>
      <c r="AB188" s="119">
        <v>2921</v>
      </c>
      <c r="AC188" s="40">
        <f t="shared" si="6"/>
        <v>73.949367088607602</v>
      </c>
      <c r="AD188" s="39" t="str">
        <f t="shared" si="7"/>
        <v>REGULAR</v>
      </c>
      <c r="AE188" s="118">
        <v>3050</v>
      </c>
      <c r="AF188" s="119">
        <v>0</v>
      </c>
      <c r="AG188" s="40">
        <f>IFERROR((TABLA_AVANCE_INDICADORES[[#This Row],[AVANCE 3°. TRIM]]/TABLA_AVANCE_INDICADORES[[#This Row],[PROGR. 3° TRIM]])*100,"0")</f>
        <v>0</v>
      </c>
      <c r="AH188"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CRÍTICO</v>
      </c>
      <c r="AI188" s="118">
        <v>2350</v>
      </c>
      <c r="AJ188" s="119">
        <v>0</v>
      </c>
      <c r="AK188" s="96">
        <f>IFERROR((TABLA_AVANCE_INDICADORES[[#This Row],[AVANCE 4°. TRIM]]/TABLA_AVANCE_INDICADORES[[#This Row],[PROGR. 4° TRIM]])*100,"0")</f>
        <v>0</v>
      </c>
      <c r="AL188"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188"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7600</v>
      </c>
      <c r="AN188"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5690</v>
      </c>
      <c r="AO188" s="40">
        <f>IFERROR((TABLA_AVANCE_INDICADORES[[#This Row],[AVANCE ACUM. TRIM.]]/TABLA_AVANCE_INDICADORES[[#This Row],[PROG. ACUM]])*100,"N/A")</f>
        <v>74.868421052631589</v>
      </c>
      <c r="AP188"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REGULAR</v>
      </c>
      <c r="AQ188" s="121">
        <f>TABLA_AVANCE_INDICADORES[[#This Row],[AVANCE ACUM. TRIM.]]-TABLA_AVANCE_INDICADORES[[#This Row],[PROG. ACUM]]</f>
        <v>-1910</v>
      </c>
      <c r="AR188" s="46">
        <f>IFERROR((TABLA_AVANCE_INDICADORES[[#This Row],[DIFERENCIA ABSOLUTA SEMESTRAL]]/TABLA_AVANCE_INDICADORES[[#This Row],[PROG. ACUM]])*100,"N/A")</f>
        <v>-25.131578947368421</v>
      </c>
      <c r="AS188"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5690</v>
      </c>
      <c r="AT188" s="40">
        <f>IFERROR((TABLA_AVANCE_INDICADORES[[#This Row],[AVANCE ACUM. ANUAL]]/TABLA_AVANCE_INDICADORES[[#This Row],[PROGRAMADO ANUAL]])*100,"N/A")</f>
        <v>43.769230769230774</v>
      </c>
      <c r="AU188"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188" s="121">
        <f>TABLA_AVANCE_INDICADORES[[#This Row],[AVANCE ACUM. ANUAL]]-TABLA_AVANCE_INDICADORES[[#This Row],[PROGRAMADO ANUAL]]</f>
        <v>-7310</v>
      </c>
      <c r="AW188" s="46">
        <f>IFERROR((TABLA_AVANCE_INDICADORES[[#This Row],[DIFERENCIA ABSOLUTA ANUAL]]/TABLA_AVANCE_INDICADORES[[#This Row],[PROGRAMADO ANUAL]])*100,"N/A")</f>
        <v>-56.230769230769226</v>
      </c>
      <c r="AX188" s="148" t="s">
        <v>1377</v>
      </c>
      <c r="AY188" s="100" t="s">
        <v>63</v>
      </c>
      <c r="AZ188" s="100"/>
      <c r="BA188" s="100"/>
      <c r="BB188"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89" spans="1:54" ht="150" hidden="1" x14ac:dyDescent="0.3">
      <c r="A189" s="31" t="s">
        <v>1378</v>
      </c>
      <c r="B189" s="113" t="s">
        <v>604</v>
      </c>
      <c r="C189" s="32" t="s">
        <v>445</v>
      </c>
      <c r="D189" s="114" t="s">
        <v>446</v>
      </c>
      <c r="E189" s="32" t="s">
        <v>526</v>
      </c>
      <c r="F189" s="115" t="s">
        <v>527</v>
      </c>
      <c r="G189" s="146" t="s">
        <v>605</v>
      </c>
      <c r="H189" s="94" t="s">
        <v>1303</v>
      </c>
      <c r="I189" s="34" t="s">
        <v>1204</v>
      </c>
      <c r="J189" s="34" t="s">
        <v>177</v>
      </c>
      <c r="K189" s="94" t="s">
        <v>178</v>
      </c>
      <c r="L189" s="34" t="s">
        <v>518</v>
      </c>
      <c r="M189" s="94" t="s">
        <v>519</v>
      </c>
      <c r="N189" s="33">
        <v>2</v>
      </c>
      <c r="O189" s="33" t="s">
        <v>938</v>
      </c>
      <c r="P189" s="125" t="s">
        <v>1374</v>
      </c>
      <c r="Q189" s="125" t="s">
        <v>1379</v>
      </c>
      <c r="R189" s="116" t="s">
        <v>1376</v>
      </c>
      <c r="S189" s="34" t="s">
        <v>550</v>
      </c>
      <c r="T189" s="56" t="s">
        <v>728</v>
      </c>
      <c r="U189" s="56" t="s">
        <v>1131</v>
      </c>
      <c r="V189" s="95">
        <v>13000</v>
      </c>
      <c r="W189" s="95">
        <v>3650</v>
      </c>
      <c r="X189" s="117">
        <v>2769</v>
      </c>
      <c r="Y189" s="38">
        <f>IFERROR((TABLA_AVANCE_INDICADORES[[#This Row],[AVANCE 1°. TRIM]]/TABLA_AVANCE_INDICADORES[[#This Row],[PROGR. 1° TRIM]])*100,"0")</f>
        <v>75.863013698630127</v>
      </c>
      <c r="Z189"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REGULAR</v>
      </c>
      <c r="AA189" s="118">
        <v>3950</v>
      </c>
      <c r="AB189" s="119">
        <v>2921</v>
      </c>
      <c r="AC189" s="40">
        <f t="shared" si="6"/>
        <v>73.949367088607602</v>
      </c>
      <c r="AD189" s="39" t="str">
        <f t="shared" si="7"/>
        <v>REGULAR</v>
      </c>
      <c r="AE189" s="118">
        <v>3050</v>
      </c>
      <c r="AF189" s="119">
        <v>0</v>
      </c>
      <c r="AG189" s="40">
        <f>IFERROR((TABLA_AVANCE_INDICADORES[[#This Row],[AVANCE 3°. TRIM]]/TABLA_AVANCE_INDICADORES[[#This Row],[PROGR. 3° TRIM]])*100,"0")</f>
        <v>0</v>
      </c>
      <c r="AH189"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CRÍTICO</v>
      </c>
      <c r="AI189" s="118">
        <v>2350</v>
      </c>
      <c r="AJ189" s="119">
        <v>0</v>
      </c>
      <c r="AK189" s="96">
        <f>IFERROR((TABLA_AVANCE_INDICADORES[[#This Row],[AVANCE 4°. TRIM]]/TABLA_AVANCE_INDICADORES[[#This Row],[PROGR. 4° TRIM]])*100,"0")</f>
        <v>0</v>
      </c>
      <c r="AL189"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189"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7600</v>
      </c>
      <c r="AN189"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5690</v>
      </c>
      <c r="AO189" s="40">
        <f>IFERROR((TABLA_AVANCE_INDICADORES[[#This Row],[AVANCE ACUM. TRIM.]]/TABLA_AVANCE_INDICADORES[[#This Row],[PROG. ACUM]])*100,"N/A")</f>
        <v>74.868421052631589</v>
      </c>
      <c r="AP189"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REGULAR</v>
      </c>
      <c r="AQ189" s="121">
        <f>TABLA_AVANCE_INDICADORES[[#This Row],[AVANCE ACUM. TRIM.]]-TABLA_AVANCE_INDICADORES[[#This Row],[PROG. ACUM]]</f>
        <v>-1910</v>
      </c>
      <c r="AR189" s="46">
        <f>IFERROR((TABLA_AVANCE_INDICADORES[[#This Row],[DIFERENCIA ABSOLUTA SEMESTRAL]]/TABLA_AVANCE_INDICADORES[[#This Row],[PROG. ACUM]])*100,"N/A")</f>
        <v>-25.131578947368421</v>
      </c>
      <c r="AS189"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5690</v>
      </c>
      <c r="AT189" s="40">
        <f>IFERROR((TABLA_AVANCE_INDICADORES[[#This Row],[AVANCE ACUM. ANUAL]]/TABLA_AVANCE_INDICADORES[[#This Row],[PROGRAMADO ANUAL]])*100,"N/A")</f>
        <v>43.769230769230774</v>
      </c>
      <c r="AU189"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189" s="121">
        <f>TABLA_AVANCE_INDICADORES[[#This Row],[AVANCE ACUM. ANUAL]]-TABLA_AVANCE_INDICADORES[[#This Row],[PROGRAMADO ANUAL]]</f>
        <v>-7310</v>
      </c>
      <c r="AW189" s="46">
        <f>IFERROR((TABLA_AVANCE_INDICADORES[[#This Row],[DIFERENCIA ABSOLUTA ANUAL]]/TABLA_AVANCE_INDICADORES[[#This Row],[PROGRAMADO ANUAL]])*100,"N/A")</f>
        <v>-56.230769230769226</v>
      </c>
      <c r="AX189" s="148" t="s">
        <v>1377</v>
      </c>
      <c r="AY189" s="100" t="s">
        <v>63</v>
      </c>
      <c r="AZ189" s="100"/>
      <c r="BA189" s="100"/>
      <c r="BB189"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90" spans="1:54" ht="150" hidden="1" x14ac:dyDescent="0.3">
      <c r="A190" s="31" t="s">
        <v>1380</v>
      </c>
      <c r="B190" s="113" t="s">
        <v>604</v>
      </c>
      <c r="C190" s="32" t="s">
        <v>445</v>
      </c>
      <c r="D190" s="114" t="s">
        <v>446</v>
      </c>
      <c r="E190" s="32" t="s">
        <v>526</v>
      </c>
      <c r="F190" s="115" t="s">
        <v>527</v>
      </c>
      <c r="G190" s="146" t="s">
        <v>605</v>
      </c>
      <c r="H190" s="94" t="s">
        <v>1303</v>
      </c>
      <c r="I190" s="34" t="s">
        <v>1204</v>
      </c>
      <c r="J190" s="34" t="s">
        <v>177</v>
      </c>
      <c r="K190" s="94" t="s">
        <v>178</v>
      </c>
      <c r="L190" s="34" t="s">
        <v>518</v>
      </c>
      <c r="M190" s="94" t="s">
        <v>519</v>
      </c>
      <c r="N190" s="33">
        <v>1</v>
      </c>
      <c r="O190" s="33" t="s">
        <v>1259</v>
      </c>
      <c r="P190" s="125" t="s">
        <v>1381</v>
      </c>
      <c r="Q190" s="125" t="s">
        <v>1382</v>
      </c>
      <c r="R190" s="116" t="s">
        <v>1383</v>
      </c>
      <c r="S190" s="34" t="s">
        <v>1208</v>
      </c>
      <c r="T190" s="56" t="s">
        <v>728</v>
      </c>
      <c r="U190" s="56" t="s">
        <v>1131</v>
      </c>
      <c r="V190" s="95">
        <v>52912215.799999997</v>
      </c>
      <c r="W190" s="95">
        <v>12937327.49</v>
      </c>
      <c r="X190" s="117">
        <v>11682016.84</v>
      </c>
      <c r="Y190" s="38">
        <f>IFERROR((TABLA_AVANCE_INDICADORES[[#This Row],[AVANCE 1°. TRIM]]/TABLA_AVANCE_INDICADORES[[#This Row],[PROGR. 1° TRIM]])*100,"0")</f>
        <v>90.296986367777251</v>
      </c>
      <c r="Z190"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190" s="118">
        <v>13228053.949999999</v>
      </c>
      <c r="AB190" s="119">
        <v>12593069</v>
      </c>
      <c r="AC190" s="40">
        <f t="shared" si="6"/>
        <v>95.199710007230507</v>
      </c>
      <c r="AD190" s="39" t="str">
        <f t="shared" si="7"/>
        <v>ADECUADO</v>
      </c>
      <c r="AE190" s="118">
        <v>13373417.18</v>
      </c>
      <c r="AF190" s="119">
        <v>0</v>
      </c>
      <c r="AG190" s="40">
        <f>IFERROR((TABLA_AVANCE_INDICADORES[[#This Row],[AVANCE 3°. TRIM]]/TABLA_AVANCE_INDICADORES[[#This Row],[PROGR. 3° TRIM]])*100,"0")</f>
        <v>0</v>
      </c>
      <c r="AH190"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CRÍTICO</v>
      </c>
      <c r="AI190" s="118">
        <v>13373417.18</v>
      </c>
      <c r="AJ190" s="119">
        <v>0</v>
      </c>
      <c r="AK190" s="96">
        <f>IFERROR((TABLA_AVANCE_INDICADORES[[#This Row],[AVANCE 4°. TRIM]]/TABLA_AVANCE_INDICADORES[[#This Row],[PROGR. 4° TRIM]])*100,"0")</f>
        <v>0</v>
      </c>
      <c r="AL190"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190"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26165381.439999998</v>
      </c>
      <c r="AN190"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24275085.84</v>
      </c>
      <c r="AO190" s="40">
        <f>IFERROR((TABLA_AVANCE_INDICADORES[[#This Row],[AVANCE ACUM. TRIM.]]/TABLA_AVANCE_INDICADORES[[#This Row],[PROG. ACUM]])*100,"N/A")</f>
        <v>92.775585541014777</v>
      </c>
      <c r="AP190"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190" s="121">
        <f>TABLA_AVANCE_INDICADORES[[#This Row],[AVANCE ACUM. TRIM.]]-TABLA_AVANCE_INDICADORES[[#This Row],[PROG. ACUM]]</f>
        <v>-1890295.5999999978</v>
      </c>
      <c r="AR190" s="46">
        <f>IFERROR((TABLA_AVANCE_INDICADORES[[#This Row],[DIFERENCIA ABSOLUTA SEMESTRAL]]/TABLA_AVANCE_INDICADORES[[#This Row],[PROG. ACUM]])*100,"N/A")</f>
        <v>-7.2244144589852306</v>
      </c>
      <c r="AS190"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24275085.84</v>
      </c>
      <c r="AT190" s="40">
        <f>IFERROR((TABLA_AVANCE_INDICADORES[[#This Row],[AVANCE ACUM. ANUAL]]/TABLA_AVANCE_INDICADORES[[#This Row],[PROGRAMADO ANUAL]])*100,"N/A")</f>
        <v>45.878036806767028</v>
      </c>
      <c r="AU190"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190" s="121">
        <f>TABLA_AVANCE_INDICADORES[[#This Row],[AVANCE ACUM. ANUAL]]-TABLA_AVANCE_INDICADORES[[#This Row],[PROGRAMADO ANUAL]]</f>
        <v>-28637129.959999997</v>
      </c>
      <c r="AW190" s="46">
        <f>IFERROR((TABLA_AVANCE_INDICADORES[[#This Row],[DIFERENCIA ABSOLUTA ANUAL]]/TABLA_AVANCE_INDICADORES[[#This Row],[PROGRAMADO ANUAL]])*100,"N/A")</f>
        <v>-54.121963193232972</v>
      </c>
      <c r="AX190" s="148" t="s">
        <v>63</v>
      </c>
      <c r="AY190" s="100" t="s">
        <v>63</v>
      </c>
      <c r="AZ190" s="100"/>
      <c r="BA190" s="100"/>
      <c r="BB190"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91" spans="1:54" ht="150" hidden="1" x14ac:dyDescent="0.3">
      <c r="A191" s="31" t="s">
        <v>1384</v>
      </c>
      <c r="B191" s="113" t="s">
        <v>604</v>
      </c>
      <c r="C191" s="32" t="s">
        <v>445</v>
      </c>
      <c r="D191" s="114" t="s">
        <v>446</v>
      </c>
      <c r="E191" s="32" t="s">
        <v>526</v>
      </c>
      <c r="F191" s="115" t="s">
        <v>527</v>
      </c>
      <c r="G191" s="146" t="s">
        <v>605</v>
      </c>
      <c r="H191" s="94" t="s">
        <v>1303</v>
      </c>
      <c r="I191" s="34" t="s">
        <v>1204</v>
      </c>
      <c r="J191" s="34" t="s">
        <v>177</v>
      </c>
      <c r="K191" s="94" t="s">
        <v>178</v>
      </c>
      <c r="L191" s="34" t="s">
        <v>518</v>
      </c>
      <c r="M191" s="94" t="s">
        <v>519</v>
      </c>
      <c r="N191" s="33">
        <v>2</v>
      </c>
      <c r="O191" s="33" t="s">
        <v>1259</v>
      </c>
      <c r="P191" s="125" t="s">
        <v>1381</v>
      </c>
      <c r="Q191" s="125" t="s">
        <v>1385</v>
      </c>
      <c r="R191" s="116" t="s">
        <v>1383</v>
      </c>
      <c r="S191" s="34" t="s">
        <v>1208</v>
      </c>
      <c r="T191" s="56" t="s">
        <v>728</v>
      </c>
      <c r="U191" s="56" t="s">
        <v>1131</v>
      </c>
      <c r="V191" s="95">
        <v>52912215.799999997</v>
      </c>
      <c r="W191" s="95">
        <v>12937327.49</v>
      </c>
      <c r="X191" s="117">
        <v>11682016.84</v>
      </c>
      <c r="Y191" s="38">
        <f>IFERROR((TABLA_AVANCE_INDICADORES[[#This Row],[AVANCE 1°. TRIM]]/TABLA_AVANCE_INDICADORES[[#This Row],[PROGR. 1° TRIM]])*100,"0")</f>
        <v>90.296986367777251</v>
      </c>
      <c r="Z191"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191" s="118">
        <v>13228053.949999999</v>
      </c>
      <c r="AB191" s="119">
        <v>12593069</v>
      </c>
      <c r="AC191" s="40">
        <f t="shared" si="6"/>
        <v>95.199710007230507</v>
      </c>
      <c r="AD191" s="39" t="str">
        <f t="shared" si="7"/>
        <v>ADECUADO</v>
      </c>
      <c r="AE191" s="118">
        <v>13373417.18</v>
      </c>
      <c r="AF191" s="119">
        <v>0</v>
      </c>
      <c r="AG191" s="40">
        <f>IFERROR((TABLA_AVANCE_INDICADORES[[#This Row],[AVANCE 3°. TRIM]]/TABLA_AVANCE_INDICADORES[[#This Row],[PROGR. 3° TRIM]])*100,"0")</f>
        <v>0</v>
      </c>
      <c r="AH191"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CRÍTICO</v>
      </c>
      <c r="AI191" s="118">
        <v>13373417.18</v>
      </c>
      <c r="AJ191" s="119">
        <v>0</v>
      </c>
      <c r="AK191" s="96">
        <f>IFERROR((TABLA_AVANCE_INDICADORES[[#This Row],[AVANCE 4°. TRIM]]/TABLA_AVANCE_INDICADORES[[#This Row],[PROGR. 4° TRIM]])*100,"0")</f>
        <v>0</v>
      </c>
      <c r="AL191"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191"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26165381.439999998</v>
      </c>
      <c r="AN191"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24275085.84</v>
      </c>
      <c r="AO191" s="40">
        <f>IFERROR((TABLA_AVANCE_INDICADORES[[#This Row],[AVANCE ACUM. TRIM.]]/TABLA_AVANCE_INDICADORES[[#This Row],[PROG. ACUM]])*100,"N/A")</f>
        <v>92.775585541014777</v>
      </c>
      <c r="AP191"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191" s="121">
        <f>TABLA_AVANCE_INDICADORES[[#This Row],[AVANCE ACUM. TRIM.]]-TABLA_AVANCE_INDICADORES[[#This Row],[PROG. ACUM]]</f>
        <v>-1890295.5999999978</v>
      </c>
      <c r="AR191" s="46">
        <f>IFERROR((TABLA_AVANCE_INDICADORES[[#This Row],[DIFERENCIA ABSOLUTA SEMESTRAL]]/TABLA_AVANCE_INDICADORES[[#This Row],[PROG. ACUM]])*100,"N/A")</f>
        <v>-7.2244144589852306</v>
      </c>
      <c r="AS191"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24275085.84</v>
      </c>
      <c r="AT191" s="40">
        <f>IFERROR((TABLA_AVANCE_INDICADORES[[#This Row],[AVANCE ACUM. ANUAL]]/TABLA_AVANCE_INDICADORES[[#This Row],[PROGRAMADO ANUAL]])*100,"N/A")</f>
        <v>45.878036806767028</v>
      </c>
      <c r="AU191"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191" s="121">
        <f>TABLA_AVANCE_INDICADORES[[#This Row],[AVANCE ACUM. ANUAL]]-TABLA_AVANCE_INDICADORES[[#This Row],[PROGRAMADO ANUAL]]</f>
        <v>-28637129.959999997</v>
      </c>
      <c r="AW191" s="46">
        <f>IFERROR((TABLA_AVANCE_INDICADORES[[#This Row],[DIFERENCIA ABSOLUTA ANUAL]]/TABLA_AVANCE_INDICADORES[[#This Row],[PROGRAMADO ANUAL]])*100,"N/A")</f>
        <v>-54.121963193232972</v>
      </c>
      <c r="AX191" s="148" t="s">
        <v>63</v>
      </c>
      <c r="AY191" s="100" t="s">
        <v>63</v>
      </c>
      <c r="AZ191" s="100"/>
      <c r="BA191" s="100"/>
      <c r="BB191"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92" spans="1:54" ht="150" hidden="1" x14ac:dyDescent="0.3">
      <c r="A192" s="31" t="s">
        <v>1386</v>
      </c>
      <c r="B192" s="113" t="s">
        <v>446</v>
      </c>
      <c r="C192" s="32" t="s">
        <v>445</v>
      </c>
      <c r="D192" s="114" t="s">
        <v>446</v>
      </c>
      <c r="E192" s="32" t="s">
        <v>401</v>
      </c>
      <c r="F192" s="115" t="s">
        <v>402</v>
      </c>
      <c r="G192" s="146" t="s">
        <v>597</v>
      </c>
      <c r="H192" s="94" t="s">
        <v>1273</v>
      </c>
      <c r="I192" s="34" t="s">
        <v>1204</v>
      </c>
      <c r="J192" s="34" t="s">
        <v>177</v>
      </c>
      <c r="K192" s="94" t="s">
        <v>178</v>
      </c>
      <c r="L192" s="34" t="s">
        <v>529</v>
      </c>
      <c r="M192" s="94" t="s">
        <v>530</v>
      </c>
      <c r="N192" s="33">
        <v>1</v>
      </c>
      <c r="O192" s="33" t="s">
        <v>945</v>
      </c>
      <c r="P192" s="125" t="s">
        <v>1387</v>
      </c>
      <c r="Q192" s="125" t="s">
        <v>1388</v>
      </c>
      <c r="R192" s="116" t="s">
        <v>1389</v>
      </c>
      <c r="S192" s="34" t="s">
        <v>506</v>
      </c>
      <c r="T192" s="56" t="s">
        <v>728</v>
      </c>
      <c r="U192" s="56" t="s">
        <v>1131</v>
      </c>
      <c r="V192" s="95">
        <v>652</v>
      </c>
      <c r="W192" s="95">
        <v>165</v>
      </c>
      <c r="X192" s="117">
        <v>120</v>
      </c>
      <c r="Y192" s="38">
        <f>IFERROR((TABLA_AVANCE_INDICADORES[[#This Row],[AVANCE 1°. TRIM]]/TABLA_AVANCE_INDICADORES[[#This Row],[PROGR. 1° TRIM]])*100,"0")</f>
        <v>72.727272727272734</v>
      </c>
      <c r="Z192"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REGULAR</v>
      </c>
      <c r="AA192" s="118">
        <v>165</v>
      </c>
      <c r="AB192" s="119">
        <v>94</v>
      </c>
      <c r="AC192" s="40">
        <f t="shared" si="6"/>
        <v>56.969696969696969</v>
      </c>
      <c r="AD192" s="39" t="str">
        <f t="shared" si="7"/>
        <v>DEFICIENTE</v>
      </c>
      <c r="AE192" s="118">
        <v>160</v>
      </c>
      <c r="AF192" s="119">
        <v>0</v>
      </c>
      <c r="AG192" s="40">
        <f>IFERROR((TABLA_AVANCE_INDICADORES[[#This Row],[AVANCE 3°. TRIM]]/TABLA_AVANCE_INDICADORES[[#This Row],[PROGR. 3° TRIM]])*100,"0")</f>
        <v>0</v>
      </c>
      <c r="AH192"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CRÍTICO</v>
      </c>
      <c r="AI192" s="118">
        <v>162</v>
      </c>
      <c r="AJ192" s="119">
        <v>0</v>
      </c>
      <c r="AK192" s="96">
        <f>IFERROR((TABLA_AVANCE_INDICADORES[[#This Row],[AVANCE 4°. TRIM]]/TABLA_AVANCE_INDICADORES[[#This Row],[PROGR. 4° TRIM]])*100,"0")</f>
        <v>0</v>
      </c>
      <c r="AL192"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192"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330</v>
      </c>
      <c r="AN192"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214</v>
      </c>
      <c r="AO192" s="40">
        <f>IFERROR((TABLA_AVANCE_INDICADORES[[#This Row],[AVANCE ACUM. TRIM.]]/TABLA_AVANCE_INDICADORES[[#This Row],[PROG. ACUM]])*100,"N/A")</f>
        <v>64.848484848484844</v>
      </c>
      <c r="AP192"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DEFICIENTE</v>
      </c>
      <c r="AQ192" s="121">
        <f>TABLA_AVANCE_INDICADORES[[#This Row],[AVANCE ACUM. TRIM.]]-TABLA_AVANCE_INDICADORES[[#This Row],[PROG. ACUM]]</f>
        <v>-116</v>
      </c>
      <c r="AR192" s="46">
        <f>IFERROR((TABLA_AVANCE_INDICADORES[[#This Row],[DIFERENCIA ABSOLUTA SEMESTRAL]]/TABLA_AVANCE_INDICADORES[[#This Row],[PROG. ACUM]])*100,"N/A")</f>
        <v>-35.151515151515149</v>
      </c>
      <c r="AS192"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214</v>
      </c>
      <c r="AT192" s="40">
        <f>IFERROR((TABLA_AVANCE_INDICADORES[[#This Row],[AVANCE ACUM. ANUAL]]/TABLA_AVANCE_INDICADORES[[#This Row],[PROGRAMADO ANUAL]])*100,"N/A")</f>
        <v>32.822085889570552</v>
      </c>
      <c r="AU192"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192" s="121">
        <f>TABLA_AVANCE_INDICADORES[[#This Row],[AVANCE ACUM. ANUAL]]-TABLA_AVANCE_INDICADORES[[#This Row],[PROGRAMADO ANUAL]]</f>
        <v>-438</v>
      </c>
      <c r="AW192" s="46">
        <f>IFERROR((TABLA_AVANCE_INDICADORES[[#This Row],[DIFERENCIA ABSOLUTA ANUAL]]/TABLA_AVANCE_INDICADORES[[#This Row],[PROGRAMADO ANUAL]])*100,"N/A")</f>
        <v>-67.177914110429455</v>
      </c>
      <c r="AX192" s="148" t="s">
        <v>1390</v>
      </c>
      <c r="AY192" s="100" t="s">
        <v>63</v>
      </c>
      <c r="AZ192" s="100"/>
      <c r="BA192" s="100"/>
      <c r="BB192"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93" spans="1:54" ht="150" hidden="1" x14ac:dyDescent="0.3">
      <c r="A193" s="31" t="s">
        <v>1391</v>
      </c>
      <c r="B193" s="113" t="s">
        <v>446</v>
      </c>
      <c r="C193" s="32" t="s">
        <v>445</v>
      </c>
      <c r="D193" s="114" t="s">
        <v>446</v>
      </c>
      <c r="E193" s="32" t="s">
        <v>401</v>
      </c>
      <c r="F193" s="115" t="s">
        <v>402</v>
      </c>
      <c r="G193" s="146" t="s">
        <v>597</v>
      </c>
      <c r="H193" s="94" t="s">
        <v>1273</v>
      </c>
      <c r="I193" s="34" t="s">
        <v>1204</v>
      </c>
      <c r="J193" s="34" t="s">
        <v>177</v>
      </c>
      <c r="K193" s="94" t="s">
        <v>178</v>
      </c>
      <c r="L193" s="34" t="s">
        <v>529</v>
      </c>
      <c r="M193" s="94" t="s">
        <v>530</v>
      </c>
      <c r="N193" s="33">
        <v>2</v>
      </c>
      <c r="O193" s="33" t="s">
        <v>945</v>
      </c>
      <c r="P193" s="125" t="s">
        <v>1387</v>
      </c>
      <c r="Q193" s="125" t="s">
        <v>1392</v>
      </c>
      <c r="R193" s="116" t="s">
        <v>1389</v>
      </c>
      <c r="S193" s="34" t="s">
        <v>506</v>
      </c>
      <c r="T193" s="56" t="s">
        <v>728</v>
      </c>
      <c r="U193" s="56" t="s">
        <v>1131</v>
      </c>
      <c r="V193" s="95">
        <v>650</v>
      </c>
      <c r="W193" s="95">
        <v>165</v>
      </c>
      <c r="X193" s="127">
        <f>TABLA_AVANCE_INDICADORES[[#This Row],[PROGR. 1° TRIM]]</f>
        <v>165</v>
      </c>
      <c r="Y193" s="38">
        <f>IFERROR((TABLA_AVANCE_INDICADORES[[#This Row],[AVANCE 1°. TRIM]]/TABLA_AVANCE_INDICADORES[[#This Row],[PROGR. 1° TRIM]])*100,"0")</f>
        <v>100</v>
      </c>
      <c r="Z193"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193" s="118">
        <v>165</v>
      </c>
      <c r="AB193" s="128">
        <v>165</v>
      </c>
      <c r="AC193" s="40">
        <f t="shared" si="6"/>
        <v>100</v>
      </c>
      <c r="AD193" s="39" t="str">
        <f t="shared" si="7"/>
        <v>ADECUADO</v>
      </c>
      <c r="AE193" s="118">
        <v>160</v>
      </c>
      <c r="AF193" s="128">
        <f>AE193</f>
        <v>160</v>
      </c>
      <c r="AG193" s="40">
        <f>IFERROR((TABLA_AVANCE_INDICADORES[[#This Row],[AVANCE 3°. TRIM]]/TABLA_AVANCE_INDICADORES[[#This Row],[PROGR. 3° TRIM]])*100,"0")</f>
        <v>100</v>
      </c>
      <c r="AH193"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ADECUADO</v>
      </c>
      <c r="AI193" s="118">
        <v>160</v>
      </c>
      <c r="AJ193" s="128">
        <f>AI193</f>
        <v>160</v>
      </c>
      <c r="AK193" s="96">
        <f>IFERROR((TABLA_AVANCE_INDICADORES[[#This Row],[AVANCE 4°. TRIM]]/TABLA_AVANCE_INDICADORES[[#This Row],[PROGR. 4° TRIM]])*100,"0")</f>
        <v>100</v>
      </c>
      <c r="AL193"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ADECUADO</v>
      </c>
      <c r="AM193"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330</v>
      </c>
      <c r="AN193"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330</v>
      </c>
      <c r="AO193" s="40">
        <f>IFERROR((TABLA_AVANCE_INDICADORES[[#This Row],[AVANCE ACUM. TRIM.]]/TABLA_AVANCE_INDICADORES[[#This Row],[PROG. ACUM]])*100,"N/A")</f>
        <v>100</v>
      </c>
      <c r="AP193"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193" s="121">
        <f>TABLA_AVANCE_INDICADORES[[#This Row],[AVANCE ACUM. TRIM.]]-TABLA_AVANCE_INDICADORES[[#This Row],[PROG. ACUM]]</f>
        <v>0</v>
      </c>
      <c r="AR193" s="46">
        <f>IFERROR((TABLA_AVANCE_INDICADORES[[#This Row],[DIFERENCIA ABSOLUTA SEMESTRAL]]/TABLA_AVANCE_INDICADORES[[#This Row],[PROG. ACUM]])*100,"N/A")</f>
        <v>0</v>
      </c>
      <c r="AS193"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330</v>
      </c>
      <c r="AT193" s="40">
        <f>IFERROR((TABLA_AVANCE_INDICADORES[[#This Row],[AVANCE ACUM. ANUAL]]/TABLA_AVANCE_INDICADORES[[#This Row],[PROGRAMADO ANUAL]])*100,"N/A")</f>
        <v>50.769230769230766</v>
      </c>
      <c r="AU193"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193" s="121">
        <f>TABLA_AVANCE_INDICADORES[[#This Row],[AVANCE ACUM. ANUAL]]-TABLA_AVANCE_INDICADORES[[#This Row],[PROGRAMADO ANUAL]]</f>
        <v>-320</v>
      </c>
      <c r="AW193" s="46">
        <f>IFERROR((TABLA_AVANCE_INDICADORES[[#This Row],[DIFERENCIA ABSOLUTA ANUAL]]/TABLA_AVANCE_INDICADORES[[#This Row],[PROGRAMADO ANUAL]])*100,"N/A")</f>
        <v>-49.230769230769234</v>
      </c>
      <c r="AX193" s="148" t="s">
        <v>1390</v>
      </c>
      <c r="AY193" s="100" t="s">
        <v>63</v>
      </c>
      <c r="AZ193" s="100"/>
      <c r="BA193" s="100"/>
      <c r="BB193"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94" spans="1:54" ht="150" hidden="1" x14ac:dyDescent="0.3">
      <c r="A194" s="31" t="s">
        <v>1393</v>
      </c>
      <c r="B194" s="113" t="s">
        <v>446</v>
      </c>
      <c r="C194" s="32" t="s">
        <v>445</v>
      </c>
      <c r="D194" s="114" t="s">
        <v>446</v>
      </c>
      <c r="E194" s="32" t="s">
        <v>401</v>
      </c>
      <c r="F194" s="115" t="s">
        <v>402</v>
      </c>
      <c r="G194" s="146" t="s">
        <v>597</v>
      </c>
      <c r="H194" s="94" t="s">
        <v>1273</v>
      </c>
      <c r="I194" s="34" t="s">
        <v>1204</v>
      </c>
      <c r="J194" s="34" t="s">
        <v>177</v>
      </c>
      <c r="K194" s="94" t="s">
        <v>178</v>
      </c>
      <c r="L194" s="34" t="s">
        <v>529</v>
      </c>
      <c r="M194" s="94" t="s">
        <v>530</v>
      </c>
      <c r="N194" s="33">
        <v>1</v>
      </c>
      <c r="O194" s="33" t="s">
        <v>952</v>
      </c>
      <c r="P194" s="125" t="s">
        <v>1394</v>
      </c>
      <c r="Q194" s="125" t="s">
        <v>1395</v>
      </c>
      <c r="R194" s="116" t="s">
        <v>1396</v>
      </c>
      <c r="S194" s="34" t="s">
        <v>506</v>
      </c>
      <c r="T194" s="56" t="s">
        <v>728</v>
      </c>
      <c r="U194" s="56" t="s">
        <v>1131</v>
      </c>
      <c r="V194" s="95">
        <v>652</v>
      </c>
      <c r="W194" s="95">
        <v>165</v>
      </c>
      <c r="X194" s="117">
        <v>120</v>
      </c>
      <c r="Y194" s="38">
        <f>IFERROR((TABLA_AVANCE_INDICADORES[[#This Row],[AVANCE 1°. TRIM]]/TABLA_AVANCE_INDICADORES[[#This Row],[PROGR. 1° TRIM]])*100,"0")</f>
        <v>72.727272727272734</v>
      </c>
      <c r="Z194"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REGULAR</v>
      </c>
      <c r="AA194" s="118">
        <v>165</v>
      </c>
      <c r="AB194" s="119">
        <v>94</v>
      </c>
      <c r="AC194" s="40">
        <f t="shared" si="6"/>
        <v>56.969696969696969</v>
      </c>
      <c r="AD194" s="39" t="str">
        <f t="shared" si="7"/>
        <v>DEFICIENTE</v>
      </c>
      <c r="AE194" s="118">
        <v>160</v>
      </c>
      <c r="AF194" s="119">
        <v>0</v>
      </c>
      <c r="AG194" s="40">
        <f>IFERROR((TABLA_AVANCE_INDICADORES[[#This Row],[AVANCE 3°. TRIM]]/TABLA_AVANCE_INDICADORES[[#This Row],[PROGR. 3° TRIM]])*100,"0")</f>
        <v>0</v>
      </c>
      <c r="AH194"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CRÍTICO</v>
      </c>
      <c r="AI194" s="118">
        <v>162</v>
      </c>
      <c r="AJ194" s="119">
        <v>0</v>
      </c>
      <c r="AK194" s="96">
        <f>IFERROR((TABLA_AVANCE_INDICADORES[[#This Row],[AVANCE 4°. TRIM]]/TABLA_AVANCE_INDICADORES[[#This Row],[PROGR. 4° TRIM]])*100,"0")</f>
        <v>0</v>
      </c>
      <c r="AL194"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194"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330</v>
      </c>
      <c r="AN194"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214</v>
      </c>
      <c r="AO194" s="40">
        <f>IFERROR((TABLA_AVANCE_INDICADORES[[#This Row],[AVANCE ACUM. TRIM.]]/TABLA_AVANCE_INDICADORES[[#This Row],[PROG. ACUM]])*100,"N/A")</f>
        <v>64.848484848484844</v>
      </c>
      <c r="AP194"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DEFICIENTE</v>
      </c>
      <c r="AQ194" s="121">
        <f>TABLA_AVANCE_INDICADORES[[#This Row],[AVANCE ACUM. TRIM.]]-TABLA_AVANCE_INDICADORES[[#This Row],[PROG. ACUM]]</f>
        <v>-116</v>
      </c>
      <c r="AR194" s="46">
        <f>IFERROR((TABLA_AVANCE_INDICADORES[[#This Row],[DIFERENCIA ABSOLUTA SEMESTRAL]]/TABLA_AVANCE_INDICADORES[[#This Row],[PROG. ACUM]])*100,"N/A")</f>
        <v>-35.151515151515149</v>
      </c>
      <c r="AS194"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214</v>
      </c>
      <c r="AT194" s="40">
        <f>IFERROR((TABLA_AVANCE_INDICADORES[[#This Row],[AVANCE ACUM. ANUAL]]/TABLA_AVANCE_INDICADORES[[#This Row],[PROGRAMADO ANUAL]])*100,"N/A")</f>
        <v>32.822085889570552</v>
      </c>
      <c r="AU194"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194" s="121">
        <f>TABLA_AVANCE_INDICADORES[[#This Row],[AVANCE ACUM. ANUAL]]-TABLA_AVANCE_INDICADORES[[#This Row],[PROGRAMADO ANUAL]]</f>
        <v>-438</v>
      </c>
      <c r="AW194" s="46">
        <f>IFERROR((TABLA_AVANCE_INDICADORES[[#This Row],[DIFERENCIA ABSOLUTA ANUAL]]/TABLA_AVANCE_INDICADORES[[#This Row],[PROGRAMADO ANUAL]])*100,"N/A")</f>
        <v>-67.177914110429455</v>
      </c>
      <c r="AX194" s="148" t="s">
        <v>1390</v>
      </c>
      <c r="AY194" s="100" t="s">
        <v>63</v>
      </c>
      <c r="AZ194" s="100"/>
      <c r="BA194" s="100"/>
      <c r="BB194"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95" spans="1:54" ht="150" hidden="1" x14ac:dyDescent="0.3">
      <c r="A195" s="31" t="s">
        <v>1397</v>
      </c>
      <c r="B195" s="113" t="s">
        <v>446</v>
      </c>
      <c r="C195" s="32" t="s">
        <v>445</v>
      </c>
      <c r="D195" s="114" t="s">
        <v>446</v>
      </c>
      <c r="E195" s="32" t="s">
        <v>401</v>
      </c>
      <c r="F195" s="115" t="s">
        <v>402</v>
      </c>
      <c r="G195" s="146" t="s">
        <v>597</v>
      </c>
      <c r="H195" s="94" t="s">
        <v>1273</v>
      </c>
      <c r="I195" s="34" t="s">
        <v>1204</v>
      </c>
      <c r="J195" s="34" t="s">
        <v>177</v>
      </c>
      <c r="K195" s="94" t="s">
        <v>178</v>
      </c>
      <c r="L195" s="34" t="s">
        <v>529</v>
      </c>
      <c r="M195" s="94" t="s">
        <v>530</v>
      </c>
      <c r="N195" s="33">
        <v>2</v>
      </c>
      <c r="O195" s="33" t="s">
        <v>952</v>
      </c>
      <c r="P195" s="125" t="s">
        <v>1394</v>
      </c>
      <c r="Q195" s="125" t="s">
        <v>1398</v>
      </c>
      <c r="R195" s="116" t="s">
        <v>1396</v>
      </c>
      <c r="S195" s="34" t="s">
        <v>506</v>
      </c>
      <c r="T195" s="56" t="s">
        <v>728</v>
      </c>
      <c r="U195" s="56" t="s">
        <v>1131</v>
      </c>
      <c r="V195" s="95">
        <v>650</v>
      </c>
      <c r="W195" s="95">
        <v>165</v>
      </c>
      <c r="X195" s="127">
        <f>TABLA_AVANCE_INDICADORES[[#This Row],[PROGR. 1° TRIM]]</f>
        <v>165</v>
      </c>
      <c r="Y195" s="38">
        <f>IFERROR((TABLA_AVANCE_INDICADORES[[#This Row],[AVANCE 1°. TRIM]]/TABLA_AVANCE_INDICADORES[[#This Row],[PROGR. 1° TRIM]])*100,"0")</f>
        <v>100</v>
      </c>
      <c r="Z195"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195" s="118">
        <v>165</v>
      </c>
      <c r="AB195" s="128">
        <v>165</v>
      </c>
      <c r="AC195" s="40">
        <f t="shared" si="6"/>
        <v>100</v>
      </c>
      <c r="AD195" s="39" t="str">
        <f t="shared" si="7"/>
        <v>ADECUADO</v>
      </c>
      <c r="AE195" s="118">
        <v>160</v>
      </c>
      <c r="AF195" s="128">
        <f>AE195</f>
        <v>160</v>
      </c>
      <c r="AG195" s="40">
        <f>IFERROR((TABLA_AVANCE_INDICADORES[[#This Row],[AVANCE 3°. TRIM]]/TABLA_AVANCE_INDICADORES[[#This Row],[PROGR. 3° TRIM]])*100,"0")</f>
        <v>100</v>
      </c>
      <c r="AH195"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ADECUADO</v>
      </c>
      <c r="AI195" s="118">
        <v>160</v>
      </c>
      <c r="AJ195" s="128">
        <f>AI195</f>
        <v>160</v>
      </c>
      <c r="AK195" s="96">
        <f>IFERROR((TABLA_AVANCE_INDICADORES[[#This Row],[AVANCE 4°. TRIM]]/TABLA_AVANCE_INDICADORES[[#This Row],[PROGR. 4° TRIM]])*100,"0")</f>
        <v>100</v>
      </c>
      <c r="AL195"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ADECUADO</v>
      </c>
      <c r="AM195"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330</v>
      </c>
      <c r="AN195"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330</v>
      </c>
      <c r="AO195" s="40">
        <f>IFERROR((TABLA_AVANCE_INDICADORES[[#This Row],[AVANCE ACUM. TRIM.]]/TABLA_AVANCE_INDICADORES[[#This Row],[PROG. ACUM]])*100,"N/A")</f>
        <v>100</v>
      </c>
      <c r="AP195"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195" s="121">
        <f>TABLA_AVANCE_INDICADORES[[#This Row],[AVANCE ACUM. TRIM.]]-TABLA_AVANCE_INDICADORES[[#This Row],[PROG. ACUM]]</f>
        <v>0</v>
      </c>
      <c r="AR195" s="46">
        <f>IFERROR((TABLA_AVANCE_INDICADORES[[#This Row],[DIFERENCIA ABSOLUTA SEMESTRAL]]/TABLA_AVANCE_INDICADORES[[#This Row],[PROG. ACUM]])*100,"N/A")</f>
        <v>0</v>
      </c>
      <c r="AS195"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330</v>
      </c>
      <c r="AT195" s="40">
        <f>IFERROR((TABLA_AVANCE_INDICADORES[[#This Row],[AVANCE ACUM. ANUAL]]/TABLA_AVANCE_INDICADORES[[#This Row],[PROGRAMADO ANUAL]])*100,"N/A")</f>
        <v>50.769230769230766</v>
      </c>
      <c r="AU195"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195" s="121">
        <f>TABLA_AVANCE_INDICADORES[[#This Row],[AVANCE ACUM. ANUAL]]-TABLA_AVANCE_INDICADORES[[#This Row],[PROGRAMADO ANUAL]]</f>
        <v>-320</v>
      </c>
      <c r="AW195" s="46">
        <f>IFERROR((TABLA_AVANCE_INDICADORES[[#This Row],[DIFERENCIA ABSOLUTA ANUAL]]/TABLA_AVANCE_INDICADORES[[#This Row],[PROGRAMADO ANUAL]])*100,"N/A")</f>
        <v>-49.230769230769234</v>
      </c>
      <c r="AX195" s="148" t="s">
        <v>1390</v>
      </c>
      <c r="AY195" s="100" t="s">
        <v>63</v>
      </c>
      <c r="AZ195" s="100"/>
      <c r="BA195" s="100"/>
      <c r="BB195"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96" spans="1:54" ht="112.5" hidden="1" x14ac:dyDescent="0.3">
      <c r="A196" s="31" t="s">
        <v>1399</v>
      </c>
      <c r="B196" s="113" t="s">
        <v>196</v>
      </c>
      <c r="C196" s="32" t="s">
        <v>75</v>
      </c>
      <c r="D196" s="114" t="s">
        <v>76</v>
      </c>
      <c r="E196" s="32" t="s">
        <v>197</v>
      </c>
      <c r="F196" s="115" t="s">
        <v>198</v>
      </c>
      <c r="G196" s="146" t="s">
        <v>199</v>
      </c>
      <c r="H196" s="94" t="s">
        <v>1400</v>
      </c>
      <c r="I196" s="34" t="s">
        <v>723</v>
      </c>
      <c r="J196" s="34" t="s">
        <v>188</v>
      </c>
      <c r="K196" s="94" t="s">
        <v>189</v>
      </c>
      <c r="L196" s="34" t="s">
        <v>200</v>
      </c>
      <c r="M196" s="94" t="s">
        <v>201</v>
      </c>
      <c r="N196" s="33">
        <v>1</v>
      </c>
      <c r="O196" s="33" t="s">
        <v>724</v>
      </c>
      <c r="P196" s="125" t="s">
        <v>1401</v>
      </c>
      <c r="Q196" s="125" t="s">
        <v>1402</v>
      </c>
      <c r="R196" s="116" t="s">
        <v>1403</v>
      </c>
      <c r="S196" s="34" t="s">
        <v>206</v>
      </c>
      <c r="T196" s="56" t="s">
        <v>728</v>
      </c>
      <c r="U196" s="56" t="s">
        <v>739</v>
      </c>
      <c r="V196" s="95">
        <v>11</v>
      </c>
      <c r="W196" s="95">
        <v>0</v>
      </c>
      <c r="X196" s="117">
        <v>0</v>
      </c>
      <c r="Y196" s="38" t="str">
        <f>IFERROR((TABLA_AVANCE_INDICADORES[[#This Row],[AVANCE 1°. TRIM]]/TABLA_AVANCE_INDICADORES[[#This Row],[PROGR. 1° TRIM]])*100,"0")</f>
        <v>0</v>
      </c>
      <c r="Z196"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196" s="118">
        <v>0</v>
      </c>
      <c r="AB196" s="119">
        <v>0</v>
      </c>
      <c r="AC196" s="40" t="str">
        <f t="shared" si="6"/>
        <v>0</v>
      </c>
      <c r="AD196" s="39" t="str">
        <f t="shared" si="7"/>
        <v>NO PROG.</v>
      </c>
      <c r="AE196" s="118">
        <v>0</v>
      </c>
      <c r="AF196" s="119">
        <v>0</v>
      </c>
      <c r="AG196" s="40" t="str">
        <f>IFERROR((TABLA_AVANCE_INDICADORES[[#This Row],[AVANCE 3°. TRIM]]/TABLA_AVANCE_INDICADORES[[#This Row],[PROGR. 3° TRIM]])*100,"0")</f>
        <v>0</v>
      </c>
      <c r="AH196"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196" s="118">
        <v>11</v>
      </c>
      <c r="AJ196" s="119">
        <v>0</v>
      </c>
      <c r="AK196" s="96">
        <f>IFERROR((TABLA_AVANCE_INDICADORES[[#This Row],[AVANCE 4°. TRIM]]/TABLA_AVANCE_INDICADORES[[#This Row],[PROGR. 4° TRIM]])*100,"0")</f>
        <v>0</v>
      </c>
      <c r="AL196"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196"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0</v>
      </c>
      <c r="AN196"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O196" s="40" t="str">
        <f>IFERROR((TABLA_AVANCE_INDICADORES[[#This Row],[AVANCE ACUM. TRIM.]]/TABLA_AVANCE_INDICADORES[[#This Row],[PROG. ACUM]])*100,"N/A")</f>
        <v>N/A</v>
      </c>
      <c r="AP196"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NO PROG.</v>
      </c>
      <c r="AQ196" s="121">
        <f>TABLA_AVANCE_INDICADORES[[#This Row],[AVANCE ACUM. TRIM.]]-TABLA_AVANCE_INDICADORES[[#This Row],[PROG. ACUM]]</f>
        <v>0</v>
      </c>
      <c r="AR196" s="46" t="str">
        <f>IFERROR((TABLA_AVANCE_INDICADORES[[#This Row],[DIFERENCIA ABSOLUTA SEMESTRAL]]/TABLA_AVANCE_INDICADORES[[#This Row],[PROG. ACUM]])*100,"N/A")</f>
        <v>N/A</v>
      </c>
      <c r="AS196"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T196" s="40">
        <f>IFERROR((TABLA_AVANCE_INDICADORES[[#This Row],[AVANCE ACUM. ANUAL]]/TABLA_AVANCE_INDICADORES[[#This Row],[PROGRAMADO ANUAL]])*100,"N/A")</f>
        <v>0</v>
      </c>
      <c r="AU196"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196" s="121">
        <f>TABLA_AVANCE_INDICADORES[[#This Row],[AVANCE ACUM. ANUAL]]-TABLA_AVANCE_INDICADORES[[#This Row],[PROGRAMADO ANUAL]]</f>
        <v>-11</v>
      </c>
      <c r="AW196" s="46">
        <f>IFERROR((TABLA_AVANCE_INDICADORES[[#This Row],[DIFERENCIA ABSOLUTA ANUAL]]/TABLA_AVANCE_INDICADORES[[#This Row],[PROGRAMADO ANUAL]])*100,"N/A")</f>
        <v>-100</v>
      </c>
      <c r="AX196" s="148" t="s">
        <v>63</v>
      </c>
      <c r="AY196" s="100" t="s">
        <v>63</v>
      </c>
      <c r="AZ196" s="100"/>
      <c r="BA196" s="100"/>
      <c r="BB196"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97" spans="1:54" ht="112.5" hidden="1" x14ac:dyDescent="0.3">
      <c r="A197" s="31" t="s">
        <v>1404</v>
      </c>
      <c r="B197" s="113" t="s">
        <v>196</v>
      </c>
      <c r="C197" s="32" t="s">
        <v>75</v>
      </c>
      <c r="D197" s="114" t="s">
        <v>76</v>
      </c>
      <c r="E197" s="32" t="s">
        <v>197</v>
      </c>
      <c r="F197" s="115" t="s">
        <v>198</v>
      </c>
      <c r="G197" s="146" t="s">
        <v>199</v>
      </c>
      <c r="H197" s="94" t="s">
        <v>1400</v>
      </c>
      <c r="I197" s="34" t="s">
        <v>723</v>
      </c>
      <c r="J197" s="34" t="s">
        <v>188</v>
      </c>
      <c r="K197" s="94" t="s">
        <v>189</v>
      </c>
      <c r="L197" s="34" t="s">
        <v>200</v>
      </c>
      <c r="M197" s="94" t="s">
        <v>201</v>
      </c>
      <c r="N197" s="33">
        <v>2</v>
      </c>
      <c r="O197" s="33" t="s">
        <v>724</v>
      </c>
      <c r="P197" s="125" t="s">
        <v>1401</v>
      </c>
      <c r="Q197" s="125" t="s">
        <v>1405</v>
      </c>
      <c r="R197" s="116" t="s">
        <v>1403</v>
      </c>
      <c r="S197" s="34" t="s">
        <v>206</v>
      </c>
      <c r="T197" s="56" t="s">
        <v>728</v>
      </c>
      <c r="U197" s="56" t="s">
        <v>739</v>
      </c>
      <c r="V197" s="95">
        <v>11</v>
      </c>
      <c r="W197" s="95">
        <v>0</v>
      </c>
      <c r="X197" s="117">
        <v>0</v>
      </c>
      <c r="Y197" s="38" t="str">
        <f>IFERROR((TABLA_AVANCE_INDICADORES[[#This Row],[AVANCE 1°. TRIM]]/TABLA_AVANCE_INDICADORES[[#This Row],[PROGR. 1° TRIM]])*100,"0")</f>
        <v>0</v>
      </c>
      <c r="Z197"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197" s="118">
        <v>0</v>
      </c>
      <c r="AB197" s="119">
        <v>0</v>
      </c>
      <c r="AC197" s="40" t="str">
        <f t="shared" si="6"/>
        <v>0</v>
      </c>
      <c r="AD197" s="39" t="str">
        <f t="shared" si="7"/>
        <v>NO PROG.</v>
      </c>
      <c r="AE197" s="118">
        <v>0</v>
      </c>
      <c r="AF197" s="119">
        <v>0</v>
      </c>
      <c r="AG197" s="40" t="str">
        <f>IFERROR((TABLA_AVANCE_INDICADORES[[#This Row],[AVANCE 3°. TRIM]]/TABLA_AVANCE_INDICADORES[[#This Row],[PROGR. 3° TRIM]])*100,"0")</f>
        <v>0</v>
      </c>
      <c r="AH197"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197" s="118">
        <v>11</v>
      </c>
      <c r="AJ197" s="119">
        <v>0</v>
      </c>
      <c r="AK197" s="96">
        <f>IFERROR((TABLA_AVANCE_INDICADORES[[#This Row],[AVANCE 4°. TRIM]]/TABLA_AVANCE_INDICADORES[[#This Row],[PROGR. 4° TRIM]])*100,"0")</f>
        <v>0</v>
      </c>
      <c r="AL197"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197"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0</v>
      </c>
      <c r="AN197"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O197" s="40" t="str">
        <f>IFERROR((TABLA_AVANCE_INDICADORES[[#This Row],[AVANCE ACUM. TRIM.]]/TABLA_AVANCE_INDICADORES[[#This Row],[PROG. ACUM]])*100,"N/A")</f>
        <v>N/A</v>
      </c>
      <c r="AP197"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NO PROG.</v>
      </c>
      <c r="AQ197" s="121">
        <f>TABLA_AVANCE_INDICADORES[[#This Row],[AVANCE ACUM. TRIM.]]-TABLA_AVANCE_INDICADORES[[#This Row],[PROG. ACUM]]</f>
        <v>0</v>
      </c>
      <c r="AR197" s="46" t="str">
        <f>IFERROR((TABLA_AVANCE_INDICADORES[[#This Row],[DIFERENCIA ABSOLUTA SEMESTRAL]]/TABLA_AVANCE_INDICADORES[[#This Row],[PROG. ACUM]])*100,"N/A")</f>
        <v>N/A</v>
      </c>
      <c r="AS197"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T197" s="40">
        <f>IFERROR((TABLA_AVANCE_INDICADORES[[#This Row],[AVANCE ACUM. ANUAL]]/TABLA_AVANCE_INDICADORES[[#This Row],[PROGRAMADO ANUAL]])*100,"N/A")</f>
        <v>0</v>
      </c>
      <c r="AU197"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197" s="121">
        <f>TABLA_AVANCE_INDICADORES[[#This Row],[AVANCE ACUM. ANUAL]]-TABLA_AVANCE_INDICADORES[[#This Row],[PROGRAMADO ANUAL]]</f>
        <v>-11</v>
      </c>
      <c r="AW197" s="46">
        <f>IFERROR((TABLA_AVANCE_INDICADORES[[#This Row],[DIFERENCIA ABSOLUTA ANUAL]]/TABLA_AVANCE_INDICADORES[[#This Row],[PROGRAMADO ANUAL]])*100,"N/A")</f>
        <v>-100</v>
      </c>
      <c r="AX197" s="148" t="s">
        <v>63</v>
      </c>
      <c r="AY197" s="100" t="s">
        <v>63</v>
      </c>
      <c r="AZ197" s="100"/>
      <c r="BA197" s="100"/>
      <c r="BB197"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98" spans="1:54" ht="112.5" hidden="1" x14ac:dyDescent="0.3">
      <c r="A198" s="31" t="s">
        <v>1406</v>
      </c>
      <c r="B198" s="113" t="s">
        <v>196</v>
      </c>
      <c r="C198" s="32" t="s">
        <v>75</v>
      </c>
      <c r="D198" s="114" t="s">
        <v>76</v>
      </c>
      <c r="E198" s="32" t="s">
        <v>197</v>
      </c>
      <c r="F198" s="115" t="s">
        <v>198</v>
      </c>
      <c r="G198" s="146" t="s">
        <v>199</v>
      </c>
      <c r="H198" s="94" t="s">
        <v>1400</v>
      </c>
      <c r="I198" s="34" t="s">
        <v>723</v>
      </c>
      <c r="J198" s="34" t="s">
        <v>188</v>
      </c>
      <c r="K198" s="94" t="s">
        <v>189</v>
      </c>
      <c r="L198" s="34" t="s">
        <v>200</v>
      </c>
      <c r="M198" s="94" t="s">
        <v>201</v>
      </c>
      <c r="N198" s="33">
        <v>1</v>
      </c>
      <c r="O198" s="33" t="s">
        <v>734</v>
      </c>
      <c r="P198" s="125" t="s">
        <v>1407</v>
      </c>
      <c r="Q198" s="125" t="s">
        <v>1408</v>
      </c>
      <c r="R198" s="116" t="s">
        <v>1409</v>
      </c>
      <c r="S198" s="34" t="s">
        <v>206</v>
      </c>
      <c r="T198" s="56" t="s">
        <v>728</v>
      </c>
      <c r="U198" s="56" t="s">
        <v>739</v>
      </c>
      <c r="V198" s="95">
        <v>11</v>
      </c>
      <c r="W198" s="95">
        <v>0</v>
      </c>
      <c r="X198" s="117">
        <v>0</v>
      </c>
      <c r="Y198" s="38" t="str">
        <f>IFERROR((TABLA_AVANCE_INDICADORES[[#This Row],[AVANCE 1°. TRIM]]/TABLA_AVANCE_INDICADORES[[#This Row],[PROGR. 1° TRIM]])*100,"0")</f>
        <v>0</v>
      </c>
      <c r="Z198"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198" s="118">
        <v>0</v>
      </c>
      <c r="AB198" s="119">
        <v>0</v>
      </c>
      <c r="AC198" s="40" t="str">
        <f t="shared" si="6"/>
        <v>0</v>
      </c>
      <c r="AD198" s="39" t="str">
        <f t="shared" si="7"/>
        <v>NO PROG.</v>
      </c>
      <c r="AE198" s="118">
        <v>0</v>
      </c>
      <c r="AF198" s="119">
        <v>0</v>
      </c>
      <c r="AG198" s="40" t="str">
        <f>IFERROR((TABLA_AVANCE_INDICADORES[[#This Row],[AVANCE 3°. TRIM]]/TABLA_AVANCE_INDICADORES[[#This Row],[PROGR. 3° TRIM]])*100,"0")</f>
        <v>0</v>
      </c>
      <c r="AH198"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198" s="118">
        <v>11</v>
      </c>
      <c r="AJ198" s="119">
        <v>0</v>
      </c>
      <c r="AK198" s="96">
        <f>IFERROR((TABLA_AVANCE_INDICADORES[[#This Row],[AVANCE 4°. TRIM]]/TABLA_AVANCE_INDICADORES[[#This Row],[PROGR. 4° TRIM]])*100,"0")</f>
        <v>0</v>
      </c>
      <c r="AL198"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198"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0</v>
      </c>
      <c r="AN198"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O198" s="40" t="str">
        <f>IFERROR((TABLA_AVANCE_INDICADORES[[#This Row],[AVANCE ACUM. TRIM.]]/TABLA_AVANCE_INDICADORES[[#This Row],[PROG. ACUM]])*100,"N/A")</f>
        <v>N/A</v>
      </c>
      <c r="AP198"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NO PROG.</v>
      </c>
      <c r="AQ198" s="121">
        <f>TABLA_AVANCE_INDICADORES[[#This Row],[AVANCE ACUM. TRIM.]]-TABLA_AVANCE_INDICADORES[[#This Row],[PROG. ACUM]]</f>
        <v>0</v>
      </c>
      <c r="AR198" s="46" t="str">
        <f>IFERROR((TABLA_AVANCE_INDICADORES[[#This Row],[DIFERENCIA ABSOLUTA SEMESTRAL]]/TABLA_AVANCE_INDICADORES[[#This Row],[PROG. ACUM]])*100,"N/A")</f>
        <v>N/A</v>
      </c>
      <c r="AS198"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T198" s="40">
        <f>IFERROR((TABLA_AVANCE_INDICADORES[[#This Row],[AVANCE ACUM. ANUAL]]/TABLA_AVANCE_INDICADORES[[#This Row],[PROGRAMADO ANUAL]])*100,"N/A")</f>
        <v>0</v>
      </c>
      <c r="AU198"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198" s="121">
        <f>TABLA_AVANCE_INDICADORES[[#This Row],[AVANCE ACUM. ANUAL]]-TABLA_AVANCE_INDICADORES[[#This Row],[PROGRAMADO ANUAL]]</f>
        <v>-11</v>
      </c>
      <c r="AW198" s="46">
        <f>IFERROR((TABLA_AVANCE_INDICADORES[[#This Row],[DIFERENCIA ABSOLUTA ANUAL]]/TABLA_AVANCE_INDICADORES[[#This Row],[PROGRAMADO ANUAL]])*100,"N/A")</f>
        <v>-100</v>
      </c>
      <c r="AX198" s="148" t="s">
        <v>63</v>
      </c>
      <c r="AY198" s="100" t="s">
        <v>63</v>
      </c>
      <c r="AZ198" s="100"/>
      <c r="BA198" s="100"/>
      <c r="BB198"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199" spans="1:54" ht="112.5" hidden="1" x14ac:dyDescent="0.3">
      <c r="A199" s="31" t="s">
        <v>1410</v>
      </c>
      <c r="B199" s="113" t="s">
        <v>196</v>
      </c>
      <c r="C199" s="32" t="s">
        <v>75</v>
      </c>
      <c r="D199" s="114" t="s">
        <v>76</v>
      </c>
      <c r="E199" s="32" t="s">
        <v>197</v>
      </c>
      <c r="F199" s="115" t="s">
        <v>198</v>
      </c>
      <c r="G199" s="146" t="s">
        <v>199</v>
      </c>
      <c r="H199" s="94" t="s">
        <v>1400</v>
      </c>
      <c r="I199" s="34" t="s">
        <v>723</v>
      </c>
      <c r="J199" s="34" t="s">
        <v>188</v>
      </c>
      <c r="K199" s="94" t="s">
        <v>189</v>
      </c>
      <c r="L199" s="34" t="s">
        <v>200</v>
      </c>
      <c r="M199" s="94" t="s">
        <v>201</v>
      </c>
      <c r="N199" s="33">
        <v>2</v>
      </c>
      <c r="O199" s="33" t="s">
        <v>734</v>
      </c>
      <c r="P199" s="125" t="s">
        <v>1407</v>
      </c>
      <c r="Q199" s="125" t="s">
        <v>1411</v>
      </c>
      <c r="R199" s="116" t="s">
        <v>1409</v>
      </c>
      <c r="S199" s="34" t="s">
        <v>206</v>
      </c>
      <c r="T199" s="56" t="s">
        <v>728</v>
      </c>
      <c r="U199" s="56" t="s">
        <v>739</v>
      </c>
      <c r="V199" s="95">
        <v>11</v>
      </c>
      <c r="W199" s="95">
        <v>0</v>
      </c>
      <c r="X199" s="117">
        <v>0</v>
      </c>
      <c r="Y199" s="38" t="str">
        <f>IFERROR((TABLA_AVANCE_INDICADORES[[#This Row],[AVANCE 1°. TRIM]]/TABLA_AVANCE_INDICADORES[[#This Row],[PROGR. 1° TRIM]])*100,"0")</f>
        <v>0</v>
      </c>
      <c r="Z199"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199" s="118">
        <v>0</v>
      </c>
      <c r="AB199" s="119">
        <v>0</v>
      </c>
      <c r="AC199" s="40" t="str">
        <f t="shared" si="6"/>
        <v>0</v>
      </c>
      <c r="AD199" s="39" t="str">
        <f t="shared" si="7"/>
        <v>NO PROG.</v>
      </c>
      <c r="AE199" s="118">
        <v>0</v>
      </c>
      <c r="AF199" s="119">
        <v>0</v>
      </c>
      <c r="AG199" s="40" t="str">
        <f>IFERROR((TABLA_AVANCE_INDICADORES[[#This Row],[AVANCE 3°. TRIM]]/TABLA_AVANCE_INDICADORES[[#This Row],[PROGR. 3° TRIM]])*100,"0")</f>
        <v>0</v>
      </c>
      <c r="AH199"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199" s="118">
        <v>11</v>
      </c>
      <c r="AJ199" s="119">
        <v>0</v>
      </c>
      <c r="AK199" s="96">
        <f>IFERROR((TABLA_AVANCE_INDICADORES[[#This Row],[AVANCE 4°. TRIM]]/TABLA_AVANCE_INDICADORES[[#This Row],[PROGR. 4° TRIM]])*100,"0")</f>
        <v>0</v>
      </c>
      <c r="AL199"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199"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0</v>
      </c>
      <c r="AN199"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O199" s="40" t="str">
        <f>IFERROR((TABLA_AVANCE_INDICADORES[[#This Row],[AVANCE ACUM. TRIM.]]/TABLA_AVANCE_INDICADORES[[#This Row],[PROG. ACUM]])*100,"N/A")</f>
        <v>N/A</v>
      </c>
      <c r="AP199"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NO PROG.</v>
      </c>
      <c r="AQ199" s="121">
        <f>TABLA_AVANCE_INDICADORES[[#This Row],[AVANCE ACUM. TRIM.]]-TABLA_AVANCE_INDICADORES[[#This Row],[PROG. ACUM]]</f>
        <v>0</v>
      </c>
      <c r="AR199" s="46" t="str">
        <f>IFERROR((TABLA_AVANCE_INDICADORES[[#This Row],[DIFERENCIA ABSOLUTA SEMESTRAL]]/TABLA_AVANCE_INDICADORES[[#This Row],[PROG. ACUM]])*100,"N/A")</f>
        <v>N/A</v>
      </c>
      <c r="AS199"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T199" s="40">
        <f>IFERROR((TABLA_AVANCE_INDICADORES[[#This Row],[AVANCE ACUM. ANUAL]]/TABLA_AVANCE_INDICADORES[[#This Row],[PROGRAMADO ANUAL]])*100,"N/A")</f>
        <v>0</v>
      </c>
      <c r="AU199"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199" s="121">
        <f>TABLA_AVANCE_INDICADORES[[#This Row],[AVANCE ACUM. ANUAL]]-TABLA_AVANCE_INDICADORES[[#This Row],[PROGRAMADO ANUAL]]</f>
        <v>-11</v>
      </c>
      <c r="AW199" s="46">
        <f>IFERROR((TABLA_AVANCE_INDICADORES[[#This Row],[DIFERENCIA ABSOLUTA ANUAL]]/TABLA_AVANCE_INDICADORES[[#This Row],[PROGRAMADO ANUAL]])*100,"N/A")</f>
        <v>-100</v>
      </c>
      <c r="AX199" s="148" t="s">
        <v>63</v>
      </c>
      <c r="AY199" s="100" t="s">
        <v>63</v>
      </c>
      <c r="AZ199" s="100"/>
      <c r="BA199" s="100"/>
      <c r="BB199"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200" spans="1:54" ht="112.5" hidden="1" x14ac:dyDescent="0.3">
      <c r="A200" s="31" t="s">
        <v>1412</v>
      </c>
      <c r="B200" s="113" t="s">
        <v>196</v>
      </c>
      <c r="C200" s="32" t="s">
        <v>75</v>
      </c>
      <c r="D200" s="114" t="s">
        <v>76</v>
      </c>
      <c r="E200" s="32" t="s">
        <v>197</v>
      </c>
      <c r="F200" s="115" t="s">
        <v>198</v>
      </c>
      <c r="G200" s="146" t="s">
        <v>199</v>
      </c>
      <c r="H200" s="94" t="s">
        <v>1400</v>
      </c>
      <c r="I200" s="34" t="s">
        <v>723</v>
      </c>
      <c r="J200" s="34" t="s">
        <v>188</v>
      </c>
      <c r="K200" s="94" t="s">
        <v>189</v>
      </c>
      <c r="L200" s="34" t="s">
        <v>200</v>
      </c>
      <c r="M200" s="94" t="s">
        <v>201</v>
      </c>
      <c r="N200" s="33">
        <v>1</v>
      </c>
      <c r="O200" s="33" t="s">
        <v>743</v>
      </c>
      <c r="P200" s="125" t="s">
        <v>1413</v>
      </c>
      <c r="Q200" s="125" t="s">
        <v>1414</v>
      </c>
      <c r="R200" s="116" t="s">
        <v>1415</v>
      </c>
      <c r="S200" s="34" t="s">
        <v>1416</v>
      </c>
      <c r="T200" s="56" t="s">
        <v>728</v>
      </c>
      <c r="U200" s="56" t="s">
        <v>739</v>
      </c>
      <c r="V200" s="95">
        <v>13</v>
      </c>
      <c r="W200" s="95">
        <v>0</v>
      </c>
      <c r="X200" s="117">
        <v>0</v>
      </c>
      <c r="Y200" s="38" t="str">
        <f>IFERROR((TABLA_AVANCE_INDICADORES[[#This Row],[AVANCE 1°. TRIM]]/TABLA_AVANCE_INDICADORES[[#This Row],[PROGR. 1° TRIM]])*100,"0")</f>
        <v>0</v>
      </c>
      <c r="Z200"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200" s="118">
        <v>0</v>
      </c>
      <c r="AB200" s="119">
        <v>0</v>
      </c>
      <c r="AC200" s="40" t="str">
        <f t="shared" si="6"/>
        <v>0</v>
      </c>
      <c r="AD200" s="39" t="str">
        <f t="shared" si="7"/>
        <v>NO PROG.</v>
      </c>
      <c r="AE200" s="118">
        <v>0</v>
      </c>
      <c r="AF200" s="119">
        <v>0</v>
      </c>
      <c r="AG200" s="40" t="str">
        <f>IFERROR((TABLA_AVANCE_INDICADORES[[#This Row],[AVANCE 3°. TRIM]]/TABLA_AVANCE_INDICADORES[[#This Row],[PROGR. 3° TRIM]])*100,"0")</f>
        <v>0</v>
      </c>
      <c r="AH200"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200" s="118">
        <v>13</v>
      </c>
      <c r="AJ200" s="119">
        <v>0</v>
      </c>
      <c r="AK200" s="96">
        <f>IFERROR((TABLA_AVANCE_INDICADORES[[#This Row],[AVANCE 4°. TRIM]]/TABLA_AVANCE_INDICADORES[[#This Row],[PROGR. 4° TRIM]])*100,"0")</f>
        <v>0</v>
      </c>
      <c r="AL200"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200"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0</v>
      </c>
      <c r="AN200"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O200" s="40" t="str">
        <f>IFERROR((TABLA_AVANCE_INDICADORES[[#This Row],[AVANCE ACUM. TRIM.]]/TABLA_AVANCE_INDICADORES[[#This Row],[PROG. ACUM]])*100,"N/A")</f>
        <v>N/A</v>
      </c>
      <c r="AP200"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NO PROG.</v>
      </c>
      <c r="AQ200" s="121">
        <f>TABLA_AVANCE_INDICADORES[[#This Row],[AVANCE ACUM. TRIM.]]-TABLA_AVANCE_INDICADORES[[#This Row],[PROG. ACUM]]</f>
        <v>0</v>
      </c>
      <c r="AR200" s="46" t="str">
        <f>IFERROR((TABLA_AVANCE_INDICADORES[[#This Row],[DIFERENCIA ABSOLUTA SEMESTRAL]]/TABLA_AVANCE_INDICADORES[[#This Row],[PROG. ACUM]])*100,"N/A")</f>
        <v>N/A</v>
      </c>
      <c r="AS200"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T200" s="40">
        <f>IFERROR((TABLA_AVANCE_INDICADORES[[#This Row],[AVANCE ACUM. ANUAL]]/TABLA_AVANCE_INDICADORES[[#This Row],[PROGRAMADO ANUAL]])*100,"N/A")</f>
        <v>0</v>
      </c>
      <c r="AU200"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200" s="121">
        <f>TABLA_AVANCE_INDICADORES[[#This Row],[AVANCE ACUM. ANUAL]]-TABLA_AVANCE_INDICADORES[[#This Row],[PROGRAMADO ANUAL]]</f>
        <v>-13</v>
      </c>
      <c r="AW200" s="46">
        <f>IFERROR((TABLA_AVANCE_INDICADORES[[#This Row],[DIFERENCIA ABSOLUTA ANUAL]]/TABLA_AVANCE_INDICADORES[[#This Row],[PROGRAMADO ANUAL]])*100,"N/A")</f>
        <v>-100</v>
      </c>
      <c r="AX200" s="148" t="s">
        <v>63</v>
      </c>
      <c r="AY200" s="100" t="s">
        <v>63</v>
      </c>
      <c r="AZ200" s="100"/>
      <c r="BA200" s="100"/>
      <c r="BB200"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201" spans="1:54" ht="112.5" hidden="1" x14ac:dyDescent="0.3">
      <c r="A201" s="31" t="s">
        <v>1417</v>
      </c>
      <c r="B201" s="113" t="s">
        <v>196</v>
      </c>
      <c r="C201" s="32" t="s">
        <v>75</v>
      </c>
      <c r="D201" s="114" t="s">
        <v>76</v>
      </c>
      <c r="E201" s="32" t="s">
        <v>197</v>
      </c>
      <c r="F201" s="115" t="s">
        <v>198</v>
      </c>
      <c r="G201" s="146" t="s">
        <v>199</v>
      </c>
      <c r="H201" s="94" t="s">
        <v>1400</v>
      </c>
      <c r="I201" s="34" t="s">
        <v>723</v>
      </c>
      <c r="J201" s="34" t="s">
        <v>188</v>
      </c>
      <c r="K201" s="94" t="s">
        <v>189</v>
      </c>
      <c r="L201" s="34" t="s">
        <v>200</v>
      </c>
      <c r="M201" s="94" t="s">
        <v>201</v>
      </c>
      <c r="N201" s="33">
        <v>2</v>
      </c>
      <c r="O201" s="33" t="s">
        <v>743</v>
      </c>
      <c r="P201" s="125" t="s">
        <v>1413</v>
      </c>
      <c r="Q201" s="125" t="s">
        <v>1418</v>
      </c>
      <c r="R201" s="116" t="s">
        <v>1415</v>
      </c>
      <c r="S201" s="34" t="s">
        <v>1416</v>
      </c>
      <c r="T201" s="56" t="s">
        <v>728</v>
      </c>
      <c r="U201" s="56" t="s">
        <v>739</v>
      </c>
      <c r="V201" s="95">
        <v>13</v>
      </c>
      <c r="W201" s="95">
        <v>0</v>
      </c>
      <c r="X201" s="117">
        <v>0</v>
      </c>
      <c r="Y201" s="38" t="str">
        <f>IFERROR((TABLA_AVANCE_INDICADORES[[#This Row],[AVANCE 1°. TRIM]]/TABLA_AVANCE_INDICADORES[[#This Row],[PROGR. 1° TRIM]])*100,"0")</f>
        <v>0</v>
      </c>
      <c r="Z201"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201" s="118">
        <v>0</v>
      </c>
      <c r="AB201" s="119">
        <v>0</v>
      </c>
      <c r="AC201" s="40" t="str">
        <f t="shared" si="6"/>
        <v>0</v>
      </c>
      <c r="AD201" s="39" t="str">
        <f t="shared" si="7"/>
        <v>NO PROG.</v>
      </c>
      <c r="AE201" s="118">
        <v>0</v>
      </c>
      <c r="AF201" s="119">
        <v>0</v>
      </c>
      <c r="AG201" s="40" t="str">
        <f>IFERROR((TABLA_AVANCE_INDICADORES[[#This Row],[AVANCE 3°. TRIM]]/TABLA_AVANCE_INDICADORES[[#This Row],[PROGR. 3° TRIM]])*100,"0")</f>
        <v>0</v>
      </c>
      <c r="AH201"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201" s="118">
        <v>13</v>
      </c>
      <c r="AJ201" s="119">
        <v>0</v>
      </c>
      <c r="AK201" s="96">
        <f>IFERROR((TABLA_AVANCE_INDICADORES[[#This Row],[AVANCE 4°. TRIM]]/TABLA_AVANCE_INDICADORES[[#This Row],[PROGR. 4° TRIM]])*100,"0")</f>
        <v>0</v>
      </c>
      <c r="AL201"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201"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0</v>
      </c>
      <c r="AN201"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O201" s="40" t="str">
        <f>IFERROR((TABLA_AVANCE_INDICADORES[[#This Row],[AVANCE ACUM. TRIM.]]/TABLA_AVANCE_INDICADORES[[#This Row],[PROG. ACUM]])*100,"N/A")</f>
        <v>N/A</v>
      </c>
      <c r="AP201"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NO PROG.</v>
      </c>
      <c r="AQ201" s="121">
        <f>TABLA_AVANCE_INDICADORES[[#This Row],[AVANCE ACUM. TRIM.]]-TABLA_AVANCE_INDICADORES[[#This Row],[PROG. ACUM]]</f>
        <v>0</v>
      </c>
      <c r="AR201" s="46" t="str">
        <f>IFERROR((TABLA_AVANCE_INDICADORES[[#This Row],[DIFERENCIA ABSOLUTA SEMESTRAL]]/TABLA_AVANCE_INDICADORES[[#This Row],[PROG. ACUM]])*100,"N/A")</f>
        <v>N/A</v>
      </c>
      <c r="AS201"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T201" s="40">
        <f>IFERROR((TABLA_AVANCE_INDICADORES[[#This Row],[AVANCE ACUM. ANUAL]]/TABLA_AVANCE_INDICADORES[[#This Row],[PROGRAMADO ANUAL]])*100,"N/A")</f>
        <v>0</v>
      </c>
      <c r="AU201"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201" s="121">
        <f>TABLA_AVANCE_INDICADORES[[#This Row],[AVANCE ACUM. ANUAL]]-TABLA_AVANCE_INDICADORES[[#This Row],[PROGRAMADO ANUAL]]</f>
        <v>-13</v>
      </c>
      <c r="AW201" s="46">
        <f>IFERROR((TABLA_AVANCE_INDICADORES[[#This Row],[DIFERENCIA ABSOLUTA ANUAL]]/TABLA_AVANCE_INDICADORES[[#This Row],[PROGRAMADO ANUAL]])*100,"N/A")</f>
        <v>-100</v>
      </c>
      <c r="AX201" s="148" t="s">
        <v>63</v>
      </c>
      <c r="AY201" s="100" t="s">
        <v>63</v>
      </c>
      <c r="AZ201" s="100"/>
      <c r="BA201" s="100"/>
      <c r="BB201"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202" spans="1:54" ht="112.5" hidden="1" x14ac:dyDescent="0.3">
      <c r="A202" s="31" t="s">
        <v>1419</v>
      </c>
      <c r="B202" s="113" t="s">
        <v>196</v>
      </c>
      <c r="C202" s="32" t="s">
        <v>75</v>
      </c>
      <c r="D202" s="114" t="s">
        <v>76</v>
      </c>
      <c r="E202" s="32" t="s">
        <v>197</v>
      </c>
      <c r="F202" s="115" t="s">
        <v>198</v>
      </c>
      <c r="G202" s="146" t="s">
        <v>199</v>
      </c>
      <c r="H202" s="94" t="s">
        <v>1400</v>
      </c>
      <c r="I202" s="34" t="s">
        <v>723</v>
      </c>
      <c r="J202" s="34" t="s">
        <v>188</v>
      </c>
      <c r="K202" s="94" t="s">
        <v>189</v>
      </c>
      <c r="L202" s="34" t="s">
        <v>200</v>
      </c>
      <c r="M202" s="94" t="s">
        <v>201</v>
      </c>
      <c r="N202" s="33">
        <v>1</v>
      </c>
      <c r="O202" s="33" t="s">
        <v>786</v>
      </c>
      <c r="P202" s="125" t="s">
        <v>1420</v>
      </c>
      <c r="Q202" s="125" t="s">
        <v>1421</v>
      </c>
      <c r="R202" s="116" t="s">
        <v>1422</v>
      </c>
      <c r="S202" s="34" t="s">
        <v>85</v>
      </c>
      <c r="T202" s="56" t="s">
        <v>728</v>
      </c>
      <c r="U202" s="56" t="s">
        <v>755</v>
      </c>
      <c r="V202" s="95">
        <v>4</v>
      </c>
      <c r="W202" s="95">
        <v>1</v>
      </c>
      <c r="X202" s="117">
        <v>1</v>
      </c>
      <c r="Y202" s="38">
        <f>IFERROR((TABLA_AVANCE_INDICADORES[[#This Row],[AVANCE 1°. TRIM]]/TABLA_AVANCE_INDICADORES[[#This Row],[PROGR. 1° TRIM]])*100,"0")</f>
        <v>100</v>
      </c>
      <c r="Z202"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202" s="118">
        <v>1</v>
      </c>
      <c r="AB202" s="119">
        <v>1</v>
      </c>
      <c r="AC202" s="40">
        <f t="shared" si="6"/>
        <v>100</v>
      </c>
      <c r="AD202" s="39" t="str">
        <f t="shared" si="7"/>
        <v>ADECUADO</v>
      </c>
      <c r="AE202" s="118">
        <v>1</v>
      </c>
      <c r="AF202" s="119">
        <v>0</v>
      </c>
      <c r="AG202" s="40">
        <f>IFERROR((TABLA_AVANCE_INDICADORES[[#This Row],[AVANCE 3°. TRIM]]/TABLA_AVANCE_INDICADORES[[#This Row],[PROGR. 3° TRIM]])*100,"0")</f>
        <v>0</v>
      </c>
      <c r="AH202"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CRÍTICO</v>
      </c>
      <c r="AI202" s="118">
        <v>1</v>
      </c>
      <c r="AJ202" s="119">
        <v>0</v>
      </c>
      <c r="AK202" s="96">
        <f>IFERROR((TABLA_AVANCE_INDICADORES[[#This Row],[AVANCE 4°. TRIM]]/TABLA_AVANCE_INDICADORES[[#This Row],[PROGR. 4° TRIM]])*100,"0")</f>
        <v>0</v>
      </c>
      <c r="AL202"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202"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2</v>
      </c>
      <c r="AN202"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v>
      </c>
      <c r="AO202" s="40">
        <f>IFERROR((TABLA_AVANCE_INDICADORES[[#This Row],[AVANCE ACUM. TRIM.]]/TABLA_AVANCE_INDICADORES[[#This Row],[PROG. ACUM]])*100,"N/A")</f>
        <v>100</v>
      </c>
      <c r="AP202"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202" s="121">
        <f>TABLA_AVANCE_INDICADORES[[#This Row],[AVANCE ACUM. TRIM.]]-TABLA_AVANCE_INDICADORES[[#This Row],[PROG. ACUM]]</f>
        <v>0</v>
      </c>
      <c r="AR202" s="46">
        <f>IFERROR((TABLA_AVANCE_INDICADORES[[#This Row],[DIFERENCIA ABSOLUTA SEMESTRAL]]/TABLA_AVANCE_INDICADORES[[#This Row],[PROG. ACUM]])*100,"N/A")</f>
        <v>0</v>
      </c>
      <c r="AS202"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v>
      </c>
      <c r="AT202" s="40">
        <f>IFERROR((TABLA_AVANCE_INDICADORES[[#This Row],[AVANCE ACUM. ANUAL]]/TABLA_AVANCE_INDICADORES[[#This Row],[PROGRAMADO ANUAL]])*100,"N/A")</f>
        <v>50</v>
      </c>
      <c r="AU202"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202" s="121">
        <f>TABLA_AVANCE_INDICADORES[[#This Row],[AVANCE ACUM. ANUAL]]-TABLA_AVANCE_INDICADORES[[#This Row],[PROGRAMADO ANUAL]]</f>
        <v>-2</v>
      </c>
      <c r="AW202" s="46">
        <f>IFERROR((TABLA_AVANCE_INDICADORES[[#This Row],[DIFERENCIA ABSOLUTA ANUAL]]/TABLA_AVANCE_INDICADORES[[#This Row],[PROGRAMADO ANUAL]])*100,"N/A")</f>
        <v>-50</v>
      </c>
      <c r="AX202" s="148" t="s">
        <v>63</v>
      </c>
      <c r="AY202" s="100" t="s">
        <v>63</v>
      </c>
      <c r="AZ202" s="100"/>
      <c r="BA202" s="100"/>
      <c r="BB202"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203" spans="1:54" ht="112.5" hidden="1" x14ac:dyDescent="0.3">
      <c r="A203" s="31" t="s">
        <v>1423</v>
      </c>
      <c r="B203" s="113" t="s">
        <v>196</v>
      </c>
      <c r="C203" s="32" t="s">
        <v>75</v>
      </c>
      <c r="D203" s="114" t="s">
        <v>76</v>
      </c>
      <c r="E203" s="32" t="s">
        <v>197</v>
      </c>
      <c r="F203" s="115" t="s">
        <v>198</v>
      </c>
      <c r="G203" s="146" t="s">
        <v>199</v>
      </c>
      <c r="H203" s="94" t="s">
        <v>1400</v>
      </c>
      <c r="I203" s="34" t="s">
        <v>723</v>
      </c>
      <c r="J203" s="34" t="s">
        <v>188</v>
      </c>
      <c r="K203" s="94" t="s">
        <v>189</v>
      </c>
      <c r="L203" s="34" t="s">
        <v>200</v>
      </c>
      <c r="M203" s="94" t="s">
        <v>201</v>
      </c>
      <c r="N203" s="33">
        <v>2</v>
      </c>
      <c r="O203" s="33" t="s">
        <v>786</v>
      </c>
      <c r="P203" s="125" t="s">
        <v>1420</v>
      </c>
      <c r="Q203" s="125" t="s">
        <v>1424</v>
      </c>
      <c r="R203" s="116" t="s">
        <v>1422</v>
      </c>
      <c r="S203" s="34" t="s">
        <v>85</v>
      </c>
      <c r="T203" s="56" t="s">
        <v>728</v>
      </c>
      <c r="U203" s="56" t="s">
        <v>755</v>
      </c>
      <c r="V203" s="95">
        <v>4</v>
      </c>
      <c r="W203" s="95">
        <v>1</v>
      </c>
      <c r="X203" s="117">
        <v>1</v>
      </c>
      <c r="Y203" s="38">
        <f>IFERROR((TABLA_AVANCE_INDICADORES[[#This Row],[AVANCE 1°. TRIM]]/TABLA_AVANCE_INDICADORES[[#This Row],[PROGR. 1° TRIM]])*100,"0")</f>
        <v>100</v>
      </c>
      <c r="Z203"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203" s="118">
        <v>1</v>
      </c>
      <c r="AB203" s="119">
        <v>1</v>
      </c>
      <c r="AC203" s="40">
        <f t="shared" si="6"/>
        <v>100</v>
      </c>
      <c r="AD203" s="39" t="str">
        <f t="shared" si="7"/>
        <v>ADECUADO</v>
      </c>
      <c r="AE203" s="118">
        <v>1</v>
      </c>
      <c r="AF203" s="119">
        <v>0</v>
      </c>
      <c r="AG203" s="40">
        <f>IFERROR((TABLA_AVANCE_INDICADORES[[#This Row],[AVANCE 3°. TRIM]]/TABLA_AVANCE_INDICADORES[[#This Row],[PROGR. 3° TRIM]])*100,"0")</f>
        <v>0</v>
      </c>
      <c r="AH203"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CRÍTICO</v>
      </c>
      <c r="AI203" s="118">
        <v>1</v>
      </c>
      <c r="AJ203" s="119">
        <v>0</v>
      </c>
      <c r="AK203" s="96">
        <f>IFERROR((TABLA_AVANCE_INDICADORES[[#This Row],[AVANCE 4°. TRIM]]/TABLA_AVANCE_INDICADORES[[#This Row],[PROGR. 4° TRIM]])*100,"0")</f>
        <v>0</v>
      </c>
      <c r="AL203"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203"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2</v>
      </c>
      <c r="AN203"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v>
      </c>
      <c r="AO203" s="40">
        <f>IFERROR((TABLA_AVANCE_INDICADORES[[#This Row],[AVANCE ACUM. TRIM.]]/TABLA_AVANCE_INDICADORES[[#This Row],[PROG. ACUM]])*100,"N/A")</f>
        <v>100</v>
      </c>
      <c r="AP203"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203" s="121">
        <f>TABLA_AVANCE_INDICADORES[[#This Row],[AVANCE ACUM. TRIM.]]-TABLA_AVANCE_INDICADORES[[#This Row],[PROG. ACUM]]</f>
        <v>0</v>
      </c>
      <c r="AR203" s="46">
        <f>IFERROR((TABLA_AVANCE_INDICADORES[[#This Row],[DIFERENCIA ABSOLUTA SEMESTRAL]]/TABLA_AVANCE_INDICADORES[[#This Row],[PROG. ACUM]])*100,"N/A")</f>
        <v>0</v>
      </c>
      <c r="AS203"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v>
      </c>
      <c r="AT203" s="40">
        <f>IFERROR((TABLA_AVANCE_INDICADORES[[#This Row],[AVANCE ACUM. ANUAL]]/TABLA_AVANCE_INDICADORES[[#This Row],[PROGRAMADO ANUAL]])*100,"N/A")</f>
        <v>50</v>
      </c>
      <c r="AU203"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203" s="121">
        <f>TABLA_AVANCE_INDICADORES[[#This Row],[AVANCE ACUM. ANUAL]]-TABLA_AVANCE_INDICADORES[[#This Row],[PROGRAMADO ANUAL]]</f>
        <v>-2</v>
      </c>
      <c r="AW203" s="46">
        <f>IFERROR((TABLA_AVANCE_INDICADORES[[#This Row],[DIFERENCIA ABSOLUTA ANUAL]]/TABLA_AVANCE_INDICADORES[[#This Row],[PROGRAMADO ANUAL]])*100,"N/A")</f>
        <v>-50</v>
      </c>
      <c r="AX203" s="148" t="s">
        <v>63</v>
      </c>
      <c r="AY203" s="100" t="s">
        <v>63</v>
      </c>
      <c r="AZ203" s="100"/>
      <c r="BA203" s="100"/>
      <c r="BB203"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204" spans="1:54" ht="112.5" hidden="1" x14ac:dyDescent="0.3">
      <c r="A204" s="31" t="s">
        <v>1425</v>
      </c>
      <c r="B204" s="113" t="s">
        <v>196</v>
      </c>
      <c r="C204" s="32" t="s">
        <v>75</v>
      </c>
      <c r="D204" s="114" t="s">
        <v>76</v>
      </c>
      <c r="E204" s="32" t="s">
        <v>197</v>
      </c>
      <c r="F204" s="115" t="s">
        <v>198</v>
      </c>
      <c r="G204" s="146" t="s">
        <v>199</v>
      </c>
      <c r="H204" s="94" t="s">
        <v>1400</v>
      </c>
      <c r="I204" s="34" t="s">
        <v>723</v>
      </c>
      <c r="J204" s="34" t="s">
        <v>188</v>
      </c>
      <c r="K204" s="94" t="s">
        <v>189</v>
      </c>
      <c r="L204" s="34" t="s">
        <v>200</v>
      </c>
      <c r="M204" s="94" t="s">
        <v>201</v>
      </c>
      <c r="N204" s="33">
        <v>1</v>
      </c>
      <c r="O204" s="33" t="s">
        <v>898</v>
      </c>
      <c r="P204" s="125" t="s">
        <v>1426</v>
      </c>
      <c r="Q204" s="125" t="s">
        <v>1427</v>
      </c>
      <c r="R204" s="116" t="s">
        <v>1428</v>
      </c>
      <c r="S204" s="34" t="s">
        <v>210</v>
      </c>
      <c r="T204" s="56" t="s">
        <v>728</v>
      </c>
      <c r="U204" s="56" t="s">
        <v>755</v>
      </c>
      <c r="V204" s="95">
        <v>1</v>
      </c>
      <c r="W204" s="95">
        <v>0</v>
      </c>
      <c r="X204" s="117">
        <v>0</v>
      </c>
      <c r="Y204" s="38" t="str">
        <f>IFERROR((TABLA_AVANCE_INDICADORES[[#This Row],[AVANCE 1°. TRIM]]/TABLA_AVANCE_INDICADORES[[#This Row],[PROGR. 1° TRIM]])*100,"0")</f>
        <v>0</v>
      </c>
      <c r="Z204"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204" s="118">
        <v>1</v>
      </c>
      <c r="AB204" s="119">
        <v>1</v>
      </c>
      <c r="AC204" s="40">
        <f t="shared" si="6"/>
        <v>100</v>
      </c>
      <c r="AD204" s="39" t="str">
        <f t="shared" si="7"/>
        <v>ADECUADO</v>
      </c>
      <c r="AE204" s="118">
        <v>0</v>
      </c>
      <c r="AF204" s="119">
        <v>0</v>
      </c>
      <c r="AG204" s="40" t="str">
        <f>IFERROR((TABLA_AVANCE_INDICADORES[[#This Row],[AVANCE 3°. TRIM]]/TABLA_AVANCE_INDICADORES[[#This Row],[PROGR. 3° TRIM]])*100,"0")</f>
        <v>0</v>
      </c>
      <c r="AH204"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204" s="118">
        <v>0</v>
      </c>
      <c r="AJ204" s="119">
        <v>0</v>
      </c>
      <c r="AK204" s="96" t="str">
        <f>IFERROR((TABLA_AVANCE_INDICADORES[[#This Row],[AVANCE 4°. TRIM]]/TABLA_AVANCE_INDICADORES[[#This Row],[PROGR. 4° TRIM]])*100,"0")</f>
        <v>0</v>
      </c>
      <c r="AL204"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NO PROG.</v>
      </c>
      <c r="AM204"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1</v>
      </c>
      <c r="AN204"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v>
      </c>
      <c r="AO204" s="40">
        <f>IFERROR((TABLA_AVANCE_INDICADORES[[#This Row],[AVANCE ACUM. TRIM.]]/TABLA_AVANCE_INDICADORES[[#This Row],[PROG. ACUM]])*100,"N/A")</f>
        <v>100</v>
      </c>
      <c r="AP204"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204" s="121">
        <f>TABLA_AVANCE_INDICADORES[[#This Row],[AVANCE ACUM. TRIM.]]-TABLA_AVANCE_INDICADORES[[#This Row],[PROG. ACUM]]</f>
        <v>0</v>
      </c>
      <c r="AR204" s="46">
        <f>IFERROR((TABLA_AVANCE_INDICADORES[[#This Row],[DIFERENCIA ABSOLUTA SEMESTRAL]]/TABLA_AVANCE_INDICADORES[[#This Row],[PROG. ACUM]])*100,"N/A")</f>
        <v>0</v>
      </c>
      <c r="AS204"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v>
      </c>
      <c r="AT204" s="40">
        <f>IFERROR((TABLA_AVANCE_INDICADORES[[#This Row],[AVANCE ACUM. ANUAL]]/TABLA_AVANCE_INDICADORES[[#This Row],[PROGRAMADO ANUAL]])*100,"N/A")</f>
        <v>100</v>
      </c>
      <c r="AU204"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ADECUADO</v>
      </c>
      <c r="AV204" s="121">
        <f>TABLA_AVANCE_INDICADORES[[#This Row],[AVANCE ACUM. ANUAL]]-TABLA_AVANCE_INDICADORES[[#This Row],[PROGRAMADO ANUAL]]</f>
        <v>0</v>
      </c>
      <c r="AW204" s="46">
        <f>IFERROR((TABLA_AVANCE_INDICADORES[[#This Row],[DIFERENCIA ABSOLUTA ANUAL]]/TABLA_AVANCE_INDICADORES[[#This Row],[PROGRAMADO ANUAL]])*100,"N/A")</f>
        <v>0</v>
      </c>
      <c r="AX204" s="148" t="s">
        <v>63</v>
      </c>
      <c r="AY204" s="100" t="s">
        <v>63</v>
      </c>
      <c r="AZ204" s="100"/>
      <c r="BA204" s="100"/>
      <c r="BB204"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205" spans="1:54" ht="112.5" hidden="1" x14ac:dyDescent="0.3">
      <c r="A205" s="31" t="s">
        <v>1429</v>
      </c>
      <c r="B205" s="113" t="s">
        <v>196</v>
      </c>
      <c r="C205" s="32" t="s">
        <v>75</v>
      </c>
      <c r="D205" s="114" t="s">
        <v>76</v>
      </c>
      <c r="E205" s="32" t="s">
        <v>197</v>
      </c>
      <c r="F205" s="115" t="s">
        <v>198</v>
      </c>
      <c r="G205" s="146" t="s">
        <v>199</v>
      </c>
      <c r="H205" s="94" t="s">
        <v>1400</v>
      </c>
      <c r="I205" s="34" t="s">
        <v>723</v>
      </c>
      <c r="J205" s="34" t="s">
        <v>188</v>
      </c>
      <c r="K205" s="94" t="s">
        <v>189</v>
      </c>
      <c r="L205" s="34" t="s">
        <v>200</v>
      </c>
      <c r="M205" s="94" t="s">
        <v>201</v>
      </c>
      <c r="N205" s="33">
        <v>2</v>
      </c>
      <c r="O205" s="33" t="s">
        <v>898</v>
      </c>
      <c r="P205" s="125" t="s">
        <v>1426</v>
      </c>
      <c r="Q205" s="125" t="s">
        <v>918</v>
      </c>
      <c r="R205" s="116" t="s">
        <v>1428</v>
      </c>
      <c r="S205" s="34" t="s">
        <v>210</v>
      </c>
      <c r="T205" s="56" t="s">
        <v>728</v>
      </c>
      <c r="U205" s="56" t="s">
        <v>755</v>
      </c>
      <c r="V205" s="95">
        <v>1</v>
      </c>
      <c r="W205" s="95">
        <v>0</v>
      </c>
      <c r="X205" s="127">
        <v>0</v>
      </c>
      <c r="Y205" s="38" t="str">
        <f>IFERROR((TABLA_AVANCE_INDICADORES[[#This Row],[AVANCE 1°. TRIM]]/TABLA_AVANCE_INDICADORES[[#This Row],[PROGR. 1° TRIM]])*100,"0")</f>
        <v>0</v>
      </c>
      <c r="Z205"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205" s="118">
        <v>1</v>
      </c>
      <c r="AB205" s="128">
        <v>1</v>
      </c>
      <c r="AC205" s="40">
        <f t="shared" si="6"/>
        <v>100</v>
      </c>
      <c r="AD205" s="39" t="str">
        <f t="shared" si="7"/>
        <v>ADECUADO</v>
      </c>
      <c r="AE205" s="118">
        <v>0</v>
      </c>
      <c r="AF205" s="128">
        <f>AE205</f>
        <v>0</v>
      </c>
      <c r="AG205" s="40" t="str">
        <f>IFERROR((TABLA_AVANCE_INDICADORES[[#This Row],[AVANCE 3°. TRIM]]/TABLA_AVANCE_INDICADORES[[#This Row],[PROGR. 3° TRIM]])*100,"0")</f>
        <v>0</v>
      </c>
      <c r="AH205"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205" s="118">
        <v>0</v>
      </c>
      <c r="AJ205" s="128">
        <f>AI205</f>
        <v>0</v>
      </c>
      <c r="AK205" s="96" t="str">
        <f>IFERROR((TABLA_AVANCE_INDICADORES[[#This Row],[AVANCE 4°. TRIM]]/TABLA_AVANCE_INDICADORES[[#This Row],[PROGR. 4° TRIM]])*100,"0")</f>
        <v>0</v>
      </c>
      <c r="AL205"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NO PROG.</v>
      </c>
      <c r="AM205"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1</v>
      </c>
      <c r="AN205"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v>
      </c>
      <c r="AO205" s="40">
        <f>IFERROR((TABLA_AVANCE_INDICADORES[[#This Row],[AVANCE ACUM. TRIM.]]/TABLA_AVANCE_INDICADORES[[#This Row],[PROG. ACUM]])*100,"N/A")</f>
        <v>100</v>
      </c>
      <c r="AP205"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205" s="121">
        <f>TABLA_AVANCE_INDICADORES[[#This Row],[AVANCE ACUM. TRIM.]]-TABLA_AVANCE_INDICADORES[[#This Row],[PROG. ACUM]]</f>
        <v>0</v>
      </c>
      <c r="AR205" s="46">
        <f>IFERROR((TABLA_AVANCE_INDICADORES[[#This Row],[DIFERENCIA ABSOLUTA SEMESTRAL]]/TABLA_AVANCE_INDICADORES[[#This Row],[PROG. ACUM]])*100,"N/A")</f>
        <v>0</v>
      </c>
      <c r="AS205"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v>
      </c>
      <c r="AT205" s="40">
        <f>IFERROR((TABLA_AVANCE_INDICADORES[[#This Row],[AVANCE ACUM. ANUAL]]/TABLA_AVANCE_INDICADORES[[#This Row],[PROGRAMADO ANUAL]])*100,"N/A")</f>
        <v>100</v>
      </c>
      <c r="AU205"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ADECUADO</v>
      </c>
      <c r="AV205" s="121">
        <f>TABLA_AVANCE_INDICADORES[[#This Row],[AVANCE ACUM. ANUAL]]-TABLA_AVANCE_INDICADORES[[#This Row],[PROGRAMADO ANUAL]]</f>
        <v>0</v>
      </c>
      <c r="AW205" s="46">
        <f>IFERROR((TABLA_AVANCE_INDICADORES[[#This Row],[DIFERENCIA ABSOLUTA ANUAL]]/TABLA_AVANCE_INDICADORES[[#This Row],[PROGRAMADO ANUAL]])*100,"N/A")</f>
        <v>0</v>
      </c>
      <c r="AX205" s="148" t="s">
        <v>63</v>
      </c>
      <c r="AY205" s="100" t="s">
        <v>63</v>
      </c>
      <c r="AZ205" s="100"/>
      <c r="BA205" s="100"/>
      <c r="BB205"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206" spans="1:54" ht="112.5" hidden="1" x14ac:dyDescent="0.3">
      <c r="A206" s="31" t="s">
        <v>1430</v>
      </c>
      <c r="B206" s="113" t="s">
        <v>196</v>
      </c>
      <c r="C206" s="32" t="s">
        <v>75</v>
      </c>
      <c r="D206" s="114" t="s">
        <v>76</v>
      </c>
      <c r="E206" s="32" t="s">
        <v>197</v>
      </c>
      <c r="F206" s="115" t="s">
        <v>198</v>
      </c>
      <c r="G206" s="146" t="s">
        <v>199</v>
      </c>
      <c r="H206" s="94" t="s">
        <v>1400</v>
      </c>
      <c r="I206" s="34" t="s">
        <v>723</v>
      </c>
      <c r="J206" s="34" t="s">
        <v>188</v>
      </c>
      <c r="K206" s="94" t="s">
        <v>189</v>
      </c>
      <c r="L206" s="34" t="s">
        <v>200</v>
      </c>
      <c r="M206" s="94" t="s">
        <v>201</v>
      </c>
      <c r="N206" s="33">
        <v>1</v>
      </c>
      <c r="O206" s="33" t="s">
        <v>751</v>
      </c>
      <c r="P206" s="125" t="s">
        <v>1431</v>
      </c>
      <c r="Q206" s="125" t="s">
        <v>1432</v>
      </c>
      <c r="R206" s="116" t="s">
        <v>1433</v>
      </c>
      <c r="S206" s="34" t="s">
        <v>586</v>
      </c>
      <c r="T206" s="56" t="s">
        <v>728</v>
      </c>
      <c r="U206" s="56" t="s">
        <v>755</v>
      </c>
      <c r="V206" s="95">
        <v>12</v>
      </c>
      <c r="W206" s="95">
        <v>6</v>
      </c>
      <c r="X206" s="117">
        <v>6</v>
      </c>
      <c r="Y206" s="38">
        <f>IFERROR((TABLA_AVANCE_INDICADORES[[#This Row],[AVANCE 1°. TRIM]]/TABLA_AVANCE_INDICADORES[[#This Row],[PROGR. 1° TRIM]])*100,"0")</f>
        <v>100</v>
      </c>
      <c r="Z206"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206" s="118">
        <v>2</v>
      </c>
      <c r="AB206" s="119">
        <v>2</v>
      </c>
      <c r="AC206" s="40">
        <f t="shared" si="6"/>
        <v>100</v>
      </c>
      <c r="AD206" s="39" t="str">
        <f t="shared" si="7"/>
        <v>ADECUADO</v>
      </c>
      <c r="AE206" s="118">
        <v>2</v>
      </c>
      <c r="AF206" s="119">
        <v>0</v>
      </c>
      <c r="AG206" s="40">
        <f>IFERROR((TABLA_AVANCE_INDICADORES[[#This Row],[AVANCE 3°. TRIM]]/TABLA_AVANCE_INDICADORES[[#This Row],[PROGR. 3° TRIM]])*100,"0")</f>
        <v>0</v>
      </c>
      <c r="AH206"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CRÍTICO</v>
      </c>
      <c r="AI206" s="118">
        <v>2</v>
      </c>
      <c r="AJ206" s="119">
        <v>0</v>
      </c>
      <c r="AK206" s="96">
        <f>IFERROR((TABLA_AVANCE_INDICADORES[[#This Row],[AVANCE 4°. TRIM]]/TABLA_AVANCE_INDICADORES[[#This Row],[PROGR. 4° TRIM]])*100,"0")</f>
        <v>0</v>
      </c>
      <c r="AL206"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206"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8</v>
      </c>
      <c r="AN206"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8</v>
      </c>
      <c r="AO206" s="40">
        <f>IFERROR((TABLA_AVANCE_INDICADORES[[#This Row],[AVANCE ACUM. TRIM.]]/TABLA_AVANCE_INDICADORES[[#This Row],[PROG. ACUM]])*100,"N/A")</f>
        <v>100</v>
      </c>
      <c r="AP206"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206" s="121">
        <f>TABLA_AVANCE_INDICADORES[[#This Row],[AVANCE ACUM. TRIM.]]-TABLA_AVANCE_INDICADORES[[#This Row],[PROG. ACUM]]</f>
        <v>0</v>
      </c>
      <c r="AR206" s="46">
        <f>IFERROR((TABLA_AVANCE_INDICADORES[[#This Row],[DIFERENCIA ABSOLUTA SEMESTRAL]]/TABLA_AVANCE_INDICADORES[[#This Row],[PROG. ACUM]])*100,"N/A")</f>
        <v>0</v>
      </c>
      <c r="AS206"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8</v>
      </c>
      <c r="AT206" s="40">
        <f>IFERROR((TABLA_AVANCE_INDICADORES[[#This Row],[AVANCE ACUM. ANUAL]]/TABLA_AVANCE_INDICADORES[[#This Row],[PROGRAMADO ANUAL]])*100,"N/A")</f>
        <v>66.666666666666657</v>
      </c>
      <c r="AU206"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206" s="121">
        <f>TABLA_AVANCE_INDICADORES[[#This Row],[AVANCE ACUM. ANUAL]]-TABLA_AVANCE_INDICADORES[[#This Row],[PROGRAMADO ANUAL]]</f>
        <v>-4</v>
      </c>
      <c r="AW206" s="46">
        <f>IFERROR((TABLA_AVANCE_INDICADORES[[#This Row],[DIFERENCIA ABSOLUTA ANUAL]]/TABLA_AVANCE_INDICADORES[[#This Row],[PROGRAMADO ANUAL]])*100,"N/A")</f>
        <v>-33.333333333333329</v>
      </c>
      <c r="AX206" s="148" t="s">
        <v>63</v>
      </c>
      <c r="AY206" s="100" t="s">
        <v>63</v>
      </c>
      <c r="AZ206" s="100"/>
      <c r="BA206" s="100"/>
      <c r="BB206"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207" spans="1:54" ht="112.5" hidden="1" x14ac:dyDescent="0.3">
      <c r="A207" s="31" t="s">
        <v>1434</v>
      </c>
      <c r="B207" s="113" t="s">
        <v>196</v>
      </c>
      <c r="C207" s="32" t="s">
        <v>75</v>
      </c>
      <c r="D207" s="114" t="s">
        <v>76</v>
      </c>
      <c r="E207" s="32" t="s">
        <v>197</v>
      </c>
      <c r="F207" s="115" t="s">
        <v>198</v>
      </c>
      <c r="G207" s="146" t="s">
        <v>199</v>
      </c>
      <c r="H207" s="94" t="s">
        <v>1400</v>
      </c>
      <c r="I207" s="34" t="s">
        <v>723</v>
      </c>
      <c r="J207" s="34" t="s">
        <v>188</v>
      </c>
      <c r="K207" s="94" t="s">
        <v>189</v>
      </c>
      <c r="L207" s="34" t="s">
        <v>200</v>
      </c>
      <c r="M207" s="94" t="s">
        <v>201</v>
      </c>
      <c r="N207" s="33">
        <v>2</v>
      </c>
      <c r="O207" s="33" t="s">
        <v>751</v>
      </c>
      <c r="P207" s="125" t="s">
        <v>1431</v>
      </c>
      <c r="Q207" s="125" t="s">
        <v>1435</v>
      </c>
      <c r="R207" s="116" t="s">
        <v>1433</v>
      </c>
      <c r="S207" s="34" t="s">
        <v>586</v>
      </c>
      <c r="T207" s="56" t="s">
        <v>728</v>
      </c>
      <c r="U207" s="56" t="s">
        <v>755</v>
      </c>
      <c r="V207" s="95">
        <v>12</v>
      </c>
      <c r="W207" s="95">
        <v>6</v>
      </c>
      <c r="X207" s="117">
        <v>6</v>
      </c>
      <c r="Y207" s="38">
        <f>IFERROR((TABLA_AVANCE_INDICADORES[[#This Row],[AVANCE 1°. TRIM]]/TABLA_AVANCE_INDICADORES[[#This Row],[PROGR. 1° TRIM]])*100,"0")</f>
        <v>100</v>
      </c>
      <c r="Z207"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207" s="118">
        <v>2</v>
      </c>
      <c r="AB207" s="119">
        <v>2</v>
      </c>
      <c r="AC207" s="40">
        <f t="shared" si="6"/>
        <v>100</v>
      </c>
      <c r="AD207" s="39" t="str">
        <f t="shared" si="7"/>
        <v>ADECUADO</v>
      </c>
      <c r="AE207" s="118">
        <v>2</v>
      </c>
      <c r="AF207" s="119">
        <v>0</v>
      </c>
      <c r="AG207" s="40">
        <f>IFERROR((TABLA_AVANCE_INDICADORES[[#This Row],[AVANCE 3°. TRIM]]/TABLA_AVANCE_INDICADORES[[#This Row],[PROGR. 3° TRIM]])*100,"0")</f>
        <v>0</v>
      </c>
      <c r="AH207"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CRÍTICO</v>
      </c>
      <c r="AI207" s="118">
        <v>2</v>
      </c>
      <c r="AJ207" s="119">
        <v>0</v>
      </c>
      <c r="AK207" s="96">
        <f>IFERROR((TABLA_AVANCE_INDICADORES[[#This Row],[AVANCE 4°. TRIM]]/TABLA_AVANCE_INDICADORES[[#This Row],[PROGR. 4° TRIM]])*100,"0")</f>
        <v>0</v>
      </c>
      <c r="AL207"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207"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8</v>
      </c>
      <c r="AN207"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8</v>
      </c>
      <c r="AO207" s="40">
        <f>IFERROR((TABLA_AVANCE_INDICADORES[[#This Row],[AVANCE ACUM. TRIM.]]/TABLA_AVANCE_INDICADORES[[#This Row],[PROG. ACUM]])*100,"N/A")</f>
        <v>100</v>
      </c>
      <c r="AP207"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207" s="121">
        <f>TABLA_AVANCE_INDICADORES[[#This Row],[AVANCE ACUM. TRIM.]]-TABLA_AVANCE_INDICADORES[[#This Row],[PROG. ACUM]]</f>
        <v>0</v>
      </c>
      <c r="AR207" s="46">
        <f>IFERROR((TABLA_AVANCE_INDICADORES[[#This Row],[DIFERENCIA ABSOLUTA SEMESTRAL]]/TABLA_AVANCE_INDICADORES[[#This Row],[PROG. ACUM]])*100,"N/A")</f>
        <v>0</v>
      </c>
      <c r="AS207"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8</v>
      </c>
      <c r="AT207" s="40">
        <f>IFERROR((TABLA_AVANCE_INDICADORES[[#This Row],[AVANCE ACUM. ANUAL]]/TABLA_AVANCE_INDICADORES[[#This Row],[PROGRAMADO ANUAL]])*100,"N/A")</f>
        <v>66.666666666666657</v>
      </c>
      <c r="AU207"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207" s="121">
        <f>TABLA_AVANCE_INDICADORES[[#This Row],[AVANCE ACUM. ANUAL]]-TABLA_AVANCE_INDICADORES[[#This Row],[PROGRAMADO ANUAL]]</f>
        <v>-4</v>
      </c>
      <c r="AW207" s="46">
        <f>IFERROR((TABLA_AVANCE_INDICADORES[[#This Row],[DIFERENCIA ABSOLUTA ANUAL]]/TABLA_AVANCE_INDICADORES[[#This Row],[PROGRAMADO ANUAL]])*100,"N/A")</f>
        <v>-33.333333333333329</v>
      </c>
      <c r="AX207" s="148" t="s">
        <v>63</v>
      </c>
      <c r="AY207" s="100" t="s">
        <v>63</v>
      </c>
      <c r="AZ207" s="100"/>
      <c r="BA207" s="100"/>
      <c r="BB207"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208" spans="1:54" ht="112.5" hidden="1" x14ac:dyDescent="0.3">
      <c r="A208" s="31" t="s">
        <v>1436</v>
      </c>
      <c r="B208" s="113" t="s">
        <v>196</v>
      </c>
      <c r="C208" s="32" t="s">
        <v>75</v>
      </c>
      <c r="D208" s="114" t="s">
        <v>76</v>
      </c>
      <c r="E208" s="32" t="s">
        <v>197</v>
      </c>
      <c r="F208" s="115" t="s">
        <v>198</v>
      </c>
      <c r="G208" s="146" t="s">
        <v>199</v>
      </c>
      <c r="H208" s="94" t="s">
        <v>1400</v>
      </c>
      <c r="I208" s="34" t="s">
        <v>723</v>
      </c>
      <c r="J208" s="34" t="s">
        <v>188</v>
      </c>
      <c r="K208" s="94" t="s">
        <v>189</v>
      </c>
      <c r="L208" s="34" t="s">
        <v>200</v>
      </c>
      <c r="M208" s="94" t="s">
        <v>201</v>
      </c>
      <c r="N208" s="33">
        <v>1</v>
      </c>
      <c r="O208" s="33" t="s">
        <v>759</v>
      </c>
      <c r="P208" s="125" t="s">
        <v>1437</v>
      </c>
      <c r="Q208" s="125" t="s">
        <v>1438</v>
      </c>
      <c r="R208" s="116" t="s">
        <v>1439</v>
      </c>
      <c r="S208" s="34" t="s">
        <v>85</v>
      </c>
      <c r="T208" s="56" t="s">
        <v>728</v>
      </c>
      <c r="U208" s="56" t="s">
        <v>755</v>
      </c>
      <c r="V208" s="95">
        <v>4</v>
      </c>
      <c r="W208" s="95">
        <v>1</v>
      </c>
      <c r="X208" s="117">
        <v>1</v>
      </c>
      <c r="Y208" s="38">
        <f>IFERROR((TABLA_AVANCE_INDICADORES[[#This Row],[AVANCE 1°. TRIM]]/TABLA_AVANCE_INDICADORES[[#This Row],[PROGR. 1° TRIM]])*100,"0")</f>
        <v>100</v>
      </c>
      <c r="Z208"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208" s="118">
        <v>1</v>
      </c>
      <c r="AB208" s="119">
        <v>1</v>
      </c>
      <c r="AC208" s="40">
        <f t="shared" si="6"/>
        <v>100</v>
      </c>
      <c r="AD208" s="39" t="str">
        <f t="shared" si="7"/>
        <v>ADECUADO</v>
      </c>
      <c r="AE208" s="118">
        <v>1</v>
      </c>
      <c r="AF208" s="119">
        <v>0</v>
      </c>
      <c r="AG208" s="40">
        <f>IFERROR((TABLA_AVANCE_INDICADORES[[#This Row],[AVANCE 3°. TRIM]]/TABLA_AVANCE_INDICADORES[[#This Row],[PROGR. 3° TRIM]])*100,"0")</f>
        <v>0</v>
      </c>
      <c r="AH208"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CRÍTICO</v>
      </c>
      <c r="AI208" s="118">
        <v>1</v>
      </c>
      <c r="AJ208" s="119">
        <v>0</v>
      </c>
      <c r="AK208" s="96">
        <f>IFERROR((TABLA_AVANCE_INDICADORES[[#This Row],[AVANCE 4°. TRIM]]/TABLA_AVANCE_INDICADORES[[#This Row],[PROGR. 4° TRIM]])*100,"0")</f>
        <v>0</v>
      </c>
      <c r="AL208"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208"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2</v>
      </c>
      <c r="AN208"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v>
      </c>
      <c r="AO208" s="40">
        <f>IFERROR((TABLA_AVANCE_INDICADORES[[#This Row],[AVANCE ACUM. TRIM.]]/TABLA_AVANCE_INDICADORES[[#This Row],[PROG. ACUM]])*100,"N/A")</f>
        <v>100</v>
      </c>
      <c r="AP208"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208" s="121">
        <f>TABLA_AVANCE_INDICADORES[[#This Row],[AVANCE ACUM. TRIM.]]-TABLA_AVANCE_INDICADORES[[#This Row],[PROG. ACUM]]</f>
        <v>0</v>
      </c>
      <c r="AR208" s="46">
        <f>IFERROR((TABLA_AVANCE_INDICADORES[[#This Row],[DIFERENCIA ABSOLUTA SEMESTRAL]]/TABLA_AVANCE_INDICADORES[[#This Row],[PROG. ACUM]])*100,"N/A")</f>
        <v>0</v>
      </c>
      <c r="AS208"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v>
      </c>
      <c r="AT208" s="40">
        <f>IFERROR((TABLA_AVANCE_INDICADORES[[#This Row],[AVANCE ACUM. ANUAL]]/TABLA_AVANCE_INDICADORES[[#This Row],[PROGRAMADO ANUAL]])*100,"N/A")</f>
        <v>50</v>
      </c>
      <c r="AU208"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208" s="121">
        <f>TABLA_AVANCE_INDICADORES[[#This Row],[AVANCE ACUM. ANUAL]]-TABLA_AVANCE_INDICADORES[[#This Row],[PROGRAMADO ANUAL]]</f>
        <v>-2</v>
      </c>
      <c r="AW208" s="46">
        <f>IFERROR((TABLA_AVANCE_INDICADORES[[#This Row],[DIFERENCIA ABSOLUTA ANUAL]]/TABLA_AVANCE_INDICADORES[[#This Row],[PROGRAMADO ANUAL]])*100,"N/A")</f>
        <v>-50</v>
      </c>
      <c r="AX208" s="148" t="s">
        <v>63</v>
      </c>
      <c r="AY208" s="100" t="s">
        <v>63</v>
      </c>
      <c r="AZ208" s="100"/>
      <c r="BA208" s="100"/>
      <c r="BB208"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209" spans="1:54" ht="112.5" hidden="1" x14ac:dyDescent="0.3">
      <c r="A209" s="31" t="s">
        <v>1440</v>
      </c>
      <c r="B209" s="113" t="s">
        <v>196</v>
      </c>
      <c r="C209" s="32" t="s">
        <v>75</v>
      </c>
      <c r="D209" s="114" t="s">
        <v>76</v>
      </c>
      <c r="E209" s="32" t="s">
        <v>197</v>
      </c>
      <c r="F209" s="115" t="s">
        <v>198</v>
      </c>
      <c r="G209" s="146" t="s">
        <v>199</v>
      </c>
      <c r="H209" s="94" t="s">
        <v>1400</v>
      </c>
      <c r="I209" s="34" t="s">
        <v>723</v>
      </c>
      <c r="J209" s="34" t="s">
        <v>188</v>
      </c>
      <c r="K209" s="94" t="s">
        <v>189</v>
      </c>
      <c r="L209" s="34" t="s">
        <v>200</v>
      </c>
      <c r="M209" s="94" t="s">
        <v>201</v>
      </c>
      <c r="N209" s="33">
        <v>2</v>
      </c>
      <c r="O209" s="33" t="s">
        <v>759</v>
      </c>
      <c r="P209" s="125" t="s">
        <v>1437</v>
      </c>
      <c r="Q209" s="125" t="s">
        <v>1441</v>
      </c>
      <c r="R209" s="116" t="s">
        <v>1439</v>
      </c>
      <c r="S209" s="34" t="s">
        <v>85</v>
      </c>
      <c r="T209" s="56" t="s">
        <v>728</v>
      </c>
      <c r="U209" s="56" t="s">
        <v>755</v>
      </c>
      <c r="V209" s="95">
        <v>4</v>
      </c>
      <c r="W209" s="95">
        <v>1</v>
      </c>
      <c r="X209" s="117">
        <v>1</v>
      </c>
      <c r="Y209" s="38">
        <f>IFERROR((TABLA_AVANCE_INDICADORES[[#This Row],[AVANCE 1°. TRIM]]/TABLA_AVANCE_INDICADORES[[#This Row],[PROGR. 1° TRIM]])*100,"0")</f>
        <v>100</v>
      </c>
      <c r="Z209"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209" s="118">
        <v>1</v>
      </c>
      <c r="AB209" s="119">
        <v>1</v>
      </c>
      <c r="AC209" s="40">
        <f t="shared" si="6"/>
        <v>100</v>
      </c>
      <c r="AD209" s="39" t="str">
        <f t="shared" si="7"/>
        <v>ADECUADO</v>
      </c>
      <c r="AE209" s="118">
        <v>1</v>
      </c>
      <c r="AF209" s="119">
        <v>0</v>
      </c>
      <c r="AG209" s="40">
        <f>IFERROR((TABLA_AVANCE_INDICADORES[[#This Row],[AVANCE 3°. TRIM]]/TABLA_AVANCE_INDICADORES[[#This Row],[PROGR. 3° TRIM]])*100,"0")</f>
        <v>0</v>
      </c>
      <c r="AH209"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CRÍTICO</v>
      </c>
      <c r="AI209" s="118">
        <v>1</v>
      </c>
      <c r="AJ209" s="119">
        <v>0</v>
      </c>
      <c r="AK209" s="96">
        <f>IFERROR((TABLA_AVANCE_INDICADORES[[#This Row],[AVANCE 4°. TRIM]]/TABLA_AVANCE_INDICADORES[[#This Row],[PROGR. 4° TRIM]])*100,"0")</f>
        <v>0</v>
      </c>
      <c r="AL209"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209"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2</v>
      </c>
      <c r="AN209"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v>
      </c>
      <c r="AO209" s="40">
        <f>IFERROR((TABLA_AVANCE_INDICADORES[[#This Row],[AVANCE ACUM. TRIM.]]/TABLA_AVANCE_INDICADORES[[#This Row],[PROG. ACUM]])*100,"N/A")</f>
        <v>100</v>
      </c>
      <c r="AP209"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209" s="121">
        <f>TABLA_AVANCE_INDICADORES[[#This Row],[AVANCE ACUM. TRIM.]]-TABLA_AVANCE_INDICADORES[[#This Row],[PROG. ACUM]]</f>
        <v>0</v>
      </c>
      <c r="AR209" s="46">
        <f>IFERROR((TABLA_AVANCE_INDICADORES[[#This Row],[DIFERENCIA ABSOLUTA SEMESTRAL]]/TABLA_AVANCE_INDICADORES[[#This Row],[PROG. ACUM]])*100,"N/A")</f>
        <v>0</v>
      </c>
      <c r="AS209"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v>
      </c>
      <c r="AT209" s="40">
        <f>IFERROR((TABLA_AVANCE_INDICADORES[[#This Row],[AVANCE ACUM. ANUAL]]/TABLA_AVANCE_INDICADORES[[#This Row],[PROGRAMADO ANUAL]])*100,"N/A")</f>
        <v>50</v>
      </c>
      <c r="AU209"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209" s="121">
        <f>TABLA_AVANCE_INDICADORES[[#This Row],[AVANCE ACUM. ANUAL]]-TABLA_AVANCE_INDICADORES[[#This Row],[PROGRAMADO ANUAL]]</f>
        <v>-2</v>
      </c>
      <c r="AW209" s="46">
        <f>IFERROR((TABLA_AVANCE_INDICADORES[[#This Row],[DIFERENCIA ABSOLUTA ANUAL]]/TABLA_AVANCE_INDICADORES[[#This Row],[PROGRAMADO ANUAL]])*100,"N/A")</f>
        <v>-50</v>
      </c>
      <c r="AX209" s="148" t="s">
        <v>63</v>
      </c>
      <c r="AY209" s="100" t="s">
        <v>63</v>
      </c>
      <c r="AZ209" s="100"/>
      <c r="BA209" s="100"/>
      <c r="BB209"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210" spans="1:54" ht="112.5" hidden="1" x14ac:dyDescent="0.3">
      <c r="A210" s="31" t="s">
        <v>1442</v>
      </c>
      <c r="B210" s="113" t="s">
        <v>196</v>
      </c>
      <c r="C210" s="32" t="s">
        <v>75</v>
      </c>
      <c r="D210" s="114" t="s">
        <v>76</v>
      </c>
      <c r="E210" s="32" t="s">
        <v>197</v>
      </c>
      <c r="F210" s="115" t="s">
        <v>198</v>
      </c>
      <c r="G210" s="146" t="s">
        <v>199</v>
      </c>
      <c r="H210" s="94" t="s">
        <v>1400</v>
      </c>
      <c r="I210" s="34" t="s">
        <v>723</v>
      </c>
      <c r="J210" s="34" t="s">
        <v>188</v>
      </c>
      <c r="K210" s="94" t="s">
        <v>189</v>
      </c>
      <c r="L210" s="34" t="s">
        <v>200</v>
      </c>
      <c r="M210" s="94" t="s">
        <v>201</v>
      </c>
      <c r="N210" s="33">
        <v>1</v>
      </c>
      <c r="O210" s="33" t="s">
        <v>799</v>
      </c>
      <c r="P210" s="125" t="s">
        <v>1443</v>
      </c>
      <c r="Q210" s="125" t="s">
        <v>1444</v>
      </c>
      <c r="R210" s="116" t="s">
        <v>1445</v>
      </c>
      <c r="S210" s="34" t="s">
        <v>600</v>
      </c>
      <c r="T210" s="56" t="s">
        <v>728</v>
      </c>
      <c r="U210" s="56" t="s">
        <v>755</v>
      </c>
      <c r="V210" s="95">
        <v>2</v>
      </c>
      <c r="W210" s="95">
        <v>0</v>
      </c>
      <c r="X210" s="117">
        <v>0</v>
      </c>
      <c r="Y210" s="38" t="str">
        <f>IFERROR((TABLA_AVANCE_INDICADORES[[#This Row],[AVANCE 1°. TRIM]]/TABLA_AVANCE_INDICADORES[[#This Row],[PROGR. 1° TRIM]])*100,"0")</f>
        <v>0</v>
      </c>
      <c r="Z210"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210" s="118">
        <v>1</v>
      </c>
      <c r="AB210" s="119">
        <v>1</v>
      </c>
      <c r="AC210" s="40">
        <f t="shared" si="6"/>
        <v>100</v>
      </c>
      <c r="AD210" s="39" t="str">
        <f t="shared" si="7"/>
        <v>ADECUADO</v>
      </c>
      <c r="AE210" s="118">
        <v>1</v>
      </c>
      <c r="AF210" s="119">
        <v>0</v>
      </c>
      <c r="AG210" s="40">
        <f>IFERROR((TABLA_AVANCE_INDICADORES[[#This Row],[AVANCE 3°. TRIM]]/TABLA_AVANCE_INDICADORES[[#This Row],[PROGR. 3° TRIM]])*100,"0")</f>
        <v>0</v>
      </c>
      <c r="AH210"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CRÍTICO</v>
      </c>
      <c r="AI210" s="118">
        <v>0</v>
      </c>
      <c r="AJ210" s="119">
        <v>0</v>
      </c>
      <c r="AK210" s="96" t="str">
        <f>IFERROR((TABLA_AVANCE_INDICADORES[[#This Row],[AVANCE 4°. TRIM]]/TABLA_AVANCE_INDICADORES[[#This Row],[PROGR. 4° TRIM]])*100,"0")</f>
        <v>0</v>
      </c>
      <c r="AL210"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NO PROG.</v>
      </c>
      <c r="AM210"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1</v>
      </c>
      <c r="AN210"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v>
      </c>
      <c r="AO210" s="40">
        <f>IFERROR((TABLA_AVANCE_INDICADORES[[#This Row],[AVANCE ACUM. TRIM.]]/TABLA_AVANCE_INDICADORES[[#This Row],[PROG. ACUM]])*100,"N/A")</f>
        <v>100</v>
      </c>
      <c r="AP210"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210" s="121">
        <f>TABLA_AVANCE_INDICADORES[[#This Row],[AVANCE ACUM. TRIM.]]-TABLA_AVANCE_INDICADORES[[#This Row],[PROG. ACUM]]</f>
        <v>0</v>
      </c>
      <c r="AR210" s="46">
        <f>IFERROR((TABLA_AVANCE_INDICADORES[[#This Row],[DIFERENCIA ABSOLUTA SEMESTRAL]]/TABLA_AVANCE_INDICADORES[[#This Row],[PROG. ACUM]])*100,"N/A")</f>
        <v>0</v>
      </c>
      <c r="AS210"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v>
      </c>
      <c r="AT210" s="40">
        <f>IFERROR((TABLA_AVANCE_INDICADORES[[#This Row],[AVANCE ACUM. ANUAL]]/TABLA_AVANCE_INDICADORES[[#This Row],[PROGRAMADO ANUAL]])*100,"N/A")</f>
        <v>50</v>
      </c>
      <c r="AU210"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210" s="121">
        <f>TABLA_AVANCE_INDICADORES[[#This Row],[AVANCE ACUM. ANUAL]]-TABLA_AVANCE_INDICADORES[[#This Row],[PROGRAMADO ANUAL]]</f>
        <v>-1</v>
      </c>
      <c r="AW210" s="46">
        <f>IFERROR((TABLA_AVANCE_INDICADORES[[#This Row],[DIFERENCIA ABSOLUTA ANUAL]]/TABLA_AVANCE_INDICADORES[[#This Row],[PROGRAMADO ANUAL]])*100,"N/A")</f>
        <v>-50</v>
      </c>
      <c r="AX210" s="148" t="s">
        <v>63</v>
      </c>
      <c r="AY210" s="100" t="s">
        <v>63</v>
      </c>
      <c r="AZ210" s="100"/>
      <c r="BA210" s="100"/>
      <c r="BB210"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211" spans="1:54" ht="112.5" hidden="1" x14ac:dyDescent="0.3">
      <c r="A211" s="31" t="s">
        <v>1446</v>
      </c>
      <c r="B211" s="113" t="s">
        <v>196</v>
      </c>
      <c r="C211" s="32" t="s">
        <v>75</v>
      </c>
      <c r="D211" s="114" t="s">
        <v>76</v>
      </c>
      <c r="E211" s="32" t="s">
        <v>197</v>
      </c>
      <c r="F211" s="115" t="s">
        <v>198</v>
      </c>
      <c r="G211" s="146" t="s">
        <v>199</v>
      </c>
      <c r="H211" s="94" t="s">
        <v>1400</v>
      </c>
      <c r="I211" s="34" t="s">
        <v>723</v>
      </c>
      <c r="J211" s="34" t="s">
        <v>188</v>
      </c>
      <c r="K211" s="94" t="s">
        <v>189</v>
      </c>
      <c r="L211" s="34" t="s">
        <v>200</v>
      </c>
      <c r="M211" s="94" t="s">
        <v>201</v>
      </c>
      <c r="N211" s="33">
        <v>2</v>
      </c>
      <c r="O211" s="33" t="s">
        <v>799</v>
      </c>
      <c r="P211" s="125" t="s">
        <v>1443</v>
      </c>
      <c r="Q211" s="125" t="s">
        <v>1441</v>
      </c>
      <c r="R211" s="116" t="s">
        <v>1445</v>
      </c>
      <c r="S211" s="34" t="s">
        <v>600</v>
      </c>
      <c r="T211" s="56" t="s">
        <v>728</v>
      </c>
      <c r="U211" s="56" t="s">
        <v>755</v>
      </c>
      <c r="V211" s="95">
        <v>2</v>
      </c>
      <c r="W211" s="95">
        <v>0</v>
      </c>
      <c r="X211" s="117">
        <v>0</v>
      </c>
      <c r="Y211" s="38" t="str">
        <f>IFERROR((TABLA_AVANCE_INDICADORES[[#This Row],[AVANCE 1°. TRIM]]/TABLA_AVANCE_INDICADORES[[#This Row],[PROGR. 1° TRIM]])*100,"0")</f>
        <v>0</v>
      </c>
      <c r="Z211"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211" s="118">
        <v>1</v>
      </c>
      <c r="AB211" s="119">
        <v>1</v>
      </c>
      <c r="AC211" s="40">
        <f t="shared" si="6"/>
        <v>100</v>
      </c>
      <c r="AD211" s="39" t="str">
        <f t="shared" si="7"/>
        <v>ADECUADO</v>
      </c>
      <c r="AE211" s="118">
        <v>1</v>
      </c>
      <c r="AF211" s="119">
        <v>0</v>
      </c>
      <c r="AG211" s="40">
        <f>IFERROR((TABLA_AVANCE_INDICADORES[[#This Row],[AVANCE 3°. TRIM]]/TABLA_AVANCE_INDICADORES[[#This Row],[PROGR. 3° TRIM]])*100,"0")</f>
        <v>0</v>
      </c>
      <c r="AH211"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CRÍTICO</v>
      </c>
      <c r="AI211" s="118">
        <v>0</v>
      </c>
      <c r="AJ211" s="119">
        <v>0</v>
      </c>
      <c r="AK211" s="96" t="str">
        <f>IFERROR((TABLA_AVANCE_INDICADORES[[#This Row],[AVANCE 4°. TRIM]]/TABLA_AVANCE_INDICADORES[[#This Row],[PROGR. 4° TRIM]])*100,"0")</f>
        <v>0</v>
      </c>
      <c r="AL211"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NO PROG.</v>
      </c>
      <c r="AM211"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1</v>
      </c>
      <c r="AN211"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v>
      </c>
      <c r="AO211" s="40">
        <f>IFERROR((TABLA_AVANCE_INDICADORES[[#This Row],[AVANCE ACUM. TRIM.]]/TABLA_AVANCE_INDICADORES[[#This Row],[PROG. ACUM]])*100,"N/A")</f>
        <v>100</v>
      </c>
      <c r="AP211"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211" s="121">
        <f>TABLA_AVANCE_INDICADORES[[#This Row],[AVANCE ACUM. TRIM.]]-TABLA_AVANCE_INDICADORES[[#This Row],[PROG. ACUM]]</f>
        <v>0</v>
      </c>
      <c r="AR211" s="46">
        <f>IFERROR((TABLA_AVANCE_INDICADORES[[#This Row],[DIFERENCIA ABSOLUTA SEMESTRAL]]/TABLA_AVANCE_INDICADORES[[#This Row],[PROG. ACUM]])*100,"N/A")</f>
        <v>0</v>
      </c>
      <c r="AS211"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v>
      </c>
      <c r="AT211" s="40">
        <f>IFERROR((TABLA_AVANCE_INDICADORES[[#This Row],[AVANCE ACUM. ANUAL]]/TABLA_AVANCE_INDICADORES[[#This Row],[PROGRAMADO ANUAL]])*100,"N/A")</f>
        <v>50</v>
      </c>
      <c r="AU211"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211" s="121">
        <f>TABLA_AVANCE_INDICADORES[[#This Row],[AVANCE ACUM. ANUAL]]-TABLA_AVANCE_INDICADORES[[#This Row],[PROGRAMADO ANUAL]]</f>
        <v>-1</v>
      </c>
      <c r="AW211" s="46">
        <f>IFERROR((TABLA_AVANCE_INDICADORES[[#This Row],[DIFERENCIA ABSOLUTA ANUAL]]/TABLA_AVANCE_INDICADORES[[#This Row],[PROGRAMADO ANUAL]])*100,"N/A")</f>
        <v>-50</v>
      </c>
      <c r="AX211" s="148" t="s">
        <v>63</v>
      </c>
      <c r="AY211" s="100" t="s">
        <v>63</v>
      </c>
      <c r="AZ211" s="100"/>
      <c r="BA211" s="100"/>
      <c r="BB211"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212" spans="1:54" ht="112.5" hidden="1" x14ac:dyDescent="0.3">
      <c r="A212" s="31" t="s">
        <v>1447</v>
      </c>
      <c r="B212" s="113" t="s">
        <v>196</v>
      </c>
      <c r="C212" s="32" t="s">
        <v>75</v>
      </c>
      <c r="D212" s="114" t="s">
        <v>76</v>
      </c>
      <c r="E212" s="32" t="s">
        <v>197</v>
      </c>
      <c r="F212" s="115" t="s">
        <v>198</v>
      </c>
      <c r="G212" s="146" t="s">
        <v>199</v>
      </c>
      <c r="H212" s="94" t="s">
        <v>1400</v>
      </c>
      <c r="I212" s="34" t="s">
        <v>723</v>
      </c>
      <c r="J212" s="34" t="s">
        <v>188</v>
      </c>
      <c r="K212" s="94" t="s">
        <v>189</v>
      </c>
      <c r="L212" s="34" t="s">
        <v>200</v>
      </c>
      <c r="M212" s="94" t="s">
        <v>201</v>
      </c>
      <c r="N212" s="33">
        <v>1</v>
      </c>
      <c r="O212" s="33" t="s">
        <v>1078</v>
      </c>
      <c r="P212" s="125" t="s">
        <v>1448</v>
      </c>
      <c r="Q212" s="125" t="s">
        <v>1449</v>
      </c>
      <c r="R212" s="116" t="s">
        <v>1450</v>
      </c>
      <c r="S212" s="34" t="s">
        <v>85</v>
      </c>
      <c r="T212" s="56" t="s">
        <v>728</v>
      </c>
      <c r="U212" s="56" t="s">
        <v>755</v>
      </c>
      <c r="V212" s="95">
        <v>1</v>
      </c>
      <c r="W212" s="95">
        <v>0</v>
      </c>
      <c r="X212" s="117">
        <v>0</v>
      </c>
      <c r="Y212" s="38" t="str">
        <f>IFERROR((TABLA_AVANCE_INDICADORES[[#This Row],[AVANCE 1°. TRIM]]/TABLA_AVANCE_INDICADORES[[#This Row],[PROGR. 1° TRIM]])*100,"0")</f>
        <v>0</v>
      </c>
      <c r="Z212"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212" s="118">
        <v>0</v>
      </c>
      <c r="AB212" s="119">
        <v>0</v>
      </c>
      <c r="AC212" s="40" t="str">
        <f t="shared" si="6"/>
        <v>0</v>
      </c>
      <c r="AD212" s="39" t="str">
        <f t="shared" si="7"/>
        <v>NO PROG.</v>
      </c>
      <c r="AE212" s="118">
        <v>1</v>
      </c>
      <c r="AF212" s="119">
        <v>0</v>
      </c>
      <c r="AG212" s="40">
        <f>IFERROR((TABLA_AVANCE_INDICADORES[[#This Row],[AVANCE 3°. TRIM]]/TABLA_AVANCE_INDICADORES[[#This Row],[PROGR. 3° TRIM]])*100,"0")</f>
        <v>0</v>
      </c>
      <c r="AH212"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CRÍTICO</v>
      </c>
      <c r="AI212" s="118">
        <v>0</v>
      </c>
      <c r="AJ212" s="119">
        <v>0</v>
      </c>
      <c r="AK212" s="96" t="str">
        <f>IFERROR((TABLA_AVANCE_INDICADORES[[#This Row],[AVANCE 4°. TRIM]]/TABLA_AVANCE_INDICADORES[[#This Row],[PROGR. 4° TRIM]])*100,"0")</f>
        <v>0</v>
      </c>
      <c r="AL212"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NO PROG.</v>
      </c>
      <c r="AM212"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0</v>
      </c>
      <c r="AN212"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O212" s="40" t="str">
        <f>IFERROR((TABLA_AVANCE_INDICADORES[[#This Row],[AVANCE ACUM. TRIM.]]/TABLA_AVANCE_INDICADORES[[#This Row],[PROG. ACUM]])*100,"N/A")</f>
        <v>N/A</v>
      </c>
      <c r="AP212"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NO PROG.</v>
      </c>
      <c r="AQ212" s="121">
        <f>TABLA_AVANCE_INDICADORES[[#This Row],[AVANCE ACUM. TRIM.]]-TABLA_AVANCE_INDICADORES[[#This Row],[PROG. ACUM]]</f>
        <v>0</v>
      </c>
      <c r="AR212" s="46" t="str">
        <f>IFERROR((TABLA_AVANCE_INDICADORES[[#This Row],[DIFERENCIA ABSOLUTA SEMESTRAL]]/TABLA_AVANCE_INDICADORES[[#This Row],[PROG. ACUM]])*100,"N/A")</f>
        <v>N/A</v>
      </c>
      <c r="AS212"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T212" s="40">
        <f>IFERROR((TABLA_AVANCE_INDICADORES[[#This Row],[AVANCE ACUM. ANUAL]]/TABLA_AVANCE_INDICADORES[[#This Row],[PROGRAMADO ANUAL]])*100,"N/A")</f>
        <v>0</v>
      </c>
      <c r="AU212"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212" s="121">
        <f>TABLA_AVANCE_INDICADORES[[#This Row],[AVANCE ACUM. ANUAL]]-TABLA_AVANCE_INDICADORES[[#This Row],[PROGRAMADO ANUAL]]</f>
        <v>-1</v>
      </c>
      <c r="AW212" s="46">
        <f>IFERROR((TABLA_AVANCE_INDICADORES[[#This Row],[DIFERENCIA ABSOLUTA ANUAL]]/TABLA_AVANCE_INDICADORES[[#This Row],[PROGRAMADO ANUAL]])*100,"N/A")</f>
        <v>-100</v>
      </c>
      <c r="AX212" s="148" t="s">
        <v>63</v>
      </c>
      <c r="AY212" s="100" t="s">
        <v>63</v>
      </c>
      <c r="AZ212" s="100"/>
      <c r="BA212" s="100"/>
      <c r="BB212"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213" spans="1:54" ht="112.5" hidden="1" x14ac:dyDescent="0.3">
      <c r="A213" s="31" t="s">
        <v>1451</v>
      </c>
      <c r="B213" s="113" t="s">
        <v>196</v>
      </c>
      <c r="C213" s="32" t="s">
        <v>75</v>
      </c>
      <c r="D213" s="114" t="s">
        <v>76</v>
      </c>
      <c r="E213" s="32" t="s">
        <v>197</v>
      </c>
      <c r="F213" s="115" t="s">
        <v>198</v>
      </c>
      <c r="G213" s="146" t="s">
        <v>199</v>
      </c>
      <c r="H213" s="94" t="s">
        <v>1400</v>
      </c>
      <c r="I213" s="34" t="s">
        <v>723</v>
      </c>
      <c r="J213" s="34" t="s">
        <v>188</v>
      </c>
      <c r="K213" s="94" t="s">
        <v>189</v>
      </c>
      <c r="L213" s="34" t="s">
        <v>200</v>
      </c>
      <c r="M213" s="94" t="s">
        <v>201</v>
      </c>
      <c r="N213" s="33">
        <v>2</v>
      </c>
      <c r="O213" s="33" t="s">
        <v>1078</v>
      </c>
      <c r="P213" s="125" t="s">
        <v>1448</v>
      </c>
      <c r="Q213" s="125" t="s">
        <v>1452</v>
      </c>
      <c r="R213" s="116" t="s">
        <v>1450</v>
      </c>
      <c r="S213" s="34" t="s">
        <v>85</v>
      </c>
      <c r="T213" s="56" t="s">
        <v>728</v>
      </c>
      <c r="U213" s="56" t="s">
        <v>755</v>
      </c>
      <c r="V213" s="95">
        <v>1</v>
      </c>
      <c r="W213" s="95">
        <v>0</v>
      </c>
      <c r="X213" s="117">
        <v>0</v>
      </c>
      <c r="Y213" s="38" t="str">
        <f>IFERROR((TABLA_AVANCE_INDICADORES[[#This Row],[AVANCE 1°. TRIM]]/TABLA_AVANCE_INDICADORES[[#This Row],[PROGR. 1° TRIM]])*100,"0")</f>
        <v>0</v>
      </c>
      <c r="Z213"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213" s="118">
        <v>0</v>
      </c>
      <c r="AB213" s="119">
        <v>0</v>
      </c>
      <c r="AC213" s="40" t="str">
        <f t="shared" si="6"/>
        <v>0</v>
      </c>
      <c r="AD213" s="39" t="str">
        <f t="shared" si="7"/>
        <v>NO PROG.</v>
      </c>
      <c r="AE213" s="118">
        <v>1</v>
      </c>
      <c r="AF213" s="119">
        <v>0</v>
      </c>
      <c r="AG213" s="40">
        <f>IFERROR((TABLA_AVANCE_INDICADORES[[#This Row],[AVANCE 3°. TRIM]]/TABLA_AVANCE_INDICADORES[[#This Row],[PROGR. 3° TRIM]])*100,"0")</f>
        <v>0</v>
      </c>
      <c r="AH213"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CRÍTICO</v>
      </c>
      <c r="AI213" s="118">
        <v>0</v>
      </c>
      <c r="AJ213" s="119">
        <v>0</v>
      </c>
      <c r="AK213" s="96" t="str">
        <f>IFERROR((TABLA_AVANCE_INDICADORES[[#This Row],[AVANCE 4°. TRIM]]/TABLA_AVANCE_INDICADORES[[#This Row],[PROGR. 4° TRIM]])*100,"0")</f>
        <v>0</v>
      </c>
      <c r="AL213"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NO PROG.</v>
      </c>
      <c r="AM213"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0</v>
      </c>
      <c r="AN213"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O213" s="40" t="str">
        <f>IFERROR((TABLA_AVANCE_INDICADORES[[#This Row],[AVANCE ACUM. TRIM.]]/TABLA_AVANCE_INDICADORES[[#This Row],[PROG. ACUM]])*100,"N/A")</f>
        <v>N/A</v>
      </c>
      <c r="AP213"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NO PROG.</v>
      </c>
      <c r="AQ213" s="121">
        <f>TABLA_AVANCE_INDICADORES[[#This Row],[AVANCE ACUM. TRIM.]]-TABLA_AVANCE_INDICADORES[[#This Row],[PROG. ACUM]]</f>
        <v>0</v>
      </c>
      <c r="AR213" s="46" t="str">
        <f>IFERROR((TABLA_AVANCE_INDICADORES[[#This Row],[DIFERENCIA ABSOLUTA SEMESTRAL]]/TABLA_AVANCE_INDICADORES[[#This Row],[PROG. ACUM]])*100,"N/A")</f>
        <v>N/A</v>
      </c>
      <c r="AS213"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T213" s="40">
        <f>IFERROR((TABLA_AVANCE_INDICADORES[[#This Row],[AVANCE ACUM. ANUAL]]/TABLA_AVANCE_INDICADORES[[#This Row],[PROGRAMADO ANUAL]])*100,"N/A")</f>
        <v>0</v>
      </c>
      <c r="AU213"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213" s="121">
        <f>TABLA_AVANCE_INDICADORES[[#This Row],[AVANCE ACUM. ANUAL]]-TABLA_AVANCE_INDICADORES[[#This Row],[PROGRAMADO ANUAL]]</f>
        <v>-1</v>
      </c>
      <c r="AW213" s="46">
        <f>IFERROR((TABLA_AVANCE_INDICADORES[[#This Row],[DIFERENCIA ABSOLUTA ANUAL]]/TABLA_AVANCE_INDICADORES[[#This Row],[PROGRAMADO ANUAL]])*100,"N/A")</f>
        <v>-100</v>
      </c>
      <c r="AX213" s="148" t="s">
        <v>63</v>
      </c>
      <c r="AY213" s="100" t="s">
        <v>63</v>
      </c>
      <c r="AZ213" s="100"/>
      <c r="BA213" s="100"/>
      <c r="BB213"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214" spans="1:54" ht="112.5" hidden="1" x14ac:dyDescent="0.3">
      <c r="A214" s="31" t="s">
        <v>1453</v>
      </c>
      <c r="B214" s="113" t="s">
        <v>661</v>
      </c>
      <c r="C214" s="32" t="s">
        <v>630</v>
      </c>
      <c r="D214" s="114" t="s">
        <v>629</v>
      </c>
      <c r="E214" s="32" t="s">
        <v>614</v>
      </c>
      <c r="F214" s="115" t="s">
        <v>615</v>
      </c>
      <c r="G214" s="146" t="s">
        <v>662</v>
      </c>
      <c r="H214" s="94" t="s">
        <v>1454</v>
      </c>
      <c r="I214" s="34" t="s">
        <v>723</v>
      </c>
      <c r="J214" s="34" t="s">
        <v>663</v>
      </c>
      <c r="K214" s="94" t="s">
        <v>664</v>
      </c>
      <c r="L214" s="34" t="s">
        <v>665</v>
      </c>
      <c r="M214" s="94" t="s">
        <v>666</v>
      </c>
      <c r="N214" s="33">
        <v>1</v>
      </c>
      <c r="O214" s="33" t="s">
        <v>724</v>
      </c>
      <c r="P214" s="125" t="s">
        <v>1455</v>
      </c>
      <c r="Q214" s="125" t="s">
        <v>1456</v>
      </c>
      <c r="R214" s="116" t="s">
        <v>1457</v>
      </c>
      <c r="S214" s="34" t="s">
        <v>1458</v>
      </c>
      <c r="T214" s="56" t="s">
        <v>728</v>
      </c>
      <c r="U214" s="56" t="s">
        <v>729</v>
      </c>
      <c r="V214" s="95">
        <v>0</v>
      </c>
      <c r="W214" s="95">
        <v>0</v>
      </c>
      <c r="X214" s="117">
        <v>0</v>
      </c>
      <c r="Y214" s="38" t="str">
        <f>IFERROR((TABLA_AVANCE_INDICADORES[[#This Row],[AVANCE 1°. TRIM]]/TABLA_AVANCE_INDICADORES[[#This Row],[PROGR. 1° TRIM]])*100,"0")</f>
        <v>0</v>
      </c>
      <c r="Z214"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214" s="118">
        <v>0</v>
      </c>
      <c r="AB214" s="119">
        <v>0</v>
      </c>
      <c r="AC214" s="40" t="str">
        <f t="shared" si="6"/>
        <v>0</v>
      </c>
      <c r="AD214" s="39" t="str">
        <f t="shared" si="7"/>
        <v>NO PROG.</v>
      </c>
      <c r="AE214" s="118">
        <v>0</v>
      </c>
      <c r="AF214" s="119">
        <v>0</v>
      </c>
      <c r="AG214" s="40" t="str">
        <f>IFERROR((TABLA_AVANCE_INDICADORES[[#This Row],[AVANCE 3°. TRIM]]/TABLA_AVANCE_INDICADORES[[#This Row],[PROGR. 3° TRIM]])*100,"0")</f>
        <v>0</v>
      </c>
      <c r="AH214"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214" s="118">
        <v>0</v>
      </c>
      <c r="AJ214" s="119">
        <v>0</v>
      </c>
      <c r="AK214" s="96" t="str">
        <f>IFERROR((TABLA_AVANCE_INDICADORES[[#This Row],[AVANCE 4°. TRIM]]/TABLA_AVANCE_INDICADORES[[#This Row],[PROGR. 4° TRIM]])*100,"0")</f>
        <v>0</v>
      </c>
      <c r="AL214"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NO PROG.</v>
      </c>
      <c r="AM214"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0</v>
      </c>
      <c r="AN214"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O214" s="40" t="str">
        <f>IFERROR((TABLA_AVANCE_INDICADORES[[#This Row],[AVANCE ACUM. TRIM.]]/TABLA_AVANCE_INDICADORES[[#This Row],[PROG. ACUM]])*100,"N/A")</f>
        <v>N/A</v>
      </c>
      <c r="AP214"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NO PROG.</v>
      </c>
      <c r="AQ214" s="121">
        <f>TABLA_AVANCE_INDICADORES[[#This Row],[AVANCE ACUM. TRIM.]]-TABLA_AVANCE_INDICADORES[[#This Row],[PROG. ACUM]]</f>
        <v>0</v>
      </c>
      <c r="AR214" s="46" t="str">
        <f>IFERROR((TABLA_AVANCE_INDICADORES[[#This Row],[DIFERENCIA ABSOLUTA SEMESTRAL]]/TABLA_AVANCE_INDICADORES[[#This Row],[PROG. ACUM]])*100,"N/A")</f>
        <v>N/A</v>
      </c>
      <c r="AS214"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T214" s="40" t="str">
        <f>IFERROR((TABLA_AVANCE_INDICADORES[[#This Row],[AVANCE ACUM. ANUAL]]/TABLA_AVANCE_INDICADORES[[#This Row],[PROGRAMADO ANUAL]])*100,"N/A")</f>
        <v>N/A</v>
      </c>
      <c r="AU214"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NO PROG.</v>
      </c>
      <c r="AV214" s="121">
        <f>TABLA_AVANCE_INDICADORES[[#This Row],[AVANCE ACUM. ANUAL]]-TABLA_AVANCE_INDICADORES[[#This Row],[PROGRAMADO ANUAL]]</f>
        <v>0</v>
      </c>
      <c r="AW214" s="46" t="str">
        <f>IFERROR((TABLA_AVANCE_INDICADORES[[#This Row],[DIFERENCIA ABSOLUTA ANUAL]]/TABLA_AVANCE_INDICADORES[[#This Row],[PROGRAMADO ANUAL]])*100,"N/A")</f>
        <v>N/A</v>
      </c>
      <c r="AX214" s="148"/>
      <c r="AY214" s="100" t="s">
        <v>63</v>
      </c>
      <c r="AZ214" s="100"/>
      <c r="BA214" s="100"/>
      <c r="BB214"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215" spans="1:54" ht="112.5" hidden="1" x14ac:dyDescent="0.3">
      <c r="A215" s="31" t="s">
        <v>1459</v>
      </c>
      <c r="B215" s="113" t="s">
        <v>661</v>
      </c>
      <c r="C215" s="32" t="s">
        <v>630</v>
      </c>
      <c r="D215" s="114" t="s">
        <v>629</v>
      </c>
      <c r="E215" s="32" t="s">
        <v>614</v>
      </c>
      <c r="F215" s="115" t="s">
        <v>615</v>
      </c>
      <c r="G215" s="146" t="s">
        <v>662</v>
      </c>
      <c r="H215" s="94" t="s">
        <v>1454</v>
      </c>
      <c r="I215" s="34" t="s">
        <v>723</v>
      </c>
      <c r="J215" s="34" t="s">
        <v>663</v>
      </c>
      <c r="K215" s="94" t="s">
        <v>664</v>
      </c>
      <c r="L215" s="34" t="s">
        <v>665</v>
      </c>
      <c r="M215" s="94" t="s">
        <v>666</v>
      </c>
      <c r="N215" s="33">
        <v>2</v>
      </c>
      <c r="O215" s="33" t="s">
        <v>724</v>
      </c>
      <c r="P215" s="125" t="s">
        <v>1455</v>
      </c>
      <c r="Q215" s="125" t="s">
        <v>1460</v>
      </c>
      <c r="R215" s="116" t="s">
        <v>1457</v>
      </c>
      <c r="S215" s="34" t="s">
        <v>1461</v>
      </c>
      <c r="T215" s="56" t="s">
        <v>885</v>
      </c>
      <c r="U215" s="56" t="s">
        <v>729</v>
      </c>
      <c r="V215" s="95">
        <v>415998</v>
      </c>
      <c r="W215" s="95">
        <v>0</v>
      </c>
      <c r="X215" s="117">
        <v>0</v>
      </c>
      <c r="Y215" s="38" t="str">
        <f>IFERROR((TABLA_AVANCE_INDICADORES[[#This Row],[AVANCE 1°. TRIM]]/TABLA_AVANCE_INDICADORES[[#This Row],[PROGR. 1° TRIM]])*100,"0")</f>
        <v>0</v>
      </c>
      <c r="Z215"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215" s="118">
        <v>0</v>
      </c>
      <c r="AB215" s="119">
        <v>0</v>
      </c>
      <c r="AC215" s="40" t="str">
        <f t="shared" si="6"/>
        <v>0</v>
      </c>
      <c r="AD215" s="39" t="str">
        <f t="shared" si="7"/>
        <v>NO PROG.</v>
      </c>
      <c r="AE215" s="118">
        <v>0</v>
      </c>
      <c r="AF215" s="119">
        <v>0</v>
      </c>
      <c r="AG215" s="40" t="str">
        <f>IFERROR((TABLA_AVANCE_INDICADORES[[#This Row],[AVANCE 3°. TRIM]]/TABLA_AVANCE_INDICADORES[[#This Row],[PROGR. 3° TRIM]])*100,"0")</f>
        <v>0</v>
      </c>
      <c r="AH215"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215" s="118">
        <v>415998</v>
      </c>
      <c r="AJ215" s="119">
        <v>0</v>
      </c>
      <c r="AK215" s="96">
        <f>IFERROR((TABLA_AVANCE_INDICADORES[[#This Row],[AVANCE 4°. TRIM]]/TABLA_AVANCE_INDICADORES[[#This Row],[PROGR. 4° TRIM]])*100,"0")</f>
        <v>0</v>
      </c>
      <c r="AL215"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215"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0</v>
      </c>
      <c r="AN215"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O215" s="40" t="str">
        <f>IFERROR((TABLA_AVANCE_INDICADORES[[#This Row],[AVANCE ACUM. TRIM.]]/TABLA_AVANCE_INDICADORES[[#This Row],[PROG. ACUM]])*100,"N/A")</f>
        <v>N/A</v>
      </c>
      <c r="AP215"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NO PROG.</v>
      </c>
      <c r="AQ215" s="121">
        <f>TABLA_AVANCE_INDICADORES[[#This Row],[AVANCE ACUM. TRIM.]]-TABLA_AVANCE_INDICADORES[[#This Row],[PROG. ACUM]]</f>
        <v>0</v>
      </c>
      <c r="AR215" s="46" t="str">
        <f>IFERROR((TABLA_AVANCE_INDICADORES[[#This Row],[DIFERENCIA ABSOLUTA SEMESTRAL]]/TABLA_AVANCE_INDICADORES[[#This Row],[PROG. ACUM]])*100,"N/A")</f>
        <v>N/A</v>
      </c>
      <c r="AS215"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T215" s="40">
        <f>IFERROR((TABLA_AVANCE_INDICADORES[[#This Row],[AVANCE ACUM. ANUAL]]/TABLA_AVANCE_INDICADORES[[#This Row],[PROGRAMADO ANUAL]])*100,"N/A")</f>
        <v>0</v>
      </c>
      <c r="AU215"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215" s="121">
        <f>TABLA_AVANCE_INDICADORES[[#This Row],[AVANCE ACUM. ANUAL]]-TABLA_AVANCE_INDICADORES[[#This Row],[PROGRAMADO ANUAL]]</f>
        <v>-415998</v>
      </c>
      <c r="AW215" s="46">
        <f>IFERROR((TABLA_AVANCE_INDICADORES[[#This Row],[DIFERENCIA ABSOLUTA ANUAL]]/TABLA_AVANCE_INDICADORES[[#This Row],[PROGRAMADO ANUAL]])*100,"N/A")</f>
        <v>-100</v>
      </c>
      <c r="AX215" s="148"/>
      <c r="AY215" s="100" t="s">
        <v>63</v>
      </c>
      <c r="AZ215" s="100"/>
      <c r="BA215" s="100"/>
      <c r="BB215" s="124">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0</v>
      </c>
    </row>
    <row r="216" spans="1:54" ht="112.5" hidden="1" x14ac:dyDescent="0.3">
      <c r="A216" s="31" t="s">
        <v>1462</v>
      </c>
      <c r="B216" s="113" t="s">
        <v>661</v>
      </c>
      <c r="C216" s="32" t="s">
        <v>630</v>
      </c>
      <c r="D216" s="114" t="s">
        <v>629</v>
      </c>
      <c r="E216" s="32" t="s">
        <v>614</v>
      </c>
      <c r="F216" s="115" t="s">
        <v>615</v>
      </c>
      <c r="G216" s="146" t="s">
        <v>662</v>
      </c>
      <c r="H216" s="94" t="s">
        <v>1454</v>
      </c>
      <c r="I216" s="34" t="s">
        <v>723</v>
      </c>
      <c r="J216" s="34" t="s">
        <v>663</v>
      </c>
      <c r="K216" s="94" t="s">
        <v>664</v>
      </c>
      <c r="L216" s="34" t="s">
        <v>665</v>
      </c>
      <c r="M216" s="94" t="s">
        <v>666</v>
      </c>
      <c r="N216" s="33">
        <v>1</v>
      </c>
      <c r="O216" s="33" t="s">
        <v>734</v>
      </c>
      <c r="P216" s="125" t="s">
        <v>1463</v>
      </c>
      <c r="Q216" s="125" t="s">
        <v>1456</v>
      </c>
      <c r="R216" s="116" t="s">
        <v>1464</v>
      </c>
      <c r="S216" s="34" t="s">
        <v>1458</v>
      </c>
      <c r="T216" s="56" t="s">
        <v>728</v>
      </c>
      <c r="U216" s="56" t="s">
        <v>729</v>
      </c>
      <c r="V216" s="95">
        <v>0</v>
      </c>
      <c r="W216" s="95">
        <v>0</v>
      </c>
      <c r="X216" s="117">
        <v>0</v>
      </c>
      <c r="Y216" s="38" t="str">
        <f>IFERROR((TABLA_AVANCE_INDICADORES[[#This Row],[AVANCE 1°. TRIM]]/TABLA_AVANCE_INDICADORES[[#This Row],[PROGR. 1° TRIM]])*100,"0")</f>
        <v>0</v>
      </c>
      <c r="Z216"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216" s="118">
        <v>0</v>
      </c>
      <c r="AB216" s="119">
        <v>0</v>
      </c>
      <c r="AC216" s="40" t="str">
        <f t="shared" si="6"/>
        <v>0</v>
      </c>
      <c r="AD216" s="39" t="str">
        <f t="shared" si="7"/>
        <v>NO PROG.</v>
      </c>
      <c r="AE216" s="118">
        <v>0</v>
      </c>
      <c r="AF216" s="119">
        <v>0</v>
      </c>
      <c r="AG216" s="40" t="str">
        <f>IFERROR((TABLA_AVANCE_INDICADORES[[#This Row],[AVANCE 3°. TRIM]]/TABLA_AVANCE_INDICADORES[[#This Row],[PROGR. 3° TRIM]])*100,"0")</f>
        <v>0</v>
      </c>
      <c r="AH216"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216" s="118">
        <v>0</v>
      </c>
      <c r="AJ216" s="119">
        <v>0</v>
      </c>
      <c r="AK216" s="96" t="str">
        <f>IFERROR((TABLA_AVANCE_INDICADORES[[#This Row],[AVANCE 4°. TRIM]]/TABLA_AVANCE_INDICADORES[[#This Row],[PROGR. 4° TRIM]])*100,"0")</f>
        <v>0</v>
      </c>
      <c r="AL216"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NO PROG.</v>
      </c>
      <c r="AM216"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0</v>
      </c>
      <c r="AN216"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O216" s="40" t="str">
        <f>IFERROR((TABLA_AVANCE_INDICADORES[[#This Row],[AVANCE ACUM. TRIM.]]/TABLA_AVANCE_INDICADORES[[#This Row],[PROG. ACUM]])*100,"N/A")</f>
        <v>N/A</v>
      </c>
      <c r="AP216"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NO PROG.</v>
      </c>
      <c r="AQ216" s="121">
        <f>TABLA_AVANCE_INDICADORES[[#This Row],[AVANCE ACUM. TRIM.]]-TABLA_AVANCE_INDICADORES[[#This Row],[PROG. ACUM]]</f>
        <v>0</v>
      </c>
      <c r="AR216" s="46" t="str">
        <f>IFERROR((TABLA_AVANCE_INDICADORES[[#This Row],[DIFERENCIA ABSOLUTA SEMESTRAL]]/TABLA_AVANCE_INDICADORES[[#This Row],[PROG. ACUM]])*100,"N/A")</f>
        <v>N/A</v>
      </c>
      <c r="AS216"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T216" s="40" t="str">
        <f>IFERROR((TABLA_AVANCE_INDICADORES[[#This Row],[AVANCE ACUM. ANUAL]]/TABLA_AVANCE_INDICADORES[[#This Row],[PROGRAMADO ANUAL]])*100,"N/A")</f>
        <v>N/A</v>
      </c>
      <c r="AU216"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NO PROG.</v>
      </c>
      <c r="AV216" s="121">
        <f>TABLA_AVANCE_INDICADORES[[#This Row],[AVANCE ACUM. ANUAL]]-TABLA_AVANCE_INDICADORES[[#This Row],[PROGRAMADO ANUAL]]</f>
        <v>0</v>
      </c>
      <c r="AW216" s="46" t="str">
        <f>IFERROR((TABLA_AVANCE_INDICADORES[[#This Row],[DIFERENCIA ABSOLUTA ANUAL]]/TABLA_AVANCE_INDICADORES[[#This Row],[PROGRAMADO ANUAL]])*100,"N/A")</f>
        <v>N/A</v>
      </c>
      <c r="AX216" s="148"/>
      <c r="AY216" s="100" t="s">
        <v>63</v>
      </c>
      <c r="AZ216" s="100"/>
      <c r="BA216" s="100"/>
      <c r="BB216"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217" spans="1:54" ht="112.5" hidden="1" x14ac:dyDescent="0.3">
      <c r="A217" s="31" t="s">
        <v>1465</v>
      </c>
      <c r="B217" s="113" t="s">
        <v>661</v>
      </c>
      <c r="C217" s="32" t="s">
        <v>630</v>
      </c>
      <c r="D217" s="114" t="s">
        <v>629</v>
      </c>
      <c r="E217" s="32" t="s">
        <v>614</v>
      </c>
      <c r="F217" s="115" t="s">
        <v>615</v>
      </c>
      <c r="G217" s="146" t="s">
        <v>662</v>
      </c>
      <c r="H217" s="94" t="s">
        <v>1454</v>
      </c>
      <c r="I217" s="34" t="s">
        <v>723</v>
      </c>
      <c r="J217" s="34" t="s">
        <v>663</v>
      </c>
      <c r="K217" s="94" t="s">
        <v>664</v>
      </c>
      <c r="L217" s="34" t="s">
        <v>665</v>
      </c>
      <c r="M217" s="94" t="s">
        <v>666</v>
      </c>
      <c r="N217" s="33">
        <v>2</v>
      </c>
      <c r="O217" s="33" t="s">
        <v>734</v>
      </c>
      <c r="P217" s="125" t="s">
        <v>1463</v>
      </c>
      <c r="Q217" s="125" t="s">
        <v>1466</v>
      </c>
      <c r="R217" s="116" t="s">
        <v>1464</v>
      </c>
      <c r="S217" s="34" t="s">
        <v>1467</v>
      </c>
      <c r="T217" s="56" t="s">
        <v>728</v>
      </c>
      <c r="U217" s="56" t="s">
        <v>729</v>
      </c>
      <c r="V217" s="95">
        <v>0</v>
      </c>
      <c r="W217" s="95">
        <v>0</v>
      </c>
      <c r="X217" s="117">
        <v>0</v>
      </c>
      <c r="Y217" s="38" t="str">
        <f>IFERROR((TABLA_AVANCE_INDICADORES[[#This Row],[AVANCE 1°. TRIM]]/TABLA_AVANCE_INDICADORES[[#This Row],[PROGR. 1° TRIM]])*100,"0")</f>
        <v>0</v>
      </c>
      <c r="Z217"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217" s="118">
        <v>0</v>
      </c>
      <c r="AB217" s="119">
        <v>0</v>
      </c>
      <c r="AC217" s="40" t="str">
        <f t="shared" si="6"/>
        <v>0</v>
      </c>
      <c r="AD217" s="39" t="str">
        <f t="shared" si="7"/>
        <v>NO PROG.</v>
      </c>
      <c r="AE217" s="118">
        <v>0</v>
      </c>
      <c r="AF217" s="119">
        <v>0</v>
      </c>
      <c r="AG217" s="40" t="str">
        <f>IFERROR((TABLA_AVANCE_INDICADORES[[#This Row],[AVANCE 3°. TRIM]]/TABLA_AVANCE_INDICADORES[[#This Row],[PROGR. 3° TRIM]])*100,"0")</f>
        <v>0</v>
      </c>
      <c r="AH217"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217" s="118">
        <v>0</v>
      </c>
      <c r="AJ217" s="119">
        <v>0</v>
      </c>
      <c r="AK217" s="96" t="str">
        <f>IFERROR((TABLA_AVANCE_INDICADORES[[#This Row],[AVANCE 4°. TRIM]]/TABLA_AVANCE_INDICADORES[[#This Row],[PROGR. 4° TRIM]])*100,"0")</f>
        <v>0</v>
      </c>
      <c r="AL217"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NO PROG.</v>
      </c>
      <c r="AM217"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0</v>
      </c>
      <c r="AN217"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O217" s="40" t="str">
        <f>IFERROR((TABLA_AVANCE_INDICADORES[[#This Row],[AVANCE ACUM. TRIM.]]/TABLA_AVANCE_INDICADORES[[#This Row],[PROG. ACUM]])*100,"N/A")</f>
        <v>N/A</v>
      </c>
      <c r="AP217"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NO PROG.</v>
      </c>
      <c r="AQ217" s="121">
        <f>TABLA_AVANCE_INDICADORES[[#This Row],[AVANCE ACUM. TRIM.]]-TABLA_AVANCE_INDICADORES[[#This Row],[PROG. ACUM]]</f>
        <v>0</v>
      </c>
      <c r="AR217" s="46" t="str">
        <f>IFERROR((TABLA_AVANCE_INDICADORES[[#This Row],[DIFERENCIA ABSOLUTA SEMESTRAL]]/TABLA_AVANCE_INDICADORES[[#This Row],[PROG. ACUM]])*100,"N/A")</f>
        <v>N/A</v>
      </c>
      <c r="AS217"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T217" s="40" t="str">
        <f>IFERROR((TABLA_AVANCE_INDICADORES[[#This Row],[AVANCE ACUM. ANUAL]]/TABLA_AVANCE_INDICADORES[[#This Row],[PROGRAMADO ANUAL]])*100,"N/A")</f>
        <v>N/A</v>
      </c>
      <c r="AU217"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NO PROG.</v>
      </c>
      <c r="AV217" s="121">
        <f>TABLA_AVANCE_INDICADORES[[#This Row],[AVANCE ACUM. ANUAL]]-TABLA_AVANCE_INDICADORES[[#This Row],[PROGRAMADO ANUAL]]</f>
        <v>0</v>
      </c>
      <c r="AW217" s="46" t="str">
        <f>IFERROR((TABLA_AVANCE_INDICADORES[[#This Row],[DIFERENCIA ABSOLUTA ANUAL]]/TABLA_AVANCE_INDICADORES[[#This Row],[PROGRAMADO ANUAL]])*100,"N/A")</f>
        <v>N/A</v>
      </c>
      <c r="AX217" s="148"/>
      <c r="AY217" s="100" t="s">
        <v>63</v>
      </c>
      <c r="AZ217" s="100"/>
      <c r="BA217" s="100"/>
      <c r="BB217"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218" spans="1:54" ht="112.5" hidden="1" x14ac:dyDescent="0.3">
      <c r="A218" s="31" t="s">
        <v>1468</v>
      </c>
      <c r="B218" s="113" t="s">
        <v>661</v>
      </c>
      <c r="C218" s="32" t="s">
        <v>630</v>
      </c>
      <c r="D218" s="114" t="s">
        <v>629</v>
      </c>
      <c r="E218" s="32" t="s">
        <v>614</v>
      </c>
      <c r="F218" s="115" t="s">
        <v>615</v>
      </c>
      <c r="G218" s="146" t="s">
        <v>662</v>
      </c>
      <c r="H218" s="94" t="s">
        <v>1454</v>
      </c>
      <c r="I218" s="34" t="s">
        <v>723</v>
      </c>
      <c r="J218" s="34" t="s">
        <v>663</v>
      </c>
      <c r="K218" s="94" t="s">
        <v>664</v>
      </c>
      <c r="L218" s="34" t="s">
        <v>665</v>
      </c>
      <c r="M218" s="94" t="s">
        <v>666</v>
      </c>
      <c r="N218" s="33">
        <v>1</v>
      </c>
      <c r="O218" s="33" t="s">
        <v>906</v>
      </c>
      <c r="P218" s="125" t="s">
        <v>1469</v>
      </c>
      <c r="Q218" s="125" t="s">
        <v>1470</v>
      </c>
      <c r="R218" s="116" t="s">
        <v>1471</v>
      </c>
      <c r="S218" s="34" t="s">
        <v>131</v>
      </c>
      <c r="T218" s="56" t="s">
        <v>728</v>
      </c>
      <c r="U218" s="56" t="s">
        <v>747</v>
      </c>
      <c r="V218" s="95">
        <v>2</v>
      </c>
      <c r="W218" s="95">
        <v>0</v>
      </c>
      <c r="X218" s="117">
        <v>0</v>
      </c>
      <c r="Y218" s="38" t="str">
        <f>IFERROR((TABLA_AVANCE_INDICADORES[[#This Row],[AVANCE 1°. TRIM]]/TABLA_AVANCE_INDICADORES[[#This Row],[PROGR. 1° TRIM]])*100,"0")</f>
        <v>0</v>
      </c>
      <c r="Z218"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218" s="118">
        <v>1</v>
      </c>
      <c r="AB218" s="119">
        <v>1</v>
      </c>
      <c r="AC218" s="40">
        <f t="shared" si="6"/>
        <v>100</v>
      </c>
      <c r="AD218" s="39" t="str">
        <f t="shared" si="7"/>
        <v>ADECUADO</v>
      </c>
      <c r="AE218" s="118">
        <v>0</v>
      </c>
      <c r="AF218" s="119">
        <v>0</v>
      </c>
      <c r="AG218" s="40" t="str">
        <f>IFERROR((TABLA_AVANCE_INDICADORES[[#This Row],[AVANCE 3°. TRIM]]/TABLA_AVANCE_INDICADORES[[#This Row],[PROGR. 3° TRIM]])*100,"0")</f>
        <v>0</v>
      </c>
      <c r="AH218"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218" s="118">
        <v>1</v>
      </c>
      <c r="AJ218" s="119">
        <v>0</v>
      </c>
      <c r="AK218" s="96">
        <f>IFERROR((TABLA_AVANCE_INDICADORES[[#This Row],[AVANCE 4°. TRIM]]/TABLA_AVANCE_INDICADORES[[#This Row],[PROGR. 4° TRIM]])*100,"0")</f>
        <v>0</v>
      </c>
      <c r="AL218"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218"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1</v>
      </c>
      <c r="AN218"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v>
      </c>
      <c r="AO218" s="40">
        <f>IFERROR((TABLA_AVANCE_INDICADORES[[#This Row],[AVANCE ACUM. TRIM.]]/TABLA_AVANCE_INDICADORES[[#This Row],[PROG. ACUM]])*100,"N/A")</f>
        <v>100</v>
      </c>
      <c r="AP218"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218" s="121">
        <f>TABLA_AVANCE_INDICADORES[[#This Row],[AVANCE ACUM. TRIM.]]-TABLA_AVANCE_INDICADORES[[#This Row],[PROG. ACUM]]</f>
        <v>0</v>
      </c>
      <c r="AR218" s="46">
        <f>IFERROR((TABLA_AVANCE_INDICADORES[[#This Row],[DIFERENCIA ABSOLUTA SEMESTRAL]]/TABLA_AVANCE_INDICADORES[[#This Row],[PROG. ACUM]])*100,"N/A")</f>
        <v>0</v>
      </c>
      <c r="AS218"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v>
      </c>
      <c r="AT218" s="40">
        <f>IFERROR((TABLA_AVANCE_INDICADORES[[#This Row],[AVANCE ACUM. ANUAL]]/TABLA_AVANCE_INDICADORES[[#This Row],[PROGRAMADO ANUAL]])*100,"N/A")</f>
        <v>50</v>
      </c>
      <c r="AU218"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218" s="121">
        <f>TABLA_AVANCE_INDICADORES[[#This Row],[AVANCE ACUM. ANUAL]]-TABLA_AVANCE_INDICADORES[[#This Row],[PROGRAMADO ANUAL]]</f>
        <v>-1</v>
      </c>
      <c r="AW218" s="46">
        <f>IFERROR((TABLA_AVANCE_INDICADORES[[#This Row],[DIFERENCIA ABSOLUTA ANUAL]]/TABLA_AVANCE_INDICADORES[[#This Row],[PROGRAMADO ANUAL]])*100,"N/A")</f>
        <v>-50</v>
      </c>
      <c r="AX218" s="148"/>
      <c r="AY218" s="100" t="s">
        <v>1472</v>
      </c>
      <c r="AZ218" s="100"/>
      <c r="BA218" s="100"/>
      <c r="BB218"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219" spans="1:54" ht="112.5" hidden="1" x14ac:dyDescent="0.3">
      <c r="A219" s="31" t="s">
        <v>1473</v>
      </c>
      <c r="B219" s="113" t="s">
        <v>661</v>
      </c>
      <c r="C219" s="32" t="s">
        <v>630</v>
      </c>
      <c r="D219" s="114" t="s">
        <v>629</v>
      </c>
      <c r="E219" s="32" t="s">
        <v>614</v>
      </c>
      <c r="F219" s="115" t="s">
        <v>615</v>
      </c>
      <c r="G219" s="146" t="s">
        <v>662</v>
      </c>
      <c r="H219" s="94" t="s">
        <v>1454</v>
      </c>
      <c r="I219" s="34" t="s">
        <v>723</v>
      </c>
      <c r="J219" s="34" t="s">
        <v>663</v>
      </c>
      <c r="K219" s="94" t="s">
        <v>664</v>
      </c>
      <c r="L219" s="34" t="s">
        <v>665</v>
      </c>
      <c r="M219" s="94" t="s">
        <v>666</v>
      </c>
      <c r="N219" s="33">
        <v>2</v>
      </c>
      <c r="O219" s="33" t="s">
        <v>906</v>
      </c>
      <c r="P219" s="125" t="s">
        <v>1469</v>
      </c>
      <c r="Q219" s="125" t="s">
        <v>1474</v>
      </c>
      <c r="R219" s="116" t="s">
        <v>1471</v>
      </c>
      <c r="S219" s="34" t="s">
        <v>131</v>
      </c>
      <c r="T219" s="56" t="s">
        <v>728</v>
      </c>
      <c r="U219" s="56" t="s">
        <v>747</v>
      </c>
      <c r="V219" s="95">
        <v>2</v>
      </c>
      <c r="W219" s="95">
        <v>0</v>
      </c>
      <c r="X219" s="127">
        <v>0</v>
      </c>
      <c r="Y219" s="38" t="str">
        <f>IFERROR((TABLA_AVANCE_INDICADORES[[#This Row],[AVANCE 1°. TRIM]]/TABLA_AVANCE_INDICADORES[[#This Row],[PROGR. 1° TRIM]])*100,"0")</f>
        <v>0</v>
      </c>
      <c r="Z219"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219" s="118">
        <v>1</v>
      </c>
      <c r="AB219" s="128">
        <v>1</v>
      </c>
      <c r="AC219" s="40">
        <f t="shared" si="6"/>
        <v>100</v>
      </c>
      <c r="AD219" s="39" t="str">
        <f t="shared" si="7"/>
        <v>ADECUADO</v>
      </c>
      <c r="AE219" s="118">
        <v>0</v>
      </c>
      <c r="AF219" s="128">
        <f>AE219</f>
        <v>0</v>
      </c>
      <c r="AG219" s="40" t="str">
        <f>IFERROR((TABLA_AVANCE_INDICADORES[[#This Row],[AVANCE 3°. TRIM]]/TABLA_AVANCE_INDICADORES[[#This Row],[PROGR. 3° TRIM]])*100,"0")</f>
        <v>0</v>
      </c>
      <c r="AH219"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219" s="118">
        <v>1</v>
      </c>
      <c r="AJ219" s="128">
        <f>AI219</f>
        <v>1</v>
      </c>
      <c r="AK219" s="96">
        <f>IFERROR((TABLA_AVANCE_INDICADORES[[#This Row],[AVANCE 4°. TRIM]]/TABLA_AVANCE_INDICADORES[[#This Row],[PROGR. 4° TRIM]])*100,"0")</f>
        <v>100</v>
      </c>
      <c r="AL219"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ADECUADO</v>
      </c>
      <c r="AM219"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1</v>
      </c>
      <c r="AN219"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v>
      </c>
      <c r="AO219" s="40">
        <f>IFERROR((TABLA_AVANCE_INDICADORES[[#This Row],[AVANCE ACUM. TRIM.]]/TABLA_AVANCE_INDICADORES[[#This Row],[PROG. ACUM]])*100,"N/A")</f>
        <v>100</v>
      </c>
      <c r="AP219"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219" s="121">
        <f>TABLA_AVANCE_INDICADORES[[#This Row],[AVANCE ACUM. TRIM.]]-TABLA_AVANCE_INDICADORES[[#This Row],[PROG. ACUM]]</f>
        <v>0</v>
      </c>
      <c r="AR219" s="46">
        <f>IFERROR((TABLA_AVANCE_INDICADORES[[#This Row],[DIFERENCIA ABSOLUTA SEMESTRAL]]/TABLA_AVANCE_INDICADORES[[#This Row],[PROG. ACUM]])*100,"N/A")</f>
        <v>0</v>
      </c>
      <c r="AS219"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v>
      </c>
      <c r="AT219" s="40">
        <f>IFERROR((TABLA_AVANCE_INDICADORES[[#This Row],[AVANCE ACUM. ANUAL]]/TABLA_AVANCE_INDICADORES[[#This Row],[PROGRAMADO ANUAL]])*100,"N/A")</f>
        <v>50</v>
      </c>
      <c r="AU219"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219" s="121">
        <f>TABLA_AVANCE_INDICADORES[[#This Row],[AVANCE ACUM. ANUAL]]-TABLA_AVANCE_INDICADORES[[#This Row],[PROGRAMADO ANUAL]]</f>
        <v>-1</v>
      </c>
      <c r="AW219" s="46">
        <f>IFERROR((TABLA_AVANCE_INDICADORES[[#This Row],[DIFERENCIA ABSOLUTA ANUAL]]/TABLA_AVANCE_INDICADORES[[#This Row],[PROGRAMADO ANUAL]])*100,"N/A")</f>
        <v>-50</v>
      </c>
      <c r="AX219" s="148"/>
      <c r="AY219" s="100" t="s">
        <v>1472</v>
      </c>
      <c r="AZ219" s="100"/>
      <c r="BA219" s="100"/>
      <c r="BB219"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220" spans="1:54" ht="112.5" hidden="1" x14ac:dyDescent="0.3">
      <c r="A220" s="31" t="s">
        <v>1475</v>
      </c>
      <c r="B220" s="113" t="s">
        <v>661</v>
      </c>
      <c r="C220" s="32" t="s">
        <v>630</v>
      </c>
      <c r="D220" s="114" t="s">
        <v>629</v>
      </c>
      <c r="E220" s="32" t="s">
        <v>614</v>
      </c>
      <c r="F220" s="115" t="s">
        <v>615</v>
      </c>
      <c r="G220" s="146" t="s">
        <v>662</v>
      </c>
      <c r="H220" s="94" t="s">
        <v>1454</v>
      </c>
      <c r="I220" s="34" t="s">
        <v>723</v>
      </c>
      <c r="J220" s="34" t="s">
        <v>663</v>
      </c>
      <c r="K220" s="94" t="s">
        <v>664</v>
      </c>
      <c r="L220" s="34" t="s">
        <v>665</v>
      </c>
      <c r="M220" s="94" t="s">
        <v>666</v>
      </c>
      <c r="N220" s="33">
        <v>1</v>
      </c>
      <c r="O220" s="33" t="s">
        <v>945</v>
      </c>
      <c r="P220" s="125" t="s">
        <v>1476</v>
      </c>
      <c r="Q220" s="125" t="s">
        <v>1477</v>
      </c>
      <c r="R220" s="116" t="s">
        <v>1478</v>
      </c>
      <c r="S220" s="34" t="s">
        <v>185</v>
      </c>
      <c r="T220" s="56" t="s">
        <v>728</v>
      </c>
      <c r="U220" s="56" t="s">
        <v>755</v>
      </c>
      <c r="V220" s="95">
        <v>40</v>
      </c>
      <c r="W220" s="95">
        <v>0</v>
      </c>
      <c r="X220" s="117">
        <v>0</v>
      </c>
      <c r="Y220" s="38" t="str">
        <f>IFERROR((TABLA_AVANCE_INDICADORES[[#This Row],[AVANCE 1°. TRIM]]/TABLA_AVANCE_INDICADORES[[#This Row],[PROGR. 1° TRIM]])*100,"0")</f>
        <v>0</v>
      </c>
      <c r="Z220"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220" s="118">
        <v>20</v>
      </c>
      <c r="AB220" s="119">
        <v>20</v>
      </c>
      <c r="AC220" s="40">
        <f t="shared" si="6"/>
        <v>100</v>
      </c>
      <c r="AD220" s="39" t="str">
        <f t="shared" si="7"/>
        <v>ADECUADO</v>
      </c>
      <c r="AE220" s="118">
        <v>0</v>
      </c>
      <c r="AF220" s="119">
        <v>0</v>
      </c>
      <c r="AG220" s="40" t="str">
        <f>IFERROR((TABLA_AVANCE_INDICADORES[[#This Row],[AVANCE 3°. TRIM]]/TABLA_AVANCE_INDICADORES[[#This Row],[PROGR. 3° TRIM]])*100,"0")</f>
        <v>0</v>
      </c>
      <c r="AH220"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220" s="118">
        <v>20</v>
      </c>
      <c r="AJ220" s="119">
        <v>0</v>
      </c>
      <c r="AK220" s="96">
        <f>IFERROR((TABLA_AVANCE_INDICADORES[[#This Row],[AVANCE 4°. TRIM]]/TABLA_AVANCE_INDICADORES[[#This Row],[PROGR. 4° TRIM]])*100,"0")</f>
        <v>0</v>
      </c>
      <c r="AL220"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220"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20</v>
      </c>
      <c r="AN220"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20</v>
      </c>
      <c r="AO220" s="40">
        <f>IFERROR((TABLA_AVANCE_INDICADORES[[#This Row],[AVANCE ACUM. TRIM.]]/TABLA_AVANCE_INDICADORES[[#This Row],[PROG. ACUM]])*100,"N/A")</f>
        <v>100</v>
      </c>
      <c r="AP220"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220" s="121">
        <f>TABLA_AVANCE_INDICADORES[[#This Row],[AVANCE ACUM. TRIM.]]-TABLA_AVANCE_INDICADORES[[#This Row],[PROG. ACUM]]</f>
        <v>0</v>
      </c>
      <c r="AR220" s="46">
        <f>IFERROR((TABLA_AVANCE_INDICADORES[[#This Row],[DIFERENCIA ABSOLUTA SEMESTRAL]]/TABLA_AVANCE_INDICADORES[[#This Row],[PROG. ACUM]])*100,"N/A")</f>
        <v>0</v>
      </c>
      <c r="AS220"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20</v>
      </c>
      <c r="AT220" s="40">
        <f>IFERROR((TABLA_AVANCE_INDICADORES[[#This Row],[AVANCE ACUM. ANUAL]]/TABLA_AVANCE_INDICADORES[[#This Row],[PROGRAMADO ANUAL]])*100,"N/A")</f>
        <v>50</v>
      </c>
      <c r="AU220"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DEFICIENTE</v>
      </c>
      <c r="AV220" s="121">
        <f>TABLA_AVANCE_INDICADORES[[#This Row],[AVANCE ACUM. ANUAL]]-TABLA_AVANCE_INDICADORES[[#This Row],[PROGRAMADO ANUAL]]</f>
        <v>-20</v>
      </c>
      <c r="AW220" s="46">
        <f>IFERROR((TABLA_AVANCE_INDICADORES[[#This Row],[DIFERENCIA ABSOLUTA ANUAL]]/TABLA_AVANCE_INDICADORES[[#This Row],[PROGRAMADO ANUAL]])*100,"N/A")</f>
        <v>-50</v>
      </c>
      <c r="AX220" s="148"/>
      <c r="AY220" s="100" t="s">
        <v>1479</v>
      </c>
      <c r="AZ220" s="100"/>
      <c r="BA220" s="100"/>
      <c r="BB220"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221" spans="1:54" ht="112.5" hidden="1" x14ac:dyDescent="0.3">
      <c r="A221" s="31" t="s">
        <v>1480</v>
      </c>
      <c r="B221" s="113" t="s">
        <v>661</v>
      </c>
      <c r="C221" s="32" t="s">
        <v>630</v>
      </c>
      <c r="D221" s="114" t="s">
        <v>629</v>
      </c>
      <c r="E221" s="32" t="s">
        <v>614</v>
      </c>
      <c r="F221" s="115" t="s">
        <v>615</v>
      </c>
      <c r="G221" s="146" t="s">
        <v>662</v>
      </c>
      <c r="H221" s="94" t="s">
        <v>1454</v>
      </c>
      <c r="I221" s="34" t="s">
        <v>723</v>
      </c>
      <c r="J221" s="34" t="s">
        <v>663</v>
      </c>
      <c r="K221" s="94" t="s">
        <v>664</v>
      </c>
      <c r="L221" s="34" t="s">
        <v>665</v>
      </c>
      <c r="M221" s="94" t="s">
        <v>666</v>
      </c>
      <c r="N221" s="33">
        <v>2</v>
      </c>
      <c r="O221" s="33" t="s">
        <v>945</v>
      </c>
      <c r="P221" s="125" t="s">
        <v>1476</v>
      </c>
      <c r="Q221" s="125" t="s">
        <v>1481</v>
      </c>
      <c r="R221" s="116" t="s">
        <v>1478</v>
      </c>
      <c r="S221" s="34" t="s">
        <v>185</v>
      </c>
      <c r="T221" s="56" t="s">
        <v>728</v>
      </c>
      <c r="U221" s="56" t="s">
        <v>755</v>
      </c>
      <c r="V221" s="95">
        <v>4</v>
      </c>
      <c r="W221" s="95">
        <v>0</v>
      </c>
      <c r="X221" s="117">
        <v>0</v>
      </c>
      <c r="Y221" s="38" t="str">
        <f>IFERROR((TABLA_AVANCE_INDICADORES[[#This Row],[AVANCE 1°. TRIM]]/TABLA_AVANCE_INDICADORES[[#This Row],[PROGR. 1° TRIM]])*100,"0")</f>
        <v>0</v>
      </c>
      <c r="Z221"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221" s="118">
        <v>2</v>
      </c>
      <c r="AB221" s="119">
        <v>1</v>
      </c>
      <c r="AC221" s="40">
        <f t="shared" si="6"/>
        <v>50</v>
      </c>
      <c r="AD221" s="39" t="str">
        <f t="shared" si="7"/>
        <v>DEFICIENTE</v>
      </c>
      <c r="AE221" s="118">
        <v>0</v>
      </c>
      <c r="AF221" s="119">
        <v>0</v>
      </c>
      <c r="AG221" s="40" t="str">
        <f>IFERROR((TABLA_AVANCE_INDICADORES[[#This Row],[AVANCE 3°. TRIM]]/TABLA_AVANCE_INDICADORES[[#This Row],[PROGR. 3° TRIM]])*100,"0")</f>
        <v>0</v>
      </c>
      <c r="AH221"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221" s="118">
        <v>2</v>
      </c>
      <c r="AJ221" s="119">
        <v>0</v>
      </c>
      <c r="AK221" s="96">
        <f>IFERROR((TABLA_AVANCE_INDICADORES[[#This Row],[AVANCE 4°. TRIM]]/TABLA_AVANCE_INDICADORES[[#This Row],[PROGR. 4° TRIM]])*100,"0")</f>
        <v>0</v>
      </c>
      <c r="AL221"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221"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2</v>
      </c>
      <c r="AN221"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v>
      </c>
      <c r="AO221" s="40">
        <f>IFERROR((TABLA_AVANCE_INDICADORES[[#This Row],[AVANCE ACUM. TRIM.]]/TABLA_AVANCE_INDICADORES[[#This Row],[PROG. ACUM]])*100,"N/A")</f>
        <v>50</v>
      </c>
      <c r="AP221"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DEFICIENTE</v>
      </c>
      <c r="AQ221" s="121">
        <f>TABLA_AVANCE_INDICADORES[[#This Row],[AVANCE ACUM. TRIM.]]-TABLA_AVANCE_INDICADORES[[#This Row],[PROG. ACUM]]</f>
        <v>-1</v>
      </c>
      <c r="AR221" s="46">
        <f>IFERROR((TABLA_AVANCE_INDICADORES[[#This Row],[DIFERENCIA ABSOLUTA SEMESTRAL]]/TABLA_AVANCE_INDICADORES[[#This Row],[PROG. ACUM]])*100,"N/A")</f>
        <v>-50</v>
      </c>
      <c r="AS221"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v>
      </c>
      <c r="AT221" s="40">
        <f>IFERROR((TABLA_AVANCE_INDICADORES[[#This Row],[AVANCE ACUM. ANUAL]]/TABLA_AVANCE_INDICADORES[[#This Row],[PROGRAMADO ANUAL]])*100,"N/A")</f>
        <v>25</v>
      </c>
      <c r="AU221"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221" s="121">
        <f>TABLA_AVANCE_INDICADORES[[#This Row],[AVANCE ACUM. ANUAL]]-TABLA_AVANCE_INDICADORES[[#This Row],[PROGRAMADO ANUAL]]</f>
        <v>-3</v>
      </c>
      <c r="AW221" s="46">
        <f>IFERROR((TABLA_AVANCE_INDICADORES[[#This Row],[DIFERENCIA ABSOLUTA ANUAL]]/TABLA_AVANCE_INDICADORES[[#This Row],[PROGRAMADO ANUAL]])*100,"N/A")</f>
        <v>-75</v>
      </c>
      <c r="AX221" s="148"/>
      <c r="AY221" s="100" t="s">
        <v>1479</v>
      </c>
      <c r="AZ221" s="100"/>
      <c r="BA221" s="100"/>
      <c r="BB221"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222" spans="1:54" ht="131.25" x14ac:dyDescent="0.3">
      <c r="A222" s="31" t="s">
        <v>1482</v>
      </c>
      <c r="B222" s="113" t="s">
        <v>88</v>
      </c>
      <c r="C222" s="32" t="s">
        <v>52</v>
      </c>
      <c r="D222" s="114" t="s">
        <v>51</v>
      </c>
      <c r="E222" s="32" t="s">
        <v>89</v>
      </c>
      <c r="F222" s="115" t="s">
        <v>90</v>
      </c>
      <c r="G222" s="146" t="s">
        <v>91</v>
      </c>
      <c r="H222" s="94" t="s">
        <v>1483</v>
      </c>
      <c r="I222" s="34" t="s">
        <v>723</v>
      </c>
      <c r="J222" s="34" t="s">
        <v>92</v>
      </c>
      <c r="K222" s="94" t="s">
        <v>93</v>
      </c>
      <c r="L222" s="34" t="s">
        <v>94</v>
      </c>
      <c r="M222" s="94" t="s">
        <v>95</v>
      </c>
      <c r="N222" s="33">
        <v>1</v>
      </c>
      <c r="O222" s="33" t="s">
        <v>724</v>
      </c>
      <c r="P222" s="125" t="s">
        <v>1484</v>
      </c>
      <c r="Q222" s="125" t="s">
        <v>1485</v>
      </c>
      <c r="R222" s="116" t="s">
        <v>1486</v>
      </c>
      <c r="S222" s="34" t="s">
        <v>504</v>
      </c>
      <c r="T222" s="56" t="s">
        <v>728</v>
      </c>
      <c r="U222" s="56" t="s">
        <v>739</v>
      </c>
      <c r="V222" s="95">
        <v>100</v>
      </c>
      <c r="W222" s="95">
        <v>0</v>
      </c>
      <c r="X222" s="117">
        <v>0</v>
      </c>
      <c r="Y222" s="38" t="str">
        <f>IFERROR((TABLA_AVANCE_INDICADORES[[#This Row],[AVANCE 1°. TRIM]]/TABLA_AVANCE_INDICADORES[[#This Row],[PROGR. 1° TRIM]])*100,"0")</f>
        <v>0</v>
      </c>
      <c r="Z222"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222" s="118">
        <v>0</v>
      </c>
      <c r="AB222" s="119">
        <v>0</v>
      </c>
      <c r="AC222" s="40" t="str">
        <f t="shared" si="6"/>
        <v>0</v>
      </c>
      <c r="AD222" s="39" t="str">
        <f t="shared" si="7"/>
        <v>NO PROG.</v>
      </c>
      <c r="AE222" s="118">
        <v>0</v>
      </c>
      <c r="AF222" s="119">
        <v>0</v>
      </c>
      <c r="AG222" s="40" t="str">
        <f>IFERROR((TABLA_AVANCE_INDICADORES[[#This Row],[AVANCE 3°. TRIM]]/TABLA_AVANCE_INDICADORES[[#This Row],[PROGR. 3° TRIM]])*100,"0")</f>
        <v>0</v>
      </c>
      <c r="AH222"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222" s="118">
        <v>100</v>
      </c>
      <c r="AJ222" s="119">
        <v>0</v>
      </c>
      <c r="AK222" s="96">
        <f>IFERROR((TABLA_AVANCE_INDICADORES[[#This Row],[AVANCE 4°. TRIM]]/TABLA_AVANCE_INDICADORES[[#This Row],[PROGR. 4° TRIM]])*100,"0")</f>
        <v>0</v>
      </c>
      <c r="AL222"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222"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0</v>
      </c>
      <c r="AN222"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O222" s="40" t="str">
        <f>IFERROR((TABLA_AVANCE_INDICADORES[[#This Row],[AVANCE ACUM. TRIM.]]/TABLA_AVANCE_INDICADORES[[#This Row],[PROG. ACUM]])*100,"N/A")</f>
        <v>N/A</v>
      </c>
      <c r="AP222"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NO PROG.</v>
      </c>
      <c r="AQ222" s="121">
        <f>TABLA_AVANCE_INDICADORES[[#This Row],[AVANCE ACUM. TRIM.]]-TABLA_AVANCE_INDICADORES[[#This Row],[PROG. ACUM]]</f>
        <v>0</v>
      </c>
      <c r="AR222" s="46" t="str">
        <f>IFERROR((TABLA_AVANCE_INDICADORES[[#This Row],[DIFERENCIA ABSOLUTA SEMESTRAL]]/TABLA_AVANCE_INDICADORES[[#This Row],[PROG. ACUM]])*100,"N/A")</f>
        <v>N/A</v>
      </c>
      <c r="AS222"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T222" s="40">
        <f>IFERROR((TABLA_AVANCE_INDICADORES[[#This Row],[AVANCE ACUM. ANUAL]]/TABLA_AVANCE_INDICADORES[[#This Row],[PROGRAMADO ANUAL]])*100,"N/A")</f>
        <v>0</v>
      </c>
      <c r="AU222"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222" s="121">
        <f>TABLA_AVANCE_INDICADORES[[#This Row],[AVANCE ACUM. ANUAL]]-TABLA_AVANCE_INDICADORES[[#This Row],[PROGRAMADO ANUAL]]</f>
        <v>-100</v>
      </c>
      <c r="AW222" s="46">
        <f>IFERROR((TABLA_AVANCE_INDICADORES[[#This Row],[DIFERENCIA ABSOLUTA ANUAL]]/TABLA_AVANCE_INDICADORES[[#This Row],[PROGRAMADO ANUAL]])*100,"N/A")</f>
        <v>-100</v>
      </c>
      <c r="AX222" s="148" t="s">
        <v>63</v>
      </c>
      <c r="AY222" s="100" t="s">
        <v>63</v>
      </c>
      <c r="AZ222" s="100"/>
      <c r="BA222" s="100"/>
      <c r="BB222"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223" spans="1:54" ht="131.25" x14ac:dyDescent="0.3">
      <c r="A223" s="31" t="s">
        <v>1487</v>
      </c>
      <c r="B223" s="113" t="s">
        <v>88</v>
      </c>
      <c r="C223" s="32" t="s">
        <v>52</v>
      </c>
      <c r="D223" s="114" t="s">
        <v>51</v>
      </c>
      <c r="E223" s="32" t="s">
        <v>89</v>
      </c>
      <c r="F223" s="115" t="s">
        <v>90</v>
      </c>
      <c r="G223" s="146" t="s">
        <v>91</v>
      </c>
      <c r="H223" s="94" t="s">
        <v>1483</v>
      </c>
      <c r="I223" s="34" t="s">
        <v>723</v>
      </c>
      <c r="J223" s="34" t="s">
        <v>92</v>
      </c>
      <c r="K223" s="94" t="s">
        <v>93</v>
      </c>
      <c r="L223" s="34" t="s">
        <v>94</v>
      </c>
      <c r="M223" s="94" t="s">
        <v>95</v>
      </c>
      <c r="N223" s="33">
        <v>2</v>
      </c>
      <c r="O223" s="33" t="s">
        <v>724</v>
      </c>
      <c r="P223" s="125" t="s">
        <v>1484</v>
      </c>
      <c r="Q223" s="125" t="s">
        <v>1488</v>
      </c>
      <c r="R223" s="116" t="s">
        <v>1486</v>
      </c>
      <c r="S223" s="34" t="s">
        <v>504</v>
      </c>
      <c r="T223" s="56" t="s">
        <v>728</v>
      </c>
      <c r="U223" s="56" t="s">
        <v>739</v>
      </c>
      <c r="V223" s="95">
        <v>100</v>
      </c>
      <c r="W223" s="95">
        <v>0</v>
      </c>
      <c r="X223" s="117">
        <v>0</v>
      </c>
      <c r="Y223" s="38" t="str">
        <f>IFERROR((TABLA_AVANCE_INDICADORES[[#This Row],[AVANCE 1°. TRIM]]/TABLA_AVANCE_INDICADORES[[#This Row],[PROGR. 1° TRIM]])*100,"0")</f>
        <v>0</v>
      </c>
      <c r="Z223"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223" s="118">
        <v>0</v>
      </c>
      <c r="AB223" s="119">
        <v>0</v>
      </c>
      <c r="AC223" s="40" t="str">
        <f t="shared" si="6"/>
        <v>0</v>
      </c>
      <c r="AD223" s="39" t="str">
        <f t="shared" si="7"/>
        <v>NO PROG.</v>
      </c>
      <c r="AE223" s="118">
        <v>0</v>
      </c>
      <c r="AF223" s="119">
        <v>0</v>
      </c>
      <c r="AG223" s="40" t="str">
        <f>IFERROR((TABLA_AVANCE_INDICADORES[[#This Row],[AVANCE 3°. TRIM]]/TABLA_AVANCE_INDICADORES[[#This Row],[PROGR. 3° TRIM]])*100,"0")</f>
        <v>0</v>
      </c>
      <c r="AH223"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223" s="118">
        <v>100</v>
      </c>
      <c r="AJ223" s="126">
        <v>100</v>
      </c>
      <c r="AK223" s="96">
        <f>IFERROR((TABLA_AVANCE_INDICADORES[[#This Row],[AVANCE 4°. TRIM]]/TABLA_AVANCE_INDICADORES[[#This Row],[PROGR. 4° TRIM]])*100,"0")</f>
        <v>100</v>
      </c>
      <c r="AL223"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ADECUADO</v>
      </c>
      <c r="AM223"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0</v>
      </c>
      <c r="AN223"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O223" s="40" t="str">
        <f>IFERROR((TABLA_AVANCE_INDICADORES[[#This Row],[AVANCE ACUM. TRIM.]]/TABLA_AVANCE_INDICADORES[[#This Row],[PROG. ACUM]])*100,"N/A")</f>
        <v>N/A</v>
      </c>
      <c r="AP223"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NO PROG.</v>
      </c>
      <c r="AQ223" s="121">
        <f>TABLA_AVANCE_INDICADORES[[#This Row],[AVANCE ACUM. TRIM.]]-TABLA_AVANCE_INDICADORES[[#This Row],[PROG. ACUM]]</f>
        <v>0</v>
      </c>
      <c r="AR223" s="46" t="str">
        <f>IFERROR((TABLA_AVANCE_INDICADORES[[#This Row],[DIFERENCIA ABSOLUTA SEMESTRAL]]/TABLA_AVANCE_INDICADORES[[#This Row],[PROG. ACUM]])*100,"N/A")</f>
        <v>N/A</v>
      </c>
      <c r="AS223"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T223" s="40">
        <f>IFERROR((TABLA_AVANCE_INDICADORES[[#This Row],[AVANCE ACUM. ANUAL]]/TABLA_AVANCE_INDICADORES[[#This Row],[PROGRAMADO ANUAL]])*100,"N/A")</f>
        <v>0</v>
      </c>
      <c r="AU223"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223" s="121">
        <f>TABLA_AVANCE_INDICADORES[[#This Row],[AVANCE ACUM. ANUAL]]-TABLA_AVANCE_INDICADORES[[#This Row],[PROGRAMADO ANUAL]]</f>
        <v>-100</v>
      </c>
      <c r="AW223" s="46">
        <f>IFERROR((TABLA_AVANCE_INDICADORES[[#This Row],[DIFERENCIA ABSOLUTA ANUAL]]/TABLA_AVANCE_INDICADORES[[#This Row],[PROGRAMADO ANUAL]])*100,"N/A")</f>
        <v>-100</v>
      </c>
      <c r="AX223" s="148" t="s">
        <v>63</v>
      </c>
      <c r="AY223" s="100" t="s">
        <v>63</v>
      </c>
      <c r="AZ223" s="100"/>
      <c r="BA223" s="100"/>
      <c r="BB223"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224" spans="1:54" ht="93.75" x14ac:dyDescent="0.3">
      <c r="A224" s="31" t="s">
        <v>1489</v>
      </c>
      <c r="B224" s="113" t="s">
        <v>88</v>
      </c>
      <c r="C224" s="32" t="s">
        <v>52</v>
      </c>
      <c r="D224" s="114" t="s">
        <v>51</v>
      </c>
      <c r="E224" s="32" t="s">
        <v>89</v>
      </c>
      <c r="F224" s="115" t="s">
        <v>90</v>
      </c>
      <c r="G224" s="146" t="s">
        <v>91</v>
      </c>
      <c r="H224" s="94" t="s">
        <v>1483</v>
      </c>
      <c r="I224" s="34" t="s">
        <v>723</v>
      </c>
      <c r="J224" s="34" t="s">
        <v>92</v>
      </c>
      <c r="K224" s="94" t="s">
        <v>93</v>
      </c>
      <c r="L224" s="34" t="s">
        <v>94</v>
      </c>
      <c r="M224" s="94" t="s">
        <v>95</v>
      </c>
      <c r="N224" s="33">
        <v>1</v>
      </c>
      <c r="O224" s="33" t="s">
        <v>734</v>
      </c>
      <c r="P224" s="125" t="s">
        <v>1490</v>
      </c>
      <c r="Q224" s="125" t="s">
        <v>1491</v>
      </c>
      <c r="R224" s="116" t="s">
        <v>1492</v>
      </c>
      <c r="S224" s="34" t="s">
        <v>97</v>
      </c>
      <c r="T224" s="56" t="s">
        <v>728</v>
      </c>
      <c r="U224" s="56" t="s">
        <v>739</v>
      </c>
      <c r="V224" s="95">
        <v>220</v>
      </c>
      <c r="W224" s="95">
        <v>0</v>
      </c>
      <c r="X224" s="117">
        <v>0</v>
      </c>
      <c r="Y224" s="38" t="str">
        <f>IFERROR((TABLA_AVANCE_INDICADORES[[#This Row],[AVANCE 1°. TRIM]]/TABLA_AVANCE_INDICADORES[[#This Row],[PROGR. 1° TRIM]])*100,"0")</f>
        <v>0</v>
      </c>
      <c r="Z224"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224" s="118">
        <v>0</v>
      </c>
      <c r="AB224" s="119">
        <v>0</v>
      </c>
      <c r="AC224" s="40" t="str">
        <f t="shared" si="6"/>
        <v>0</v>
      </c>
      <c r="AD224" s="39" t="str">
        <f t="shared" si="7"/>
        <v>NO PROG.</v>
      </c>
      <c r="AE224" s="118">
        <v>0</v>
      </c>
      <c r="AF224" s="119">
        <v>0</v>
      </c>
      <c r="AG224" s="40" t="str">
        <f>IFERROR((TABLA_AVANCE_INDICADORES[[#This Row],[AVANCE 3°. TRIM]]/TABLA_AVANCE_INDICADORES[[#This Row],[PROGR. 3° TRIM]])*100,"0")</f>
        <v>0</v>
      </c>
      <c r="AH224"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224" s="118">
        <v>220</v>
      </c>
      <c r="AJ224" s="119">
        <v>0</v>
      </c>
      <c r="AK224" s="96">
        <f>IFERROR((TABLA_AVANCE_INDICADORES[[#This Row],[AVANCE 4°. TRIM]]/TABLA_AVANCE_INDICADORES[[#This Row],[PROGR. 4° TRIM]])*100,"0")</f>
        <v>0</v>
      </c>
      <c r="AL224"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224"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0</v>
      </c>
      <c r="AN224"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O224" s="40" t="str">
        <f>IFERROR((TABLA_AVANCE_INDICADORES[[#This Row],[AVANCE ACUM. TRIM.]]/TABLA_AVANCE_INDICADORES[[#This Row],[PROG. ACUM]])*100,"N/A")</f>
        <v>N/A</v>
      </c>
      <c r="AP224"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NO PROG.</v>
      </c>
      <c r="AQ224" s="121">
        <f>TABLA_AVANCE_INDICADORES[[#This Row],[AVANCE ACUM. TRIM.]]-TABLA_AVANCE_INDICADORES[[#This Row],[PROG. ACUM]]</f>
        <v>0</v>
      </c>
      <c r="AR224" s="46" t="str">
        <f>IFERROR((TABLA_AVANCE_INDICADORES[[#This Row],[DIFERENCIA ABSOLUTA SEMESTRAL]]/TABLA_AVANCE_INDICADORES[[#This Row],[PROG. ACUM]])*100,"N/A")</f>
        <v>N/A</v>
      </c>
      <c r="AS224"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T224" s="40">
        <f>IFERROR((TABLA_AVANCE_INDICADORES[[#This Row],[AVANCE ACUM. ANUAL]]/TABLA_AVANCE_INDICADORES[[#This Row],[PROGRAMADO ANUAL]])*100,"N/A")</f>
        <v>0</v>
      </c>
      <c r="AU224"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224" s="121">
        <f>TABLA_AVANCE_INDICADORES[[#This Row],[AVANCE ACUM. ANUAL]]-TABLA_AVANCE_INDICADORES[[#This Row],[PROGRAMADO ANUAL]]</f>
        <v>-220</v>
      </c>
      <c r="AW224" s="46">
        <f>IFERROR((TABLA_AVANCE_INDICADORES[[#This Row],[DIFERENCIA ABSOLUTA ANUAL]]/TABLA_AVANCE_INDICADORES[[#This Row],[PROGRAMADO ANUAL]])*100,"N/A")</f>
        <v>-100</v>
      </c>
      <c r="AX224" s="148" t="s">
        <v>63</v>
      </c>
      <c r="AY224" s="100" t="s">
        <v>63</v>
      </c>
      <c r="AZ224" s="100"/>
      <c r="BA224" s="100"/>
      <c r="BB224"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225" spans="1:54" ht="93.75" x14ac:dyDescent="0.3">
      <c r="A225" s="31" t="s">
        <v>1493</v>
      </c>
      <c r="B225" s="113" t="s">
        <v>88</v>
      </c>
      <c r="C225" s="32" t="s">
        <v>52</v>
      </c>
      <c r="D225" s="114" t="s">
        <v>51</v>
      </c>
      <c r="E225" s="32" t="s">
        <v>89</v>
      </c>
      <c r="F225" s="115" t="s">
        <v>90</v>
      </c>
      <c r="G225" s="146" t="s">
        <v>91</v>
      </c>
      <c r="H225" s="94" t="s">
        <v>1483</v>
      </c>
      <c r="I225" s="34" t="s">
        <v>723</v>
      </c>
      <c r="J225" s="34" t="s">
        <v>92</v>
      </c>
      <c r="K225" s="94" t="s">
        <v>93</v>
      </c>
      <c r="L225" s="34" t="s">
        <v>94</v>
      </c>
      <c r="M225" s="94" t="s">
        <v>95</v>
      </c>
      <c r="N225" s="33">
        <v>2</v>
      </c>
      <c r="O225" s="33" t="s">
        <v>734</v>
      </c>
      <c r="P225" s="125" t="s">
        <v>1490</v>
      </c>
      <c r="Q225" s="125" t="s">
        <v>1494</v>
      </c>
      <c r="R225" s="116" t="s">
        <v>1492</v>
      </c>
      <c r="S225" s="34" t="s">
        <v>97</v>
      </c>
      <c r="T225" s="56" t="s">
        <v>728</v>
      </c>
      <c r="U225" s="56" t="s">
        <v>739</v>
      </c>
      <c r="V225" s="95">
        <v>220</v>
      </c>
      <c r="W225" s="95">
        <v>0</v>
      </c>
      <c r="X225" s="117">
        <v>0</v>
      </c>
      <c r="Y225" s="38" t="str">
        <f>IFERROR((TABLA_AVANCE_INDICADORES[[#This Row],[AVANCE 1°. TRIM]]/TABLA_AVANCE_INDICADORES[[#This Row],[PROGR. 1° TRIM]])*100,"0")</f>
        <v>0</v>
      </c>
      <c r="Z225"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225" s="118">
        <v>0</v>
      </c>
      <c r="AB225" s="119">
        <v>0</v>
      </c>
      <c r="AC225" s="40" t="str">
        <f t="shared" si="6"/>
        <v>0</v>
      </c>
      <c r="AD225" s="39" t="str">
        <f t="shared" si="7"/>
        <v>NO PROG.</v>
      </c>
      <c r="AE225" s="118">
        <v>0</v>
      </c>
      <c r="AF225" s="119">
        <v>0</v>
      </c>
      <c r="AG225" s="40" t="str">
        <f>IFERROR((TABLA_AVANCE_INDICADORES[[#This Row],[AVANCE 3°. TRIM]]/TABLA_AVANCE_INDICADORES[[#This Row],[PROGR. 3° TRIM]])*100,"0")</f>
        <v>0</v>
      </c>
      <c r="AH225"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225" s="118">
        <v>220</v>
      </c>
      <c r="AJ225" s="119">
        <v>0</v>
      </c>
      <c r="AK225" s="96">
        <f>IFERROR((TABLA_AVANCE_INDICADORES[[#This Row],[AVANCE 4°. TRIM]]/TABLA_AVANCE_INDICADORES[[#This Row],[PROGR. 4° TRIM]])*100,"0")</f>
        <v>0</v>
      </c>
      <c r="AL225"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225"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0</v>
      </c>
      <c r="AN225"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O225" s="40" t="str">
        <f>IFERROR((TABLA_AVANCE_INDICADORES[[#This Row],[AVANCE ACUM. TRIM.]]/TABLA_AVANCE_INDICADORES[[#This Row],[PROG. ACUM]])*100,"N/A")</f>
        <v>N/A</v>
      </c>
      <c r="AP225"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NO PROG.</v>
      </c>
      <c r="AQ225" s="121">
        <f>TABLA_AVANCE_INDICADORES[[#This Row],[AVANCE ACUM. TRIM.]]-TABLA_AVANCE_INDICADORES[[#This Row],[PROG. ACUM]]</f>
        <v>0</v>
      </c>
      <c r="AR225" s="46" t="str">
        <f>IFERROR((TABLA_AVANCE_INDICADORES[[#This Row],[DIFERENCIA ABSOLUTA SEMESTRAL]]/TABLA_AVANCE_INDICADORES[[#This Row],[PROG. ACUM]])*100,"N/A")</f>
        <v>N/A</v>
      </c>
      <c r="AS225"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0</v>
      </c>
      <c r="AT225" s="40">
        <f>IFERROR((TABLA_AVANCE_INDICADORES[[#This Row],[AVANCE ACUM. ANUAL]]/TABLA_AVANCE_INDICADORES[[#This Row],[PROGRAMADO ANUAL]])*100,"N/A")</f>
        <v>0</v>
      </c>
      <c r="AU225"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225" s="121">
        <f>TABLA_AVANCE_INDICADORES[[#This Row],[AVANCE ACUM. ANUAL]]-TABLA_AVANCE_INDICADORES[[#This Row],[PROGRAMADO ANUAL]]</f>
        <v>-220</v>
      </c>
      <c r="AW225" s="46">
        <f>IFERROR((TABLA_AVANCE_INDICADORES[[#This Row],[DIFERENCIA ABSOLUTA ANUAL]]/TABLA_AVANCE_INDICADORES[[#This Row],[PROGRAMADO ANUAL]])*100,"N/A")</f>
        <v>-100</v>
      </c>
      <c r="AX225" s="148" t="s">
        <v>63</v>
      </c>
      <c r="AY225" s="100" t="s">
        <v>63</v>
      </c>
      <c r="AZ225" s="100"/>
      <c r="BA225" s="100"/>
      <c r="BB225"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226" spans="1:54" ht="93.75" x14ac:dyDescent="0.3">
      <c r="A226" s="31" t="s">
        <v>1495</v>
      </c>
      <c r="B226" s="113" t="s">
        <v>88</v>
      </c>
      <c r="C226" s="32" t="s">
        <v>52</v>
      </c>
      <c r="D226" s="114" t="s">
        <v>51</v>
      </c>
      <c r="E226" s="32" t="s">
        <v>89</v>
      </c>
      <c r="F226" s="115" t="s">
        <v>90</v>
      </c>
      <c r="G226" s="146" t="s">
        <v>91</v>
      </c>
      <c r="H226" s="94" t="s">
        <v>1483</v>
      </c>
      <c r="I226" s="34" t="s">
        <v>723</v>
      </c>
      <c r="J226" s="34" t="s">
        <v>92</v>
      </c>
      <c r="K226" s="94" t="s">
        <v>93</v>
      </c>
      <c r="L226" s="34" t="s">
        <v>94</v>
      </c>
      <c r="M226" s="94" t="s">
        <v>95</v>
      </c>
      <c r="N226" s="33">
        <v>1</v>
      </c>
      <c r="O226" s="33" t="s">
        <v>743</v>
      </c>
      <c r="P226" s="125" t="s">
        <v>1496</v>
      </c>
      <c r="Q226" s="125" t="s">
        <v>1497</v>
      </c>
      <c r="R226" s="116" t="s">
        <v>1498</v>
      </c>
      <c r="S226" s="34" t="s">
        <v>1499</v>
      </c>
      <c r="T226" s="56" t="s">
        <v>888</v>
      </c>
      <c r="U226" s="56" t="s">
        <v>747</v>
      </c>
      <c r="V226" s="95">
        <v>79</v>
      </c>
      <c r="W226" s="95">
        <v>0</v>
      </c>
      <c r="X226" s="117">
        <v>0</v>
      </c>
      <c r="Y226" s="38" t="str">
        <f>IFERROR((TABLA_AVANCE_INDICADORES[[#This Row],[AVANCE 1°. TRIM]]/TABLA_AVANCE_INDICADORES[[#This Row],[PROGR. 1° TRIM]])*100,"0")</f>
        <v>0</v>
      </c>
      <c r="Z226"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226" s="118">
        <v>79</v>
      </c>
      <c r="AB226" s="119">
        <v>79</v>
      </c>
      <c r="AC226" s="40">
        <f t="shared" si="6"/>
        <v>100</v>
      </c>
      <c r="AD226" s="39" t="str">
        <f t="shared" si="7"/>
        <v>ADECUADO</v>
      </c>
      <c r="AE226" s="118">
        <v>0</v>
      </c>
      <c r="AF226" s="119">
        <v>0</v>
      </c>
      <c r="AG226" s="40" t="str">
        <f>IFERROR((TABLA_AVANCE_INDICADORES[[#This Row],[AVANCE 3°. TRIM]]/TABLA_AVANCE_INDICADORES[[#This Row],[PROGR. 3° TRIM]])*100,"0")</f>
        <v>0</v>
      </c>
      <c r="AH226"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226" s="118">
        <v>79</v>
      </c>
      <c r="AJ226" s="119">
        <v>0</v>
      </c>
      <c r="AK226" s="96">
        <f>IFERROR((TABLA_AVANCE_INDICADORES[[#This Row],[AVANCE 4°. TRIM]]/TABLA_AVANCE_INDICADORES[[#This Row],[PROGR. 4° TRIM]])*100,"0")</f>
        <v>0</v>
      </c>
      <c r="AL226"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226"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79</v>
      </c>
      <c r="AN226"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79</v>
      </c>
      <c r="AO226" s="40">
        <f>IFERROR((TABLA_AVANCE_INDICADORES[[#This Row],[AVANCE ACUM. TRIM.]]/TABLA_AVANCE_INDICADORES[[#This Row],[PROG. ACUM]])*100,"N/A")</f>
        <v>100</v>
      </c>
      <c r="AP226"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226" s="121">
        <f>TABLA_AVANCE_INDICADORES[[#This Row],[AVANCE ACUM. TRIM.]]-TABLA_AVANCE_INDICADORES[[#This Row],[PROG. ACUM]]</f>
        <v>0</v>
      </c>
      <c r="AR226" s="46">
        <f>IFERROR((TABLA_AVANCE_INDICADORES[[#This Row],[DIFERENCIA ABSOLUTA SEMESTRAL]]/TABLA_AVANCE_INDICADORES[[#This Row],[PROG. ACUM]])*100,"N/A")</f>
        <v>0</v>
      </c>
      <c r="AS226"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79</v>
      </c>
      <c r="AT226" s="40">
        <f>IFERROR((TABLA_AVANCE_INDICADORES[[#This Row],[AVANCE ACUM. ANUAL]]/TABLA_AVANCE_INDICADORES[[#This Row],[PROGRAMADO ANUAL]])*100,"N/A")</f>
        <v>100</v>
      </c>
      <c r="AU226"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ADECUADO</v>
      </c>
      <c r="AV226" s="121">
        <f>TABLA_AVANCE_INDICADORES[[#This Row],[AVANCE ACUM. ANUAL]]-TABLA_AVANCE_INDICADORES[[#This Row],[PROGRAMADO ANUAL]]</f>
        <v>0</v>
      </c>
      <c r="AW226" s="46">
        <f>IFERROR((TABLA_AVANCE_INDICADORES[[#This Row],[DIFERENCIA ABSOLUTA ANUAL]]/TABLA_AVANCE_INDICADORES[[#This Row],[PROGRAMADO ANUAL]])*100,"N/A")</f>
        <v>0</v>
      </c>
      <c r="AX226" s="148" t="s">
        <v>63</v>
      </c>
      <c r="AY226" s="100" t="s">
        <v>63</v>
      </c>
      <c r="AZ226" s="100"/>
      <c r="BA226" s="100"/>
      <c r="BB226" s="124">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79</v>
      </c>
    </row>
    <row r="227" spans="1:54" ht="93.75" x14ac:dyDescent="0.3">
      <c r="A227" s="31" t="s">
        <v>1500</v>
      </c>
      <c r="B227" s="113" t="s">
        <v>88</v>
      </c>
      <c r="C227" s="32" t="s">
        <v>52</v>
      </c>
      <c r="D227" s="114" t="s">
        <v>51</v>
      </c>
      <c r="E227" s="32" t="s">
        <v>89</v>
      </c>
      <c r="F227" s="115" t="s">
        <v>90</v>
      </c>
      <c r="G227" s="146" t="s">
        <v>91</v>
      </c>
      <c r="H227" s="94" t="s">
        <v>1483</v>
      </c>
      <c r="I227" s="34" t="s">
        <v>723</v>
      </c>
      <c r="J227" s="34" t="s">
        <v>92</v>
      </c>
      <c r="K227" s="94" t="s">
        <v>93</v>
      </c>
      <c r="L227" s="34" t="s">
        <v>94</v>
      </c>
      <c r="M227" s="94" t="s">
        <v>95</v>
      </c>
      <c r="N227" s="33">
        <v>2</v>
      </c>
      <c r="O227" s="33" t="s">
        <v>743</v>
      </c>
      <c r="P227" s="125" t="s">
        <v>1496</v>
      </c>
      <c r="Q227" s="125" t="s">
        <v>1501</v>
      </c>
      <c r="R227" s="116" t="s">
        <v>1498</v>
      </c>
      <c r="S227" s="34" t="s">
        <v>1499</v>
      </c>
      <c r="T227" s="56" t="s">
        <v>888</v>
      </c>
      <c r="U227" s="56" t="s">
        <v>747</v>
      </c>
      <c r="V227" s="95">
        <v>79</v>
      </c>
      <c r="W227" s="95">
        <v>0</v>
      </c>
      <c r="X227" s="117">
        <v>0</v>
      </c>
      <c r="Y227" s="38" t="str">
        <f>IFERROR((TABLA_AVANCE_INDICADORES[[#This Row],[AVANCE 1°. TRIM]]/TABLA_AVANCE_INDICADORES[[#This Row],[PROGR. 1° TRIM]])*100,"0")</f>
        <v>0</v>
      </c>
      <c r="Z227"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227" s="118">
        <v>113</v>
      </c>
      <c r="AB227" s="119">
        <v>113</v>
      </c>
      <c r="AC227" s="40">
        <f t="shared" si="6"/>
        <v>100</v>
      </c>
      <c r="AD227" s="39" t="str">
        <f t="shared" si="7"/>
        <v>ADECUADO</v>
      </c>
      <c r="AE227" s="118">
        <v>0</v>
      </c>
      <c r="AF227" s="119">
        <v>0</v>
      </c>
      <c r="AG227" s="40" t="str">
        <f>IFERROR((TABLA_AVANCE_INDICADORES[[#This Row],[AVANCE 3°. TRIM]]/TABLA_AVANCE_INDICADORES[[#This Row],[PROGR. 3° TRIM]])*100,"0")</f>
        <v>0</v>
      </c>
      <c r="AH227"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227" s="118">
        <v>113</v>
      </c>
      <c r="AJ227" s="119">
        <v>0</v>
      </c>
      <c r="AK227" s="96">
        <f>IFERROR((TABLA_AVANCE_INDICADORES[[#This Row],[AVANCE 4°. TRIM]]/TABLA_AVANCE_INDICADORES[[#This Row],[PROGR. 4° TRIM]])*100,"0")</f>
        <v>0</v>
      </c>
      <c r="AL227"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227"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113</v>
      </c>
      <c r="AN227"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113</v>
      </c>
      <c r="AO227" s="40">
        <f>IFERROR((TABLA_AVANCE_INDICADORES[[#This Row],[AVANCE ACUM. TRIM.]]/TABLA_AVANCE_INDICADORES[[#This Row],[PROG. ACUM]])*100,"N/A")</f>
        <v>100</v>
      </c>
      <c r="AP227"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227" s="121">
        <f>TABLA_AVANCE_INDICADORES[[#This Row],[AVANCE ACUM. TRIM.]]-TABLA_AVANCE_INDICADORES[[#This Row],[PROG. ACUM]]</f>
        <v>0</v>
      </c>
      <c r="AR227" s="46">
        <f>IFERROR((TABLA_AVANCE_INDICADORES[[#This Row],[DIFERENCIA ABSOLUTA SEMESTRAL]]/TABLA_AVANCE_INDICADORES[[#This Row],[PROG. ACUM]])*100,"N/A")</f>
        <v>0</v>
      </c>
      <c r="AS227"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113</v>
      </c>
      <c r="AT227" s="40">
        <f>IFERROR((TABLA_AVANCE_INDICADORES[[#This Row],[AVANCE ACUM. ANUAL]]/TABLA_AVANCE_INDICADORES[[#This Row],[PROGRAMADO ANUAL]])*100,"N/A")</f>
        <v>143.03797468354432</v>
      </c>
      <c r="AU227"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SOBREPASADO</v>
      </c>
      <c r="AV227" s="121">
        <f>TABLA_AVANCE_INDICADORES[[#This Row],[AVANCE ACUM. ANUAL]]-TABLA_AVANCE_INDICADORES[[#This Row],[PROGRAMADO ANUAL]]</f>
        <v>34</v>
      </c>
      <c r="AW227" s="46">
        <f>IFERROR((TABLA_AVANCE_INDICADORES[[#This Row],[DIFERENCIA ABSOLUTA ANUAL]]/TABLA_AVANCE_INDICADORES[[#This Row],[PROGRAMADO ANUAL]])*100,"N/A")</f>
        <v>43.037974683544306</v>
      </c>
      <c r="AX227" s="148" t="s">
        <v>63</v>
      </c>
      <c r="AY227" s="100" t="s">
        <v>63</v>
      </c>
      <c r="AZ227" s="100"/>
      <c r="BA227" s="100"/>
      <c r="BB227" s="124">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113</v>
      </c>
    </row>
    <row r="228" spans="1:54" ht="93.75" x14ac:dyDescent="0.3">
      <c r="A228" s="31" t="s">
        <v>1502</v>
      </c>
      <c r="B228" s="113" t="s">
        <v>88</v>
      </c>
      <c r="C228" s="32" t="s">
        <v>52</v>
      </c>
      <c r="D228" s="114" t="s">
        <v>51</v>
      </c>
      <c r="E228" s="32" t="s">
        <v>89</v>
      </c>
      <c r="F228" s="115" t="s">
        <v>90</v>
      </c>
      <c r="G228" s="146" t="s">
        <v>91</v>
      </c>
      <c r="H228" s="94" t="s">
        <v>1483</v>
      </c>
      <c r="I228" s="34" t="s">
        <v>723</v>
      </c>
      <c r="J228" s="34" t="s">
        <v>92</v>
      </c>
      <c r="K228" s="94" t="s">
        <v>93</v>
      </c>
      <c r="L228" s="34" t="s">
        <v>94</v>
      </c>
      <c r="M228" s="94" t="s">
        <v>95</v>
      </c>
      <c r="N228" s="33">
        <v>1</v>
      </c>
      <c r="O228" s="33" t="s">
        <v>786</v>
      </c>
      <c r="P228" s="125" t="s">
        <v>1503</v>
      </c>
      <c r="Q228" s="125" t="s">
        <v>1504</v>
      </c>
      <c r="R228" s="116" t="s">
        <v>1505</v>
      </c>
      <c r="S228" s="34" t="s">
        <v>103</v>
      </c>
      <c r="T228" s="56" t="s">
        <v>728</v>
      </c>
      <c r="U228" s="56" t="s">
        <v>755</v>
      </c>
      <c r="V228" s="95">
        <v>40</v>
      </c>
      <c r="W228" s="95">
        <v>10</v>
      </c>
      <c r="X228" s="117">
        <v>4</v>
      </c>
      <c r="Y228" s="38">
        <f>IFERROR((TABLA_AVANCE_INDICADORES[[#This Row],[AVANCE 1°. TRIM]]/TABLA_AVANCE_INDICADORES[[#This Row],[PROGR. 1° TRIM]])*100,"0")</f>
        <v>40</v>
      </c>
      <c r="Z228"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CRÍTICO</v>
      </c>
      <c r="AA228" s="118">
        <v>10</v>
      </c>
      <c r="AB228" s="119">
        <v>5</v>
      </c>
      <c r="AC228" s="40">
        <f t="shared" si="6"/>
        <v>50</v>
      </c>
      <c r="AD228" s="39" t="str">
        <f t="shared" si="7"/>
        <v>DEFICIENTE</v>
      </c>
      <c r="AE228" s="118">
        <v>10</v>
      </c>
      <c r="AF228" s="119">
        <v>0</v>
      </c>
      <c r="AG228" s="40">
        <f>IFERROR((TABLA_AVANCE_INDICADORES[[#This Row],[AVANCE 3°. TRIM]]/TABLA_AVANCE_INDICADORES[[#This Row],[PROGR. 3° TRIM]])*100,"0")</f>
        <v>0</v>
      </c>
      <c r="AH228"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CRÍTICO</v>
      </c>
      <c r="AI228" s="118">
        <v>10</v>
      </c>
      <c r="AJ228" s="119">
        <v>0</v>
      </c>
      <c r="AK228" s="96">
        <f>IFERROR((TABLA_AVANCE_INDICADORES[[#This Row],[AVANCE 4°. TRIM]]/TABLA_AVANCE_INDICADORES[[#This Row],[PROGR. 4° TRIM]])*100,"0")</f>
        <v>0</v>
      </c>
      <c r="AL228"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228"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20</v>
      </c>
      <c r="AN228"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9</v>
      </c>
      <c r="AO228" s="40">
        <f>IFERROR((TABLA_AVANCE_INDICADORES[[#This Row],[AVANCE ACUM. TRIM.]]/TABLA_AVANCE_INDICADORES[[#This Row],[PROG. ACUM]])*100,"N/A")</f>
        <v>45</v>
      </c>
      <c r="AP228"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CRÍTICO</v>
      </c>
      <c r="AQ228" s="121">
        <f>TABLA_AVANCE_INDICADORES[[#This Row],[AVANCE ACUM. TRIM.]]-TABLA_AVANCE_INDICADORES[[#This Row],[PROG. ACUM]]</f>
        <v>-11</v>
      </c>
      <c r="AR228" s="46">
        <f>IFERROR((TABLA_AVANCE_INDICADORES[[#This Row],[DIFERENCIA ABSOLUTA SEMESTRAL]]/TABLA_AVANCE_INDICADORES[[#This Row],[PROG. ACUM]])*100,"N/A")</f>
        <v>-55.000000000000007</v>
      </c>
      <c r="AS228"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9</v>
      </c>
      <c r="AT228" s="40">
        <f>IFERROR((TABLA_AVANCE_INDICADORES[[#This Row],[AVANCE ACUM. ANUAL]]/TABLA_AVANCE_INDICADORES[[#This Row],[PROGRAMADO ANUAL]])*100,"N/A")</f>
        <v>22.5</v>
      </c>
      <c r="AU228"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228" s="121">
        <f>TABLA_AVANCE_INDICADORES[[#This Row],[AVANCE ACUM. ANUAL]]-TABLA_AVANCE_INDICADORES[[#This Row],[PROGRAMADO ANUAL]]</f>
        <v>-31</v>
      </c>
      <c r="AW228" s="46">
        <f>IFERROR((TABLA_AVANCE_INDICADORES[[#This Row],[DIFERENCIA ABSOLUTA ANUAL]]/TABLA_AVANCE_INDICADORES[[#This Row],[PROGRAMADO ANUAL]])*100,"N/A")</f>
        <v>-77.5</v>
      </c>
      <c r="AX228" s="148" t="s">
        <v>104</v>
      </c>
      <c r="AY228" s="100" t="s">
        <v>1506</v>
      </c>
      <c r="AZ228" s="100"/>
      <c r="BA228" s="100"/>
      <c r="BB228"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229" spans="1:54" ht="93.75" x14ac:dyDescent="0.3">
      <c r="A229" s="31" t="s">
        <v>1507</v>
      </c>
      <c r="B229" s="113" t="s">
        <v>88</v>
      </c>
      <c r="C229" s="32" t="s">
        <v>52</v>
      </c>
      <c r="D229" s="114" t="s">
        <v>51</v>
      </c>
      <c r="E229" s="32" t="s">
        <v>89</v>
      </c>
      <c r="F229" s="115" t="s">
        <v>90</v>
      </c>
      <c r="G229" s="146" t="s">
        <v>91</v>
      </c>
      <c r="H229" s="94" t="s">
        <v>1483</v>
      </c>
      <c r="I229" s="34" t="s">
        <v>723</v>
      </c>
      <c r="J229" s="34" t="s">
        <v>92</v>
      </c>
      <c r="K229" s="94" t="s">
        <v>93</v>
      </c>
      <c r="L229" s="34" t="s">
        <v>94</v>
      </c>
      <c r="M229" s="94" t="s">
        <v>95</v>
      </c>
      <c r="N229" s="33">
        <v>2</v>
      </c>
      <c r="O229" s="33" t="s">
        <v>786</v>
      </c>
      <c r="P229" s="125" t="s">
        <v>1503</v>
      </c>
      <c r="Q229" s="125" t="s">
        <v>1508</v>
      </c>
      <c r="R229" s="116" t="s">
        <v>1505</v>
      </c>
      <c r="S229" s="34" t="s">
        <v>103</v>
      </c>
      <c r="T229" s="56" t="s">
        <v>728</v>
      </c>
      <c r="U229" s="56" t="s">
        <v>755</v>
      </c>
      <c r="V229" s="95">
        <v>40</v>
      </c>
      <c r="W229" s="95">
        <v>10</v>
      </c>
      <c r="X229" s="117">
        <v>4</v>
      </c>
      <c r="Y229" s="38">
        <f>IFERROR((TABLA_AVANCE_INDICADORES[[#This Row],[AVANCE 1°. TRIM]]/TABLA_AVANCE_INDICADORES[[#This Row],[PROGR. 1° TRIM]])*100,"0")</f>
        <v>40</v>
      </c>
      <c r="Z229"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CRÍTICO</v>
      </c>
      <c r="AA229" s="118">
        <v>10</v>
      </c>
      <c r="AB229" s="119">
        <v>5</v>
      </c>
      <c r="AC229" s="40">
        <f t="shared" si="6"/>
        <v>50</v>
      </c>
      <c r="AD229" s="39" t="str">
        <f t="shared" si="7"/>
        <v>DEFICIENTE</v>
      </c>
      <c r="AE229" s="118">
        <v>10</v>
      </c>
      <c r="AF229" s="119">
        <v>0</v>
      </c>
      <c r="AG229" s="40">
        <f>IFERROR((TABLA_AVANCE_INDICADORES[[#This Row],[AVANCE 3°. TRIM]]/TABLA_AVANCE_INDICADORES[[#This Row],[PROGR. 3° TRIM]])*100,"0")</f>
        <v>0</v>
      </c>
      <c r="AH229"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CRÍTICO</v>
      </c>
      <c r="AI229" s="118">
        <v>10</v>
      </c>
      <c r="AJ229" s="119">
        <v>0</v>
      </c>
      <c r="AK229" s="96">
        <f>IFERROR((TABLA_AVANCE_INDICADORES[[#This Row],[AVANCE 4°. TRIM]]/TABLA_AVANCE_INDICADORES[[#This Row],[PROGR. 4° TRIM]])*100,"0")</f>
        <v>0</v>
      </c>
      <c r="AL229"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229"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20</v>
      </c>
      <c r="AN229"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9</v>
      </c>
      <c r="AO229" s="40">
        <f>IFERROR((TABLA_AVANCE_INDICADORES[[#This Row],[AVANCE ACUM. TRIM.]]/TABLA_AVANCE_INDICADORES[[#This Row],[PROG. ACUM]])*100,"N/A")</f>
        <v>45</v>
      </c>
      <c r="AP229"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CRÍTICO</v>
      </c>
      <c r="AQ229" s="121">
        <f>TABLA_AVANCE_INDICADORES[[#This Row],[AVANCE ACUM. TRIM.]]-TABLA_AVANCE_INDICADORES[[#This Row],[PROG. ACUM]]</f>
        <v>-11</v>
      </c>
      <c r="AR229" s="46">
        <f>IFERROR((TABLA_AVANCE_INDICADORES[[#This Row],[DIFERENCIA ABSOLUTA SEMESTRAL]]/TABLA_AVANCE_INDICADORES[[#This Row],[PROG. ACUM]])*100,"N/A")</f>
        <v>-55.000000000000007</v>
      </c>
      <c r="AS229"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9</v>
      </c>
      <c r="AT229" s="40">
        <f>IFERROR((TABLA_AVANCE_INDICADORES[[#This Row],[AVANCE ACUM. ANUAL]]/TABLA_AVANCE_INDICADORES[[#This Row],[PROGRAMADO ANUAL]])*100,"N/A")</f>
        <v>22.5</v>
      </c>
      <c r="AU229"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229" s="121">
        <f>TABLA_AVANCE_INDICADORES[[#This Row],[AVANCE ACUM. ANUAL]]-TABLA_AVANCE_INDICADORES[[#This Row],[PROGRAMADO ANUAL]]</f>
        <v>-31</v>
      </c>
      <c r="AW229" s="46">
        <f>IFERROR((TABLA_AVANCE_INDICADORES[[#This Row],[DIFERENCIA ABSOLUTA ANUAL]]/TABLA_AVANCE_INDICADORES[[#This Row],[PROGRAMADO ANUAL]])*100,"N/A")</f>
        <v>-77.5</v>
      </c>
      <c r="AX229" s="148" t="s">
        <v>104</v>
      </c>
      <c r="AY229" s="100" t="s">
        <v>1506</v>
      </c>
      <c r="AZ229" s="100"/>
      <c r="BA229" s="100"/>
      <c r="BB229"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230" spans="1:54" ht="93.75" x14ac:dyDescent="0.3">
      <c r="A230" s="31" t="s">
        <v>1509</v>
      </c>
      <c r="B230" s="113" t="s">
        <v>88</v>
      </c>
      <c r="C230" s="32" t="s">
        <v>52</v>
      </c>
      <c r="D230" s="114" t="s">
        <v>51</v>
      </c>
      <c r="E230" s="32" t="s">
        <v>89</v>
      </c>
      <c r="F230" s="115" t="s">
        <v>90</v>
      </c>
      <c r="G230" s="146" t="s">
        <v>91</v>
      </c>
      <c r="H230" s="94" t="s">
        <v>1483</v>
      </c>
      <c r="I230" s="34" t="s">
        <v>723</v>
      </c>
      <c r="J230" s="34" t="s">
        <v>92</v>
      </c>
      <c r="K230" s="94" t="s">
        <v>93</v>
      </c>
      <c r="L230" s="34" t="s">
        <v>94</v>
      </c>
      <c r="M230" s="94" t="s">
        <v>95</v>
      </c>
      <c r="N230" s="33">
        <v>1</v>
      </c>
      <c r="O230" s="33" t="s">
        <v>751</v>
      </c>
      <c r="P230" s="125" t="s">
        <v>1510</v>
      </c>
      <c r="Q230" s="125" t="s">
        <v>1511</v>
      </c>
      <c r="R230" s="116" t="s">
        <v>1512</v>
      </c>
      <c r="S230" s="34" t="s">
        <v>1513</v>
      </c>
      <c r="T230" s="56" t="s">
        <v>888</v>
      </c>
      <c r="U230" s="56" t="s">
        <v>747</v>
      </c>
      <c r="V230" s="95">
        <v>8</v>
      </c>
      <c r="W230" s="95">
        <v>0</v>
      </c>
      <c r="X230" s="117">
        <v>0</v>
      </c>
      <c r="Y230" s="38" t="str">
        <f>IFERROR((TABLA_AVANCE_INDICADORES[[#This Row],[AVANCE 1°. TRIM]]/TABLA_AVANCE_INDICADORES[[#This Row],[PROGR. 1° TRIM]])*100,"0")</f>
        <v>0</v>
      </c>
      <c r="Z230"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230" s="118">
        <v>8</v>
      </c>
      <c r="AB230" s="119">
        <v>8</v>
      </c>
      <c r="AC230" s="40">
        <f t="shared" si="6"/>
        <v>100</v>
      </c>
      <c r="AD230" s="39" t="str">
        <f t="shared" si="7"/>
        <v>ADECUADO</v>
      </c>
      <c r="AE230" s="118">
        <v>0</v>
      </c>
      <c r="AF230" s="119">
        <v>0</v>
      </c>
      <c r="AG230" s="40" t="str">
        <f>IFERROR((TABLA_AVANCE_INDICADORES[[#This Row],[AVANCE 3°. TRIM]]/TABLA_AVANCE_INDICADORES[[#This Row],[PROGR. 3° TRIM]])*100,"0")</f>
        <v>0</v>
      </c>
      <c r="AH230"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230" s="118">
        <v>8</v>
      </c>
      <c r="AJ230" s="119">
        <v>0</v>
      </c>
      <c r="AK230" s="96">
        <f>IFERROR((TABLA_AVANCE_INDICADORES[[#This Row],[AVANCE 4°. TRIM]]/TABLA_AVANCE_INDICADORES[[#This Row],[PROGR. 4° TRIM]])*100,"0")</f>
        <v>0</v>
      </c>
      <c r="AL230"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230"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8</v>
      </c>
      <c r="AN230"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8</v>
      </c>
      <c r="AO230" s="40">
        <f>IFERROR((TABLA_AVANCE_INDICADORES[[#This Row],[AVANCE ACUM. TRIM.]]/TABLA_AVANCE_INDICADORES[[#This Row],[PROG. ACUM]])*100,"N/A")</f>
        <v>100</v>
      </c>
      <c r="AP230"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230" s="121">
        <f>TABLA_AVANCE_INDICADORES[[#This Row],[AVANCE ACUM. TRIM.]]-TABLA_AVANCE_INDICADORES[[#This Row],[PROG. ACUM]]</f>
        <v>0</v>
      </c>
      <c r="AR230" s="46">
        <f>IFERROR((TABLA_AVANCE_INDICADORES[[#This Row],[DIFERENCIA ABSOLUTA SEMESTRAL]]/TABLA_AVANCE_INDICADORES[[#This Row],[PROG. ACUM]])*100,"N/A")</f>
        <v>0</v>
      </c>
      <c r="AS230"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8</v>
      </c>
      <c r="AT230" s="40">
        <f>IFERROR((TABLA_AVANCE_INDICADORES[[#This Row],[AVANCE ACUM. ANUAL]]/TABLA_AVANCE_INDICADORES[[#This Row],[PROGRAMADO ANUAL]])*100,"N/A")</f>
        <v>100</v>
      </c>
      <c r="AU230"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ADECUADO</v>
      </c>
      <c r="AV230" s="121">
        <f>TABLA_AVANCE_INDICADORES[[#This Row],[AVANCE ACUM. ANUAL]]-TABLA_AVANCE_INDICADORES[[#This Row],[PROGRAMADO ANUAL]]</f>
        <v>0</v>
      </c>
      <c r="AW230" s="46">
        <f>IFERROR((TABLA_AVANCE_INDICADORES[[#This Row],[DIFERENCIA ABSOLUTA ANUAL]]/TABLA_AVANCE_INDICADORES[[#This Row],[PROGRAMADO ANUAL]])*100,"N/A")</f>
        <v>0</v>
      </c>
      <c r="AX230" s="148" t="s">
        <v>63</v>
      </c>
      <c r="AY230" s="100" t="s">
        <v>63</v>
      </c>
      <c r="AZ230" s="100"/>
      <c r="BA230" s="100"/>
      <c r="BB230" s="124">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8</v>
      </c>
    </row>
    <row r="231" spans="1:54" ht="93.75" x14ac:dyDescent="0.3">
      <c r="A231" s="31" t="s">
        <v>1514</v>
      </c>
      <c r="B231" s="113" t="s">
        <v>88</v>
      </c>
      <c r="C231" s="32" t="s">
        <v>52</v>
      </c>
      <c r="D231" s="114" t="s">
        <v>51</v>
      </c>
      <c r="E231" s="32" t="s">
        <v>89</v>
      </c>
      <c r="F231" s="115" t="s">
        <v>90</v>
      </c>
      <c r="G231" s="146" t="s">
        <v>91</v>
      </c>
      <c r="H231" s="94" t="s">
        <v>1483</v>
      </c>
      <c r="I231" s="34" t="s">
        <v>723</v>
      </c>
      <c r="J231" s="34" t="s">
        <v>92</v>
      </c>
      <c r="K231" s="94" t="s">
        <v>93</v>
      </c>
      <c r="L231" s="34" t="s">
        <v>94</v>
      </c>
      <c r="M231" s="94" t="s">
        <v>95</v>
      </c>
      <c r="N231" s="33">
        <v>2</v>
      </c>
      <c r="O231" s="33" t="s">
        <v>751</v>
      </c>
      <c r="P231" s="125" t="s">
        <v>1510</v>
      </c>
      <c r="Q231" s="125" t="s">
        <v>1515</v>
      </c>
      <c r="R231" s="116" t="s">
        <v>1512</v>
      </c>
      <c r="S231" s="34" t="s">
        <v>1513</v>
      </c>
      <c r="T231" s="56" t="s">
        <v>888</v>
      </c>
      <c r="U231" s="56" t="s">
        <v>747</v>
      </c>
      <c r="V231" s="95">
        <v>8</v>
      </c>
      <c r="W231" s="95">
        <v>0</v>
      </c>
      <c r="X231" s="127">
        <v>0</v>
      </c>
      <c r="Y231" s="38" t="str">
        <f>IFERROR((TABLA_AVANCE_INDICADORES[[#This Row],[AVANCE 1°. TRIM]]/TABLA_AVANCE_INDICADORES[[#This Row],[PROGR. 1° TRIM]])*100,"0")</f>
        <v>0</v>
      </c>
      <c r="Z231"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NO PROG.</v>
      </c>
      <c r="AA231" s="118">
        <v>8</v>
      </c>
      <c r="AB231" s="128">
        <v>8</v>
      </c>
      <c r="AC231" s="40">
        <f t="shared" si="6"/>
        <v>100</v>
      </c>
      <c r="AD231" s="39" t="str">
        <f t="shared" si="7"/>
        <v>ADECUADO</v>
      </c>
      <c r="AE231" s="118">
        <v>0</v>
      </c>
      <c r="AF231" s="128">
        <f>AE231</f>
        <v>0</v>
      </c>
      <c r="AG231" s="40" t="str">
        <f>IFERROR((TABLA_AVANCE_INDICADORES[[#This Row],[AVANCE 3°. TRIM]]/TABLA_AVANCE_INDICADORES[[#This Row],[PROGR. 3° TRIM]])*100,"0")</f>
        <v>0</v>
      </c>
      <c r="AH231"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NO PROG.</v>
      </c>
      <c r="AI231" s="118">
        <v>8</v>
      </c>
      <c r="AJ231" s="128">
        <f>AI231</f>
        <v>8</v>
      </c>
      <c r="AK231" s="96">
        <f>IFERROR((TABLA_AVANCE_INDICADORES[[#This Row],[AVANCE 4°. TRIM]]/TABLA_AVANCE_INDICADORES[[#This Row],[PROGR. 4° TRIM]])*100,"0")</f>
        <v>100</v>
      </c>
      <c r="AL231"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ADECUADO</v>
      </c>
      <c r="AM231"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8</v>
      </c>
      <c r="AN231"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8</v>
      </c>
      <c r="AO231" s="40">
        <f>IFERROR((TABLA_AVANCE_INDICADORES[[#This Row],[AVANCE ACUM. TRIM.]]/TABLA_AVANCE_INDICADORES[[#This Row],[PROG. ACUM]])*100,"N/A")</f>
        <v>100</v>
      </c>
      <c r="AP231"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231" s="121">
        <f>TABLA_AVANCE_INDICADORES[[#This Row],[AVANCE ACUM. TRIM.]]-TABLA_AVANCE_INDICADORES[[#This Row],[PROG. ACUM]]</f>
        <v>0</v>
      </c>
      <c r="AR231" s="46">
        <f>IFERROR((TABLA_AVANCE_INDICADORES[[#This Row],[DIFERENCIA ABSOLUTA SEMESTRAL]]/TABLA_AVANCE_INDICADORES[[#This Row],[PROG. ACUM]])*100,"N/A")</f>
        <v>0</v>
      </c>
      <c r="AS231"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8</v>
      </c>
      <c r="AT231" s="40">
        <f>IFERROR((TABLA_AVANCE_INDICADORES[[#This Row],[AVANCE ACUM. ANUAL]]/TABLA_AVANCE_INDICADORES[[#This Row],[PROGRAMADO ANUAL]])*100,"N/A")</f>
        <v>100</v>
      </c>
      <c r="AU231"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ADECUADO</v>
      </c>
      <c r="AV231" s="121">
        <f>TABLA_AVANCE_INDICADORES[[#This Row],[AVANCE ACUM. ANUAL]]-TABLA_AVANCE_INDICADORES[[#This Row],[PROGRAMADO ANUAL]]</f>
        <v>0</v>
      </c>
      <c r="AW231" s="46">
        <f>IFERROR((TABLA_AVANCE_INDICADORES[[#This Row],[DIFERENCIA ABSOLUTA ANUAL]]/TABLA_AVANCE_INDICADORES[[#This Row],[PROGRAMADO ANUAL]])*100,"N/A")</f>
        <v>0</v>
      </c>
      <c r="AX231" s="148" t="s">
        <v>63</v>
      </c>
      <c r="AY231" s="100" t="s">
        <v>63</v>
      </c>
      <c r="AZ231" s="100"/>
      <c r="BA231" s="100"/>
      <c r="BB231" s="124">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8</v>
      </c>
    </row>
    <row r="232" spans="1:54" ht="187.5" x14ac:dyDescent="0.3">
      <c r="A232" s="31" t="s">
        <v>1516</v>
      </c>
      <c r="B232" s="113" t="s">
        <v>88</v>
      </c>
      <c r="C232" s="32" t="s">
        <v>52</v>
      </c>
      <c r="D232" s="114" t="s">
        <v>51</v>
      </c>
      <c r="E232" s="32" t="s">
        <v>89</v>
      </c>
      <c r="F232" s="115" t="s">
        <v>90</v>
      </c>
      <c r="G232" s="146" t="s">
        <v>91</v>
      </c>
      <c r="H232" s="94" t="s">
        <v>1483</v>
      </c>
      <c r="I232" s="34" t="s">
        <v>723</v>
      </c>
      <c r="J232" s="34" t="s">
        <v>92</v>
      </c>
      <c r="K232" s="94" t="s">
        <v>93</v>
      </c>
      <c r="L232" s="34" t="s">
        <v>94</v>
      </c>
      <c r="M232" s="94" t="s">
        <v>95</v>
      </c>
      <c r="N232" s="33">
        <v>1</v>
      </c>
      <c r="O232" s="33" t="s">
        <v>858</v>
      </c>
      <c r="P232" s="125" t="s">
        <v>1517</v>
      </c>
      <c r="Q232" s="125" t="s">
        <v>1518</v>
      </c>
      <c r="R232" s="116" t="s">
        <v>1519</v>
      </c>
      <c r="S232" s="34" t="s">
        <v>504</v>
      </c>
      <c r="T232" s="56" t="s">
        <v>888</v>
      </c>
      <c r="U232" s="56" t="s">
        <v>1131</v>
      </c>
      <c r="V232" s="95">
        <v>8</v>
      </c>
      <c r="W232" s="95">
        <v>8</v>
      </c>
      <c r="X232" s="117">
        <v>8</v>
      </c>
      <c r="Y232" s="38">
        <f>IFERROR((TABLA_AVANCE_INDICADORES[[#This Row],[AVANCE 1°. TRIM]]/TABLA_AVANCE_INDICADORES[[#This Row],[PROGR. 1° TRIM]])*100,"0")</f>
        <v>100</v>
      </c>
      <c r="Z232"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232" s="118">
        <v>8</v>
      </c>
      <c r="AB232" s="119">
        <v>8</v>
      </c>
      <c r="AC232" s="40">
        <f t="shared" si="6"/>
        <v>100</v>
      </c>
      <c r="AD232" s="39" t="str">
        <f t="shared" si="7"/>
        <v>ADECUADO</v>
      </c>
      <c r="AE232" s="118">
        <v>8</v>
      </c>
      <c r="AF232" s="119">
        <v>0</v>
      </c>
      <c r="AG232" s="40">
        <f>IFERROR((TABLA_AVANCE_INDICADORES[[#This Row],[AVANCE 3°. TRIM]]/TABLA_AVANCE_INDICADORES[[#This Row],[PROGR. 3° TRIM]])*100,"0")</f>
        <v>0</v>
      </c>
      <c r="AH232"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CRÍTICO</v>
      </c>
      <c r="AI232" s="118">
        <v>8</v>
      </c>
      <c r="AJ232" s="119">
        <v>0</v>
      </c>
      <c r="AK232" s="96">
        <f>IFERROR((TABLA_AVANCE_INDICADORES[[#This Row],[AVANCE 4°. TRIM]]/TABLA_AVANCE_INDICADORES[[#This Row],[PROGR. 4° TRIM]])*100,"0")</f>
        <v>0</v>
      </c>
      <c r="AL232"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232"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8</v>
      </c>
      <c r="AN232"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8</v>
      </c>
      <c r="AO232" s="40">
        <f>IFERROR((TABLA_AVANCE_INDICADORES[[#This Row],[AVANCE ACUM. TRIM.]]/TABLA_AVANCE_INDICADORES[[#This Row],[PROG. ACUM]])*100,"N/A")</f>
        <v>100</v>
      </c>
      <c r="AP232"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232" s="121">
        <f>TABLA_AVANCE_INDICADORES[[#This Row],[AVANCE ACUM. TRIM.]]-TABLA_AVANCE_INDICADORES[[#This Row],[PROG. ACUM]]</f>
        <v>0</v>
      </c>
      <c r="AR232" s="46">
        <f>IFERROR((TABLA_AVANCE_INDICADORES[[#This Row],[DIFERENCIA ABSOLUTA SEMESTRAL]]/TABLA_AVANCE_INDICADORES[[#This Row],[PROG. ACUM]])*100,"N/A")</f>
        <v>0</v>
      </c>
      <c r="AS232"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8</v>
      </c>
      <c r="AT232" s="40">
        <f>IFERROR((TABLA_AVANCE_INDICADORES[[#This Row],[AVANCE ACUM. ANUAL]]/TABLA_AVANCE_INDICADORES[[#This Row],[PROGRAMADO ANUAL]])*100,"N/A")</f>
        <v>100</v>
      </c>
      <c r="AU232"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ADECUADO</v>
      </c>
      <c r="AV232" s="121">
        <f>TABLA_AVANCE_INDICADORES[[#This Row],[AVANCE ACUM. ANUAL]]-TABLA_AVANCE_INDICADORES[[#This Row],[PROGRAMADO ANUAL]]</f>
        <v>0</v>
      </c>
      <c r="AW232" s="46">
        <f>IFERROR((TABLA_AVANCE_INDICADORES[[#This Row],[DIFERENCIA ABSOLUTA ANUAL]]/TABLA_AVANCE_INDICADORES[[#This Row],[PROGRAMADO ANUAL]])*100,"N/A")</f>
        <v>0</v>
      </c>
      <c r="AX232" s="148" t="s">
        <v>63</v>
      </c>
      <c r="AY232" s="100" t="s">
        <v>63</v>
      </c>
      <c r="AZ232" s="100"/>
      <c r="BA232" s="100"/>
      <c r="BB232" s="124">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8</v>
      </c>
    </row>
    <row r="233" spans="1:54" ht="187.5" x14ac:dyDescent="0.3">
      <c r="A233" s="31" t="s">
        <v>1520</v>
      </c>
      <c r="B233" s="113" t="s">
        <v>88</v>
      </c>
      <c r="C233" s="32" t="s">
        <v>52</v>
      </c>
      <c r="D233" s="114" t="s">
        <v>51</v>
      </c>
      <c r="E233" s="32" t="s">
        <v>89</v>
      </c>
      <c r="F233" s="115" t="s">
        <v>90</v>
      </c>
      <c r="G233" s="146" t="s">
        <v>91</v>
      </c>
      <c r="H233" s="94" t="s">
        <v>1483</v>
      </c>
      <c r="I233" s="34" t="s">
        <v>723</v>
      </c>
      <c r="J233" s="34" t="s">
        <v>92</v>
      </c>
      <c r="K233" s="94" t="s">
        <v>93</v>
      </c>
      <c r="L233" s="34" t="s">
        <v>94</v>
      </c>
      <c r="M233" s="94" t="s">
        <v>95</v>
      </c>
      <c r="N233" s="33">
        <v>2</v>
      </c>
      <c r="O233" s="33" t="s">
        <v>858</v>
      </c>
      <c r="P233" s="125" t="s">
        <v>1517</v>
      </c>
      <c r="Q233" s="125" t="s">
        <v>1521</v>
      </c>
      <c r="R233" s="116" t="s">
        <v>1519</v>
      </c>
      <c r="S233" s="34" t="s">
        <v>504</v>
      </c>
      <c r="T233" s="56" t="s">
        <v>888</v>
      </c>
      <c r="U233" s="56" t="s">
        <v>1131</v>
      </c>
      <c r="V233" s="95">
        <v>8</v>
      </c>
      <c r="W233" s="95">
        <v>8</v>
      </c>
      <c r="X233" s="117">
        <v>8</v>
      </c>
      <c r="Y233" s="38">
        <f>IFERROR((TABLA_AVANCE_INDICADORES[[#This Row],[AVANCE 1°. TRIM]]/TABLA_AVANCE_INDICADORES[[#This Row],[PROGR. 1° TRIM]])*100,"0")</f>
        <v>100</v>
      </c>
      <c r="Z233"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ADECUADO</v>
      </c>
      <c r="AA233" s="118">
        <v>8</v>
      </c>
      <c r="AB233" s="119">
        <v>8</v>
      </c>
      <c r="AC233" s="40">
        <f t="shared" si="6"/>
        <v>100</v>
      </c>
      <c r="AD233" s="39" t="str">
        <f t="shared" si="7"/>
        <v>ADECUADO</v>
      </c>
      <c r="AE233" s="118">
        <v>8</v>
      </c>
      <c r="AF233" s="119">
        <v>0</v>
      </c>
      <c r="AG233" s="40">
        <f>IFERROR((TABLA_AVANCE_INDICADORES[[#This Row],[AVANCE 3°. TRIM]]/TABLA_AVANCE_INDICADORES[[#This Row],[PROGR. 3° TRIM]])*100,"0")</f>
        <v>0</v>
      </c>
      <c r="AH233"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CRÍTICO</v>
      </c>
      <c r="AI233" s="118">
        <v>8</v>
      </c>
      <c r="AJ233" s="119">
        <v>0</v>
      </c>
      <c r="AK233" s="96">
        <f>IFERROR((TABLA_AVANCE_INDICADORES[[#This Row],[AVANCE 4°. TRIM]]/TABLA_AVANCE_INDICADORES[[#This Row],[PROGR. 4° TRIM]])*100,"0")</f>
        <v>0</v>
      </c>
      <c r="AL233"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233"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8</v>
      </c>
      <c r="AN233"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8</v>
      </c>
      <c r="AO233" s="40">
        <f>IFERROR((TABLA_AVANCE_INDICADORES[[#This Row],[AVANCE ACUM. TRIM.]]/TABLA_AVANCE_INDICADORES[[#This Row],[PROG. ACUM]])*100,"N/A")</f>
        <v>100</v>
      </c>
      <c r="AP233"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ADECUADO</v>
      </c>
      <c r="AQ233" s="121">
        <f>TABLA_AVANCE_INDICADORES[[#This Row],[AVANCE ACUM. TRIM.]]-TABLA_AVANCE_INDICADORES[[#This Row],[PROG. ACUM]]</f>
        <v>0</v>
      </c>
      <c r="AR233" s="46">
        <f>IFERROR((TABLA_AVANCE_INDICADORES[[#This Row],[DIFERENCIA ABSOLUTA SEMESTRAL]]/TABLA_AVANCE_INDICADORES[[#This Row],[PROG. ACUM]])*100,"N/A")</f>
        <v>0</v>
      </c>
      <c r="AS233"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8</v>
      </c>
      <c r="AT233" s="40">
        <f>IFERROR((TABLA_AVANCE_INDICADORES[[#This Row],[AVANCE ACUM. ANUAL]]/TABLA_AVANCE_INDICADORES[[#This Row],[PROGRAMADO ANUAL]])*100,"N/A")</f>
        <v>100</v>
      </c>
      <c r="AU233"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ADECUADO</v>
      </c>
      <c r="AV233" s="121">
        <f>TABLA_AVANCE_INDICADORES[[#This Row],[AVANCE ACUM. ANUAL]]-TABLA_AVANCE_INDICADORES[[#This Row],[PROGRAMADO ANUAL]]</f>
        <v>0</v>
      </c>
      <c r="AW233" s="46">
        <f>IFERROR((TABLA_AVANCE_INDICADORES[[#This Row],[DIFERENCIA ABSOLUTA ANUAL]]/TABLA_AVANCE_INDICADORES[[#This Row],[PROGRAMADO ANUAL]])*100,"N/A")</f>
        <v>0</v>
      </c>
      <c r="AX233" s="148" t="s">
        <v>63</v>
      </c>
      <c r="AY233" s="100" t="s">
        <v>63</v>
      </c>
      <c r="AZ233" s="100"/>
      <c r="BA233" s="100"/>
      <c r="BB233" s="124">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8</v>
      </c>
    </row>
    <row r="234" spans="1:54" ht="93.75" x14ac:dyDescent="0.3">
      <c r="A234" s="31" t="s">
        <v>1522</v>
      </c>
      <c r="B234" s="113" t="s">
        <v>88</v>
      </c>
      <c r="C234" s="32" t="s">
        <v>52</v>
      </c>
      <c r="D234" s="114" t="s">
        <v>51</v>
      </c>
      <c r="E234" s="32" t="s">
        <v>89</v>
      </c>
      <c r="F234" s="115" t="s">
        <v>90</v>
      </c>
      <c r="G234" s="146" t="s">
        <v>91</v>
      </c>
      <c r="H234" s="94" t="s">
        <v>1483</v>
      </c>
      <c r="I234" s="34" t="s">
        <v>723</v>
      </c>
      <c r="J234" s="34" t="s">
        <v>92</v>
      </c>
      <c r="K234" s="94" t="s">
        <v>93</v>
      </c>
      <c r="L234" s="34" t="s">
        <v>94</v>
      </c>
      <c r="M234" s="94" t="s">
        <v>95</v>
      </c>
      <c r="N234" s="33">
        <v>1</v>
      </c>
      <c r="O234" s="33" t="s">
        <v>759</v>
      </c>
      <c r="P234" s="125" t="s">
        <v>1523</v>
      </c>
      <c r="Q234" s="125" t="s">
        <v>1524</v>
      </c>
      <c r="R234" s="116" t="s">
        <v>1525</v>
      </c>
      <c r="S234" s="34" t="s">
        <v>103</v>
      </c>
      <c r="T234" s="56" t="s">
        <v>728</v>
      </c>
      <c r="U234" s="56" t="s">
        <v>755</v>
      </c>
      <c r="V234" s="95">
        <v>40</v>
      </c>
      <c r="W234" s="95">
        <v>10</v>
      </c>
      <c r="X234" s="117">
        <v>4</v>
      </c>
      <c r="Y234" s="38">
        <f>IFERROR((TABLA_AVANCE_INDICADORES[[#This Row],[AVANCE 1°. TRIM]]/TABLA_AVANCE_INDICADORES[[#This Row],[PROGR. 1° TRIM]])*100,"0")</f>
        <v>40</v>
      </c>
      <c r="Z234"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CRÍTICO</v>
      </c>
      <c r="AA234" s="118">
        <v>10</v>
      </c>
      <c r="AB234" s="119">
        <v>5</v>
      </c>
      <c r="AC234" s="40">
        <f t="shared" si="6"/>
        <v>50</v>
      </c>
      <c r="AD234" s="39" t="str">
        <f t="shared" si="7"/>
        <v>DEFICIENTE</v>
      </c>
      <c r="AE234" s="118">
        <v>10</v>
      </c>
      <c r="AF234" s="119">
        <v>0</v>
      </c>
      <c r="AG234" s="40">
        <f>IFERROR((TABLA_AVANCE_INDICADORES[[#This Row],[AVANCE 3°. TRIM]]/TABLA_AVANCE_INDICADORES[[#This Row],[PROGR. 3° TRIM]])*100,"0")</f>
        <v>0</v>
      </c>
      <c r="AH234"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CRÍTICO</v>
      </c>
      <c r="AI234" s="118">
        <v>10</v>
      </c>
      <c r="AJ234" s="119">
        <v>0</v>
      </c>
      <c r="AK234" s="96">
        <f>IFERROR((TABLA_AVANCE_INDICADORES[[#This Row],[AVANCE 4°. TRIM]]/TABLA_AVANCE_INDICADORES[[#This Row],[PROGR. 4° TRIM]])*100,"0")</f>
        <v>0</v>
      </c>
      <c r="AL234"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234"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20</v>
      </c>
      <c r="AN234"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9</v>
      </c>
      <c r="AO234" s="40">
        <f>IFERROR((TABLA_AVANCE_INDICADORES[[#This Row],[AVANCE ACUM. TRIM.]]/TABLA_AVANCE_INDICADORES[[#This Row],[PROG. ACUM]])*100,"N/A")</f>
        <v>45</v>
      </c>
      <c r="AP234"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CRÍTICO</v>
      </c>
      <c r="AQ234" s="121">
        <f>TABLA_AVANCE_INDICADORES[[#This Row],[AVANCE ACUM. TRIM.]]-TABLA_AVANCE_INDICADORES[[#This Row],[PROG. ACUM]]</f>
        <v>-11</v>
      </c>
      <c r="AR234" s="46">
        <f>IFERROR((TABLA_AVANCE_INDICADORES[[#This Row],[DIFERENCIA ABSOLUTA SEMESTRAL]]/TABLA_AVANCE_INDICADORES[[#This Row],[PROG. ACUM]])*100,"N/A")</f>
        <v>-55.000000000000007</v>
      </c>
      <c r="AS234"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9</v>
      </c>
      <c r="AT234" s="40">
        <f>IFERROR((TABLA_AVANCE_INDICADORES[[#This Row],[AVANCE ACUM. ANUAL]]/TABLA_AVANCE_INDICADORES[[#This Row],[PROGRAMADO ANUAL]])*100,"N/A")</f>
        <v>22.5</v>
      </c>
      <c r="AU234"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234" s="121">
        <f>TABLA_AVANCE_INDICADORES[[#This Row],[AVANCE ACUM. ANUAL]]-TABLA_AVANCE_INDICADORES[[#This Row],[PROGRAMADO ANUAL]]</f>
        <v>-31</v>
      </c>
      <c r="AW234" s="46">
        <f>IFERROR((TABLA_AVANCE_INDICADORES[[#This Row],[DIFERENCIA ABSOLUTA ANUAL]]/TABLA_AVANCE_INDICADORES[[#This Row],[PROGRAMADO ANUAL]])*100,"N/A")</f>
        <v>-77.5</v>
      </c>
      <c r="AX234" s="148" t="s">
        <v>104</v>
      </c>
      <c r="AY234" s="100" t="s">
        <v>1506</v>
      </c>
      <c r="AZ234" s="100"/>
      <c r="BA234" s="100"/>
      <c r="BB234"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row r="235" spans="1:54" ht="93.75" x14ac:dyDescent="0.3">
      <c r="A235" s="31" t="s">
        <v>1526</v>
      </c>
      <c r="B235" s="113" t="s">
        <v>88</v>
      </c>
      <c r="C235" s="32" t="s">
        <v>52</v>
      </c>
      <c r="D235" s="114" t="s">
        <v>51</v>
      </c>
      <c r="E235" s="32" t="s">
        <v>89</v>
      </c>
      <c r="F235" s="115" t="s">
        <v>90</v>
      </c>
      <c r="G235" s="146" t="s">
        <v>91</v>
      </c>
      <c r="H235" s="94" t="s">
        <v>1483</v>
      </c>
      <c r="I235" s="34" t="s">
        <v>723</v>
      </c>
      <c r="J235" s="34" t="s">
        <v>92</v>
      </c>
      <c r="K235" s="94" t="s">
        <v>93</v>
      </c>
      <c r="L235" s="34" t="s">
        <v>94</v>
      </c>
      <c r="M235" s="94" t="s">
        <v>95</v>
      </c>
      <c r="N235" s="33">
        <v>2</v>
      </c>
      <c r="O235" s="33" t="s">
        <v>759</v>
      </c>
      <c r="P235" s="125" t="s">
        <v>1523</v>
      </c>
      <c r="Q235" s="125" t="s">
        <v>1527</v>
      </c>
      <c r="R235" s="116" t="s">
        <v>1525</v>
      </c>
      <c r="S235" s="34" t="s">
        <v>103</v>
      </c>
      <c r="T235" s="56" t="s">
        <v>728</v>
      </c>
      <c r="U235" s="56" t="s">
        <v>755</v>
      </c>
      <c r="V235" s="95">
        <v>40</v>
      </c>
      <c r="W235" s="95">
        <v>10</v>
      </c>
      <c r="X235" s="117">
        <v>4</v>
      </c>
      <c r="Y235" s="38">
        <f>IFERROR((TABLA_AVANCE_INDICADORES[[#This Row],[AVANCE 1°. TRIM]]/TABLA_AVANCE_INDICADORES[[#This Row],[PROGR. 1° TRIM]])*100,"0")</f>
        <v>40</v>
      </c>
      <c r="Z235" s="39" t="str">
        <f>IF(AND(TABLA_AVANCE_INDICADORES[[#This Row],[% AVANCE 1er. TRIM]]&gt;=0,TABLA_AVANCE_INDICADORES[[#This Row],[% AVANCE 1er. TRIM]]&lt;=49.9999999999999),"CRÍTICO",IF(AND(TABLA_AVANCE_INDICADORES[[#This Row],[% AVANCE 1er. TRIM]]&gt;=50,TABLA_AVANCE_INDICADORES[[#This Row],[% AVANCE 1er. TRIM]]&lt;=69.9999999999999),"DEFICIENTE",IF(AND(TABLA_AVANCE_INDICADORES[[#This Row],[% AVANCE 1er. TRIM]]&gt;=70,TABLA_AVANCE_INDICADORES[[#This Row],[% AVANCE 1er. TRIM]]&lt;=89.9999999999999),"REGULAR",IF(AND(TABLA_AVANCE_INDICADORES[[#This Row],[% AVANCE 1er. TRIM]]&gt;=90,TABLA_AVANCE_INDICADORES[[#This Row],[% AVANCE 1er. TRIM]]&lt;=110.999999999999),"ADECUADO",IF(AND(TABLA_AVANCE_INDICADORES[[#This Row],[% AVANCE 1er. TRIM]]&gt;=111,TABLA_AVANCE_INDICADORES[[#This Row],[% AVANCE 1er. TRIM]]&lt;=999999999),"SOBREPASADO","NO PROG.")))))</f>
        <v>CRÍTICO</v>
      </c>
      <c r="AA235" s="118">
        <v>10</v>
      </c>
      <c r="AB235" s="119">
        <v>5</v>
      </c>
      <c r="AC235" s="40">
        <f t="shared" si="6"/>
        <v>50</v>
      </c>
      <c r="AD235" s="39" t="str">
        <f t="shared" si="7"/>
        <v>DEFICIENTE</v>
      </c>
      <c r="AE235" s="118">
        <v>10</v>
      </c>
      <c r="AF235" s="119">
        <v>0</v>
      </c>
      <c r="AG235" s="40">
        <f>IFERROR((TABLA_AVANCE_INDICADORES[[#This Row],[AVANCE 3°. TRIM]]/TABLA_AVANCE_INDICADORES[[#This Row],[PROGR. 3° TRIM]])*100,"0")</f>
        <v>0</v>
      </c>
      <c r="AH235" s="39" t="str">
        <f>IF(AND(TABLA_AVANCE_INDICADORES[[#This Row],[% AVANCE 3o. TRIM]]&gt;=0,TABLA_AVANCE_INDICADORES[[#This Row],[% AVANCE 3o. TRIM]]&lt;=49.9999999999999),"CRÍTICO",IF(AND(TABLA_AVANCE_INDICADORES[[#This Row],[% AVANCE 3o. TRIM]]&gt;=50,TABLA_AVANCE_INDICADORES[[#This Row],[% AVANCE 3o. TRIM]]&lt;=69.9999999999999),"DEFICIENTE",IF(AND(TABLA_AVANCE_INDICADORES[[#This Row],[% AVANCE 3o. TRIM]]&gt;=70,TABLA_AVANCE_INDICADORES[[#This Row],[% AVANCE 3o. TRIM]]&lt;=89.9999999999999),"REGULAR",IF(AND(TABLA_AVANCE_INDICADORES[[#This Row],[% AVANCE 3o. TRIM]]&gt;=90,TABLA_AVANCE_INDICADORES[[#This Row],[% AVANCE 3o. TRIM]]&lt;=110.999999999999),"ADECUADO",IF(AND(TABLA_AVANCE_INDICADORES[[#This Row],[% AVANCE 3o. TRIM]]&gt;=111,TABLA_AVANCE_INDICADORES[[#This Row],[% AVANCE 3o. TRIM]]&lt;=999999),"SOBREPASADO","NO PROG.")))))</f>
        <v>CRÍTICO</v>
      </c>
      <c r="AI235" s="118">
        <v>10</v>
      </c>
      <c r="AJ235" s="119">
        <v>0</v>
      </c>
      <c r="AK235" s="96">
        <f>IFERROR((TABLA_AVANCE_INDICADORES[[#This Row],[AVANCE 4°. TRIM]]/TABLA_AVANCE_INDICADORES[[#This Row],[PROGR. 4° TRIM]])*100,"0")</f>
        <v>0</v>
      </c>
      <c r="AL235" s="97" t="str">
        <f>IF(AND(TABLA_AVANCE_INDICADORES[[#This Row],[% AVANCE 4o. TRIM]]&gt;=0,TABLA_AVANCE_INDICADORES[[#This Row],[% AVANCE 4o. TRIM]]&lt;=49.9999999999999),"CRÍTICO",IF(AND(TABLA_AVANCE_INDICADORES[[#This Row],[% AVANCE 4o. TRIM]]&gt;=50,TABLA_AVANCE_INDICADORES[[#This Row],[% AVANCE 4o. TRIM]]&lt;=69.9999999999999),"DEFICIENTE",IF(AND(TABLA_AVANCE_INDICADORES[[#This Row],[% AVANCE 4o. TRIM]]&gt;=70,TABLA_AVANCE_INDICADORES[[#This Row],[% AVANCE 4o. TRIM]]&lt;=89.9999999999999),"REGULAQ",IF(AND(TABLA_AVANCE_INDICADORES[[#This Row],[% AVANCE 4o. TRIM]]&gt;=90,TABLA_AVANCE_INDICADORES[[#This Row],[% AVANCE 4o. TRIM]]&lt;=110.999999999999),"ADECUADO",IF(AND(TABLA_AVANCE_INDICADORES[[#This Row],[% AVANCE 4o. TRIM]]&gt;=111,TABLA_AVANCE_INDICADORES[[#This Row],[% AVANCE 4o. TRIM]]&lt;=999999),"SOBREPASADO","NO PROG.")))))</f>
        <v>CRÍTICO</v>
      </c>
      <c r="AM235" s="43">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TRIM]])))),IF(AM$2="RESULTADO ACUMULADO AL 1° TRIMESTRE",TABLA_AVANCE_INDICADORES[[#This Row],[PROGR. 1° TRIM]],IF(AM$2="RESULTADO ACUMULADO AL 2° TRIMESTRE",TABLA_AVANCE_INDICADORES[[#This Row],[PROGR. 1° TRIM]]+TABLA_AVANCE_INDICADORES[[#This Row],[PROGR. 2° TRIM]],IF(AM$2="RESULTADO ACUMULADO AL 3° TRIMESTRE",TABLA_AVANCE_INDICADORES[[#This Row],[PROGR. 1° TRIM]]+TABLA_AVANCE_INDICADORES[[#This Row],[PROGR. 2° TRIM]]+TABLA_AVANCE_INDICADORES[[#This Row],[PROGR. 3° TRIM]],IF(AM$2="RESULTADO ACUMULADO AL 4° TRIMESTRE",TABLA_AVANCE_INDICADORES[[#This Row],[PROGR. 1° TRIM]]+TABLA_AVANCE_INDICADORES[[#This Row],[PROGR. 2° TRIM]]+TABLA_AVANCE_INDICADORES[[#This Row],[PROGR. 3° TRIM]]+TABLA_AVANCE_INDICADORES[[#This Row],[PROGR. 4° TRIM]])))))</f>
        <v>20</v>
      </c>
      <c r="AN235" s="147">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9</v>
      </c>
      <c r="AO235" s="40">
        <f>IFERROR((TABLA_AVANCE_INDICADORES[[#This Row],[AVANCE ACUM. TRIM.]]/TABLA_AVANCE_INDICADORES[[#This Row],[PROG. ACUM]])*100,"N/A")</f>
        <v>45</v>
      </c>
      <c r="AP235" s="39" t="str">
        <f>IF(AND(TABLA_AVANCE_INDICADORES[[#This Row],[% ACUMULADO SEM.]]&gt;=0,TABLA_AVANCE_INDICADORES[[#This Row],[% ACUMULADO SEM.]]&lt;=49.9999999999999),"CRÍTICO",IF(AND(TABLA_AVANCE_INDICADORES[[#This Row],[% ACUMULADO SEM.]]&gt;=50,TABLA_AVANCE_INDICADORES[[#This Row],[% ACUMULADO SEM.]]&lt;=69.9999999999999),"DEFICIENTE",IF(AND(TABLA_AVANCE_INDICADORES[[#This Row],[% ACUMULADO SEM.]]&gt;=70,TABLA_AVANCE_INDICADORES[[#This Row],[% ACUMULADO SEM.]]&lt;=89.9999999999999),"REGULAR",IF(AND(TABLA_AVANCE_INDICADORES[[#This Row],[% ACUMULADO SEM.]]&gt;=90,TABLA_AVANCE_INDICADORES[[#This Row],[% ACUMULADO SEM.]]&lt;=110.999999999999),"ADECUADO",IF(AND(TABLA_AVANCE_INDICADORES[[#This Row],[% ACUMULADO SEM.]]&gt;=111,TABLA_AVANCE_INDICADORES[[#This Row],[% ACUMULADO SEM.]]&lt;=999999),"SOBREPASADO","NO PROG.")))))</f>
        <v>CRÍTICO</v>
      </c>
      <c r="AQ235" s="121">
        <f>TABLA_AVANCE_INDICADORES[[#This Row],[AVANCE ACUM. TRIM.]]-TABLA_AVANCE_INDICADORES[[#This Row],[PROG. ACUM]]</f>
        <v>-11</v>
      </c>
      <c r="AR235" s="46">
        <f>IFERROR((TABLA_AVANCE_INDICADORES[[#This Row],[DIFERENCIA ABSOLUTA SEMESTRAL]]/TABLA_AVANCE_INDICADORES[[#This Row],[PROG. ACUM]])*100,"N/A")</f>
        <v>-55.000000000000007</v>
      </c>
      <c r="AS235" s="122">
        <f>IF(OR(TABLA_AVANCE_INDICADORES[[#This Row],[TIPO DE OPERACIÓN]]="Constante",AND(TABLA_AVANCE_INDICADORES[[#This Row],[TIPO DE OPERACIÓN]]="NO Sumable"),AND(TABLA_AVANCE_INDICADORES[[#This Row],[TIPO DE OPERACIÓN]]="Valor actual")),IF($AM$2="RESULTADO ACUMULADO AL 1° TRIMESTRE",TABLA_AVANCE_INDICADORES[[#This Row],[AVANCE 1°. TRIM]],IF($AM$2="RESULTADO ACUMULADO AL 2° TRIMESTRE",TABLA_AVANCE_INDICADORES[[#This Row],[AVANCE 2°. TRIM]],IF($AM$2="RESULTADO ACUMULADO AL 3° TRIMESTRE",TABLA_AVANCE_INDICADORES[[#This Row],[AVANCE 3°. TRIM]],IF($AM$2="RESULTADO ACUMULADO AL 4° TRIMESTRE",TABLA_AVANCE_INDICADORES[[#This Row],[AVANCE 4°. TRIM]])))),IF($AM$2="RESULTADO ACUMULADO AL 1° TRIMESTRE",TABLA_AVANCE_INDICADORES[[#This Row],[AVANCE 1°. TRIM]],IF($AM$2="RESULTADO ACUMULADO AL 2° TRIMESTRE",TABLA_AVANCE_INDICADORES[[#This Row],[AVANCE 1°. TRIM]]+TABLA_AVANCE_INDICADORES[[#This Row],[AVANCE 2°. TRIM]],IF($AM$2="RESULTADO ACUMULADO AL 3° TRIMESTRE",TABLA_AVANCE_INDICADORES[[#This Row],[AVANCE 1°. TRIM]]+TABLA_AVANCE_INDICADORES[[#This Row],[AVANCE 2°. TRIM]]+TABLA_AVANCE_INDICADORES[[#This Row],[AVANCE 3°. TRIM]],IF($AM$2="RESULTADO ACUMULADO AL 4° TRIMESTRE",TABLA_AVANCE_INDICADORES[[#This Row],[AVANCE 1°. TRIM]]+TABLA_AVANCE_INDICADORES[[#This Row],[AVANCE 2°. TRIM]]+TABLA_AVANCE_INDICADORES[[#This Row],[AVANCE 3°. TRIM]]+TABLA_AVANCE_INDICADORES[[#This Row],[AVANCE 4°. TRIM]])))))</f>
        <v>9</v>
      </c>
      <c r="AT235" s="40">
        <f>IFERROR((TABLA_AVANCE_INDICADORES[[#This Row],[AVANCE ACUM. ANUAL]]/TABLA_AVANCE_INDICADORES[[#This Row],[PROGRAMADO ANUAL]])*100,"N/A")</f>
        <v>22.5</v>
      </c>
      <c r="AU235" s="39" t="str">
        <f>IF(AND(TABLA_AVANCE_INDICADORES[[#This Row],[% ACUMULADO ANUAL]]&gt;=0,TABLA_AVANCE_INDICADORES[[#This Row],[% ACUMULADO ANUAL]]&lt;=49.9999999999999),"CRÍTICO",IF(AND(TABLA_AVANCE_INDICADORES[[#This Row],[% ACUMULADO ANUAL]]&gt;=50,TABLA_AVANCE_INDICADORES[[#This Row],[% ACUMULADO ANUAL]]&lt;=69.9999999999999),"DEFICIENTE",IF(AND(TABLA_AVANCE_INDICADORES[[#This Row],[% ACUMULADO ANUAL]]&gt;=70,TABLA_AVANCE_INDICADORES[[#This Row],[% ACUMULADO ANUAL]]&lt;=89.9999999999999),"REGULAR",IF(AND(TABLA_AVANCE_INDICADORES[[#This Row],[% ACUMULADO ANUAL]]&gt;=90,TABLA_AVANCE_INDICADORES[[#This Row],[% ACUMULADO ANUAL]]&lt;=110.999999999999),"ADECUADO",IF(AND(TABLA_AVANCE_INDICADORES[[#This Row],[% ACUMULADO ANUAL]]&gt;=111,TABLA_AVANCE_INDICADORES[[#This Row],[% ACUMULADO ANUAL]]&lt;=999999),"SOBREPASADO","NO PROG.")))))</f>
        <v>CRÍTICO</v>
      </c>
      <c r="AV235" s="121">
        <f>TABLA_AVANCE_INDICADORES[[#This Row],[AVANCE ACUM. ANUAL]]-TABLA_AVANCE_INDICADORES[[#This Row],[PROGRAMADO ANUAL]]</f>
        <v>-31</v>
      </c>
      <c r="AW235" s="46">
        <f>IFERROR((TABLA_AVANCE_INDICADORES[[#This Row],[DIFERENCIA ABSOLUTA ANUAL]]/TABLA_AVANCE_INDICADORES[[#This Row],[PROGRAMADO ANUAL]])*100,"N/A")</f>
        <v>-77.5</v>
      </c>
      <c r="AX235" s="148" t="s">
        <v>104</v>
      </c>
      <c r="AY235" s="100" t="s">
        <v>1506</v>
      </c>
      <c r="AZ235" s="100"/>
      <c r="BA235" s="100"/>
      <c r="BB235" s="124" t="str">
        <f>IF(OR(TABLA_AVANCE_INDICADORES[[#This Row],[TIPO DE OPERACIÓN]]="Constante",AND(TABLA_AVANCE_INDICADORES[[#This Row],[TIPO DE OPERACIÓN]]="NO Sumable"),AND(TABLA_AVANCE_INDICADORES[[#This Row],[TIPO DE OPERACIÓN]]="Valor actual")),IF(AM$2="RESULTADO ACUMULADO AL 1° TRIMESTRE",TABLA_AVANCE_INDICADORES[[#This Row],[PROGR. 1° TRIM]],IF(AM$2="RESULTADO ACUMULADO AL 2° TRIMESTRE",TABLA_AVANCE_INDICADORES[[#This Row],[PROGR. 2° TRIM]],IF(AM$2="RESULTADO ACUMULADO AL 3° TRIMESTRE",TABLA_AVANCE_INDICADORES[[#This Row],[PROGR. 3° TRIM]],IF(AM$2="RESULTADO ACUMULADO AL 4° TRIMESTRE",TABLA_AVANCE_INDICADORES[[#This Row],[PROGR. 4° TRIM]])))),IF(TABLA_AVANCE_INDICADORES[[#This Row],[PROGRAMADO ANUAL]]=TABLA_AVANCE_INDICADORES[[#This Row],[PROGR. 1° TRIM]]+TABLA_AVANCE_INDICADORES[[#This Row],[PROGR. 2° TRIM]]+TABLA_AVANCE_INDICADORES[[#This Row],[PROGR. 3° TRIM]]+TABLA_AVANCE_INDICADORES[[#This Row],[PROGR. 4° TRIM]],"CORRECTO","ERROR"))</f>
        <v>CORRECTO</v>
      </c>
    </row>
  </sheetData>
  <sheetProtection formatCells="0" formatColumns="0" formatRows="0" autoFilter="0"/>
  <mergeCells count="8">
    <mergeCell ref="A1:BA1"/>
    <mergeCell ref="W2:Z2"/>
    <mergeCell ref="AA2:AD2"/>
    <mergeCell ref="AE2:AH2"/>
    <mergeCell ref="AI2:AL2"/>
    <mergeCell ref="AM2:AR2"/>
    <mergeCell ref="AS2:AW2"/>
    <mergeCell ref="AX2:BA2"/>
  </mergeCells>
  <conditionalFormatting sqref="Y4:Y235 AC4:AC235 AG4:AG235 AK4:AK235 AO4:AO235 AT4:AT235">
    <cfRule type="cellIs" dxfId="61" priority="1" operator="between">
      <formula>111</formula>
      <formula>9999999999</formula>
    </cfRule>
    <cfRule type="cellIs" dxfId="60" priority="2" operator="between">
      <formula>90</formula>
      <formula>110.999999999999</formula>
    </cfRule>
    <cfRule type="cellIs" dxfId="59" priority="3" operator="between">
      <formula>70</formula>
      <formula>89.9999999999999</formula>
    </cfRule>
    <cfRule type="cellIs" dxfId="58" priority="4" operator="between">
      <formula>50</formula>
      <formula>69.9999999999999</formula>
    </cfRule>
    <cfRule type="cellIs" dxfId="57" priority="5" operator="between">
      <formula>0</formula>
      <formula>49.9999999999999</formula>
    </cfRule>
  </conditionalFormatting>
  <printOptions horizontalCentered="1"/>
  <pageMargins left="0.23622047244094491" right="0.82677165354330717" top="0.74803149606299213" bottom="0.74803149606299213" header="0.31496062992125984" footer="0.31496062992125984"/>
  <pageSetup paperSize="5" scale="14" fitToHeight="0" orientation="landscape" r:id="rId1"/>
  <drawing r:id="rId2"/>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438D76-6344-430E-8668-385C80D0139B}">
  <sheetPr codeName="Hoja19">
    <tabColor rgb="FF92D050"/>
  </sheetPr>
  <dimension ref="A1:M76"/>
  <sheetViews>
    <sheetView workbookViewId="0">
      <selection activeCell="M21" sqref="M21"/>
    </sheetView>
  </sheetViews>
  <sheetFormatPr baseColWidth="10" defaultRowHeight="12.75" x14ac:dyDescent="0.2"/>
  <cols>
    <col min="1" max="1" width="5.140625" bestFit="1" customWidth="1"/>
    <col min="13" max="13" width="20.42578125" bestFit="1" customWidth="1"/>
  </cols>
  <sheetData>
    <row r="1" spans="1:11" x14ac:dyDescent="0.2">
      <c r="A1" t="s">
        <v>1528</v>
      </c>
      <c r="B1" t="s">
        <v>1529</v>
      </c>
      <c r="C1" t="s">
        <v>62</v>
      </c>
      <c r="D1" t="s">
        <v>1530</v>
      </c>
      <c r="E1" t="s">
        <v>1531</v>
      </c>
      <c r="F1" t="s">
        <v>1532</v>
      </c>
      <c r="G1" t="s">
        <v>1533</v>
      </c>
      <c r="H1" t="s">
        <v>1534</v>
      </c>
      <c r="I1" t="s">
        <v>1535</v>
      </c>
      <c r="J1" t="s">
        <v>1536</v>
      </c>
      <c r="K1" t="s">
        <v>714</v>
      </c>
    </row>
    <row r="2" spans="1:11" x14ac:dyDescent="0.2">
      <c r="A2" s="150" t="s">
        <v>629</v>
      </c>
      <c r="B2" t="s">
        <v>629</v>
      </c>
      <c r="C2">
        <v>1</v>
      </c>
      <c r="F2">
        <v>2</v>
      </c>
      <c r="H2" s="151">
        <f t="shared" ref="H2:H65" si="0">(J2/I2)*10</f>
        <v>0</v>
      </c>
      <c r="I2">
        <f t="shared" ref="I2:I65" si="1">SUM(C2:G2)</f>
        <v>3</v>
      </c>
      <c r="J2">
        <f>N11</f>
        <v>0</v>
      </c>
      <c r="K2" t="str">
        <f t="shared" ref="K2:K65" si="2">IF(AND(H2&gt;=0,H2&lt;=49.9999999999999),"CRÍTICO",IF(AND(H2&gt;=50,H2&lt;=69.9999999999999),"DEFICIENTE",IF(AND(H2&gt;=70,H2&lt;=89.9999999999999),"REGULAR",IF(AND(H2&gt;=90,H2&lt;=110.999999999999),"ADECUADO",IF(AND(H2&gt;=111,H2&lt;=999999999),"SOBREPASADO","NO PROG.")))))</f>
        <v>CRÍTICO</v>
      </c>
    </row>
    <row r="3" spans="1:11" x14ac:dyDescent="0.2">
      <c r="A3" s="150" t="s">
        <v>446</v>
      </c>
      <c r="B3" t="s">
        <v>464</v>
      </c>
      <c r="F3">
        <v>4</v>
      </c>
      <c r="G3">
        <v>1</v>
      </c>
      <c r="H3" s="151">
        <f t="shared" si="0"/>
        <v>88</v>
      </c>
      <c r="I3">
        <f t="shared" si="1"/>
        <v>5</v>
      </c>
      <c r="J3">
        <f t="shared" ref="J3:J10" si="3">C3*4+D3*6+E3*8+F3*10+G3*4</f>
        <v>44</v>
      </c>
      <c r="K3" t="str">
        <f t="shared" si="2"/>
        <v>REGULAR</v>
      </c>
    </row>
    <row r="4" spans="1:11" x14ac:dyDescent="0.2">
      <c r="A4" s="150" t="s">
        <v>215</v>
      </c>
      <c r="B4" t="s">
        <v>308</v>
      </c>
      <c r="F4">
        <v>4</v>
      </c>
      <c r="H4" s="151">
        <f t="shared" si="0"/>
        <v>100</v>
      </c>
      <c r="I4">
        <f t="shared" si="1"/>
        <v>4</v>
      </c>
      <c r="J4">
        <f t="shared" si="3"/>
        <v>40</v>
      </c>
      <c r="K4" t="str">
        <f t="shared" si="2"/>
        <v>ADECUADO</v>
      </c>
    </row>
    <row r="5" spans="1:11" x14ac:dyDescent="0.2">
      <c r="A5" s="150" t="s">
        <v>446</v>
      </c>
      <c r="B5" t="s">
        <v>516</v>
      </c>
      <c r="F5">
        <v>3</v>
      </c>
      <c r="H5" s="151">
        <f t="shared" si="0"/>
        <v>100</v>
      </c>
      <c r="I5">
        <f t="shared" si="1"/>
        <v>3</v>
      </c>
      <c r="J5">
        <f t="shared" si="3"/>
        <v>30</v>
      </c>
      <c r="K5" t="str">
        <f t="shared" si="2"/>
        <v>ADECUADO</v>
      </c>
    </row>
    <row r="6" spans="1:11" x14ac:dyDescent="0.2">
      <c r="A6" s="150" t="s">
        <v>446</v>
      </c>
      <c r="B6" t="s">
        <v>525</v>
      </c>
      <c r="F6">
        <v>4</v>
      </c>
      <c r="H6" s="151">
        <f t="shared" si="0"/>
        <v>100</v>
      </c>
      <c r="I6">
        <f t="shared" si="1"/>
        <v>4</v>
      </c>
      <c r="J6">
        <f t="shared" si="3"/>
        <v>40</v>
      </c>
      <c r="K6" t="str">
        <f t="shared" si="2"/>
        <v>ADECUADO</v>
      </c>
    </row>
    <row r="7" spans="1:11" x14ac:dyDescent="0.2">
      <c r="A7" s="150" t="s">
        <v>368</v>
      </c>
      <c r="B7" t="s">
        <v>366</v>
      </c>
      <c r="F7">
        <v>2</v>
      </c>
      <c r="H7" s="151">
        <f t="shared" si="0"/>
        <v>100</v>
      </c>
      <c r="I7">
        <f t="shared" si="1"/>
        <v>2</v>
      </c>
      <c r="J7">
        <f t="shared" si="3"/>
        <v>20</v>
      </c>
      <c r="K7" t="str">
        <f t="shared" si="2"/>
        <v>ADECUADO</v>
      </c>
    </row>
    <row r="8" spans="1:11" x14ac:dyDescent="0.2">
      <c r="A8" s="150" t="s">
        <v>629</v>
      </c>
      <c r="B8" t="s">
        <v>642</v>
      </c>
      <c r="C8">
        <v>1</v>
      </c>
      <c r="F8">
        <v>7</v>
      </c>
      <c r="H8" s="151">
        <f t="shared" si="0"/>
        <v>92.5</v>
      </c>
      <c r="I8">
        <f t="shared" si="1"/>
        <v>8</v>
      </c>
      <c r="J8">
        <f t="shared" si="3"/>
        <v>74</v>
      </c>
      <c r="K8" t="str">
        <f t="shared" si="2"/>
        <v>ADECUADO</v>
      </c>
    </row>
    <row r="9" spans="1:11" x14ac:dyDescent="0.2">
      <c r="A9" s="150" t="s">
        <v>215</v>
      </c>
      <c r="B9" t="s">
        <v>276</v>
      </c>
      <c r="F9">
        <v>4</v>
      </c>
      <c r="H9" s="151">
        <f t="shared" si="0"/>
        <v>100</v>
      </c>
      <c r="I9">
        <f t="shared" si="1"/>
        <v>4</v>
      </c>
      <c r="J9">
        <f t="shared" si="3"/>
        <v>40</v>
      </c>
      <c r="K9" t="str">
        <f t="shared" si="2"/>
        <v>ADECUADO</v>
      </c>
    </row>
    <row r="10" spans="1:11" x14ac:dyDescent="0.2">
      <c r="A10" s="150" t="s">
        <v>446</v>
      </c>
      <c r="B10" t="s">
        <v>556</v>
      </c>
      <c r="F10">
        <v>3</v>
      </c>
      <c r="H10" s="151">
        <f t="shared" si="0"/>
        <v>100</v>
      </c>
      <c r="I10">
        <f t="shared" si="1"/>
        <v>3</v>
      </c>
      <c r="J10">
        <f>C10*4+D10*6+E10*8+F10*10+G10*6</f>
        <v>30</v>
      </c>
      <c r="K10" t="str">
        <f t="shared" si="2"/>
        <v>ADECUADO</v>
      </c>
    </row>
    <row r="11" spans="1:11" x14ac:dyDescent="0.2">
      <c r="A11" s="150" t="s">
        <v>215</v>
      </c>
      <c r="B11" t="s">
        <v>354</v>
      </c>
      <c r="F11">
        <v>2</v>
      </c>
      <c r="H11" s="151">
        <f t="shared" si="0"/>
        <v>100</v>
      </c>
      <c r="I11">
        <f t="shared" si="1"/>
        <v>2</v>
      </c>
      <c r="J11">
        <f t="shared" ref="J11:J67" si="4">C11*4+D11*6+E11*8+F11*10+G11*4</f>
        <v>20</v>
      </c>
      <c r="K11" t="str">
        <f t="shared" si="2"/>
        <v>ADECUADO</v>
      </c>
    </row>
    <row r="12" spans="1:11" x14ac:dyDescent="0.2">
      <c r="A12" s="150" t="s">
        <v>76</v>
      </c>
      <c r="B12" t="s">
        <v>136</v>
      </c>
      <c r="F12">
        <v>4</v>
      </c>
      <c r="H12" s="151">
        <f t="shared" si="0"/>
        <v>100</v>
      </c>
      <c r="I12">
        <f t="shared" si="1"/>
        <v>4</v>
      </c>
      <c r="J12">
        <f t="shared" si="4"/>
        <v>40</v>
      </c>
      <c r="K12" t="str">
        <f t="shared" si="2"/>
        <v>ADECUADO</v>
      </c>
    </row>
    <row r="13" spans="1:11" x14ac:dyDescent="0.2">
      <c r="A13" s="150" t="s">
        <v>215</v>
      </c>
      <c r="B13" t="s">
        <v>344</v>
      </c>
      <c r="F13">
        <v>1</v>
      </c>
      <c r="H13" s="151">
        <f t="shared" si="0"/>
        <v>100</v>
      </c>
      <c r="I13">
        <f t="shared" si="1"/>
        <v>1</v>
      </c>
      <c r="J13">
        <f t="shared" si="4"/>
        <v>10</v>
      </c>
      <c r="K13" t="str">
        <f t="shared" si="2"/>
        <v>ADECUADO</v>
      </c>
    </row>
    <row r="14" spans="1:11" x14ac:dyDescent="0.2">
      <c r="A14" s="150" t="s">
        <v>446</v>
      </c>
      <c r="B14" t="s">
        <v>566</v>
      </c>
      <c r="E14">
        <v>1</v>
      </c>
      <c r="F14">
        <v>2</v>
      </c>
      <c r="H14" s="151">
        <f t="shared" si="0"/>
        <v>93.333333333333343</v>
      </c>
      <c r="I14">
        <f t="shared" si="1"/>
        <v>3</v>
      </c>
      <c r="J14">
        <f t="shared" si="4"/>
        <v>28</v>
      </c>
      <c r="K14" t="str">
        <f t="shared" si="2"/>
        <v>ADECUADO</v>
      </c>
    </row>
    <row r="15" spans="1:11" x14ac:dyDescent="0.2">
      <c r="A15" s="150" t="s">
        <v>368</v>
      </c>
      <c r="B15" t="s">
        <v>431</v>
      </c>
      <c r="F15">
        <v>3</v>
      </c>
      <c r="H15" s="151">
        <f t="shared" si="0"/>
        <v>100</v>
      </c>
      <c r="I15">
        <f t="shared" si="1"/>
        <v>3</v>
      </c>
      <c r="J15">
        <f t="shared" si="4"/>
        <v>30</v>
      </c>
      <c r="K15" t="str">
        <f t="shared" si="2"/>
        <v>ADECUADO</v>
      </c>
    </row>
    <row r="16" spans="1:11" x14ac:dyDescent="0.2">
      <c r="A16" s="150" t="s">
        <v>446</v>
      </c>
      <c r="B16" t="s">
        <v>476</v>
      </c>
      <c r="F16">
        <v>1</v>
      </c>
      <c r="G16">
        <v>2</v>
      </c>
      <c r="H16" s="151">
        <f t="shared" si="0"/>
        <v>60</v>
      </c>
      <c r="I16">
        <f t="shared" si="1"/>
        <v>3</v>
      </c>
      <c r="J16">
        <f t="shared" si="4"/>
        <v>18</v>
      </c>
      <c r="K16" t="str">
        <f t="shared" si="2"/>
        <v>DEFICIENTE</v>
      </c>
    </row>
    <row r="17" spans="1:13" x14ac:dyDescent="0.2">
      <c r="A17" s="150" t="s">
        <v>446</v>
      </c>
      <c r="B17" t="s">
        <v>575</v>
      </c>
      <c r="F17">
        <v>5</v>
      </c>
      <c r="G17">
        <v>3</v>
      </c>
      <c r="H17" s="151">
        <f t="shared" si="0"/>
        <v>77.5</v>
      </c>
      <c r="I17">
        <f t="shared" si="1"/>
        <v>8</v>
      </c>
      <c r="J17">
        <f t="shared" si="4"/>
        <v>62</v>
      </c>
      <c r="K17" t="str">
        <f t="shared" si="2"/>
        <v>REGULAR</v>
      </c>
    </row>
    <row r="18" spans="1:13" x14ac:dyDescent="0.2">
      <c r="A18" s="150" t="s">
        <v>368</v>
      </c>
      <c r="B18" t="s">
        <v>409</v>
      </c>
      <c r="C18">
        <v>1</v>
      </c>
      <c r="E18">
        <v>1</v>
      </c>
      <c r="F18">
        <v>2</v>
      </c>
      <c r="G18">
        <v>1</v>
      </c>
      <c r="H18" s="151">
        <f t="shared" si="0"/>
        <v>72</v>
      </c>
      <c r="I18">
        <f t="shared" si="1"/>
        <v>5</v>
      </c>
      <c r="J18">
        <f t="shared" si="4"/>
        <v>36</v>
      </c>
      <c r="K18" t="str">
        <f t="shared" si="2"/>
        <v>REGULAR</v>
      </c>
    </row>
    <row r="19" spans="1:13" x14ac:dyDescent="0.2">
      <c r="A19" s="150" t="s">
        <v>446</v>
      </c>
      <c r="B19" t="s">
        <v>444</v>
      </c>
      <c r="F19">
        <v>7</v>
      </c>
      <c r="G19">
        <v>1</v>
      </c>
      <c r="H19" s="151">
        <f t="shared" si="0"/>
        <v>92.5</v>
      </c>
      <c r="I19">
        <f t="shared" si="1"/>
        <v>8</v>
      </c>
      <c r="J19">
        <f t="shared" si="4"/>
        <v>74</v>
      </c>
      <c r="K19" t="str">
        <f t="shared" si="2"/>
        <v>ADECUADO</v>
      </c>
    </row>
    <row r="20" spans="1:13" x14ac:dyDescent="0.2">
      <c r="A20" s="150" t="s">
        <v>368</v>
      </c>
      <c r="B20" t="s">
        <v>400</v>
      </c>
      <c r="F20">
        <v>3</v>
      </c>
      <c r="H20" s="151">
        <f t="shared" si="0"/>
        <v>100</v>
      </c>
      <c r="I20">
        <f t="shared" si="1"/>
        <v>3</v>
      </c>
      <c r="J20">
        <f t="shared" si="4"/>
        <v>30</v>
      </c>
      <c r="K20" t="str">
        <f t="shared" si="2"/>
        <v>ADECUADO</v>
      </c>
    </row>
    <row r="21" spans="1:13" x14ac:dyDescent="0.2">
      <c r="A21" s="150" t="s">
        <v>629</v>
      </c>
      <c r="B21" t="s">
        <v>661</v>
      </c>
      <c r="F21">
        <v>7</v>
      </c>
      <c r="H21" s="151">
        <f t="shared" si="0"/>
        <v>100</v>
      </c>
      <c r="I21">
        <f t="shared" si="1"/>
        <v>7</v>
      </c>
      <c r="J21">
        <f t="shared" si="4"/>
        <v>70</v>
      </c>
      <c r="K21" t="str">
        <f t="shared" si="2"/>
        <v>ADECUADO</v>
      </c>
    </row>
    <row r="22" spans="1:13" x14ac:dyDescent="0.2">
      <c r="A22" s="150" t="s">
        <v>368</v>
      </c>
      <c r="B22" t="s">
        <v>423</v>
      </c>
      <c r="G22">
        <v>1</v>
      </c>
      <c r="H22" s="151">
        <f t="shared" si="0"/>
        <v>40</v>
      </c>
      <c r="I22">
        <f t="shared" si="1"/>
        <v>1</v>
      </c>
      <c r="J22">
        <f t="shared" si="4"/>
        <v>4</v>
      </c>
      <c r="K22" t="str">
        <f t="shared" si="2"/>
        <v>CRÍTICO</v>
      </c>
    </row>
    <row r="23" spans="1:13" x14ac:dyDescent="0.2">
      <c r="A23" s="150" t="s">
        <v>368</v>
      </c>
      <c r="B23" t="s">
        <v>387</v>
      </c>
      <c r="C23">
        <v>2</v>
      </c>
      <c r="F23">
        <v>3</v>
      </c>
      <c r="H23" s="151">
        <f t="shared" si="0"/>
        <v>76</v>
      </c>
      <c r="I23">
        <f t="shared" si="1"/>
        <v>5</v>
      </c>
      <c r="J23">
        <f t="shared" si="4"/>
        <v>38</v>
      </c>
      <c r="K23" t="str">
        <f t="shared" si="2"/>
        <v>REGULAR</v>
      </c>
    </row>
    <row r="24" spans="1:13" x14ac:dyDescent="0.2">
      <c r="A24" s="150" t="s">
        <v>215</v>
      </c>
      <c r="B24" t="s">
        <v>213</v>
      </c>
      <c r="E24">
        <v>1</v>
      </c>
      <c r="F24">
        <v>13</v>
      </c>
      <c r="H24" s="151">
        <f t="shared" si="0"/>
        <v>98.571428571428584</v>
      </c>
      <c r="I24">
        <f t="shared" si="1"/>
        <v>14</v>
      </c>
      <c r="J24">
        <f t="shared" si="4"/>
        <v>138</v>
      </c>
      <c r="K24" t="str">
        <f t="shared" si="2"/>
        <v>ADECUADO</v>
      </c>
    </row>
    <row r="25" spans="1:13" x14ac:dyDescent="0.2">
      <c r="A25" s="150" t="s">
        <v>215</v>
      </c>
      <c r="B25" t="s">
        <v>242</v>
      </c>
      <c r="G25">
        <v>3</v>
      </c>
      <c r="H25" s="151">
        <f t="shared" si="0"/>
        <v>40</v>
      </c>
      <c r="I25">
        <f t="shared" si="1"/>
        <v>3</v>
      </c>
      <c r="J25">
        <f t="shared" si="4"/>
        <v>12</v>
      </c>
      <c r="K25" t="str">
        <f t="shared" si="2"/>
        <v>CRÍTICO</v>
      </c>
    </row>
    <row r="26" spans="1:13" x14ac:dyDescent="0.2">
      <c r="A26" s="150" t="s">
        <v>215</v>
      </c>
      <c r="B26" t="s">
        <v>224</v>
      </c>
      <c r="C26">
        <v>3</v>
      </c>
      <c r="H26" s="151">
        <f t="shared" si="0"/>
        <v>40</v>
      </c>
      <c r="I26">
        <f t="shared" si="1"/>
        <v>3</v>
      </c>
      <c r="J26">
        <f t="shared" si="4"/>
        <v>12</v>
      </c>
      <c r="K26" t="str">
        <f t="shared" si="2"/>
        <v>CRÍTICO</v>
      </c>
    </row>
    <row r="27" spans="1:13" x14ac:dyDescent="0.2">
      <c r="A27" s="150" t="s">
        <v>76</v>
      </c>
      <c r="B27" t="s">
        <v>158</v>
      </c>
      <c r="F27">
        <v>2</v>
      </c>
      <c r="H27" s="151">
        <f t="shared" si="0"/>
        <v>100</v>
      </c>
      <c r="I27">
        <f t="shared" si="1"/>
        <v>2</v>
      </c>
      <c r="J27">
        <f t="shared" si="4"/>
        <v>20</v>
      </c>
      <c r="K27" t="str">
        <f t="shared" si="2"/>
        <v>ADECUADO</v>
      </c>
    </row>
    <row r="28" spans="1:13" x14ac:dyDescent="0.2">
      <c r="A28" s="150" t="s">
        <v>215</v>
      </c>
      <c r="B28" t="s">
        <v>320</v>
      </c>
      <c r="F28">
        <v>4</v>
      </c>
      <c r="H28" s="151">
        <f t="shared" si="0"/>
        <v>100</v>
      </c>
      <c r="I28">
        <f t="shared" si="1"/>
        <v>4</v>
      </c>
      <c r="J28">
        <f t="shared" si="4"/>
        <v>40</v>
      </c>
      <c r="K28" t="str">
        <f t="shared" si="2"/>
        <v>ADECUADO</v>
      </c>
    </row>
    <row r="29" spans="1:13" x14ac:dyDescent="0.2">
      <c r="A29" s="150" t="s">
        <v>446</v>
      </c>
      <c r="B29" t="s">
        <v>494</v>
      </c>
      <c r="C29">
        <v>3</v>
      </c>
      <c r="F29">
        <v>4</v>
      </c>
      <c r="G29">
        <v>1</v>
      </c>
      <c r="H29" s="151">
        <f t="shared" si="0"/>
        <v>70</v>
      </c>
      <c r="I29">
        <f t="shared" si="1"/>
        <v>8</v>
      </c>
      <c r="J29">
        <f t="shared" si="4"/>
        <v>56</v>
      </c>
      <c r="K29" t="str">
        <f t="shared" si="2"/>
        <v>REGULAR</v>
      </c>
    </row>
    <row r="30" spans="1:13" x14ac:dyDescent="0.2">
      <c r="A30" s="150" t="s">
        <v>51</v>
      </c>
      <c r="B30" t="s">
        <v>88</v>
      </c>
      <c r="D30">
        <v>1</v>
      </c>
      <c r="F30">
        <v>3</v>
      </c>
      <c r="H30" s="151">
        <f>(J30/I30)*10</f>
        <v>90</v>
      </c>
      <c r="I30">
        <f t="shared" si="1"/>
        <v>4</v>
      </c>
      <c r="J30">
        <f>C30*4+D30*6+E30*8+F30*10+G30*4</f>
        <v>36</v>
      </c>
      <c r="K30" t="str">
        <f t="shared" si="2"/>
        <v>ADECUADO</v>
      </c>
      <c r="M30" s="151">
        <f>((J30+J34)/(I30+I34))*10</f>
        <v>88.888888888888886</v>
      </c>
    </row>
    <row r="31" spans="1:13" x14ac:dyDescent="0.2">
      <c r="A31" s="150" t="s">
        <v>629</v>
      </c>
      <c r="B31" t="s">
        <v>680</v>
      </c>
      <c r="E31">
        <v>1</v>
      </c>
      <c r="F31">
        <v>3</v>
      </c>
      <c r="H31" s="151">
        <f t="shared" si="0"/>
        <v>95</v>
      </c>
      <c r="I31">
        <f t="shared" si="1"/>
        <v>4</v>
      </c>
      <c r="J31">
        <f t="shared" si="4"/>
        <v>38</v>
      </c>
      <c r="K31" t="str">
        <f t="shared" si="2"/>
        <v>ADECUADO</v>
      </c>
    </row>
    <row r="32" spans="1:13" x14ac:dyDescent="0.2">
      <c r="A32" s="150" t="s">
        <v>215</v>
      </c>
      <c r="B32" t="s">
        <v>215</v>
      </c>
      <c r="F32">
        <v>3</v>
      </c>
      <c r="H32" s="151">
        <f t="shared" si="0"/>
        <v>100</v>
      </c>
      <c r="I32">
        <f t="shared" si="1"/>
        <v>3</v>
      </c>
      <c r="J32">
        <f t="shared" si="4"/>
        <v>30</v>
      </c>
      <c r="K32" t="str">
        <f t="shared" si="2"/>
        <v>ADECUADO</v>
      </c>
    </row>
    <row r="33" spans="1:13" x14ac:dyDescent="0.2">
      <c r="A33" s="150" t="s">
        <v>446</v>
      </c>
      <c r="B33" t="s">
        <v>446</v>
      </c>
      <c r="F33">
        <v>5</v>
      </c>
      <c r="H33" s="151">
        <f t="shared" si="0"/>
        <v>100</v>
      </c>
      <c r="I33">
        <f t="shared" si="1"/>
        <v>5</v>
      </c>
      <c r="J33">
        <f t="shared" si="4"/>
        <v>50</v>
      </c>
      <c r="K33" t="str">
        <f t="shared" si="2"/>
        <v>ADECUADO</v>
      </c>
    </row>
    <row r="34" spans="1:13" x14ac:dyDescent="0.2">
      <c r="A34" s="150" t="s">
        <v>51</v>
      </c>
      <c r="B34" t="s">
        <v>51</v>
      </c>
      <c r="F34">
        <v>4</v>
      </c>
      <c r="G34">
        <v>1</v>
      </c>
      <c r="H34" s="151">
        <f t="shared" si="0"/>
        <v>88</v>
      </c>
      <c r="I34">
        <f t="shared" si="1"/>
        <v>5</v>
      </c>
      <c r="J34">
        <f t="shared" si="4"/>
        <v>44</v>
      </c>
      <c r="K34" t="str">
        <f t="shared" si="2"/>
        <v>REGULAR</v>
      </c>
    </row>
    <row r="35" spans="1:13" x14ac:dyDescent="0.2">
      <c r="A35" s="150" t="s">
        <v>613</v>
      </c>
      <c r="B35" t="s">
        <v>611</v>
      </c>
      <c r="F35">
        <v>8</v>
      </c>
      <c r="H35" s="151">
        <f t="shared" si="0"/>
        <v>100</v>
      </c>
      <c r="I35">
        <f t="shared" si="1"/>
        <v>8</v>
      </c>
      <c r="J35">
        <f t="shared" si="4"/>
        <v>80</v>
      </c>
      <c r="K35" t="str">
        <f t="shared" si="2"/>
        <v>ADECUADO</v>
      </c>
    </row>
    <row r="36" spans="1:13" x14ac:dyDescent="0.2">
      <c r="A36" s="150" t="s">
        <v>76</v>
      </c>
      <c r="B36" t="s">
        <v>76</v>
      </c>
      <c r="F36">
        <v>2</v>
      </c>
      <c r="H36" s="151">
        <f t="shared" si="0"/>
        <v>100</v>
      </c>
      <c r="I36">
        <f t="shared" si="1"/>
        <v>2</v>
      </c>
      <c r="J36">
        <f t="shared" si="4"/>
        <v>20</v>
      </c>
      <c r="K36" t="str">
        <f t="shared" si="2"/>
        <v>ADECUADO</v>
      </c>
    </row>
    <row r="37" spans="1:13" x14ac:dyDescent="0.2">
      <c r="A37" s="150" t="s">
        <v>76</v>
      </c>
      <c r="B37" t="s">
        <v>152</v>
      </c>
      <c r="F37">
        <v>1</v>
      </c>
      <c r="H37" s="151">
        <f t="shared" si="0"/>
        <v>100</v>
      </c>
      <c r="I37">
        <f t="shared" si="1"/>
        <v>1</v>
      </c>
      <c r="J37">
        <f t="shared" si="4"/>
        <v>10</v>
      </c>
      <c r="K37" t="str">
        <f t="shared" si="2"/>
        <v>ADECUADO</v>
      </c>
    </row>
    <row r="38" spans="1:13" x14ac:dyDescent="0.2">
      <c r="A38" s="150" t="s">
        <v>76</v>
      </c>
      <c r="B38" t="s">
        <v>105</v>
      </c>
      <c r="F38">
        <v>11</v>
      </c>
      <c r="H38" s="151">
        <f t="shared" si="0"/>
        <v>100</v>
      </c>
      <c r="I38">
        <f t="shared" si="1"/>
        <v>11</v>
      </c>
      <c r="J38">
        <f t="shared" si="4"/>
        <v>110</v>
      </c>
      <c r="K38" t="str">
        <f t="shared" si="2"/>
        <v>ADECUADO</v>
      </c>
    </row>
    <row r="39" spans="1:13" x14ac:dyDescent="0.2">
      <c r="A39" s="150" t="s">
        <v>76</v>
      </c>
      <c r="B39" t="s">
        <v>196</v>
      </c>
      <c r="F39">
        <v>3</v>
      </c>
      <c r="H39" s="151">
        <f t="shared" si="0"/>
        <v>100</v>
      </c>
      <c r="I39">
        <f t="shared" si="1"/>
        <v>3</v>
      </c>
      <c r="J39">
        <f t="shared" si="4"/>
        <v>30</v>
      </c>
      <c r="K39" t="str">
        <f t="shared" si="2"/>
        <v>ADECUADO</v>
      </c>
    </row>
    <row r="40" spans="1:13" x14ac:dyDescent="0.2">
      <c r="A40" s="150" t="s">
        <v>446</v>
      </c>
      <c r="B40" t="s">
        <v>604</v>
      </c>
      <c r="F40">
        <v>6</v>
      </c>
      <c r="H40" s="151">
        <f t="shared" si="0"/>
        <v>100</v>
      </c>
      <c r="I40">
        <f t="shared" si="1"/>
        <v>6</v>
      </c>
      <c r="J40">
        <f t="shared" si="4"/>
        <v>60</v>
      </c>
      <c r="K40" t="str">
        <f t="shared" si="2"/>
        <v>ADECUADO</v>
      </c>
    </row>
    <row r="41" spans="1:13" x14ac:dyDescent="0.2">
      <c r="A41" s="150" t="s">
        <v>76</v>
      </c>
      <c r="B41" t="s">
        <v>132</v>
      </c>
      <c r="F41">
        <v>2</v>
      </c>
      <c r="H41" s="151">
        <f t="shared" si="0"/>
        <v>100</v>
      </c>
      <c r="I41">
        <f t="shared" si="1"/>
        <v>2</v>
      </c>
      <c r="J41">
        <f t="shared" si="4"/>
        <v>20</v>
      </c>
      <c r="K41" t="str">
        <f t="shared" si="2"/>
        <v>ADECUADO</v>
      </c>
    </row>
    <row r="42" spans="1:13" x14ac:dyDescent="0.2">
      <c r="A42" s="150" t="s">
        <v>446</v>
      </c>
      <c r="B42" t="s">
        <v>545</v>
      </c>
      <c r="F42">
        <v>3</v>
      </c>
      <c r="H42" s="151">
        <f t="shared" si="0"/>
        <v>100</v>
      </c>
      <c r="I42">
        <f t="shared" si="1"/>
        <v>3</v>
      </c>
      <c r="J42">
        <f t="shared" si="4"/>
        <v>30</v>
      </c>
      <c r="K42" t="str">
        <f t="shared" si="2"/>
        <v>ADECUADO</v>
      </c>
    </row>
    <row r="43" spans="1:13" x14ac:dyDescent="0.2">
      <c r="A43" s="150" t="s">
        <v>76</v>
      </c>
      <c r="B43" t="s">
        <v>74</v>
      </c>
      <c r="F43">
        <v>3</v>
      </c>
      <c r="H43" s="151">
        <f t="shared" si="0"/>
        <v>100</v>
      </c>
      <c r="I43">
        <f t="shared" si="1"/>
        <v>3</v>
      </c>
      <c r="J43">
        <f t="shared" si="4"/>
        <v>30</v>
      </c>
      <c r="K43" t="str">
        <f t="shared" si="2"/>
        <v>ADECUADO</v>
      </c>
    </row>
    <row r="44" spans="1:13" x14ac:dyDescent="0.2">
      <c r="A44" s="152" t="s">
        <v>629</v>
      </c>
      <c r="B44" t="s">
        <v>629</v>
      </c>
      <c r="F44">
        <v>4</v>
      </c>
      <c r="H44" s="151">
        <f t="shared" si="0"/>
        <v>100</v>
      </c>
      <c r="I44">
        <f t="shared" si="1"/>
        <v>4</v>
      </c>
      <c r="J44">
        <f t="shared" si="4"/>
        <v>40</v>
      </c>
      <c r="K44" t="str">
        <f t="shared" si="2"/>
        <v>ADECUADO</v>
      </c>
      <c r="M44">
        <f>(SUM(J2:J31)/SUM(I2:I31))*10</f>
        <v>86.25954198473282</v>
      </c>
    </row>
    <row r="45" spans="1:13" x14ac:dyDescent="0.2">
      <c r="A45" s="152" t="s">
        <v>446</v>
      </c>
      <c r="B45" t="s">
        <v>464</v>
      </c>
      <c r="F45">
        <v>2</v>
      </c>
      <c r="H45" s="151">
        <f t="shared" si="0"/>
        <v>100</v>
      </c>
      <c r="I45">
        <f t="shared" si="1"/>
        <v>2</v>
      </c>
      <c r="J45">
        <f t="shared" si="4"/>
        <v>20</v>
      </c>
      <c r="K45" t="str">
        <f t="shared" si="2"/>
        <v>ADECUADO</v>
      </c>
    </row>
    <row r="46" spans="1:13" x14ac:dyDescent="0.2">
      <c r="A46" s="152" t="s">
        <v>446</v>
      </c>
      <c r="B46" t="s">
        <v>516</v>
      </c>
      <c r="F46">
        <v>2</v>
      </c>
      <c r="H46" s="151">
        <f t="shared" si="0"/>
        <v>100</v>
      </c>
      <c r="I46">
        <f t="shared" si="1"/>
        <v>2</v>
      </c>
      <c r="J46">
        <f t="shared" si="4"/>
        <v>20</v>
      </c>
      <c r="K46" t="str">
        <f t="shared" si="2"/>
        <v>ADECUADO</v>
      </c>
    </row>
    <row r="47" spans="1:13" x14ac:dyDescent="0.2">
      <c r="A47" s="152" t="s">
        <v>629</v>
      </c>
      <c r="B47" t="s">
        <v>642</v>
      </c>
      <c r="F47">
        <v>3</v>
      </c>
      <c r="H47" s="151">
        <f t="shared" si="0"/>
        <v>100</v>
      </c>
      <c r="I47">
        <f t="shared" si="1"/>
        <v>3</v>
      </c>
      <c r="J47">
        <f t="shared" si="4"/>
        <v>30</v>
      </c>
      <c r="K47" t="str">
        <f t="shared" si="2"/>
        <v>ADECUADO</v>
      </c>
    </row>
    <row r="48" spans="1:13" x14ac:dyDescent="0.2">
      <c r="A48" s="152" t="s">
        <v>215</v>
      </c>
      <c r="B48" t="s">
        <v>276</v>
      </c>
      <c r="D48">
        <v>1</v>
      </c>
      <c r="F48">
        <v>1</v>
      </c>
      <c r="G48">
        <v>2</v>
      </c>
      <c r="H48" s="151">
        <f t="shared" si="0"/>
        <v>60</v>
      </c>
      <c r="I48">
        <f t="shared" si="1"/>
        <v>4</v>
      </c>
      <c r="J48">
        <f t="shared" si="4"/>
        <v>24</v>
      </c>
      <c r="K48" t="str">
        <f t="shared" si="2"/>
        <v>DEFICIENTE</v>
      </c>
    </row>
    <row r="49" spans="1:13" x14ac:dyDescent="0.2">
      <c r="A49" s="152" t="s">
        <v>446</v>
      </c>
      <c r="B49" t="s">
        <v>556</v>
      </c>
      <c r="F49">
        <v>2</v>
      </c>
      <c r="H49" s="151">
        <f t="shared" si="0"/>
        <v>100</v>
      </c>
      <c r="I49">
        <f t="shared" si="1"/>
        <v>2</v>
      </c>
      <c r="J49">
        <f t="shared" si="4"/>
        <v>20</v>
      </c>
      <c r="K49" t="str">
        <f t="shared" si="2"/>
        <v>ADECUADO</v>
      </c>
    </row>
    <row r="50" spans="1:13" x14ac:dyDescent="0.2">
      <c r="A50" s="152" t="s">
        <v>76</v>
      </c>
      <c r="B50" t="s">
        <v>136</v>
      </c>
      <c r="F50">
        <v>8</v>
      </c>
      <c r="H50" s="151">
        <f t="shared" si="0"/>
        <v>100</v>
      </c>
      <c r="I50">
        <f t="shared" si="1"/>
        <v>8</v>
      </c>
      <c r="J50">
        <f t="shared" si="4"/>
        <v>80</v>
      </c>
      <c r="K50" t="str">
        <f t="shared" si="2"/>
        <v>ADECUADO</v>
      </c>
    </row>
    <row r="51" spans="1:13" x14ac:dyDescent="0.2">
      <c r="A51" s="152" t="s">
        <v>446</v>
      </c>
      <c r="B51" t="s">
        <v>476</v>
      </c>
      <c r="E51">
        <v>1</v>
      </c>
      <c r="F51">
        <v>2</v>
      </c>
      <c r="G51">
        <v>1</v>
      </c>
      <c r="H51" s="151">
        <f t="shared" si="0"/>
        <v>80</v>
      </c>
      <c r="I51">
        <f t="shared" si="1"/>
        <v>4</v>
      </c>
      <c r="J51">
        <f t="shared" si="4"/>
        <v>32</v>
      </c>
      <c r="K51" t="str">
        <f t="shared" si="2"/>
        <v>REGULAR</v>
      </c>
    </row>
    <row r="52" spans="1:13" x14ac:dyDescent="0.2">
      <c r="A52" s="152" t="s">
        <v>368</v>
      </c>
      <c r="B52" t="s">
        <v>409</v>
      </c>
      <c r="E52">
        <v>1</v>
      </c>
      <c r="F52">
        <v>3</v>
      </c>
      <c r="G52">
        <v>2</v>
      </c>
      <c r="H52" s="151">
        <f t="shared" si="0"/>
        <v>76.666666666666671</v>
      </c>
      <c r="I52">
        <f t="shared" si="1"/>
        <v>6</v>
      </c>
      <c r="J52">
        <f t="shared" si="4"/>
        <v>46</v>
      </c>
      <c r="K52" t="str">
        <f t="shared" si="2"/>
        <v>REGULAR</v>
      </c>
    </row>
    <row r="53" spans="1:13" x14ac:dyDescent="0.2">
      <c r="A53" s="152" t="s">
        <v>629</v>
      </c>
      <c r="B53" t="s">
        <v>661</v>
      </c>
      <c r="D53">
        <v>1</v>
      </c>
      <c r="F53">
        <v>3</v>
      </c>
      <c r="H53" s="151">
        <f t="shared" si="0"/>
        <v>90</v>
      </c>
      <c r="I53">
        <f t="shared" si="1"/>
        <v>4</v>
      </c>
      <c r="J53">
        <f t="shared" si="4"/>
        <v>36</v>
      </c>
      <c r="K53" t="str">
        <f t="shared" si="2"/>
        <v>ADECUADO</v>
      </c>
    </row>
    <row r="54" spans="1:13" x14ac:dyDescent="0.2">
      <c r="A54" s="152" t="s">
        <v>368</v>
      </c>
      <c r="B54" t="s">
        <v>387</v>
      </c>
      <c r="C54">
        <v>1</v>
      </c>
      <c r="D54">
        <v>1</v>
      </c>
      <c r="F54">
        <v>2</v>
      </c>
      <c r="H54" s="151">
        <f t="shared" si="0"/>
        <v>75</v>
      </c>
      <c r="I54">
        <f t="shared" si="1"/>
        <v>4</v>
      </c>
      <c r="J54">
        <f t="shared" si="4"/>
        <v>30</v>
      </c>
      <c r="K54" t="str">
        <f t="shared" si="2"/>
        <v>REGULAR</v>
      </c>
    </row>
    <row r="55" spans="1:13" x14ac:dyDescent="0.2">
      <c r="A55" s="152" t="s">
        <v>215</v>
      </c>
      <c r="B55" t="s">
        <v>213</v>
      </c>
      <c r="E55">
        <v>2</v>
      </c>
      <c r="F55">
        <v>14</v>
      </c>
      <c r="H55" s="151">
        <f t="shared" si="0"/>
        <v>97.5</v>
      </c>
      <c r="I55">
        <f t="shared" si="1"/>
        <v>16</v>
      </c>
      <c r="J55">
        <f t="shared" si="4"/>
        <v>156</v>
      </c>
      <c r="K55" t="str">
        <f t="shared" si="2"/>
        <v>ADECUADO</v>
      </c>
    </row>
    <row r="56" spans="1:13" x14ac:dyDescent="0.2">
      <c r="A56" s="152" t="s">
        <v>215</v>
      </c>
      <c r="B56" t="s">
        <v>242</v>
      </c>
      <c r="C56">
        <v>2</v>
      </c>
      <c r="F56">
        <v>2</v>
      </c>
      <c r="H56" s="151">
        <f t="shared" si="0"/>
        <v>70</v>
      </c>
      <c r="I56">
        <f t="shared" si="1"/>
        <v>4</v>
      </c>
      <c r="J56">
        <f t="shared" si="4"/>
        <v>28</v>
      </c>
      <c r="K56" t="str">
        <f t="shared" si="2"/>
        <v>REGULAR</v>
      </c>
    </row>
    <row r="57" spans="1:13" x14ac:dyDescent="0.2">
      <c r="A57" s="152" t="s">
        <v>76</v>
      </c>
      <c r="B57" t="s">
        <v>158</v>
      </c>
      <c r="F57">
        <v>8</v>
      </c>
      <c r="H57" s="151">
        <f t="shared" si="0"/>
        <v>100</v>
      </c>
      <c r="I57">
        <f t="shared" si="1"/>
        <v>8</v>
      </c>
      <c r="J57">
        <f t="shared" si="4"/>
        <v>80</v>
      </c>
      <c r="K57" t="str">
        <f t="shared" si="2"/>
        <v>ADECUADO</v>
      </c>
    </row>
    <row r="58" spans="1:13" x14ac:dyDescent="0.2">
      <c r="A58" s="152" t="s">
        <v>215</v>
      </c>
      <c r="B58" t="s">
        <v>320</v>
      </c>
      <c r="F58">
        <v>10</v>
      </c>
      <c r="H58" s="151">
        <f t="shared" si="0"/>
        <v>100</v>
      </c>
      <c r="I58">
        <f t="shared" si="1"/>
        <v>10</v>
      </c>
      <c r="J58">
        <f t="shared" si="4"/>
        <v>100</v>
      </c>
      <c r="K58" t="str">
        <f t="shared" si="2"/>
        <v>ADECUADO</v>
      </c>
    </row>
    <row r="59" spans="1:13" x14ac:dyDescent="0.2">
      <c r="A59" s="152" t="s">
        <v>446</v>
      </c>
      <c r="B59" t="s">
        <v>494</v>
      </c>
      <c r="E59">
        <v>4</v>
      </c>
      <c r="F59">
        <v>5</v>
      </c>
      <c r="G59">
        <v>1</v>
      </c>
      <c r="H59" s="151">
        <f t="shared" si="0"/>
        <v>86</v>
      </c>
      <c r="I59">
        <f t="shared" si="1"/>
        <v>10</v>
      </c>
      <c r="J59">
        <f t="shared" si="4"/>
        <v>86</v>
      </c>
      <c r="K59" t="str">
        <f t="shared" si="2"/>
        <v>REGULAR</v>
      </c>
    </row>
    <row r="60" spans="1:13" x14ac:dyDescent="0.2">
      <c r="A60" s="152" t="s">
        <v>51</v>
      </c>
      <c r="B60" t="s">
        <v>88</v>
      </c>
      <c r="D60">
        <v>4</v>
      </c>
      <c r="F60">
        <v>6</v>
      </c>
      <c r="H60" s="151">
        <f t="shared" si="0"/>
        <v>84</v>
      </c>
      <c r="I60">
        <f t="shared" si="1"/>
        <v>10</v>
      </c>
      <c r="J60">
        <f t="shared" si="4"/>
        <v>84</v>
      </c>
      <c r="K60" t="str">
        <f t="shared" si="2"/>
        <v>REGULAR</v>
      </c>
      <c r="M60" s="151">
        <f>((J60+J62)/(I60+I62))*10</f>
        <v>86.666666666666657</v>
      </c>
    </row>
    <row r="61" spans="1:13" x14ac:dyDescent="0.2">
      <c r="A61" s="152" t="s">
        <v>446</v>
      </c>
      <c r="B61" t="s">
        <v>446</v>
      </c>
      <c r="D61">
        <v>2</v>
      </c>
      <c r="E61">
        <v>2</v>
      </c>
      <c r="F61">
        <v>4</v>
      </c>
      <c r="H61" s="151">
        <f t="shared" si="0"/>
        <v>85</v>
      </c>
      <c r="I61">
        <f t="shared" si="1"/>
        <v>8</v>
      </c>
      <c r="J61">
        <f t="shared" si="4"/>
        <v>68</v>
      </c>
      <c r="K61" t="str">
        <f t="shared" si="2"/>
        <v>REGULAR</v>
      </c>
    </row>
    <row r="62" spans="1:13" x14ac:dyDescent="0.2">
      <c r="A62" s="152" t="s">
        <v>51</v>
      </c>
      <c r="B62" t="s">
        <v>51</v>
      </c>
      <c r="F62">
        <v>2</v>
      </c>
      <c r="H62" s="151">
        <f t="shared" si="0"/>
        <v>100</v>
      </c>
      <c r="I62">
        <f t="shared" si="1"/>
        <v>2</v>
      </c>
      <c r="J62">
        <f t="shared" si="4"/>
        <v>20</v>
      </c>
      <c r="K62" t="str">
        <f t="shared" si="2"/>
        <v>ADECUADO</v>
      </c>
    </row>
    <row r="63" spans="1:13" x14ac:dyDescent="0.2">
      <c r="A63" s="152" t="s">
        <v>613</v>
      </c>
      <c r="B63" t="s">
        <v>611</v>
      </c>
      <c r="F63">
        <v>8</v>
      </c>
      <c r="H63" s="151">
        <f t="shared" si="0"/>
        <v>100</v>
      </c>
      <c r="I63">
        <f t="shared" si="1"/>
        <v>8</v>
      </c>
      <c r="J63">
        <f t="shared" si="4"/>
        <v>80</v>
      </c>
      <c r="K63" t="str">
        <f t="shared" si="2"/>
        <v>ADECUADO</v>
      </c>
    </row>
    <row r="64" spans="1:13" x14ac:dyDescent="0.2">
      <c r="A64" s="152" t="s">
        <v>76</v>
      </c>
      <c r="B64" t="s">
        <v>105</v>
      </c>
      <c r="F64">
        <v>12</v>
      </c>
      <c r="H64" s="151">
        <f t="shared" si="0"/>
        <v>100</v>
      </c>
      <c r="I64">
        <f t="shared" si="1"/>
        <v>12</v>
      </c>
      <c r="J64">
        <f t="shared" si="4"/>
        <v>120</v>
      </c>
      <c r="K64" t="str">
        <f t="shared" si="2"/>
        <v>ADECUADO</v>
      </c>
    </row>
    <row r="65" spans="1:11" x14ac:dyDescent="0.2">
      <c r="A65" s="152" t="s">
        <v>76</v>
      </c>
      <c r="B65" t="s">
        <v>196</v>
      </c>
      <c r="F65">
        <v>10</v>
      </c>
      <c r="H65" s="151">
        <f t="shared" si="0"/>
        <v>100</v>
      </c>
      <c r="I65">
        <f t="shared" si="1"/>
        <v>10</v>
      </c>
      <c r="J65">
        <f t="shared" si="4"/>
        <v>100</v>
      </c>
      <c r="K65" t="str">
        <f t="shared" si="2"/>
        <v>ADECUADO</v>
      </c>
    </row>
    <row r="66" spans="1:11" x14ac:dyDescent="0.2">
      <c r="A66" s="152" t="s">
        <v>76</v>
      </c>
      <c r="B66" t="s">
        <v>74</v>
      </c>
      <c r="F66">
        <v>4</v>
      </c>
      <c r="H66" s="151">
        <f t="shared" ref="H66:H67" si="5">(J66/I66)*10</f>
        <v>100</v>
      </c>
      <c r="I66">
        <f t="shared" ref="I66:I67" si="6">SUM(C66:G66)</f>
        <v>4</v>
      </c>
      <c r="J66">
        <f t="shared" si="4"/>
        <v>40</v>
      </c>
      <c r="K66" t="str">
        <f t="shared" ref="K66:K67" si="7">IF(AND(H66&gt;=0,H66&lt;=49.9999999999999),"CRÍTICO",IF(AND(H66&gt;=50,H66&lt;=69.9999999999999),"DEFICIENTE",IF(AND(H66&gt;=70,H66&lt;=89.9999999999999),"REGULAR",IF(AND(H66&gt;=90,H66&lt;=110.999999999999),"ADECUADO",IF(AND(H66&gt;=111,H66&lt;=999999999),"SOBREPASADO","NO PROG.")))))</f>
        <v>ADECUADO</v>
      </c>
    </row>
    <row r="67" spans="1:11" x14ac:dyDescent="0.2">
      <c r="A67" s="152" t="s">
        <v>446</v>
      </c>
      <c r="B67" t="s">
        <v>604</v>
      </c>
      <c r="E67">
        <v>2</v>
      </c>
      <c r="F67">
        <v>8</v>
      </c>
      <c r="H67" s="151">
        <f t="shared" si="5"/>
        <v>96</v>
      </c>
      <c r="I67">
        <f t="shared" si="6"/>
        <v>10</v>
      </c>
      <c r="J67">
        <f t="shared" si="4"/>
        <v>96</v>
      </c>
      <c r="K67" t="str">
        <f t="shared" si="7"/>
        <v>ADECUADO</v>
      </c>
    </row>
    <row r="76" spans="1:11" x14ac:dyDescent="0.2">
      <c r="G76" t="s">
        <v>1537</v>
      </c>
    </row>
  </sheetData>
  <autoFilter ref="A1:K67" xr:uid="{F76B057E-BA14-4AAB-A314-D425D40CC1DF}"/>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18</vt:i4>
      </vt:variant>
    </vt:vector>
  </HeadingPairs>
  <TitlesOfParts>
    <vt:vector size="21" baseType="lpstr">
      <vt:lpstr>METAS</vt:lpstr>
      <vt:lpstr>INDICADORES</vt:lpstr>
      <vt:lpstr>resultados general</vt:lpstr>
      <vt:lpstr>INDICADORES!Área_de_impresión</vt:lpstr>
      <vt:lpstr>METAS!Área_de_impresión</vt:lpstr>
      <vt:lpstr>AVANCE_1°._TRIM</vt:lpstr>
      <vt:lpstr>AVANCE_2°._TRIM</vt:lpstr>
      <vt:lpstr>AVANCE_3°._TRIM</vt:lpstr>
      <vt:lpstr>AVANCE_4°._TRIM</vt:lpstr>
      <vt:lpstr>INDICADORES!AVANCE_ACUM_ANUAL</vt:lpstr>
      <vt:lpstr>INDICADORES!CLAVE_UNICA</vt:lpstr>
      <vt:lpstr>DESCRIPCIÓN_DEL_INDICADOR</vt:lpstr>
      <vt:lpstr>ESTRUCTURA_PROGRAMA</vt:lpstr>
      <vt:lpstr>FREC._MEDICIÓN</vt:lpstr>
      <vt:lpstr>NIVEL</vt:lpstr>
      <vt:lpstr>PROGR._1°_TRIM</vt:lpstr>
      <vt:lpstr>PROGR._2°_TRIM</vt:lpstr>
      <vt:lpstr>PROGR._3°_TRIM</vt:lpstr>
      <vt:lpstr>PROGR._4°_TRIM</vt:lpstr>
      <vt:lpstr>PROGRAMADO</vt:lpstr>
      <vt:lpstr>UNIDAD_DE_MEDIDA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MONTAÑEZ</dc:creator>
  <cp:lastModifiedBy>CARLOS GONZÁLEZ MONTAÑEZ</cp:lastModifiedBy>
  <dcterms:created xsi:type="dcterms:W3CDTF">2026-09-07T17:27:56Z</dcterms:created>
  <dcterms:modified xsi:type="dcterms:W3CDTF">2026-09-07T17:30:10Z</dcterms:modified>
</cp:coreProperties>
</file>