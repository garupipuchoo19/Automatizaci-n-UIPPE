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Automatizacion_UIPPE\entradas\"/>
    </mc:Choice>
  </mc:AlternateContent>
  <xr:revisionPtr revIDLastSave="0" documentId="8_{CEA6D262-4D6F-4836-AED2-15C64D5F26E6}" xr6:coauthVersionLast="47" xr6:coauthVersionMax="47" xr10:uidLastSave="{00000000-0000-0000-0000-000000000000}"/>
  <bookViews>
    <workbookView xWindow="-108" yWindow="-108" windowWidth="23256" windowHeight="12456" xr2:uid="{00000000-000D-0000-FFFF-FFFF00000000}"/>
  </bookViews>
  <sheets>
    <sheet name="METAS" sheetId="1" r:id="rId1"/>
    <sheet name="INDICADORES" sheetId="2" r:id="rId2"/>
    <sheet name="resultados general" sheetId="3" r:id="rId3"/>
  </sheets>
  <externalReferences>
    <externalReference r:id="rId4"/>
  </externalReferences>
  <definedNames>
    <definedName name="_xlnm._FilterDatabase" localSheetId="2" hidden="1">'resultados general'!$A$1:$K$67</definedName>
    <definedName name="_xlcn.WorksheetConnection_IndicadoresyMetas2019_comportamiento.xlsmDEPENDENCIAS1" hidden="1">#REF!</definedName>
    <definedName name="_xlcn.WorksheetConnection_IndicadoresyMetas2019_comportamiento.xlsmFINANCIERO1" localSheetId="1" hidden="1">#REF!</definedName>
    <definedName name="_xlcn.WorksheetConnection_IndicadoresyMetas2019_comportamiento.xlsmFINANCIERO1" hidden="1">#REF!</definedName>
    <definedName name="_xlcn.WorksheetConnection_IndicadoresyMetas2019_comportamiento.xlsmFISICO1" localSheetId="1" hidden="1">INDICADORES!$A$4:$AW$235</definedName>
    <definedName name="_xlcn.WorksheetConnection_IndicadoresyMetas2019_comportamiento.xlsmFISICO1" localSheetId="0" hidden="1">METAS!$A$4:$AP$250</definedName>
    <definedName name="_xlcn.WorksheetConnection_IndicadoresyMetas2019_comportamiento.xlsmFISICO1" hidden="1">#REF!</definedName>
    <definedName name="_xlcn.WorksheetConnection_IndicadoresyMetas2019_FINAL.xlsmFINANCIERO61" localSheetId="1" hidden="1">#REF!</definedName>
    <definedName name="_xlcn.WorksheetConnection_IndicadoresyMetas2019_FINAL.xlsmFINANCIERO61" hidden="1">#REF!</definedName>
    <definedName name="_xlnm.Print_Area" localSheetId="1">INDICADORES!$A$1:$BB$236</definedName>
    <definedName name="_xlnm.Print_Area" localSheetId="0">METAS!$A$1:$AV$250</definedName>
    <definedName name="AVANCE_1°._TRIM" localSheetId="2">[1]!TABLA_AVANCE_INDICADORES[AVANCE 1°. TRIM]</definedName>
    <definedName name="AVANCE_1°._TRIM">TABLA_AVANCE_INDICADORES[AVANCE 1°. TRIM]</definedName>
    <definedName name="AVANCE_2°._TRIM" localSheetId="2">[1]!TABLA_AVANCE_INDICADORES[AVANCE 2°. TRIM]</definedName>
    <definedName name="AVANCE_2°._TRIM">TABLA_AVANCE_INDICADORES[AVANCE 2°. TRIM]</definedName>
    <definedName name="AVANCE_3°._TRIM" localSheetId="2">[1]!TABLA_AVANCE_INDICADORES[AVANCE 3°. TRIM]</definedName>
    <definedName name="AVANCE_3°._TRIM">TABLA_AVANCE_INDICADORES[AVANCE 3°. TRIM]</definedName>
    <definedName name="AVANCE_4°._TRIM" localSheetId="2">[1]!TABLA_AVANCE_INDICADORES[AVANCE 4°. TRIM]</definedName>
    <definedName name="AVANCE_4°._TRIM">TABLA_AVANCE_INDICADORES[AVANCE 4°. TRIM]</definedName>
    <definedName name="AVANCE_ACUM_ANUAL" localSheetId="1">TABLA_AVANCE_INDICADORES[AVANCE ACUM. ANUAL]</definedName>
    <definedName name="AVANCES230315" hidden="1">#REF!</definedName>
    <definedName name="CLAVE_UNICA" localSheetId="1">TABLA_AVANCE_INDICADORES[CLAVE]</definedName>
    <definedName name="d" hidden="1">#REF!</definedName>
    <definedName name="DESCRIPCIÓN_DEL_INDICADOR" localSheetId="2">[1]!TABLA_AVANCE_INDICADORES[DESCRIPCIÓN DEL INDICADOR]</definedName>
    <definedName name="DESCRIPCIÓN_DEL_INDICADOR">TABLA_AVANCE_INDICADORES[DESCRIPCIÓN DEL INDICADOR]</definedName>
    <definedName name="ESTRUCTURA_PROGRAMA" localSheetId="2">[1]!TABLA_AVANCE_INDICADORES[ESTR. PROGRAMA]</definedName>
    <definedName name="ESTRUCTURA_PROGRAMA">TABLA_AVANCE_INDICADORES[ESTR. PROGRAMA]</definedName>
    <definedName name="FREC._MEDICIÓN" localSheetId="2">[1]!TABLA_AVANCE_INDICADORES[FRECUENCIA DE MEDICIÓN]</definedName>
    <definedName name="FREC._MEDICIÓN">TABLA_AVANCE_INDICADORES[FRECUENCIA DE MEDICIÓN]</definedName>
    <definedName name="NIVEL" localSheetId="2">[1]!TABLA_AVANCE_INDICADORES[NIVEL]</definedName>
    <definedName name="NIVEL">TABLA_AVANCE_INDICADORES[NIVEL]</definedName>
    <definedName name="PROGR._1°_TRIM" localSheetId="2">[1]!TABLA_AVANCE_INDICADORES[PROGR. 1° TRIM]</definedName>
    <definedName name="PROGR._1°_TRIM">TABLA_AVANCE_INDICADORES[PROGR. 1° TRIM]</definedName>
    <definedName name="PROGR._2°_TRIM" localSheetId="2">[1]!TABLA_AVANCE_INDICADORES[PROGR. 2° TRIM]</definedName>
    <definedName name="PROGR._2°_TRIM">TABLA_AVANCE_INDICADORES[PROGR. 2° TRIM]</definedName>
    <definedName name="PROGR._3°_TRIM" localSheetId="2">[1]!TABLA_AVANCE_INDICADORES[PROGR. 3° TRIM]</definedName>
    <definedName name="PROGR._3°_TRIM">TABLA_AVANCE_INDICADORES[PROGR. 3° TRIM]</definedName>
    <definedName name="PROGR._4°_TRIM" localSheetId="2">[1]!TABLA_AVANCE_INDICADORES[PROGR. 4° TRIM]</definedName>
    <definedName name="PROGR._4°_TRIM">TABLA_AVANCE_INDICADORES[PROGR. 4° TRIM]</definedName>
    <definedName name="PROGRAMADO" localSheetId="2">[1]!TABLA_AVANCE_INDICADORES[PROGRAMADO ANUAL]</definedName>
    <definedName name="PROGRAMADO">TABLA_AVANCE_INDICADORES[PROGRAMADO ANUAL]</definedName>
    <definedName name="UNIDAD_DE_MEDIDA" localSheetId="2">[1]!TABLA_AVANCE_INDICADORES[UNIDAD DE MEDIDA]</definedName>
    <definedName name="UNIDAD_DE_MEDIDA">TABLA_AVANCE_INDICADORES[UNIDAD DE MEDIDA]</definedName>
    <definedName name="Z_AB32CF44_E42A_4F3F_9ABF_C5E46489ED35_.wvu.FilterData" localSheetId="1" hidden="1">INDICADORES!$W$3:$AW$3</definedName>
    <definedName name="Z_AB32CF44_E42A_4F3F_9ABF_C5E46489ED35_.wvu.FilterData" localSheetId="0" hidden="1">METAS!$P$3:$AP$3</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67" i="3" l="1"/>
  <c r="I67" i="3"/>
  <c r="J66" i="3"/>
  <c r="I66" i="3"/>
  <c r="H66" i="3"/>
  <c r="K66" i="3" s="1"/>
  <c r="J65" i="3"/>
  <c r="I65" i="3"/>
  <c r="H65" i="3"/>
  <c r="K65" i="3" s="1"/>
  <c r="J64" i="3"/>
  <c r="I64" i="3"/>
  <c r="H64" i="3"/>
  <c r="K64" i="3" s="1"/>
  <c r="J63" i="3"/>
  <c r="I63" i="3"/>
  <c r="J62" i="3"/>
  <c r="I62" i="3"/>
  <c r="H62" i="3"/>
  <c r="K62" i="3" s="1"/>
  <c r="J61" i="3"/>
  <c r="I61" i="3"/>
  <c r="H61" i="3"/>
  <c r="K61" i="3" s="1"/>
  <c r="J60" i="3"/>
  <c r="H60" i="3" s="1"/>
  <c r="K60" i="3" s="1"/>
  <c r="I60" i="3"/>
  <c r="J59" i="3"/>
  <c r="H59" i="3" s="1"/>
  <c r="K59" i="3" s="1"/>
  <c r="I59" i="3"/>
  <c r="J58" i="3"/>
  <c r="I58" i="3"/>
  <c r="J57" i="3"/>
  <c r="I57" i="3"/>
  <c r="H57" i="3" s="1"/>
  <c r="K57" i="3" s="1"/>
  <c r="J56" i="3"/>
  <c r="H56" i="3" s="1"/>
  <c r="K56" i="3" s="1"/>
  <c r="I56" i="3"/>
  <c r="J55" i="3"/>
  <c r="H55" i="3" s="1"/>
  <c r="K55" i="3" s="1"/>
  <c r="I55" i="3"/>
  <c r="J54" i="3"/>
  <c r="H54" i="3" s="1"/>
  <c r="K54" i="3" s="1"/>
  <c r="I54" i="3"/>
  <c r="J53" i="3"/>
  <c r="I53" i="3"/>
  <c r="H53" i="3" s="1"/>
  <c r="K53" i="3" s="1"/>
  <c r="J52" i="3"/>
  <c r="H52" i="3" s="1"/>
  <c r="K52" i="3" s="1"/>
  <c r="I52" i="3"/>
  <c r="J51" i="3"/>
  <c r="H51" i="3" s="1"/>
  <c r="K51" i="3" s="1"/>
  <c r="I51" i="3"/>
  <c r="J50" i="3"/>
  <c r="I50" i="3"/>
  <c r="J49" i="3"/>
  <c r="I49" i="3"/>
  <c r="H49" i="3" s="1"/>
  <c r="K49" i="3" s="1"/>
  <c r="J48" i="3"/>
  <c r="H48" i="3" s="1"/>
  <c r="K48" i="3" s="1"/>
  <c r="I48" i="3"/>
  <c r="J47" i="3"/>
  <c r="H47" i="3" s="1"/>
  <c r="K47" i="3" s="1"/>
  <c r="I47" i="3"/>
  <c r="J46" i="3"/>
  <c r="H46" i="3" s="1"/>
  <c r="K46" i="3" s="1"/>
  <c r="I46" i="3"/>
  <c r="J45" i="3"/>
  <c r="I45" i="3"/>
  <c r="H45" i="3" s="1"/>
  <c r="K45" i="3" s="1"/>
  <c r="J44" i="3"/>
  <c r="H44" i="3" s="1"/>
  <c r="K44" i="3" s="1"/>
  <c r="I44" i="3"/>
  <c r="J43" i="3"/>
  <c r="H43" i="3" s="1"/>
  <c r="K43" i="3" s="1"/>
  <c r="I43" i="3"/>
  <c r="J42" i="3"/>
  <c r="H42" i="3" s="1"/>
  <c r="K42" i="3" s="1"/>
  <c r="I42" i="3"/>
  <c r="J41" i="3"/>
  <c r="I41" i="3"/>
  <c r="H41" i="3"/>
  <c r="K41" i="3" s="1"/>
  <c r="J40" i="3"/>
  <c r="H40" i="3" s="1"/>
  <c r="K40" i="3" s="1"/>
  <c r="I40" i="3"/>
  <c r="K39" i="3"/>
  <c r="J39" i="3"/>
  <c r="H39" i="3" s="1"/>
  <c r="I39" i="3"/>
  <c r="J38" i="3"/>
  <c r="H38" i="3" s="1"/>
  <c r="K38" i="3" s="1"/>
  <c r="I38" i="3"/>
  <c r="J37" i="3"/>
  <c r="I37" i="3"/>
  <c r="H37" i="3"/>
  <c r="K37" i="3" s="1"/>
  <c r="J36" i="3"/>
  <c r="H36" i="3" s="1"/>
  <c r="K36" i="3" s="1"/>
  <c r="I36" i="3"/>
  <c r="J35" i="3"/>
  <c r="H35" i="3" s="1"/>
  <c r="K35" i="3" s="1"/>
  <c r="I35" i="3"/>
  <c r="J34" i="3"/>
  <c r="H34" i="3" s="1"/>
  <c r="K34" i="3" s="1"/>
  <c r="I34" i="3"/>
  <c r="J33" i="3"/>
  <c r="I33" i="3"/>
  <c r="H33" i="3"/>
  <c r="K33" i="3" s="1"/>
  <c r="J32" i="3"/>
  <c r="H32" i="3" s="1"/>
  <c r="K32" i="3" s="1"/>
  <c r="I32" i="3"/>
  <c r="K31" i="3"/>
  <c r="J31" i="3"/>
  <c r="H31" i="3" s="1"/>
  <c r="I31" i="3"/>
  <c r="J30" i="3"/>
  <c r="I30" i="3"/>
  <c r="H30" i="3" s="1"/>
  <c r="K30" i="3" s="1"/>
  <c r="J29" i="3"/>
  <c r="I29" i="3"/>
  <c r="H29" i="3" s="1"/>
  <c r="K29" i="3" s="1"/>
  <c r="J28" i="3"/>
  <c r="I28" i="3"/>
  <c r="H28" i="3"/>
  <c r="K28" i="3" s="1"/>
  <c r="J27" i="3"/>
  <c r="I27" i="3"/>
  <c r="H27" i="3" s="1"/>
  <c r="K27" i="3" s="1"/>
  <c r="J26" i="3"/>
  <c r="H26" i="3" s="1"/>
  <c r="K26" i="3" s="1"/>
  <c r="I26" i="3"/>
  <c r="J25" i="3"/>
  <c r="I25" i="3"/>
  <c r="H25" i="3" s="1"/>
  <c r="K25" i="3" s="1"/>
  <c r="J24" i="3"/>
  <c r="I24" i="3"/>
  <c r="H24" i="3"/>
  <c r="K24" i="3" s="1"/>
  <c r="J23" i="3"/>
  <c r="I23" i="3"/>
  <c r="H23" i="3" s="1"/>
  <c r="K23" i="3" s="1"/>
  <c r="K22" i="3"/>
  <c r="J22" i="3"/>
  <c r="H22" i="3" s="1"/>
  <c r="I22" i="3"/>
  <c r="J21" i="3"/>
  <c r="I21" i="3"/>
  <c r="H21" i="3" s="1"/>
  <c r="K21" i="3" s="1"/>
  <c r="J20" i="3"/>
  <c r="I20" i="3"/>
  <c r="H20" i="3"/>
  <c r="K20" i="3" s="1"/>
  <c r="J19" i="3"/>
  <c r="I19" i="3"/>
  <c r="H19" i="3" s="1"/>
  <c r="K19" i="3" s="1"/>
  <c r="J18" i="3"/>
  <c r="H18" i="3" s="1"/>
  <c r="K18" i="3" s="1"/>
  <c r="I18" i="3"/>
  <c r="J17" i="3"/>
  <c r="I17" i="3"/>
  <c r="H17" i="3" s="1"/>
  <c r="K17" i="3" s="1"/>
  <c r="J16" i="3"/>
  <c r="I16" i="3"/>
  <c r="H16" i="3"/>
  <c r="K16" i="3" s="1"/>
  <c r="J15" i="3"/>
  <c r="I15" i="3"/>
  <c r="H15" i="3" s="1"/>
  <c r="K15" i="3" s="1"/>
  <c r="J14" i="3"/>
  <c r="H14" i="3" s="1"/>
  <c r="K14" i="3" s="1"/>
  <c r="I14" i="3"/>
  <c r="J13" i="3"/>
  <c r="I13" i="3"/>
  <c r="H13" i="3" s="1"/>
  <c r="K13" i="3" s="1"/>
  <c r="J12" i="3"/>
  <c r="I12" i="3"/>
  <c r="H12" i="3"/>
  <c r="K12" i="3" s="1"/>
  <c r="J11" i="3"/>
  <c r="I11" i="3"/>
  <c r="H11" i="3" s="1"/>
  <c r="K11" i="3" s="1"/>
  <c r="K10" i="3"/>
  <c r="J10" i="3"/>
  <c r="H10" i="3" s="1"/>
  <c r="I10" i="3"/>
  <c r="J9" i="3"/>
  <c r="I9" i="3"/>
  <c r="H9" i="3" s="1"/>
  <c r="K9" i="3" s="1"/>
  <c r="J8" i="3"/>
  <c r="I8" i="3"/>
  <c r="H8" i="3"/>
  <c r="K8" i="3" s="1"/>
  <c r="J7" i="3"/>
  <c r="H7" i="3" s="1"/>
  <c r="K7" i="3" s="1"/>
  <c r="I7" i="3"/>
  <c r="K6" i="3"/>
  <c r="J6" i="3"/>
  <c r="H6" i="3" s="1"/>
  <c r="I6" i="3"/>
  <c r="J5" i="3"/>
  <c r="I5" i="3"/>
  <c r="M44" i="3" s="1"/>
  <c r="J4" i="3"/>
  <c r="I4" i="3"/>
  <c r="H4" i="3"/>
  <c r="K4" i="3" s="1"/>
  <c r="J3" i="3"/>
  <c r="H3" i="3" s="1"/>
  <c r="K3" i="3" s="1"/>
  <c r="I3" i="3"/>
  <c r="J2" i="3"/>
  <c r="H2" i="3" s="1"/>
  <c r="K2" i="3" s="1"/>
  <c r="I2" i="3"/>
  <c r="BB235" i="2"/>
  <c r="AL235" i="2"/>
  <c r="AK235" i="2"/>
  <c r="AG235" i="2"/>
  <c r="AH235" i="2" s="1"/>
  <c r="AD235" i="2"/>
  <c r="AC235" i="2"/>
  <c r="Z235" i="2"/>
  <c r="Y235" i="2"/>
  <c r="BB234" i="2"/>
  <c r="AL234" i="2"/>
  <c r="AK234" i="2"/>
  <c r="AH234" i="2"/>
  <c r="AG234" i="2"/>
  <c r="AD234" i="2"/>
  <c r="AC234" i="2"/>
  <c r="Y234" i="2"/>
  <c r="Z234" i="2" s="1"/>
  <c r="AL233" i="2"/>
  <c r="AK233" i="2"/>
  <c r="AG233" i="2"/>
  <c r="AH233" i="2" s="1"/>
  <c r="AD233" i="2"/>
  <c r="AC233" i="2"/>
  <c r="Z233" i="2"/>
  <c r="Y233" i="2"/>
  <c r="AL232" i="2"/>
  <c r="AK232" i="2"/>
  <c r="AH232" i="2"/>
  <c r="AG232" i="2"/>
  <c r="AD232" i="2"/>
  <c r="AC232" i="2"/>
  <c r="Y232" i="2"/>
  <c r="Z232" i="2" s="1"/>
  <c r="AJ231" i="2"/>
  <c r="AK231" i="2" s="1"/>
  <c r="AL231" i="2" s="1"/>
  <c r="AG231" i="2"/>
  <c r="AH231" i="2" s="1"/>
  <c r="AF231" i="2"/>
  <c r="AD231" i="2"/>
  <c r="AC231" i="2"/>
  <c r="Z231" i="2"/>
  <c r="Y231" i="2"/>
  <c r="AL230" i="2"/>
  <c r="AK230" i="2"/>
  <c r="AH230" i="2"/>
  <c r="AG230" i="2"/>
  <c r="AC230" i="2"/>
  <c r="AD230" i="2" s="1"/>
  <c r="Z230" i="2"/>
  <c r="Y230" i="2"/>
  <c r="BB229" i="2"/>
  <c r="AK229" i="2"/>
  <c r="AL229" i="2" s="1"/>
  <c r="AH229" i="2"/>
  <c r="AG229" i="2"/>
  <c r="AD229" i="2"/>
  <c r="AC229" i="2"/>
  <c r="Z229" i="2"/>
  <c r="Y229" i="2"/>
  <c r="BB228" i="2"/>
  <c r="AL228" i="2"/>
  <c r="AK228" i="2"/>
  <c r="AH228" i="2"/>
  <c r="AG228" i="2"/>
  <c r="AD228" i="2"/>
  <c r="AC228" i="2"/>
  <c r="Z228" i="2"/>
  <c r="Y228" i="2"/>
  <c r="AL227" i="2"/>
  <c r="AK227" i="2"/>
  <c r="AH227" i="2"/>
  <c r="AG227" i="2"/>
  <c r="AD227" i="2"/>
  <c r="AC227" i="2"/>
  <c r="Z227" i="2"/>
  <c r="Y227" i="2"/>
  <c r="AL226" i="2"/>
  <c r="AK226" i="2"/>
  <c r="AH226" i="2"/>
  <c r="AG226" i="2"/>
  <c r="AC226" i="2"/>
  <c r="AD226" i="2" s="1"/>
  <c r="Z226" i="2"/>
  <c r="Y226" i="2"/>
  <c r="BB225" i="2"/>
  <c r="AK225" i="2"/>
  <c r="AL225" i="2" s="1"/>
  <c r="AH225" i="2"/>
  <c r="AG225" i="2"/>
  <c r="AD225" i="2"/>
  <c r="AC225" i="2"/>
  <c r="Z225" i="2"/>
  <c r="Y225" i="2"/>
  <c r="BB224" i="2"/>
  <c r="AL224" i="2"/>
  <c r="AK224" i="2"/>
  <c r="AH224" i="2"/>
  <c r="AG224" i="2"/>
  <c r="AD224" i="2"/>
  <c r="AC224" i="2"/>
  <c r="Z224" i="2"/>
  <c r="Y224" i="2"/>
  <c r="BB223" i="2"/>
  <c r="AL223" i="2"/>
  <c r="AK223" i="2"/>
  <c r="AH223" i="2"/>
  <c r="AG223" i="2"/>
  <c r="AD223" i="2"/>
  <c r="AC223" i="2"/>
  <c r="Z223" i="2"/>
  <c r="Y223" i="2"/>
  <c r="BB222" i="2"/>
  <c r="AL222" i="2"/>
  <c r="AK222" i="2"/>
  <c r="AH222" i="2"/>
  <c r="AG222" i="2"/>
  <c r="AC222" i="2"/>
  <c r="AD222" i="2" s="1"/>
  <c r="Z222" i="2"/>
  <c r="Y222" i="2"/>
  <c r="BB221" i="2"/>
  <c r="AK221" i="2"/>
  <c r="AL221" i="2" s="1"/>
  <c r="AH221" i="2"/>
  <c r="AG221" i="2"/>
  <c r="AD221" i="2"/>
  <c r="AC221" i="2"/>
  <c r="Z221" i="2"/>
  <c r="Y221" i="2"/>
  <c r="BB220" i="2"/>
  <c r="AL220" i="2"/>
  <c r="AK220" i="2"/>
  <c r="AH220" i="2"/>
  <c r="AG220" i="2"/>
  <c r="AD220" i="2"/>
  <c r="AC220" i="2"/>
  <c r="Z220" i="2"/>
  <c r="Y220" i="2"/>
  <c r="BB219" i="2"/>
  <c r="AJ219" i="2"/>
  <c r="AK219" i="2" s="1"/>
  <c r="AL219" i="2" s="1"/>
  <c r="AG219" i="2"/>
  <c r="AH219" i="2" s="1"/>
  <c r="AF219" i="2"/>
  <c r="AD219" i="2"/>
  <c r="AC219" i="2"/>
  <c r="Y219" i="2"/>
  <c r="Z219" i="2" s="1"/>
  <c r="BB218" i="2"/>
  <c r="AL218" i="2"/>
  <c r="AK218" i="2"/>
  <c r="AG218" i="2"/>
  <c r="AH218" i="2" s="1"/>
  <c r="AD218" i="2"/>
  <c r="AC218" i="2"/>
  <c r="Z218" i="2"/>
  <c r="Y218" i="2"/>
  <c r="BB217" i="2"/>
  <c r="AL217" i="2"/>
  <c r="AK217" i="2"/>
  <c r="AH217" i="2"/>
  <c r="AG217" i="2"/>
  <c r="AD217" i="2"/>
  <c r="AC217" i="2"/>
  <c r="Z217" i="2"/>
  <c r="Y217" i="2"/>
  <c r="BB216" i="2"/>
  <c r="AL216" i="2"/>
  <c r="AK216" i="2"/>
  <c r="AH216" i="2"/>
  <c r="AG216" i="2"/>
  <c r="AD216" i="2"/>
  <c r="AC216" i="2"/>
  <c r="Z216" i="2"/>
  <c r="Y216" i="2"/>
  <c r="AL215" i="2"/>
  <c r="AK215" i="2"/>
  <c r="AH215" i="2"/>
  <c r="AG215" i="2"/>
  <c r="AD215" i="2"/>
  <c r="AC215" i="2"/>
  <c r="Y215" i="2"/>
  <c r="Z215" i="2" s="1"/>
  <c r="BB214" i="2"/>
  <c r="AL214" i="2"/>
  <c r="AK214" i="2"/>
  <c r="AG214" i="2"/>
  <c r="AH214" i="2" s="1"/>
  <c r="AD214" i="2"/>
  <c r="AC214" i="2"/>
  <c r="Z214" i="2"/>
  <c r="Y214" i="2"/>
  <c r="BB213" i="2"/>
  <c r="AL213" i="2"/>
  <c r="AK213" i="2"/>
  <c r="AH213" i="2"/>
  <c r="AG213" i="2"/>
  <c r="AD213" i="2"/>
  <c r="AC213" i="2"/>
  <c r="Z213" i="2"/>
  <c r="Y213" i="2"/>
  <c r="BB212" i="2"/>
  <c r="AL212" i="2"/>
  <c r="AK212" i="2"/>
  <c r="AH212" i="2"/>
  <c r="AG212" i="2"/>
  <c r="AD212" i="2"/>
  <c r="AC212" i="2"/>
  <c r="Z212" i="2"/>
  <c r="Y212" i="2"/>
  <c r="BB211" i="2"/>
  <c r="AL211" i="2"/>
  <c r="AK211" i="2"/>
  <c r="AH211" i="2"/>
  <c r="AG211" i="2"/>
  <c r="AD211" i="2"/>
  <c r="AC211" i="2"/>
  <c r="Y211" i="2"/>
  <c r="Z211" i="2" s="1"/>
  <c r="BB210" i="2"/>
  <c r="AL210" i="2"/>
  <c r="AK210" i="2"/>
  <c r="AG210" i="2"/>
  <c r="AH210" i="2" s="1"/>
  <c r="AD210" i="2"/>
  <c r="AC210" i="2"/>
  <c r="Z210" i="2"/>
  <c r="Y210" i="2"/>
  <c r="BB209" i="2"/>
  <c r="AL209" i="2"/>
  <c r="AK209" i="2"/>
  <c r="AH209" i="2"/>
  <c r="AG209" i="2"/>
  <c r="AD209" i="2"/>
  <c r="AC209" i="2"/>
  <c r="Z209" i="2"/>
  <c r="Y209" i="2"/>
  <c r="BB208" i="2"/>
  <c r="AL208" i="2"/>
  <c r="AK208" i="2"/>
  <c r="AH208" i="2"/>
  <c r="AG208" i="2"/>
  <c r="AD208" i="2"/>
  <c r="AC208" i="2"/>
  <c r="Z208" i="2"/>
  <c r="Y208" i="2"/>
  <c r="BB207" i="2"/>
  <c r="AL207" i="2"/>
  <c r="AK207" i="2"/>
  <c r="AH207" i="2"/>
  <c r="AG207" i="2"/>
  <c r="AD207" i="2"/>
  <c r="AC207" i="2"/>
  <c r="Y207" i="2"/>
  <c r="Z207" i="2" s="1"/>
  <c r="BB206" i="2"/>
  <c r="AL206" i="2"/>
  <c r="AK206" i="2"/>
  <c r="AG206" i="2"/>
  <c r="AH206" i="2" s="1"/>
  <c r="AD206" i="2"/>
  <c r="AC206" i="2"/>
  <c r="Z206" i="2"/>
  <c r="Y206" i="2"/>
  <c r="BB205" i="2"/>
  <c r="AJ205" i="2"/>
  <c r="AK205" i="2" s="1"/>
  <c r="AL205" i="2" s="1"/>
  <c r="AG205" i="2"/>
  <c r="AH205" i="2" s="1"/>
  <c r="AF205" i="2"/>
  <c r="AD205" i="2"/>
  <c r="AC205" i="2"/>
  <c r="Z205" i="2"/>
  <c r="Y205" i="2"/>
  <c r="BB204" i="2"/>
  <c r="AL204" i="2"/>
  <c r="AK204" i="2"/>
  <c r="AH204" i="2"/>
  <c r="AG204" i="2"/>
  <c r="AD204" i="2"/>
  <c r="AC204" i="2"/>
  <c r="Z204" i="2"/>
  <c r="Y204" i="2"/>
  <c r="BB203" i="2"/>
  <c r="AL203" i="2"/>
  <c r="AK203" i="2"/>
  <c r="AH203" i="2"/>
  <c r="AG203" i="2"/>
  <c r="AC203" i="2"/>
  <c r="AD203" i="2" s="1"/>
  <c r="Z203" i="2"/>
  <c r="Y203" i="2"/>
  <c r="BB202" i="2"/>
  <c r="AK202" i="2"/>
  <c r="AL202" i="2" s="1"/>
  <c r="AH202" i="2"/>
  <c r="AG202" i="2"/>
  <c r="AD202" i="2"/>
  <c r="AC202" i="2"/>
  <c r="Z202" i="2"/>
  <c r="Y202" i="2"/>
  <c r="BB201" i="2"/>
  <c r="AL201" i="2"/>
  <c r="AK201" i="2"/>
  <c r="AH201" i="2"/>
  <c r="AG201" i="2"/>
  <c r="AD201" i="2"/>
  <c r="AC201" i="2"/>
  <c r="Z201" i="2"/>
  <c r="Y201" i="2"/>
  <c r="BB200" i="2"/>
  <c r="AL200" i="2"/>
  <c r="AK200" i="2"/>
  <c r="AH200" i="2"/>
  <c r="AG200" i="2"/>
  <c r="AD200" i="2"/>
  <c r="AC200" i="2"/>
  <c r="Z200" i="2"/>
  <c r="Y200" i="2"/>
  <c r="BB199" i="2"/>
  <c r="AL199" i="2"/>
  <c r="AK199" i="2"/>
  <c r="AH199" i="2"/>
  <c r="AG199" i="2"/>
  <c r="AC199" i="2"/>
  <c r="AD199" i="2" s="1"/>
  <c r="Z199" i="2"/>
  <c r="Y199" i="2"/>
  <c r="BB198" i="2"/>
  <c r="AK198" i="2"/>
  <c r="AL198" i="2" s="1"/>
  <c r="AH198" i="2"/>
  <c r="AG198" i="2"/>
  <c r="AD198" i="2"/>
  <c r="AC198" i="2"/>
  <c r="Z198" i="2"/>
  <c r="Y198" i="2"/>
  <c r="BB197" i="2"/>
  <c r="AL197" i="2"/>
  <c r="AK197" i="2"/>
  <c r="AH197" i="2"/>
  <c r="AG197" i="2"/>
  <c r="AD197" i="2"/>
  <c r="AC197" i="2"/>
  <c r="Z197" i="2"/>
  <c r="Y197" i="2"/>
  <c r="BB196" i="2"/>
  <c r="AL196" i="2"/>
  <c r="AK196" i="2"/>
  <c r="AH196" i="2"/>
  <c r="AG196" i="2"/>
  <c r="AD196" i="2"/>
  <c r="AC196" i="2"/>
  <c r="Z196" i="2"/>
  <c r="Y196" i="2"/>
  <c r="BB195" i="2"/>
  <c r="AL195" i="2"/>
  <c r="AJ195" i="2"/>
  <c r="AK195" i="2" s="1"/>
  <c r="AF195" i="2"/>
  <c r="AG195" i="2" s="1"/>
  <c r="AH195" i="2" s="1"/>
  <c r="AD195" i="2"/>
  <c r="AC195" i="2"/>
  <c r="X195" i="2"/>
  <c r="Y195" i="2" s="1"/>
  <c r="Z195" i="2" s="1"/>
  <c r="BB194" i="2"/>
  <c r="AK194" i="2"/>
  <c r="AL194" i="2" s="1"/>
  <c r="AG194" i="2"/>
  <c r="AH194" i="2" s="1"/>
  <c r="AC194" i="2"/>
  <c r="AD194" i="2" s="1"/>
  <c r="Y194" i="2"/>
  <c r="Z194" i="2" s="1"/>
  <c r="BB193" i="2"/>
  <c r="AK193" i="2"/>
  <c r="AL193" i="2" s="1"/>
  <c r="AJ193" i="2"/>
  <c r="AF193" i="2"/>
  <c r="AG193" i="2" s="1"/>
  <c r="AH193" i="2" s="1"/>
  <c r="AC193" i="2"/>
  <c r="AD193" i="2" s="1"/>
  <c r="X193" i="2"/>
  <c r="Y193" i="2" s="1"/>
  <c r="Z193" i="2" s="1"/>
  <c r="BB192" i="2"/>
  <c r="AL192" i="2"/>
  <c r="AK192" i="2"/>
  <c r="AG192" i="2"/>
  <c r="AH192" i="2" s="1"/>
  <c r="AD192" i="2"/>
  <c r="AC192" i="2"/>
  <c r="Z192" i="2"/>
  <c r="Y192" i="2"/>
  <c r="BB191" i="2"/>
  <c r="AL191" i="2"/>
  <c r="AK191" i="2"/>
  <c r="AH191" i="2"/>
  <c r="AG191" i="2"/>
  <c r="AD191" i="2"/>
  <c r="AC191" i="2"/>
  <c r="Z191" i="2"/>
  <c r="Y191" i="2"/>
  <c r="BB190" i="2"/>
  <c r="AL190" i="2"/>
  <c r="AK190" i="2"/>
  <c r="AH190" i="2"/>
  <c r="AG190" i="2"/>
  <c r="AD190" i="2"/>
  <c r="AC190" i="2"/>
  <c r="Z190" i="2"/>
  <c r="Y190" i="2"/>
  <c r="BB189" i="2"/>
  <c r="AL189" i="2"/>
  <c r="AK189" i="2"/>
  <c r="AH189" i="2"/>
  <c r="AG189" i="2"/>
  <c r="AD189" i="2"/>
  <c r="AC189" i="2"/>
  <c r="Y189" i="2"/>
  <c r="Z189" i="2" s="1"/>
  <c r="BB188" i="2"/>
  <c r="AL188" i="2"/>
  <c r="AK188" i="2"/>
  <c r="AG188" i="2"/>
  <c r="AH188" i="2" s="1"/>
  <c r="AD188" i="2"/>
  <c r="AC188" i="2"/>
  <c r="Z188" i="2"/>
  <c r="Y188" i="2"/>
  <c r="BB187" i="2"/>
  <c r="AJ187" i="2"/>
  <c r="AK187" i="2" s="1"/>
  <c r="AL187" i="2" s="1"/>
  <c r="AG187" i="2"/>
  <c r="AH187" i="2" s="1"/>
  <c r="AF187" i="2"/>
  <c r="AD187" i="2"/>
  <c r="AC187" i="2"/>
  <c r="Z187" i="2"/>
  <c r="Y187" i="2"/>
  <c r="BB186" i="2"/>
  <c r="AL186" i="2"/>
  <c r="AK186" i="2"/>
  <c r="AH186" i="2"/>
  <c r="AG186" i="2"/>
  <c r="AD186" i="2"/>
  <c r="AC186" i="2"/>
  <c r="Z186" i="2"/>
  <c r="Y186" i="2"/>
  <c r="BB185" i="2"/>
  <c r="AL185" i="2"/>
  <c r="AJ185" i="2"/>
  <c r="AK185" i="2" s="1"/>
  <c r="AF185" i="2"/>
  <c r="AG185" i="2" s="1"/>
  <c r="AH185" i="2" s="1"/>
  <c r="AD185" i="2"/>
  <c r="AC185" i="2"/>
  <c r="Z185" i="2"/>
  <c r="Y185" i="2"/>
  <c r="BB184" i="2"/>
  <c r="AL184" i="2"/>
  <c r="AK184" i="2"/>
  <c r="AH184" i="2"/>
  <c r="AG184" i="2"/>
  <c r="AD184" i="2"/>
  <c r="AC184" i="2"/>
  <c r="Z184" i="2"/>
  <c r="Y184" i="2"/>
  <c r="BB183" i="2"/>
  <c r="AL183" i="2"/>
  <c r="AJ183" i="2"/>
  <c r="AK183" i="2" s="1"/>
  <c r="AG183" i="2"/>
  <c r="AH183" i="2" s="1"/>
  <c r="AF183" i="2"/>
  <c r="AD183" i="2"/>
  <c r="AC183" i="2"/>
  <c r="Z183" i="2"/>
  <c r="Y183" i="2"/>
  <c r="BB182" i="2"/>
  <c r="AL182" i="2"/>
  <c r="AK182" i="2"/>
  <c r="AH182" i="2"/>
  <c r="AG182" i="2"/>
  <c r="AC182" i="2"/>
  <c r="AD182" i="2" s="1"/>
  <c r="Z182" i="2"/>
  <c r="Y182" i="2"/>
  <c r="BB181" i="2"/>
  <c r="AK181" i="2"/>
  <c r="AL181" i="2" s="1"/>
  <c r="AJ181" i="2"/>
  <c r="AG181" i="2"/>
  <c r="AH181" i="2" s="1"/>
  <c r="AF181" i="2"/>
  <c r="AD181" i="2"/>
  <c r="AC181" i="2"/>
  <c r="Z181" i="2"/>
  <c r="Y181" i="2"/>
  <c r="BB180" i="2"/>
  <c r="AL180" i="2"/>
  <c r="AK180" i="2"/>
  <c r="AH180" i="2"/>
  <c r="AG180" i="2"/>
  <c r="AD180" i="2"/>
  <c r="AC180" i="2"/>
  <c r="Z180" i="2"/>
  <c r="Y180" i="2"/>
  <c r="BB179" i="2"/>
  <c r="AL179" i="2"/>
  <c r="AK179" i="2"/>
  <c r="AH179" i="2"/>
  <c r="AG179" i="2"/>
  <c r="AD179" i="2"/>
  <c r="AC179" i="2"/>
  <c r="Y179" i="2"/>
  <c r="Z179" i="2" s="1"/>
  <c r="BB178" i="2"/>
  <c r="AL178" i="2"/>
  <c r="AK178" i="2"/>
  <c r="AG178" i="2"/>
  <c r="AH178" i="2" s="1"/>
  <c r="AD178" i="2"/>
  <c r="AC178" i="2"/>
  <c r="Z178" i="2"/>
  <c r="Y178" i="2"/>
  <c r="BB177" i="2"/>
  <c r="AJ177" i="2"/>
  <c r="AK177" i="2" s="1"/>
  <c r="AL177" i="2" s="1"/>
  <c r="AG177" i="2"/>
  <c r="AH177" i="2" s="1"/>
  <c r="AF177" i="2"/>
  <c r="AD177" i="2"/>
  <c r="AC177" i="2"/>
  <c r="Z177" i="2"/>
  <c r="Y177" i="2"/>
  <c r="BB176" i="2"/>
  <c r="AL176" i="2"/>
  <c r="AK176" i="2"/>
  <c r="AH176" i="2"/>
  <c r="AG176" i="2"/>
  <c r="AD176" i="2"/>
  <c r="AC176" i="2"/>
  <c r="Z176" i="2"/>
  <c r="Y176" i="2"/>
  <c r="BB175" i="2"/>
  <c r="AL175" i="2"/>
  <c r="AJ175" i="2"/>
  <c r="AK175" i="2" s="1"/>
  <c r="AF175" i="2"/>
  <c r="AG175" i="2" s="1"/>
  <c r="AH175" i="2" s="1"/>
  <c r="AD175" i="2"/>
  <c r="AC175" i="2"/>
  <c r="Z175" i="2"/>
  <c r="Y175" i="2"/>
  <c r="BB174" i="2"/>
  <c r="AL174" i="2"/>
  <c r="AK174" i="2"/>
  <c r="AH174" i="2"/>
  <c r="AG174" i="2"/>
  <c r="AD174" i="2"/>
  <c r="AC174" i="2"/>
  <c r="Z174" i="2"/>
  <c r="Y174" i="2"/>
  <c r="BB173" i="2"/>
  <c r="AL173" i="2"/>
  <c r="AK173" i="2"/>
  <c r="AH173" i="2"/>
  <c r="AG173" i="2"/>
  <c r="AD173" i="2"/>
  <c r="AC173" i="2"/>
  <c r="Z173" i="2"/>
  <c r="Y173" i="2"/>
  <c r="BB172" i="2"/>
  <c r="AL172" i="2"/>
  <c r="AK172" i="2"/>
  <c r="AH172" i="2"/>
  <c r="AG172" i="2"/>
  <c r="AD172" i="2"/>
  <c r="AC172" i="2"/>
  <c r="Y172" i="2"/>
  <c r="Z172" i="2" s="1"/>
  <c r="BB171" i="2"/>
  <c r="AL171" i="2"/>
  <c r="AJ171" i="2"/>
  <c r="AK171" i="2" s="1"/>
  <c r="AH171" i="2"/>
  <c r="AG171" i="2"/>
  <c r="AF171" i="2"/>
  <c r="AD171" i="2"/>
  <c r="AC171" i="2"/>
  <c r="Z171" i="2"/>
  <c r="Y171" i="2"/>
  <c r="BB170" i="2"/>
  <c r="AL170" i="2"/>
  <c r="AK170" i="2"/>
  <c r="AH170" i="2"/>
  <c r="AG170" i="2"/>
  <c r="AD170" i="2"/>
  <c r="AC170" i="2"/>
  <c r="Z170" i="2"/>
  <c r="Y170" i="2"/>
  <c r="BB169" i="2"/>
  <c r="AK169" i="2"/>
  <c r="AL169" i="2" s="1"/>
  <c r="AJ169" i="2"/>
  <c r="AF169" i="2"/>
  <c r="AG169" i="2" s="1"/>
  <c r="AH169" i="2" s="1"/>
  <c r="AC169" i="2"/>
  <c r="AD169" i="2" s="1"/>
  <c r="Y169" i="2"/>
  <c r="Z169" i="2" s="1"/>
  <c r="BB168" i="2"/>
  <c r="AL168" i="2"/>
  <c r="AK168" i="2"/>
  <c r="AH168" i="2"/>
  <c r="AG168" i="2"/>
  <c r="AD168" i="2"/>
  <c r="AC168" i="2"/>
  <c r="Z168" i="2"/>
  <c r="Y168" i="2"/>
  <c r="BB167" i="2"/>
  <c r="AJ167" i="2"/>
  <c r="AK167" i="2" s="1"/>
  <c r="AL167" i="2" s="1"/>
  <c r="AG167" i="2"/>
  <c r="AH167" i="2" s="1"/>
  <c r="AF167" i="2"/>
  <c r="AD167" i="2"/>
  <c r="AC167" i="2"/>
  <c r="Z167" i="2"/>
  <c r="Y167" i="2"/>
  <c r="BB166" i="2"/>
  <c r="AL166" i="2"/>
  <c r="AK166" i="2"/>
  <c r="AH166" i="2"/>
  <c r="AG166" i="2"/>
  <c r="AD166" i="2"/>
  <c r="AC166" i="2"/>
  <c r="Z166" i="2"/>
  <c r="Y166" i="2"/>
  <c r="AL165" i="2"/>
  <c r="AK165" i="2"/>
  <c r="AH165" i="2"/>
  <c r="AG165" i="2"/>
  <c r="AD165" i="2"/>
  <c r="AC165" i="2"/>
  <c r="Y165" i="2"/>
  <c r="Z165" i="2" s="1"/>
  <c r="BB164" i="2"/>
  <c r="AL164" i="2"/>
  <c r="AK164" i="2"/>
  <c r="AH164" i="2"/>
  <c r="AG164" i="2"/>
  <c r="AD164" i="2"/>
  <c r="AC164" i="2"/>
  <c r="Z164" i="2"/>
  <c r="Y164" i="2"/>
  <c r="BB163" i="2"/>
  <c r="AJ163" i="2"/>
  <c r="AK163" i="2" s="1"/>
  <c r="AL163" i="2" s="1"/>
  <c r="AG163" i="2"/>
  <c r="AH163" i="2" s="1"/>
  <c r="AF163" i="2"/>
  <c r="AD163" i="2"/>
  <c r="AC163" i="2"/>
  <c r="Z163" i="2"/>
  <c r="Y163" i="2"/>
  <c r="BB162" i="2"/>
  <c r="AL162" i="2"/>
  <c r="AK162" i="2"/>
  <c r="AH162" i="2"/>
  <c r="AG162" i="2"/>
  <c r="AD162" i="2"/>
  <c r="AC162" i="2"/>
  <c r="Z162" i="2"/>
  <c r="Y162" i="2"/>
  <c r="BB161" i="2"/>
  <c r="AL161" i="2"/>
  <c r="AK161" i="2"/>
  <c r="AH161" i="2"/>
  <c r="AG161" i="2"/>
  <c r="AC161" i="2"/>
  <c r="AD161" i="2" s="1"/>
  <c r="Z161" i="2"/>
  <c r="Y161" i="2"/>
  <c r="BB160" i="2"/>
  <c r="AL160" i="2"/>
  <c r="AK160" i="2"/>
  <c r="AH160" i="2"/>
  <c r="AG160" i="2"/>
  <c r="AD160" i="2"/>
  <c r="AC160" i="2"/>
  <c r="Z160" i="2"/>
  <c r="Y160" i="2"/>
  <c r="BB159" i="2"/>
  <c r="AL159" i="2"/>
  <c r="AK159" i="2"/>
  <c r="AH159" i="2"/>
  <c r="AG159" i="2"/>
  <c r="AD159" i="2"/>
  <c r="AC159" i="2"/>
  <c r="Z159" i="2"/>
  <c r="Y159" i="2"/>
  <c r="BB158" i="2"/>
  <c r="AL158" i="2"/>
  <c r="AK158" i="2"/>
  <c r="AH158" i="2"/>
  <c r="AG158" i="2"/>
  <c r="AD158" i="2"/>
  <c r="AC158" i="2"/>
  <c r="Z158" i="2"/>
  <c r="Y158" i="2"/>
  <c r="BB157" i="2"/>
  <c r="AJ157" i="2"/>
  <c r="AK157" i="2" s="1"/>
  <c r="AL157" i="2" s="1"/>
  <c r="AF157" i="2"/>
  <c r="AG157" i="2" s="1"/>
  <c r="AH157" i="2" s="1"/>
  <c r="AD157" i="2"/>
  <c r="AC157" i="2"/>
  <c r="Z157" i="2"/>
  <c r="Y157" i="2"/>
  <c r="BB156" i="2"/>
  <c r="AL156" i="2"/>
  <c r="AK156" i="2"/>
  <c r="AH156" i="2"/>
  <c r="AG156" i="2"/>
  <c r="AD156" i="2"/>
  <c r="AC156" i="2"/>
  <c r="Z156" i="2"/>
  <c r="Y156" i="2"/>
  <c r="BB155" i="2"/>
  <c r="AL155" i="2"/>
  <c r="AJ155" i="2"/>
  <c r="AK155" i="2" s="1"/>
  <c r="AG155" i="2"/>
  <c r="AH155" i="2" s="1"/>
  <c r="AF155" i="2"/>
  <c r="AD155" i="2"/>
  <c r="AC155" i="2"/>
  <c r="Z155" i="2"/>
  <c r="Y155" i="2"/>
  <c r="BB154" i="2"/>
  <c r="AL154" i="2"/>
  <c r="AK154" i="2"/>
  <c r="AH154" i="2"/>
  <c r="AG154" i="2"/>
  <c r="AC154" i="2"/>
  <c r="AD154" i="2" s="1"/>
  <c r="Z154" i="2"/>
  <c r="Y154" i="2"/>
  <c r="BB153" i="2"/>
  <c r="AL153" i="2"/>
  <c r="AK153" i="2"/>
  <c r="AJ153" i="2"/>
  <c r="AG153" i="2"/>
  <c r="AH153" i="2" s="1"/>
  <c r="AF153" i="2"/>
  <c r="AD153" i="2"/>
  <c r="AC153" i="2"/>
  <c r="Z153" i="2"/>
  <c r="Y153" i="2"/>
  <c r="BB152" i="2"/>
  <c r="AL152" i="2"/>
  <c r="AK152" i="2"/>
  <c r="AH152" i="2"/>
  <c r="AG152" i="2"/>
  <c r="AC152" i="2"/>
  <c r="AD152" i="2" s="1"/>
  <c r="Z152" i="2"/>
  <c r="Y152" i="2"/>
  <c r="BB151" i="2"/>
  <c r="AL151" i="2"/>
  <c r="AK151" i="2"/>
  <c r="AH151" i="2"/>
  <c r="AG151" i="2"/>
  <c r="AD151" i="2"/>
  <c r="AC151" i="2"/>
  <c r="Y151" i="2"/>
  <c r="Z151" i="2" s="1"/>
  <c r="BB150" i="2"/>
  <c r="AL150" i="2"/>
  <c r="AK150" i="2"/>
  <c r="AH150" i="2"/>
  <c r="AG150" i="2"/>
  <c r="AD150" i="2"/>
  <c r="AC150" i="2"/>
  <c r="Z150" i="2"/>
  <c r="Y150" i="2"/>
  <c r="BB149" i="2"/>
  <c r="AL149" i="2"/>
  <c r="AK149" i="2"/>
  <c r="AH149" i="2"/>
  <c r="AG149" i="2"/>
  <c r="AD149" i="2"/>
  <c r="AC149" i="2"/>
  <c r="Z149" i="2"/>
  <c r="Y149" i="2"/>
  <c r="BB148" i="2"/>
  <c r="AL148" i="2"/>
  <c r="AK148" i="2"/>
  <c r="AH148" i="2"/>
  <c r="AG148" i="2"/>
  <c r="AC148" i="2"/>
  <c r="AD148" i="2" s="1"/>
  <c r="Z148" i="2"/>
  <c r="Y148" i="2"/>
  <c r="BB147" i="2"/>
  <c r="AK147" i="2"/>
  <c r="AL147" i="2" s="1"/>
  <c r="AJ147" i="2"/>
  <c r="AH147" i="2"/>
  <c r="AG147" i="2"/>
  <c r="AF147" i="2"/>
  <c r="AD147" i="2"/>
  <c r="AC147" i="2"/>
  <c r="Z147" i="2"/>
  <c r="Y147" i="2"/>
  <c r="BB146" i="2"/>
  <c r="AL146" i="2"/>
  <c r="AK146" i="2"/>
  <c r="AH146" i="2"/>
  <c r="AG146" i="2"/>
  <c r="AD146" i="2"/>
  <c r="AC146" i="2"/>
  <c r="Z146" i="2"/>
  <c r="Y146" i="2"/>
  <c r="BB145" i="2"/>
  <c r="AJ145" i="2"/>
  <c r="AK145" i="2" s="1"/>
  <c r="AL145" i="2" s="1"/>
  <c r="AG145" i="2"/>
  <c r="AH145" i="2" s="1"/>
  <c r="AF145" i="2"/>
  <c r="AC145" i="2"/>
  <c r="AD145" i="2" s="1"/>
  <c r="Z145" i="2"/>
  <c r="Y145" i="2"/>
  <c r="BB144" i="2"/>
  <c r="AL144" i="2"/>
  <c r="AK144" i="2"/>
  <c r="AG144" i="2"/>
  <c r="AH144" i="2" s="1"/>
  <c r="AC144" i="2"/>
  <c r="AD144" i="2" s="1"/>
  <c r="Y144" i="2"/>
  <c r="Z144" i="2" s="1"/>
  <c r="BB143" i="2"/>
  <c r="AK143" i="2"/>
  <c r="AL143" i="2" s="1"/>
  <c r="AG143" i="2"/>
  <c r="AH143" i="2" s="1"/>
  <c r="AC143" i="2"/>
  <c r="AD143" i="2" s="1"/>
  <c r="Y143" i="2"/>
  <c r="Z143" i="2" s="1"/>
  <c r="BB142" i="2"/>
  <c r="AL142" i="2"/>
  <c r="AK142" i="2"/>
  <c r="AH142" i="2"/>
  <c r="AG142" i="2"/>
  <c r="AD142" i="2"/>
  <c r="AC142" i="2"/>
  <c r="Z142" i="2"/>
  <c r="Y142" i="2"/>
  <c r="BB141" i="2"/>
  <c r="AL141" i="2"/>
  <c r="AK141" i="2"/>
  <c r="AH141" i="2"/>
  <c r="AG141" i="2"/>
  <c r="AD141" i="2"/>
  <c r="AC141" i="2"/>
  <c r="Y141" i="2"/>
  <c r="Z141" i="2" s="1"/>
  <c r="BB140" i="2"/>
  <c r="AL140" i="2"/>
  <c r="AK140" i="2"/>
  <c r="AG140" i="2"/>
  <c r="AH140" i="2" s="1"/>
  <c r="AD140" i="2"/>
  <c r="AC140" i="2"/>
  <c r="Y140" i="2"/>
  <c r="Z140" i="2" s="1"/>
  <c r="BB139" i="2"/>
  <c r="AK139" i="2"/>
  <c r="AL139" i="2" s="1"/>
  <c r="AH139" i="2"/>
  <c r="AG139" i="2"/>
  <c r="AC139" i="2"/>
  <c r="AD139" i="2" s="1"/>
  <c r="Z139" i="2"/>
  <c r="Y139" i="2"/>
  <c r="BB138" i="2"/>
  <c r="AK138" i="2"/>
  <c r="AL138" i="2" s="1"/>
  <c r="AH138" i="2"/>
  <c r="AG138" i="2"/>
  <c r="AD138" i="2"/>
  <c r="AC138" i="2"/>
  <c r="Z138" i="2"/>
  <c r="Y138" i="2"/>
  <c r="BB137" i="2"/>
  <c r="AJ137" i="2"/>
  <c r="AK137" i="2" s="1"/>
  <c r="AL137" i="2" s="1"/>
  <c r="AG137" i="2"/>
  <c r="AH137" i="2" s="1"/>
  <c r="AF137" i="2"/>
  <c r="AD137" i="2"/>
  <c r="AC137" i="2"/>
  <c r="Y137" i="2"/>
  <c r="Z137" i="2" s="1"/>
  <c r="BB136" i="2"/>
  <c r="AL136" i="2"/>
  <c r="AK136" i="2"/>
  <c r="AG136" i="2"/>
  <c r="AH136" i="2" s="1"/>
  <c r="AD136" i="2"/>
  <c r="AC136" i="2"/>
  <c r="Y136" i="2"/>
  <c r="Z136" i="2" s="1"/>
  <c r="BB135" i="2"/>
  <c r="AL135" i="2"/>
  <c r="AK135" i="2"/>
  <c r="AG135" i="2"/>
  <c r="AH135" i="2" s="1"/>
  <c r="AD135" i="2"/>
  <c r="AC135" i="2"/>
  <c r="Z135" i="2"/>
  <c r="Y135" i="2"/>
  <c r="BB134" i="2"/>
  <c r="AL134" i="2"/>
  <c r="AK134" i="2"/>
  <c r="AH134" i="2"/>
  <c r="AG134" i="2"/>
  <c r="AD134" i="2"/>
  <c r="AC134" i="2"/>
  <c r="Y134" i="2"/>
  <c r="Z134" i="2" s="1"/>
  <c r="BB133" i="2"/>
  <c r="AL133" i="2"/>
  <c r="AK133" i="2"/>
  <c r="AG133" i="2"/>
  <c r="AH133" i="2" s="1"/>
  <c r="AD133" i="2"/>
  <c r="AC133" i="2"/>
  <c r="Y133" i="2"/>
  <c r="Z133" i="2" s="1"/>
  <c r="BB132" i="2"/>
  <c r="AL132" i="2"/>
  <c r="AK132" i="2"/>
  <c r="AG132" i="2"/>
  <c r="AH132" i="2" s="1"/>
  <c r="AD132" i="2"/>
  <c r="AC132" i="2"/>
  <c r="Y132" i="2"/>
  <c r="Z132" i="2" s="1"/>
  <c r="AL131" i="2"/>
  <c r="AK131" i="2"/>
  <c r="AG131" i="2"/>
  <c r="AH131" i="2" s="1"/>
  <c r="AD131" i="2"/>
  <c r="AC131" i="2"/>
  <c r="Z131" i="2"/>
  <c r="Y131" i="2"/>
  <c r="BB130" i="2"/>
  <c r="AL130" i="2"/>
  <c r="AK130" i="2"/>
  <c r="AH130" i="2"/>
  <c r="AG130" i="2"/>
  <c r="AD130" i="2"/>
  <c r="AC130" i="2"/>
  <c r="Z130" i="2"/>
  <c r="Y130" i="2"/>
  <c r="BB129" i="2"/>
  <c r="AJ129" i="2"/>
  <c r="AK129" i="2" s="1"/>
  <c r="AL129" i="2" s="1"/>
  <c r="AH129" i="2"/>
  <c r="AG129" i="2"/>
  <c r="AC129" i="2"/>
  <c r="AD129" i="2" s="1"/>
  <c r="Z129" i="2"/>
  <c r="Y129" i="2"/>
  <c r="BB128" i="2"/>
  <c r="AK128" i="2"/>
  <c r="AL128" i="2" s="1"/>
  <c r="AH128" i="2"/>
  <c r="AG128" i="2"/>
  <c r="AC128" i="2"/>
  <c r="AD128" i="2" s="1"/>
  <c r="Y128" i="2"/>
  <c r="Z128" i="2" s="1"/>
  <c r="BB127" i="2"/>
  <c r="AK127" i="2"/>
  <c r="AL127" i="2" s="1"/>
  <c r="AG127" i="2"/>
  <c r="AH127" i="2" s="1"/>
  <c r="AC127" i="2"/>
  <c r="AD127" i="2" s="1"/>
  <c r="Y127" i="2"/>
  <c r="Z127" i="2" s="1"/>
  <c r="BB126" i="2"/>
  <c r="AK126" i="2"/>
  <c r="AL126" i="2" s="1"/>
  <c r="AG126" i="2"/>
  <c r="AH126" i="2" s="1"/>
  <c r="AC126" i="2"/>
  <c r="AD126" i="2" s="1"/>
  <c r="Z126" i="2"/>
  <c r="Y126" i="2"/>
  <c r="BB125" i="2"/>
  <c r="AK125" i="2"/>
  <c r="AL125" i="2" s="1"/>
  <c r="AH125" i="2"/>
  <c r="AG125" i="2"/>
  <c r="AC125" i="2"/>
  <c r="AD125" i="2" s="1"/>
  <c r="Z125" i="2"/>
  <c r="Y125" i="2"/>
  <c r="BB124" i="2"/>
  <c r="AK124" i="2"/>
  <c r="AL124" i="2" s="1"/>
  <c r="AH124" i="2"/>
  <c r="AG124" i="2"/>
  <c r="AC124" i="2"/>
  <c r="AD124" i="2" s="1"/>
  <c r="Y124" i="2"/>
  <c r="Z124" i="2" s="1"/>
  <c r="BB123" i="2"/>
  <c r="AK123" i="2"/>
  <c r="AL123" i="2" s="1"/>
  <c r="AG123" i="2"/>
  <c r="AH123" i="2" s="1"/>
  <c r="AC123" i="2"/>
  <c r="AD123" i="2" s="1"/>
  <c r="Y123" i="2"/>
  <c r="Z123" i="2" s="1"/>
  <c r="BB122" i="2"/>
  <c r="AK122" i="2"/>
  <c r="AL122" i="2" s="1"/>
  <c r="AG122" i="2"/>
  <c r="AH122" i="2" s="1"/>
  <c r="AC122" i="2"/>
  <c r="AD122" i="2" s="1"/>
  <c r="Z122" i="2"/>
  <c r="Y122" i="2"/>
  <c r="BB121" i="2"/>
  <c r="AJ121" i="2"/>
  <c r="AK121" i="2" s="1"/>
  <c r="AL121" i="2" s="1"/>
  <c r="AF121" i="2"/>
  <c r="AG121" i="2" s="1"/>
  <c r="AH121" i="2" s="1"/>
  <c r="AD121" i="2"/>
  <c r="AC121" i="2"/>
  <c r="Y121" i="2"/>
  <c r="Z121" i="2" s="1"/>
  <c r="BB120" i="2"/>
  <c r="AL120" i="2"/>
  <c r="AK120" i="2"/>
  <c r="AG120" i="2"/>
  <c r="AH120" i="2" s="1"/>
  <c r="AC120" i="2"/>
  <c r="AD120" i="2" s="1"/>
  <c r="Y120" i="2"/>
  <c r="Z120" i="2" s="1"/>
  <c r="BB119" i="2"/>
  <c r="AK119" i="2"/>
  <c r="AL119" i="2" s="1"/>
  <c r="AJ119" i="2"/>
  <c r="AF119" i="2"/>
  <c r="AG119" i="2" s="1"/>
  <c r="AH119" i="2" s="1"/>
  <c r="AC119" i="2"/>
  <c r="AD119" i="2" s="1"/>
  <c r="Z119" i="2"/>
  <c r="Y119" i="2"/>
  <c r="BB118" i="2"/>
  <c r="AK118" i="2"/>
  <c r="AL118" i="2" s="1"/>
  <c r="AH118" i="2"/>
  <c r="AG118" i="2"/>
  <c r="AC118" i="2"/>
  <c r="AD118" i="2" s="1"/>
  <c r="Z118" i="2"/>
  <c r="Y118" i="2"/>
  <c r="BB117" i="2"/>
  <c r="AJ117" i="2"/>
  <c r="AK117" i="2" s="1"/>
  <c r="AL117" i="2" s="1"/>
  <c r="AF117" i="2"/>
  <c r="AG117" i="2" s="1"/>
  <c r="AH117" i="2" s="1"/>
  <c r="AC117" i="2"/>
  <c r="AD117" i="2" s="1"/>
  <c r="Y117" i="2"/>
  <c r="Z117" i="2" s="1"/>
  <c r="BB116" i="2"/>
  <c r="AK116" i="2"/>
  <c r="AL116" i="2" s="1"/>
  <c r="AG116" i="2"/>
  <c r="AH116" i="2" s="1"/>
  <c r="AC116" i="2"/>
  <c r="AD116" i="2" s="1"/>
  <c r="Y116" i="2"/>
  <c r="Z116" i="2" s="1"/>
  <c r="BB115" i="2"/>
  <c r="AK115" i="2"/>
  <c r="AL115" i="2" s="1"/>
  <c r="AG115" i="2"/>
  <c r="AH115" i="2" s="1"/>
  <c r="AD115" i="2"/>
  <c r="AC115" i="2"/>
  <c r="Y115" i="2"/>
  <c r="Z115" i="2" s="1"/>
  <c r="BB114" i="2"/>
  <c r="AL114" i="2"/>
  <c r="AK114" i="2"/>
  <c r="AG114" i="2"/>
  <c r="AH114" i="2" s="1"/>
  <c r="AD114" i="2"/>
  <c r="AC114" i="2"/>
  <c r="Y114" i="2"/>
  <c r="Z114" i="2" s="1"/>
  <c r="BB113" i="2"/>
  <c r="AL113" i="2"/>
  <c r="AK113" i="2"/>
  <c r="AJ113" i="2"/>
  <c r="AF113" i="2"/>
  <c r="AG113" i="2" s="1"/>
  <c r="AH113" i="2" s="1"/>
  <c r="AC113" i="2"/>
  <c r="AD113" i="2" s="1"/>
  <c r="Y113" i="2"/>
  <c r="Z113" i="2" s="1"/>
  <c r="BB112" i="2"/>
  <c r="AM112" i="2"/>
  <c r="AK112" i="2"/>
  <c r="AL112" i="2" s="1"/>
  <c r="AG112" i="2"/>
  <c r="AH112" i="2" s="1"/>
  <c r="AC112" i="2"/>
  <c r="AD112" i="2" s="1"/>
  <c r="Z112" i="2"/>
  <c r="Y112" i="2"/>
  <c r="BB111" i="2"/>
  <c r="AK111" i="2"/>
  <c r="AL111" i="2" s="1"/>
  <c r="AJ111" i="2"/>
  <c r="AF111" i="2"/>
  <c r="AG111" i="2" s="1"/>
  <c r="AH111" i="2" s="1"/>
  <c r="AD111" i="2"/>
  <c r="AC111" i="2"/>
  <c r="Y111" i="2"/>
  <c r="Z111" i="2" s="1"/>
  <c r="BB110" i="2"/>
  <c r="AL110" i="2"/>
  <c r="AK110" i="2"/>
  <c r="AG110" i="2"/>
  <c r="AH110" i="2" s="1"/>
  <c r="AC110" i="2"/>
  <c r="AD110" i="2" s="1"/>
  <c r="Y110" i="2"/>
  <c r="Z110" i="2" s="1"/>
  <c r="BB109" i="2"/>
  <c r="AK109" i="2"/>
  <c r="AL109" i="2" s="1"/>
  <c r="AG109" i="2"/>
  <c r="AH109" i="2" s="1"/>
  <c r="AC109" i="2"/>
  <c r="AD109" i="2" s="1"/>
  <c r="Y109" i="2"/>
  <c r="Z109" i="2" s="1"/>
  <c r="BB108" i="2"/>
  <c r="AK108" i="2"/>
  <c r="AL108" i="2" s="1"/>
  <c r="AG108" i="2"/>
  <c r="AH108" i="2" s="1"/>
  <c r="AD108" i="2"/>
  <c r="AC108" i="2"/>
  <c r="Y108" i="2"/>
  <c r="Z108" i="2" s="1"/>
  <c r="BB107" i="2"/>
  <c r="AS107" i="2"/>
  <c r="AK107" i="2"/>
  <c r="AL107" i="2" s="1"/>
  <c r="AG107" i="2"/>
  <c r="AH107" i="2" s="1"/>
  <c r="AD107" i="2"/>
  <c r="AC107" i="2"/>
  <c r="Y107" i="2"/>
  <c r="Z107" i="2" s="1"/>
  <c r="BB106" i="2"/>
  <c r="AL106" i="2"/>
  <c r="AK106" i="2"/>
  <c r="AG106" i="2"/>
  <c r="AH106" i="2" s="1"/>
  <c r="AC106" i="2"/>
  <c r="AD106" i="2" s="1"/>
  <c r="Y106" i="2"/>
  <c r="Z106" i="2" s="1"/>
  <c r="BB105" i="2"/>
  <c r="AK105" i="2"/>
  <c r="AL105" i="2" s="1"/>
  <c r="AG105" i="2"/>
  <c r="AH105" i="2" s="1"/>
  <c r="AC105" i="2"/>
  <c r="AD105" i="2" s="1"/>
  <c r="Y105" i="2"/>
  <c r="Z105" i="2" s="1"/>
  <c r="BB104" i="2"/>
  <c r="AK104" i="2"/>
  <c r="AL104" i="2" s="1"/>
  <c r="AG104" i="2"/>
  <c r="AH104" i="2" s="1"/>
  <c r="AC104" i="2"/>
  <c r="AD104" i="2" s="1"/>
  <c r="Y104" i="2"/>
  <c r="Z104" i="2" s="1"/>
  <c r="BB103" i="2"/>
  <c r="AK103" i="2"/>
  <c r="AL103" i="2" s="1"/>
  <c r="AJ103" i="2"/>
  <c r="AF103" i="2"/>
  <c r="AG103" i="2" s="1"/>
  <c r="AH103" i="2" s="1"/>
  <c r="AC103" i="2"/>
  <c r="AD103" i="2" s="1"/>
  <c r="Y103" i="2"/>
  <c r="Z103" i="2" s="1"/>
  <c r="BB102" i="2"/>
  <c r="AK102" i="2"/>
  <c r="AL102" i="2" s="1"/>
  <c r="AH102" i="2"/>
  <c r="AG102" i="2"/>
  <c r="AC102" i="2"/>
  <c r="AD102" i="2" s="1"/>
  <c r="Y102" i="2"/>
  <c r="Z102" i="2" s="1"/>
  <c r="BB101" i="2"/>
  <c r="AK101" i="2"/>
  <c r="AL101" i="2" s="1"/>
  <c r="AG101" i="2"/>
  <c r="AH101" i="2" s="1"/>
  <c r="AC101" i="2"/>
  <c r="AD101" i="2" s="1"/>
  <c r="Y101" i="2"/>
  <c r="Z101" i="2" s="1"/>
  <c r="BB100" i="2"/>
  <c r="AK100" i="2"/>
  <c r="AL100" i="2" s="1"/>
  <c r="AH100" i="2"/>
  <c r="AG100" i="2"/>
  <c r="AC100" i="2"/>
  <c r="AD100" i="2" s="1"/>
  <c r="Y100" i="2"/>
  <c r="Z100" i="2" s="1"/>
  <c r="BB99" i="2"/>
  <c r="AJ99" i="2"/>
  <c r="AK99" i="2" s="1"/>
  <c r="AL99" i="2" s="1"/>
  <c r="AF99" i="2"/>
  <c r="AG99" i="2" s="1"/>
  <c r="AH99" i="2" s="1"/>
  <c r="AC99" i="2"/>
  <c r="AD99" i="2" s="1"/>
  <c r="Z99" i="2"/>
  <c r="Y99" i="2"/>
  <c r="BB98" i="2"/>
  <c r="AL98" i="2"/>
  <c r="AK98" i="2"/>
  <c r="AG98" i="2"/>
  <c r="AH98" i="2" s="1"/>
  <c r="AC98" i="2"/>
  <c r="AD98" i="2" s="1"/>
  <c r="Y98" i="2"/>
  <c r="Z98" i="2" s="1"/>
  <c r="BB97" i="2"/>
  <c r="AK97" i="2"/>
  <c r="AL97" i="2" s="1"/>
  <c r="AJ97" i="2"/>
  <c r="AF97" i="2"/>
  <c r="AG97" i="2" s="1"/>
  <c r="AH97" i="2" s="1"/>
  <c r="AC97" i="2"/>
  <c r="AD97" i="2" s="1"/>
  <c r="Y97" i="2"/>
  <c r="Z97" i="2" s="1"/>
  <c r="BB96" i="2"/>
  <c r="AK96" i="2"/>
  <c r="AL96" i="2" s="1"/>
  <c r="AG96" i="2"/>
  <c r="AH96" i="2" s="1"/>
  <c r="AC96" i="2"/>
  <c r="AD96" i="2" s="1"/>
  <c r="Y96" i="2"/>
  <c r="Z96" i="2" s="1"/>
  <c r="BB95" i="2"/>
  <c r="AK95" i="2"/>
  <c r="AL95" i="2" s="1"/>
  <c r="AG95" i="2"/>
  <c r="AH95" i="2" s="1"/>
  <c r="AD95" i="2"/>
  <c r="AC95" i="2"/>
  <c r="Y95" i="2"/>
  <c r="Z95" i="2" s="1"/>
  <c r="BB94" i="2"/>
  <c r="AK94" i="2"/>
  <c r="AL94" i="2" s="1"/>
  <c r="AG94" i="2"/>
  <c r="AH94" i="2" s="1"/>
  <c r="AC94" i="2"/>
  <c r="AD94" i="2" s="1"/>
  <c r="Z94" i="2"/>
  <c r="Y94" i="2"/>
  <c r="BB93" i="2"/>
  <c r="AK93" i="2"/>
  <c r="AL93" i="2" s="1"/>
  <c r="AG93" i="2"/>
  <c r="AH93" i="2" s="1"/>
  <c r="AC93" i="2"/>
  <c r="AD93" i="2" s="1"/>
  <c r="Z93" i="2"/>
  <c r="Y93" i="2"/>
  <c r="BB92" i="2"/>
  <c r="AK92" i="2"/>
  <c r="AL92" i="2" s="1"/>
  <c r="AG92" i="2"/>
  <c r="AH92" i="2" s="1"/>
  <c r="AC92" i="2"/>
  <c r="AD92" i="2" s="1"/>
  <c r="Z92" i="2"/>
  <c r="Y92" i="2"/>
  <c r="BB91" i="2"/>
  <c r="AK91" i="2"/>
  <c r="AL91" i="2" s="1"/>
  <c r="AG91" i="2"/>
  <c r="AH91" i="2" s="1"/>
  <c r="AD91" i="2"/>
  <c r="AC91" i="2"/>
  <c r="Z91" i="2"/>
  <c r="Y91" i="2"/>
  <c r="BB90" i="2"/>
  <c r="AK90" i="2"/>
  <c r="AL90" i="2" s="1"/>
  <c r="AH90" i="2"/>
  <c r="AG90" i="2"/>
  <c r="AC90" i="2"/>
  <c r="AD90" i="2" s="1"/>
  <c r="Y90" i="2"/>
  <c r="Z90" i="2" s="1"/>
  <c r="BB89" i="2"/>
  <c r="AK89" i="2"/>
  <c r="AL89" i="2" s="1"/>
  <c r="AG89" i="2"/>
  <c r="AH89" i="2" s="1"/>
  <c r="AC89" i="2"/>
  <c r="AD89" i="2" s="1"/>
  <c r="Y89" i="2"/>
  <c r="Z89" i="2" s="1"/>
  <c r="BB88" i="2"/>
  <c r="AK88" i="2"/>
  <c r="AL88" i="2" s="1"/>
  <c r="AG88" i="2"/>
  <c r="AH88" i="2" s="1"/>
  <c r="AD88" i="2"/>
  <c r="AC88" i="2"/>
  <c r="Y88" i="2"/>
  <c r="Z88" i="2" s="1"/>
  <c r="BB87" i="2"/>
  <c r="AJ87" i="2"/>
  <c r="AK87" i="2" s="1"/>
  <c r="AL87" i="2" s="1"/>
  <c r="AG87" i="2"/>
  <c r="AH87" i="2" s="1"/>
  <c r="AF87" i="2"/>
  <c r="AD87" i="2"/>
  <c r="AC87" i="2"/>
  <c r="Y87" i="2"/>
  <c r="Z87" i="2" s="1"/>
  <c r="BB86" i="2"/>
  <c r="AL86" i="2"/>
  <c r="AK86" i="2"/>
  <c r="AG86" i="2"/>
  <c r="AH86" i="2" s="1"/>
  <c r="AC86" i="2"/>
  <c r="AD86" i="2" s="1"/>
  <c r="Y86" i="2"/>
  <c r="Z86" i="2" s="1"/>
  <c r="BB85" i="2"/>
  <c r="AK85" i="2"/>
  <c r="AL85" i="2" s="1"/>
  <c r="AG85" i="2"/>
  <c r="AH85" i="2" s="1"/>
  <c r="AD85" i="2"/>
  <c r="AC85" i="2"/>
  <c r="Z85" i="2"/>
  <c r="Y85" i="2"/>
  <c r="BB84" i="2"/>
  <c r="AL84" i="2"/>
  <c r="AK84" i="2"/>
  <c r="AH84" i="2"/>
  <c r="AG84" i="2"/>
  <c r="AC84" i="2"/>
  <c r="AD84" i="2" s="1"/>
  <c r="Z84" i="2"/>
  <c r="Y84" i="2"/>
  <c r="BB83" i="2"/>
  <c r="AJ83" i="2"/>
  <c r="AK83" i="2" s="1"/>
  <c r="AL83" i="2" s="1"/>
  <c r="AH83" i="2"/>
  <c r="AG83" i="2"/>
  <c r="AF83" i="2"/>
  <c r="AC83" i="2"/>
  <c r="AD83" i="2" s="1"/>
  <c r="Y83" i="2"/>
  <c r="Z83" i="2" s="1"/>
  <c r="BB82" i="2"/>
  <c r="AK82" i="2"/>
  <c r="AL82" i="2" s="1"/>
  <c r="AG82" i="2"/>
  <c r="AH82" i="2" s="1"/>
  <c r="AC82" i="2"/>
  <c r="AD82" i="2" s="1"/>
  <c r="Z82" i="2"/>
  <c r="Y82" i="2"/>
  <c r="BB81" i="2"/>
  <c r="AJ81" i="2"/>
  <c r="AK81" i="2" s="1"/>
  <c r="AL81" i="2" s="1"/>
  <c r="AG81" i="2"/>
  <c r="AH81" i="2" s="1"/>
  <c r="AD81" i="2"/>
  <c r="AC81" i="2"/>
  <c r="Y81" i="2"/>
  <c r="Z81" i="2" s="1"/>
  <c r="BB80" i="2"/>
  <c r="AL80" i="2"/>
  <c r="AK80" i="2"/>
  <c r="AG80" i="2"/>
  <c r="AH80" i="2" s="1"/>
  <c r="AD80" i="2"/>
  <c r="AC80" i="2"/>
  <c r="Z80" i="2"/>
  <c r="Y80" i="2"/>
  <c r="BB79" i="2"/>
  <c r="AL79" i="2"/>
  <c r="AK79" i="2"/>
  <c r="AJ79" i="2"/>
  <c r="AF79" i="2"/>
  <c r="AG79" i="2" s="1"/>
  <c r="AH79" i="2" s="1"/>
  <c r="AD79" i="2"/>
  <c r="AC79" i="2"/>
  <c r="Y79" i="2"/>
  <c r="Z79" i="2" s="1"/>
  <c r="BB78" i="2"/>
  <c r="AL78" i="2"/>
  <c r="AK78" i="2"/>
  <c r="AG78" i="2"/>
  <c r="AH78" i="2" s="1"/>
  <c r="AC78" i="2"/>
  <c r="AD78" i="2" s="1"/>
  <c r="Z78" i="2"/>
  <c r="Y78" i="2"/>
  <c r="BB77" i="2"/>
  <c r="AK77" i="2"/>
  <c r="AL77" i="2" s="1"/>
  <c r="AH77" i="2"/>
  <c r="AG77" i="2"/>
  <c r="AC77" i="2"/>
  <c r="AD77" i="2" s="1"/>
  <c r="Z77" i="2"/>
  <c r="Y77" i="2"/>
  <c r="BB76" i="2"/>
  <c r="AK76" i="2"/>
  <c r="AL76" i="2" s="1"/>
  <c r="AH76" i="2"/>
  <c r="AG76" i="2"/>
  <c r="AC76" i="2"/>
  <c r="AD76" i="2" s="1"/>
  <c r="Y76" i="2"/>
  <c r="Z76" i="2" s="1"/>
  <c r="BB75" i="2"/>
  <c r="AK75" i="2"/>
  <c r="AL75" i="2" s="1"/>
  <c r="AG75" i="2"/>
  <c r="AH75" i="2" s="1"/>
  <c r="AD75" i="2"/>
  <c r="AC75" i="2"/>
  <c r="Y75" i="2"/>
  <c r="Z75" i="2" s="1"/>
  <c r="BB74" i="2"/>
  <c r="AL74" i="2"/>
  <c r="AK74" i="2"/>
  <c r="AG74" i="2"/>
  <c r="AH74" i="2" s="1"/>
  <c r="AC74" i="2"/>
  <c r="AD74" i="2" s="1"/>
  <c r="Z74" i="2"/>
  <c r="Y74" i="2"/>
  <c r="BB73" i="2"/>
  <c r="AK73" i="2"/>
  <c r="AL73" i="2" s="1"/>
  <c r="AH73" i="2"/>
  <c r="AG73" i="2"/>
  <c r="AC73" i="2"/>
  <c r="AD73" i="2" s="1"/>
  <c r="Z73" i="2"/>
  <c r="Y73" i="2"/>
  <c r="BB72" i="2"/>
  <c r="AK72" i="2"/>
  <c r="AL72" i="2" s="1"/>
  <c r="AH72" i="2"/>
  <c r="AG72" i="2"/>
  <c r="AC72" i="2"/>
  <c r="AD72" i="2" s="1"/>
  <c r="Y72" i="2"/>
  <c r="Z72" i="2" s="1"/>
  <c r="BB71" i="2"/>
  <c r="AK71" i="2"/>
  <c r="AL71" i="2" s="1"/>
  <c r="AJ71" i="2"/>
  <c r="AG71" i="2"/>
  <c r="AH71" i="2" s="1"/>
  <c r="AF71" i="2"/>
  <c r="AC71" i="2"/>
  <c r="AD71" i="2" s="1"/>
  <c r="Y71" i="2"/>
  <c r="Z71" i="2" s="1"/>
  <c r="BB70" i="2"/>
  <c r="AK70" i="2"/>
  <c r="AL70" i="2" s="1"/>
  <c r="AG70" i="2"/>
  <c r="AH70" i="2" s="1"/>
  <c r="AD70" i="2"/>
  <c r="AC70" i="2"/>
  <c r="Y70" i="2"/>
  <c r="Z70" i="2" s="1"/>
  <c r="BB69" i="2"/>
  <c r="AJ69" i="2"/>
  <c r="AK69" i="2" s="1"/>
  <c r="AL69" i="2" s="1"/>
  <c r="AG69" i="2"/>
  <c r="AH69" i="2" s="1"/>
  <c r="AF69" i="2"/>
  <c r="AC69" i="2"/>
  <c r="AD69" i="2" s="1"/>
  <c r="Y69" i="2"/>
  <c r="Z69" i="2" s="1"/>
  <c r="BB68" i="2"/>
  <c r="AN68" i="2"/>
  <c r="AK68" i="2"/>
  <c r="AL68" i="2" s="1"/>
  <c r="AG68" i="2"/>
  <c r="AH68" i="2" s="1"/>
  <c r="AD68" i="2"/>
  <c r="AC68" i="2"/>
  <c r="Y68" i="2"/>
  <c r="Z68" i="2" s="1"/>
  <c r="BB67" i="2"/>
  <c r="AL67" i="2"/>
  <c r="AK67" i="2"/>
  <c r="AG67" i="2"/>
  <c r="AH67" i="2" s="1"/>
  <c r="AC67" i="2"/>
  <c r="AD67" i="2" s="1"/>
  <c r="Z67" i="2"/>
  <c r="Y67" i="2"/>
  <c r="BB66" i="2"/>
  <c r="AK66" i="2"/>
  <c r="AL66" i="2" s="1"/>
  <c r="AH66" i="2"/>
  <c r="AG66" i="2"/>
  <c r="AC66" i="2"/>
  <c r="AD66" i="2" s="1"/>
  <c r="Z66" i="2"/>
  <c r="Y66" i="2"/>
  <c r="BB65" i="2"/>
  <c r="AK65" i="2"/>
  <c r="AL65" i="2" s="1"/>
  <c r="AH65" i="2"/>
  <c r="AG65" i="2"/>
  <c r="AC65" i="2"/>
  <c r="AD65" i="2" s="1"/>
  <c r="Y65" i="2"/>
  <c r="Z65" i="2" s="1"/>
  <c r="BB64" i="2"/>
  <c r="AS64" i="2"/>
  <c r="AK64" i="2"/>
  <c r="AL64" i="2" s="1"/>
  <c r="AG64" i="2"/>
  <c r="AH64" i="2" s="1"/>
  <c r="AD64" i="2"/>
  <c r="AC64" i="2"/>
  <c r="Y64" i="2"/>
  <c r="Z64" i="2" s="1"/>
  <c r="BB63" i="2"/>
  <c r="AL63" i="2"/>
  <c r="AK63" i="2"/>
  <c r="AJ63" i="2"/>
  <c r="AF63" i="2"/>
  <c r="AG63" i="2" s="1"/>
  <c r="AH63" i="2" s="1"/>
  <c r="AD63" i="2"/>
  <c r="AC63" i="2"/>
  <c r="Y63" i="2"/>
  <c r="Z63" i="2" s="1"/>
  <c r="BB62" i="2"/>
  <c r="AL62" i="2"/>
  <c r="AK62" i="2"/>
  <c r="AG62" i="2"/>
  <c r="AH62" i="2" s="1"/>
  <c r="AD62" i="2"/>
  <c r="AC62" i="2"/>
  <c r="Y62" i="2"/>
  <c r="Z62" i="2" s="1"/>
  <c r="BB61" i="2"/>
  <c r="AL61" i="2"/>
  <c r="AK61" i="2"/>
  <c r="AG61" i="2"/>
  <c r="AH61" i="2" s="1"/>
  <c r="AF61" i="2"/>
  <c r="AC61" i="2"/>
  <c r="AD61" i="2" s="1"/>
  <c r="Z61" i="2"/>
  <c r="Y61" i="2"/>
  <c r="BB60" i="2"/>
  <c r="AK60" i="2"/>
  <c r="AL60" i="2" s="1"/>
  <c r="AH60" i="2"/>
  <c r="AG60" i="2"/>
  <c r="AD60" i="2"/>
  <c r="AC60" i="2"/>
  <c r="Z60" i="2"/>
  <c r="Y60" i="2"/>
  <c r="BB59" i="2"/>
  <c r="AL59" i="2"/>
  <c r="AK59" i="2"/>
  <c r="AH59" i="2"/>
  <c r="AG59" i="2"/>
  <c r="AC59" i="2"/>
  <c r="AD59" i="2" s="1"/>
  <c r="Y59" i="2"/>
  <c r="Z59" i="2" s="1"/>
  <c r="BB58" i="2"/>
  <c r="AK58" i="2"/>
  <c r="AL58" i="2" s="1"/>
  <c r="AH58" i="2"/>
  <c r="AG58" i="2"/>
  <c r="AD58" i="2"/>
  <c r="AC58" i="2"/>
  <c r="Z58" i="2"/>
  <c r="Y58" i="2"/>
  <c r="BB57" i="2"/>
  <c r="AJ57" i="2"/>
  <c r="AK57" i="2" s="1"/>
  <c r="AL57" i="2" s="1"/>
  <c r="AF57" i="2"/>
  <c r="AG57" i="2" s="1"/>
  <c r="AH57" i="2" s="1"/>
  <c r="AD57" i="2"/>
  <c r="AC57" i="2"/>
  <c r="Z57" i="2"/>
  <c r="Y57" i="2"/>
  <c r="BB56" i="2"/>
  <c r="AL56" i="2"/>
  <c r="AK56" i="2"/>
  <c r="AH56" i="2"/>
  <c r="AG56" i="2"/>
  <c r="AD56" i="2"/>
  <c r="AC56" i="2"/>
  <c r="Y56" i="2"/>
  <c r="Z56" i="2" s="1"/>
  <c r="BB55" i="2"/>
  <c r="AL55" i="2"/>
  <c r="AK55" i="2"/>
  <c r="AJ55" i="2"/>
  <c r="AF55" i="2"/>
  <c r="AG55" i="2" s="1"/>
  <c r="AH55" i="2" s="1"/>
  <c r="AD55" i="2"/>
  <c r="AC55" i="2"/>
  <c r="Z55" i="2"/>
  <c r="Y55" i="2"/>
  <c r="AN54" i="2"/>
  <c r="AM54" i="2"/>
  <c r="AL54" i="2"/>
  <c r="AK54" i="2"/>
  <c r="AH54" i="2"/>
  <c r="AG54" i="2"/>
  <c r="AC54" i="2"/>
  <c r="AD54" i="2" s="1"/>
  <c r="Z54" i="2"/>
  <c r="Y54" i="2"/>
  <c r="AK53" i="2"/>
  <c r="AL53" i="2" s="1"/>
  <c r="AH53" i="2"/>
  <c r="AG53" i="2"/>
  <c r="AD53" i="2"/>
  <c r="AC53" i="2"/>
  <c r="Z53" i="2"/>
  <c r="Y53" i="2"/>
  <c r="AL52" i="2"/>
  <c r="AK52" i="2"/>
  <c r="AH52" i="2"/>
  <c r="AG52" i="2"/>
  <c r="AC52" i="2"/>
  <c r="AD52" i="2" s="1"/>
  <c r="Y52" i="2"/>
  <c r="Z52" i="2" s="1"/>
  <c r="AK51" i="2"/>
  <c r="AL51" i="2" s="1"/>
  <c r="AJ51" i="2"/>
  <c r="AH51" i="2"/>
  <c r="AG51" i="2"/>
  <c r="AC51" i="2"/>
  <c r="AD51" i="2" s="1"/>
  <c r="Y51" i="2"/>
  <c r="Z51" i="2" s="1"/>
  <c r="AK50" i="2"/>
  <c r="AL50" i="2" s="1"/>
  <c r="AG50" i="2"/>
  <c r="AH50" i="2" s="1"/>
  <c r="AD50" i="2"/>
  <c r="AC50" i="2"/>
  <c r="Y50" i="2"/>
  <c r="Z50" i="2" s="1"/>
  <c r="BB49" i="2"/>
  <c r="AL49" i="2"/>
  <c r="AK49" i="2"/>
  <c r="AJ49" i="2"/>
  <c r="AH49" i="2"/>
  <c r="AG49" i="2"/>
  <c r="AD49" i="2"/>
  <c r="AC49" i="2"/>
  <c r="Y49" i="2"/>
  <c r="Z49" i="2" s="1"/>
  <c r="BB48" i="2"/>
  <c r="AL48" i="2"/>
  <c r="AK48" i="2"/>
  <c r="AG48" i="2"/>
  <c r="AH48" i="2" s="1"/>
  <c r="AD48" i="2"/>
  <c r="AC48" i="2"/>
  <c r="Z48" i="2"/>
  <c r="Y48" i="2"/>
  <c r="BB47" i="2"/>
  <c r="AL47" i="2"/>
  <c r="AK47" i="2"/>
  <c r="AJ47" i="2"/>
  <c r="AG47" i="2"/>
  <c r="AH47" i="2" s="1"/>
  <c r="AC47" i="2"/>
  <c r="AD47" i="2" s="1"/>
  <c r="Z47" i="2"/>
  <c r="Y47" i="2"/>
  <c r="AK46" i="2"/>
  <c r="AL46" i="2" s="1"/>
  <c r="AH46" i="2"/>
  <c r="AG46" i="2"/>
  <c r="AC46" i="2"/>
  <c r="AD46" i="2" s="1"/>
  <c r="Y46" i="2"/>
  <c r="Z46" i="2" s="1"/>
  <c r="BB45" i="2"/>
  <c r="AK45" i="2"/>
  <c r="AL45" i="2" s="1"/>
  <c r="AG45" i="2"/>
  <c r="AH45" i="2" s="1"/>
  <c r="AD45" i="2"/>
  <c r="AC45" i="2"/>
  <c r="Z45" i="2"/>
  <c r="Y45" i="2"/>
  <c r="BB44" i="2"/>
  <c r="AL44" i="2"/>
  <c r="AK44" i="2"/>
  <c r="AH44" i="2"/>
  <c r="AG44" i="2"/>
  <c r="AC44" i="2"/>
  <c r="AD44" i="2" s="1"/>
  <c r="Y44" i="2"/>
  <c r="Z44" i="2" s="1"/>
  <c r="BB43" i="2"/>
  <c r="AK43" i="2"/>
  <c r="AL43" i="2" s="1"/>
  <c r="AG43" i="2"/>
  <c r="AH43" i="2" s="1"/>
  <c r="AC43" i="2"/>
  <c r="AD43" i="2" s="1"/>
  <c r="Z43" i="2"/>
  <c r="Y43" i="2"/>
  <c r="BB42" i="2"/>
  <c r="AK42" i="2"/>
  <c r="AL42" i="2" s="1"/>
  <c r="AH42" i="2"/>
  <c r="AG42" i="2"/>
  <c r="AC42" i="2"/>
  <c r="AD42" i="2" s="1"/>
  <c r="Z42" i="2"/>
  <c r="Y42" i="2"/>
  <c r="BB41" i="2"/>
  <c r="AJ41" i="2"/>
  <c r="AK41" i="2" s="1"/>
  <c r="AL41" i="2" s="1"/>
  <c r="AH41" i="2"/>
  <c r="AG41" i="2"/>
  <c r="AF41" i="2"/>
  <c r="AD41" i="2"/>
  <c r="AC41" i="2"/>
  <c r="Z41" i="2"/>
  <c r="Y41" i="2"/>
  <c r="BB40" i="2"/>
  <c r="AK40" i="2"/>
  <c r="AL40" i="2" s="1"/>
  <c r="AH40" i="2"/>
  <c r="AG40" i="2"/>
  <c r="AC40" i="2"/>
  <c r="AD40" i="2" s="1"/>
  <c r="Y40" i="2"/>
  <c r="Z40" i="2" s="1"/>
  <c r="BB39" i="2"/>
  <c r="AS39" i="2"/>
  <c r="AK39" i="2"/>
  <c r="AL39" i="2" s="1"/>
  <c r="AG39" i="2"/>
  <c r="AH39" i="2" s="1"/>
  <c r="AD39" i="2"/>
  <c r="AC39" i="2"/>
  <c r="Y39" i="2"/>
  <c r="Z39" i="2" s="1"/>
  <c r="BB38" i="2"/>
  <c r="AL38" i="2"/>
  <c r="AK38" i="2"/>
  <c r="AG38" i="2"/>
  <c r="AH38" i="2" s="1"/>
  <c r="AC38" i="2"/>
  <c r="AD38" i="2" s="1"/>
  <c r="Z38" i="2"/>
  <c r="Y38" i="2"/>
  <c r="BB37" i="2"/>
  <c r="AK37" i="2"/>
  <c r="AL37" i="2" s="1"/>
  <c r="AG37" i="2"/>
  <c r="AH37" i="2" s="1"/>
  <c r="AC37" i="2"/>
  <c r="AD37" i="2" s="1"/>
  <c r="Z37" i="2"/>
  <c r="Y37" i="2"/>
  <c r="BB36" i="2"/>
  <c r="AL36" i="2"/>
  <c r="AK36" i="2"/>
  <c r="AH36" i="2"/>
  <c r="AG36" i="2"/>
  <c r="AC36" i="2"/>
  <c r="AD36" i="2" s="1"/>
  <c r="Y36" i="2"/>
  <c r="Z36" i="2" s="1"/>
  <c r="BB35" i="2"/>
  <c r="AK35" i="2"/>
  <c r="AL35" i="2" s="1"/>
  <c r="AG35" i="2"/>
  <c r="AH35" i="2" s="1"/>
  <c r="AC35" i="2"/>
  <c r="AD35" i="2" s="1"/>
  <c r="Y35" i="2"/>
  <c r="Z35" i="2" s="1"/>
  <c r="BB34" i="2"/>
  <c r="AS34" i="2"/>
  <c r="AL34" i="2"/>
  <c r="AK34" i="2"/>
  <c r="AG34" i="2"/>
  <c r="AH34" i="2" s="1"/>
  <c r="AD34" i="2"/>
  <c r="AC34" i="2"/>
  <c r="Y34" i="2"/>
  <c r="Z34" i="2" s="1"/>
  <c r="AL33" i="2"/>
  <c r="AK33" i="2"/>
  <c r="AG33" i="2"/>
  <c r="AH33" i="2" s="1"/>
  <c r="AD33" i="2"/>
  <c r="AC33" i="2"/>
  <c r="Y33" i="2"/>
  <c r="Z33" i="2" s="1"/>
  <c r="BB32" i="2"/>
  <c r="AL32" i="2"/>
  <c r="AK32" i="2"/>
  <c r="AG32" i="2"/>
  <c r="AH32" i="2" s="1"/>
  <c r="AD32" i="2"/>
  <c r="AC32" i="2"/>
  <c r="Y32" i="2"/>
  <c r="Z32" i="2" s="1"/>
  <c r="BB31" i="2"/>
  <c r="AM31" i="2"/>
  <c r="AL31" i="2"/>
  <c r="AK31" i="2"/>
  <c r="AJ31" i="2"/>
  <c r="AG31" i="2"/>
  <c r="AH31" i="2" s="1"/>
  <c r="AF31" i="2"/>
  <c r="AC31" i="2"/>
  <c r="AD31" i="2" s="1"/>
  <c r="Z31" i="2"/>
  <c r="Y31" i="2"/>
  <c r="BB30" i="2"/>
  <c r="AS30" i="2"/>
  <c r="AN30" i="2"/>
  <c r="AK30" i="2"/>
  <c r="AL30" i="2" s="1"/>
  <c r="AH30" i="2"/>
  <c r="AG30" i="2"/>
  <c r="AC30" i="2"/>
  <c r="AD30" i="2" s="1"/>
  <c r="Z30" i="2"/>
  <c r="Y30" i="2"/>
  <c r="BB29" i="2"/>
  <c r="AK29" i="2"/>
  <c r="AL29" i="2" s="1"/>
  <c r="AJ29" i="2"/>
  <c r="AF29" i="2"/>
  <c r="AG29" i="2" s="1"/>
  <c r="AH29" i="2" s="1"/>
  <c r="AD29" i="2"/>
  <c r="AC29" i="2"/>
  <c r="Y29" i="2"/>
  <c r="Z29" i="2" s="1"/>
  <c r="BB28" i="2"/>
  <c r="AM28" i="2"/>
  <c r="AL28" i="2"/>
  <c r="AK28" i="2"/>
  <c r="AG28" i="2"/>
  <c r="AH28" i="2" s="1"/>
  <c r="AD28" i="2"/>
  <c r="AC28" i="2"/>
  <c r="Y28" i="2"/>
  <c r="Z28" i="2" s="1"/>
  <c r="BB27" i="2"/>
  <c r="AL27" i="2"/>
  <c r="AK27" i="2"/>
  <c r="AJ27" i="2"/>
  <c r="AG27" i="2"/>
  <c r="AH27" i="2" s="1"/>
  <c r="AF27" i="2"/>
  <c r="AC27" i="2"/>
  <c r="AD27" i="2" s="1"/>
  <c r="Z27" i="2"/>
  <c r="Y27" i="2"/>
  <c r="BB26" i="2"/>
  <c r="AK26" i="2"/>
  <c r="AL26" i="2" s="1"/>
  <c r="AH26" i="2"/>
  <c r="AG26" i="2"/>
  <c r="AC26" i="2"/>
  <c r="AD26" i="2" s="1"/>
  <c r="Z26" i="2"/>
  <c r="Y26" i="2"/>
  <c r="BB25" i="2"/>
  <c r="AJ25" i="2"/>
  <c r="AK25" i="2" s="1"/>
  <c r="AL25" i="2" s="1"/>
  <c r="AF25" i="2"/>
  <c r="AG25" i="2" s="1"/>
  <c r="AH25" i="2" s="1"/>
  <c r="AD25" i="2"/>
  <c r="AC25" i="2"/>
  <c r="Y25" i="2"/>
  <c r="Z25" i="2" s="1"/>
  <c r="BB24" i="2"/>
  <c r="AL24" i="2"/>
  <c r="AK24" i="2"/>
  <c r="AG24" i="2"/>
  <c r="AH24" i="2" s="1"/>
  <c r="AD24" i="2"/>
  <c r="AC24" i="2"/>
  <c r="Y24" i="2"/>
  <c r="Z24" i="2" s="1"/>
  <c r="BB23" i="2"/>
  <c r="AJ23" i="2"/>
  <c r="AK23" i="2" s="1"/>
  <c r="AL23" i="2" s="1"/>
  <c r="AH23" i="2"/>
  <c r="AG23" i="2"/>
  <c r="AF23" i="2"/>
  <c r="AC23" i="2"/>
  <c r="AD23" i="2" s="1"/>
  <c r="Z23" i="2"/>
  <c r="Y23" i="2"/>
  <c r="BB22" i="2"/>
  <c r="AK22" i="2"/>
  <c r="AL22" i="2" s="1"/>
  <c r="AH22" i="2"/>
  <c r="AG22" i="2"/>
  <c r="AD22" i="2"/>
  <c r="AC22" i="2"/>
  <c r="Z22" i="2"/>
  <c r="Y22" i="2"/>
  <c r="BB21" i="2"/>
  <c r="AS21" i="2"/>
  <c r="AV21" i="2" s="1"/>
  <c r="AW21" i="2" s="1"/>
  <c r="AN21" i="2"/>
  <c r="AL21" i="2"/>
  <c r="AK21" i="2"/>
  <c r="AH21" i="2"/>
  <c r="AG21" i="2"/>
  <c r="AC21" i="2"/>
  <c r="AD21" i="2" s="1"/>
  <c r="Z21" i="2"/>
  <c r="Y21" i="2"/>
  <c r="BB20" i="2"/>
  <c r="AS20" i="2"/>
  <c r="AN20" i="2"/>
  <c r="AK20" i="2"/>
  <c r="AL20" i="2" s="1"/>
  <c r="AH20" i="2"/>
  <c r="AG20" i="2"/>
  <c r="AC20" i="2"/>
  <c r="AD20" i="2" s="1"/>
  <c r="Z20" i="2"/>
  <c r="Y20" i="2"/>
  <c r="BB19" i="2"/>
  <c r="AN19" i="2"/>
  <c r="AK19" i="2"/>
  <c r="AL19" i="2" s="1"/>
  <c r="AH19" i="2"/>
  <c r="AG19" i="2"/>
  <c r="AC19" i="2"/>
  <c r="AD19" i="2" s="1"/>
  <c r="Z19" i="2"/>
  <c r="Y19" i="2"/>
  <c r="BB18" i="2"/>
  <c r="AK18" i="2"/>
  <c r="AL18" i="2" s="1"/>
  <c r="AH18" i="2"/>
  <c r="AG18" i="2"/>
  <c r="AD18" i="2"/>
  <c r="AC18" i="2"/>
  <c r="Z18" i="2"/>
  <c r="Y18" i="2"/>
  <c r="BB17" i="2"/>
  <c r="AS17" i="2"/>
  <c r="AN17" i="2"/>
  <c r="AL17" i="2"/>
  <c r="AK17" i="2"/>
  <c r="AH17" i="2"/>
  <c r="AG17" i="2"/>
  <c r="AC17" i="2"/>
  <c r="AD17" i="2" s="1"/>
  <c r="Z17" i="2"/>
  <c r="Y17" i="2"/>
  <c r="BB16" i="2"/>
  <c r="AS16" i="2"/>
  <c r="AN16" i="2"/>
  <c r="AK16" i="2"/>
  <c r="AL16" i="2" s="1"/>
  <c r="AH16" i="2"/>
  <c r="AG16" i="2"/>
  <c r="AC16" i="2"/>
  <c r="AD16" i="2" s="1"/>
  <c r="Z16" i="2"/>
  <c r="Y16" i="2"/>
  <c r="BB15" i="2"/>
  <c r="AN15" i="2"/>
  <c r="AK15" i="2"/>
  <c r="AL15" i="2" s="1"/>
  <c r="AH15" i="2"/>
  <c r="AG15" i="2"/>
  <c r="AC15" i="2"/>
  <c r="AD15" i="2" s="1"/>
  <c r="Z15" i="2"/>
  <c r="Y15" i="2"/>
  <c r="BB14" i="2"/>
  <c r="AK14" i="2"/>
  <c r="AL14" i="2" s="1"/>
  <c r="AH14" i="2"/>
  <c r="AG14" i="2"/>
  <c r="AD14" i="2"/>
  <c r="AC14" i="2"/>
  <c r="Z14" i="2"/>
  <c r="Y14" i="2"/>
  <c r="BB13" i="2"/>
  <c r="AS13" i="2"/>
  <c r="AN13" i="2"/>
  <c r="AJ13" i="2"/>
  <c r="AK13" i="2" s="1"/>
  <c r="AL13" i="2" s="1"/>
  <c r="AF13" i="2"/>
  <c r="AG13" i="2" s="1"/>
  <c r="AH13" i="2" s="1"/>
  <c r="AD13" i="2"/>
  <c r="AC13" i="2"/>
  <c r="Y13" i="2"/>
  <c r="Z13" i="2" s="1"/>
  <c r="BB12" i="2"/>
  <c r="AL12" i="2"/>
  <c r="AK12" i="2"/>
  <c r="AG12" i="2"/>
  <c r="AH12" i="2" s="1"/>
  <c r="AD12" i="2"/>
  <c r="AC12" i="2"/>
  <c r="Y12" i="2"/>
  <c r="Z12" i="2" s="1"/>
  <c r="BB11" i="2"/>
  <c r="AM11" i="2"/>
  <c r="AL11" i="2"/>
  <c r="AK11" i="2"/>
  <c r="AG11" i="2"/>
  <c r="AH11" i="2" s="1"/>
  <c r="AD11" i="2"/>
  <c r="AC11" i="2"/>
  <c r="Z11" i="2"/>
  <c r="Y11" i="2"/>
  <c r="BB10" i="2"/>
  <c r="AM10" i="2"/>
  <c r="AL10" i="2"/>
  <c r="AK10" i="2"/>
  <c r="AH10" i="2"/>
  <c r="AG10" i="2"/>
  <c r="AD10" i="2"/>
  <c r="AC10" i="2"/>
  <c r="Y10" i="2"/>
  <c r="Z10" i="2" s="1"/>
  <c r="BB9" i="2"/>
  <c r="AL9" i="2"/>
  <c r="AK9" i="2"/>
  <c r="AJ9" i="2"/>
  <c r="AG9" i="2"/>
  <c r="AH9" i="2" s="1"/>
  <c r="AF9" i="2"/>
  <c r="AC9" i="2"/>
  <c r="AD9" i="2" s="1"/>
  <c r="Z9" i="2"/>
  <c r="Y9" i="2"/>
  <c r="BB8" i="2"/>
  <c r="AN8" i="2"/>
  <c r="AK8" i="2"/>
  <c r="AL8" i="2" s="1"/>
  <c r="AH8" i="2"/>
  <c r="AG8" i="2"/>
  <c r="AC8" i="2"/>
  <c r="AD8" i="2" s="1"/>
  <c r="Z8" i="2"/>
  <c r="Y8" i="2"/>
  <c r="BB7" i="2"/>
  <c r="AK7" i="2"/>
  <c r="AL7" i="2" s="1"/>
  <c r="AH7" i="2"/>
  <c r="AG7" i="2"/>
  <c r="AD7" i="2"/>
  <c r="AC7" i="2"/>
  <c r="Z7" i="2"/>
  <c r="Y7" i="2"/>
  <c r="BB6" i="2"/>
  <c r="AS6" i="2"/>
  <c r="AN6" i="2"/>
  <c r="AL6" i="2"/>
  <c r="AK6" i="2"/>
  <c r="AH6" i="2"/>
  <c r="AG6" i="2"/>
  <c r="AC6" i="2"/>
  <c r="AD6" i="2" s="1"/>
  <c r="Z6" i="2"/>
  <c r="Y6" i="2"/>
  <c r="BB5" i="2"/>
  <c r="AS5" i="2"/>
  <c r="AN5" i="2"/>
  <c r="AK5" i="2"/>
  <c r="AL5" i="2" s="1"/>
  <c r="AH5" i="2"/>
  <c r="AG5" i="2"/>
  <c r="AC5" i="2"/>
  <c r="AD5" i="2" s="1"/>
  <c r="Z5" i="2"/>
  <c r="Y5" i="2"/>
  <c r="BB4" i="2"/>
  <c r="AN4" i="2"/>
  <c r="AK4" i="2"/>
  <c r="AL4" i="2" s="1"/>
  <c r="AH4" i="2"/>
  <c r="AG4" i="2"/>
  <c r="AC4" i="2"/>
  <c r="AD4" i="2" s="1"/>
  <c r="Z4" i="2"/>
  <c r="Y4" i="2"/>
  <c r="AM2" i="2"/>
  <c r="AN75" i="2" s="1"/>
  <c r="AU250" i="1"/>
  <c r="AL250" i="1"/>
  <c r="AO250" i="1" s="1"/>
  <c r="AP250" i="1" s="1"/>
  <c r="AG250" i="1" a="1"/>
  <c r="AG250" i="1" s="1"/>
  <c r="AF250" i="1" a="1"/>
  <c r="AF250" i="1" s="1"/>
  <c r="AD250" i="1"/>
  <c r="AE250" i="1" s="1"/>
  <c r="V250" i="1"/>
  <c r="W250" i="1" s="1"/>
  <c r="S250" i="1"/>
  <c r="R250" i="1"/>
  <c r="A250" i="1"/>
  <c r="AU249" i="1"/>
  <c r="AL249" i="1"/>
  <c r="AO249" i="1" s="1"/>
  <c r="AP249" i="1" s="1"/>
  <c r="AG249" i="1" a="1"/>
  <c r="AG249" i="1" s="1"/>
  <c r="AH249" i="1" s="1"/>
  <c r="AI249" i="1" s="1"/>
  <c r="AF249" i="1" a="1"/>
  <c r="AF249" i="1" s="1"/>
  <c r="AD249" i="1"/>
  <c r="AE249" i="1" s="1"/>
  <c r="W249" i="1"/>
  <c r="V249" i="1"/>
  <c r="R249" i="1"/>
  <c r="S249" i="1" s="1"/>
  <c r="A249" i="1"/>
  <c r="AU248" i="1"/>
  <c r="AO248" i="1"/>
  <c r="AP248" i="1" s="1"/>
  <c r="AN248" i="1"/>
  <c r="AL248" i="1"/>
  <c r="AM248" i="1" s="1"/>
  <c r="AG248" i="1" a="1"/>
  <c r="AG248" i="1" s="1"/>
  <c r="AH248" i="1" s="1"/>
  <c r="AI248" i="1" s="1"/>
  <c r="AF248" i="1" a="1"/>
  <c r="AF248" i="1" s="1"/>
  <c r="AE248" i="1"/>
  <c r="AD248" i="1"/>
  <c r="W248" i="1"/>
  <c r="V248" i="1"/>
  <c r="R248" i="1"/>
  <c r="S248" i="1" s="1"/>
  <c r="A248" i="1"/>
  <c r="AU247" i="1"/>
  <c r="AO247" i="1"/>
  <c r="AP247" i="1" s="1"/>
  <c r="AL247" i="1"/>
  <c r="AM247" i="1" s="1"/>
  <c r="AN247" i="1" s="1"/>
  <c r="AG247" i="1" a="1"/>
  <c r="AG247" i="1" s="1"/>
  <c r="AF247" i="1" a="1"/>
  <c r="AF247" i="1"/>
  <c r="AE247" i="1"/>
  <c r="AD247" i="1"/>
  <c r="W247" i="1"/>
  <c r="V247" i="1"/>
  <c r="S247" i="1"/>
  <c r="R247" i="1"/>
  <c r="A247" i="1"/>
  <c r="AU246" i="1"/>
  <c r="AO246" i="1"/>
  <c r="AP246" i="1" s="1"/>
  <c r="AM246" i="1"/>
  <c r="AN246" i="1" s="1"/>
  <c r="AL246" i="1"/>
  <c r="AG246" i="1" a="1"/>
  <c r="AG246" i="1" s="1"/>
  <c r="AJ246" i="1" s="1"/>
  <c r="AK246" i="1" s="1"/>
  <c r="AF246" i="1" a="1"/>
  <c r="AF246" i="1"/>
  <c r="AE246" i="1"/>
  <c r="AD246" i="1"/>
  <c r="V246" i="1"/>
  <c r="W246" i="1" s="1"/>
  <c r="S246" i="1"/>
  <c r="R246" i="1"/>
  <c r="A246" i="1"/>
  <c r="AU245" i="1"/>
  <c r="AN245" i="1"/>
  <c r="AM245" i="1"/>
  <c r="AL245" i="1"/>
  <c r="AO245" i="1" s="1"/>
  <c r="AP245" i="1" s="1"/>
  <c r="AG245" i="1" a="1"/>
  <c r="AG245" i="1" s="1"/>
  <c r="AF245" i="1" a="1"/>
  <c r="AF245" i="1"/>
  <c r="AD245" i="1"/>
  <c r="AE245" i="1" s="1"/>
  <c r="V245" i="1"/>
  <c r="W245" i="1" s="1"/>
  <c r="R245" i="1"/>
  <c r="S245" i="1" s="1"/>
  <c r="A245" i="1"/>
  <c r="AU244" i="1"/>
  <c r="AP244" i="1"/>
  <c r="AO244" i="1"/>
  <c r="AL244" i="1"/>
  <c r="AM244" i="1" s="1"/>
  <c r="AN244" i="1" s="1"/>
  <c r="AG244" i="1" a="1"/>
  <c r="AG244" i="1" s="1"/>
  <c r="AF244" i="1" a="1"/>
  <c r="AF244" i="1" s="1"/>
  <c r="AE244" i="1"/>
  <c r="AD244" i="1"/>
  <c r="V244" i="1"/>
  <c r="W244" i="1" s="1"/>
  <c r="R244" i="1"/>
  <c r="S244" i="1" s="1"/>
  <c r="A244" i="1"/>
  <c r="AU243" i="1"/>
  <c r="AL243" i="1"/>
  <c r="AG243" i="1" a="1"/>
  <c r="AG243" i="1" s="1"/>
  <c r="AF243" i="1" a="1"/>
  <c r="AF243" i="1" s="1"/>
  <c r="AE243" i="1"/>
  <c r="AD243" i="1"/>
  <c r="V243" i="1"/>
  <c r="W243" i="1" s="1"/>
  <c r="R243" i="1"/>
  <c r="S243" i="1" s="1"/>
  <c r="A243" i="1"/>
  <c r="AU242" i="1"/>
  <c r="AL242" i="1"/>
  <c r="AG242" i="1" a="1"/>
  <c r="AG242" i="1" s="1"/>
  <c r="AJ242" i="1" s="1"/>
  <c r="AK242" i="1" s="1"/>
  <c r="AF242" i="1" a="1"/>
  <c r="AF242" i="1"/>
  <c r="AE242" i="1"/>
  <c r="AD242" i="1"/>
  <c r="W242" i="1"/>
  <c r="V242" i="1"/>
  <c r="S242" i="1"/>
  <c r="R242" i="1"/>
  <c r="A242" i="1"/>
  <c r="AU241" i="1"/>
  <c r="AO241" i="1"/>
  <c r="AP241" i="1" s="1"/>
  <c r="AM241" i="1"/>
  <c r="AN241" i="1" s="1"/>
  <c r="AL241" i="1"/>
  <c r="AG241" i="1" a="1"/>
  <c r="AG241" i="1" s="1"/>
  <c r="AF241" i="1" a="1"/>
  <c r="AF241" i="1"/>
  <c r="AD241" i="1"/>
  <c r="AE241" i="1" s="1"/>
  <c r="W241" i="1"/>
  <c r="V241" i="1"/>
  <c r="S241" i="1"/>
  <c r="R241" i="1"/>
  <c r="A241" i="1"/>
  <c r="AU240" i="1"/>
  <c r="AG240" i="1" a="1"/>
  <c r="AG240" i="1" s="1"/>
  <c r="AH240" i="1" s="1"/>
  <c r="AI240" i="1" s="1"/>
  <c r="AF240" i="1" a="1"/>
  <c r="AF240" i="1"/>
  <c r="V240" i="1"/>
  <c r="W240" i="1" s="1"/>
  <c r="A240" i="1"/>
  <c r="AU239" i="1"/>
  <c r="AL239" i="1"/>
  <c r="AG239" i="1" a="1"/>
  <c r="AG239" i="1" s="1"/>
  <c r="AF239" i="1" a="1"/>
  <c r="AF239" i="1" s="1"/>
  <c r="AE239" i="1"/>
  <c r="AD239" i="1"/>
  <c r="V239" i="1"/>
  <c r="W239" i="1" s="1"/>
  <c r="R239" i="1"/>
  <c r="S239" i="1" s="1"/>
  <c r="A239" i="1"/>
  <c r="AU238" i="1"/>
  <c r="AL238" i="1"/>
  <c r="AG238" i="1" a="1"/>
  <c r="AG238" i="1" s="1"/>
  <c r="AF238" i="1" a="1"/>
  <c r="AF238" i="1" s="1"/>
  <c r="AE238" i="1"/>
  <c r="AD238" i="1"/>
  <c r="W238" i="1"/>
  <c r="V238" i="1"/>
  <c r="R238" i="1"/>
  <c r="S238" i="1" s="1"/>
  <c r="A238" i="1"/>
  <c r="AU237" i="1"/>
  <c r="AO237" i="1"/>
  <c r="AP237" i="1" s="1"/>
  <c r="AM237" i="1"/>
  <c r="AN237" i="1" s="1"/>
  <c r="AL237" i="1"/>
  <c r="AG237" i="1" a="1"/>
  <c r="AG237" i="1"/>
  <c r="AF237" i="1" a="1"/>
  <c r="AF237" i="1" s="1"/>
  <c r="AD237" i="1"/>
  <c r="AE237" i="1" s="1"/>
  <c r="W237" i="1"/>
  <c r="V237" i="1"/>
  <c r="S237" i="1"/>
  <c r="R237" i="1"/>
  <c r="A237" i="1"/>
  <c r="AU236" i="1"/>
  <c r="AO236" i="1"/>
  <c r="AP236" i="1" s="1"/>
  <c r="AM236" i="1"/>
  <c r="AN236" i="1" s="1"/>
  <c r="AL236" i="1"/>
  <c r="AG236" i="1" a="1"/>
  <c r="AG236" i="1" s="1"/>
  <c r="AF236" i="1" a="1"/>
  <c r="AF236" i="1"/>
  <c r="AD236" i="1"/>
  <c r="AE236" i="1" s="1"/>
  <c r="V236" i="1"/>
  <c r="W236" i="1" s="1"/>
  <c r="S236" i="1"/>
  <c r="R236" i="1"/>
  <c r="A236" i="1"/>
  <c r="AU235" i="1"/>
  <c r="AP235" i="1"/>
  <c r="AL235" i="1"/>
  <c r="AO235" i="1" s="1"/>
  <c r="AG235" i="1" a="1"/>
  <c r="AG235" i="1" s="1"/>
  <c r="AF235" i="1" a="1"/>
  <c r="AF235" i="1" s="1"/>
  <c r="AD235" i="1"/>
  <c r="AE235" i="1" s="1"/>
  <c r="V235" i="1"/>
  <c r="W235" i="1" s="1"/>
  <c r="S235" i="1"/>
  <c r="R235" i="1"/>
  <c r="A235" i="1"/>
  <c r="AU234" i="1"/>
  <c r="AL234" i="1"/>
  <c r="AO234" i="1" s="1"/>
  <c r="AP234" i="1" s="1"/>
  <c r="AG234" i="1" a="1"/>
  <c r="AG234" i="1" s="1"/>
  <c r="AH234" i="1" s="1"/>
  <c r="AI234" i="1" s="1"/>
  <c r="AF234" i="1" a="1"/>
  <c r="AF234" i="1" s="1"/>
  <c r="AD234" i="1"/>
  <c r="AE234" i="1" s="1"/>
  <c r="V234" i="1"/>
  <c r="W234" i="1" s="1"/>
  <c r="R234" i="1"/>
  <c r="S234" i="1" s="1"/>
  <c r="A234" i="1"/>
  <c r="AU233" i="1"/>
  <c r="AO233" i="1"/>
  <c r="AP233" i="1" s="1"/>
  <c r="AL233" i="1"/>
  <c r="AM233" i="1" s="1"/>
  <c r="AN233" i="1" s="1"/>
  <c r="AG233" i="1" a="1"/>
  <c r="AG233" i="1" s="1"/>
  <c r="AF233" i="1" a="1"/>
  <c r="AF233" i="1" s="1"/>
  <c r="AE233" i="1"/>
  <c r="AD233" i="1"/>
  <c r="W233" i="1"/>
  <c r="V233" i="1"/>
  <c r="R233" i="1"/>
  <c r="S233" i="1" s="1"/>
  <c r="A233" i="1"/>
  <c r="AU232" i="1"/>
  <c r="AO232" i="1"/>
  <c r="AP232" i="1" s="1"/>
  <c r="AL232" i="1"/>
  <c r="AM232" i="1" s="1"/>
  <c r="AN232" i="1" s="1"/>
  <c r="AG232" i="1" a="1"/>
  <c r="AG232" i="1" s="1"/>
  <c r="AF232" i="1" a="1"/>
  <c r="AF232" i="1"/>
  <c r="AE232" i="1"/>
  <c r="AD232" i="1"/>
  <c r="W232" i="1"/>
  <c r="V232" i="1"/>
  <c r="S232" i="1"/>
  <c r="R232" i="1"/>
  <c r="A232" i="1"/>
  <c r="AU231" i="1"/>
  <c r="AO231" i="1"/>
  <c r="AP231" i="1" s="1"/>
  <c r="AM231" i="1"/>
  <c r="AN231" i="1" s="1"/>
  <c r="AL231" i="1"/>
  <c r="AG231" i="1" a="1"/>
  <c r="AG231" i="1" s="1"/>
  <c r="AJ231" i="1" s="1"/>
  <c r="AK231" i="1" s="1"/>
  <c r="AF231" i="1" a="1"/>
  <c r="AF231" i="1"/>
  <c r="AE231" i="1"/>
  <c r="AD231" i="1"/>
  <c r="V231" i="1"/>
  <c r="W231" i="1" s="1"/>
  <c r="S231" i="1"/>
  <c r="R231" i="1"/>
  <c r="A231" i="1"/>
  <c r="AU230" i="1"/>
  <c r="AP230" i="1"/>
  <c r="AO230" i="1"/>
  <c r="AM230" i="1"/>
  <c r="AN230" i="1" s="1"/>
  <c r="AL230" i="1"/>
  <c r="AG230" i="1" a="1"/>
  <c r="AG230" i="1" s="1"/>
  <c r="AJ230" i="1" s="1"/>
  <c r="AK230" i="1" s="1"/>
  <c r="AF230" i="1" a="1"/>
  <c r="AF230" i="1"/>
  <c r="AD230" i="1"/>
  <c r="AE230" i="1" s="1"/>
  <c r="V230" i="1"/>
  <c r="W230" i="1" s="1"/>
  <c r="R230" i="1"/>
  <c r="S230" i="1" s="1"/>
  <c r="A230" i="1"/>
  <c r="AU229" i="1"/>
  <c r="AP229" i="1"/>
  <c r="AO229" i="1"/>
  <c r="AN229" i="1"/>
  <c r="AM229" i="1"/>
  <c r="AL229" i="1"/>
  <c r="AG229" i="1" a="1"/>
  <c r="AG229" i="1" s="1"/>
  <c r="AF229" i="1" a="1"/>
  <c r="AF229" i="1" s="1"/>
  <c r="AE229" i="1"/>
  <c r="AD229" i="1"/>
  <c r="V229" i="1"/>
  <c r="W229" i="1" s="1"/>
  <c r="R229" i="1"/>
  <c r="S229" i="1" s="1"/>
  <c r="A229" i="1"/>
  <c r="AU228" i="1"/>
  <c r="AL228" i="1"/>
  <c r="AG228" i="1" a="1"/>
  <c r="AG228" i="1" s="1"/>
  <c r="AJ228" i="1" s="1"/>
  <c r="AK228" i="1" s="1"/>
  <c r="AF228" i="1" a="1"/>
  <c r="AF228" i="1" s="1"/>
  <c r="AE228" i="1"/>
  <c r="AD228" i="1"/>
  <c r="V228" i="1"/>
  <c r="W228" i="1" s="1"/>
  <c r="S228" i="1"/>
  <c r="R228" i="1"/>
  <c r="A228" i="1"/>
  <c r="AU227" i="1"/>
  <c r="AL227" i="1"/>
  <c r="AO227" i="1" s="1"/>
  <c r="AP227" i="1" s="1"/>
  <c r="AG227" i="1" a="1"/>
  <c r="AG227" i="1" s="1"/>
  <c r="AF227" i="1" a="1"/>
  <c r="AF227" i="1"/>
  <c r="AE227" i="1"/>
  <c r="AD227" i="1"/>
  <c r="W227" i="1"/>
  <c r="V227" i="1"/>
  <c r="S227" i="1"/>
  <c r="R227" i="1"/>
  <c r="A227" i="1"/>
  <c r="AU226" i="1"/>
  <c r="AO226" i="1"/>
  <c r="AP226" i="1" s="1"/>
  <c r="AM226" i="1"/>
  <c r="AN226" i="1" s="1"/>
  <c r="AL226" i="1"/>
  <c r="AG226" i="1" a="1"/>
  <c r="AG226" i="1" s="1"/>
  <c r="AJ226" i="1" s="1"/>
  <c r="AK226" i="1" s="1"/>
  <c r="AF226" i="1" a="1"/>
  <c r="AF226" i="1"/>
  <c r="AD226" i="1"/>
  <c r="AE226" i="1" s="1"/>
  <c r="W226" i="1"/>
  <c r="V226" i="1"/>
  <c r="S226" i="1"/>
  <c r="R226" i="1"/>
  <c r="A226" i="1"/>
  <c r="AU225" i="1"/>
  <c r="AO225" i="1"/>
  <c r="AP225" i="1" s="1"/>
  <c r="AN225" i="1"/>
  <c r="AM225" i="1"/>
  <c r="AL225" i="1"/>
  <c r="AG225" i="1" a="1"/>
  <c r="AG225" i="1" s="1"/>
  <c r="AF225" i="1" a="1"/>
  <c r="AF225" i="1"/>
  <c r="AD225" i="1"/>
  <c r="AE225" i="1" s="1"/>
  <c r="W225" i="1"/>
  <c r="V225" i="1"/>
  <c r="R225" i="1"/>
  <c r="S225" i="1" s="1"/>
  <c r="A225" i="1"/>
  <c r="AU224" i="1"/>
  <c r="AL224" i="1"/>
  <c r="AG224" i="1" a="1"/>
  <c r="AG224" i="1" s="1"/>
  <c r="AF224" i="1" a="1"/>
  <c r="AF224" i="1"/>
  <c r="AE224" i="1"/>
  <c r="AD224" i="1"/>
  <c r="V224" i="1"/>
  <c r="W224" i="1" s="1"/>
  <c r="R224" i="1"/>
  <c r="S224" i="1" s="1"/>
  <c r="A224" i="1"/>
  <c r="AU223" i="1"/>
  <c r="AL223" i="1"/>
  <c r="AG223" i="1" a="1"/>
  <c r="AG223" i="1" s="1"/>
  <c r="AF223" i="1" a="1"/>
  <c r="AF223" i="1" s="1"/>
  <c r="AE223" i="1"/>
  <c r="AD223" i="1"/>
  <c r="V223" i="1"/>
  <c r="W223" i="1" s="1"/>
  <c r="R223" i="1"/>
  <c r="S223" i="1" s="1"/>
  <c r="A223" i="1"/>
  <c r="AU222" i="1"/>
  <c r="AM222" i="1"/>
  <c r="AN222" i="1" s="1"/>
  <c r="AL222" i="1"/>
  <c r="AO222" i="1" s="1"/>
  <c r="AP222" i="1" s="1"/>
  <c r="AG222" i="1" a="1"/>
  <c r="AG222" i="1" s="1"/>
  <c r="AF222" i="1" a="1"/>
  <c r="AF222" i="1" s="1"/>
  <c r="AE222" i="1"/>
  <c r="AD222" i="1"/>
  <c r="W222" i="1"/>
  <c r="V222" i="1"/>
  <c r="R222" i="1"/>
  <c r="S222" i="1" s="1"/>
  <c r="A222" i="1"/>
  <c r="AU221" i="1"/>
  <c r="AO221" i="1"/>
  <c r="AP221" i="1" s="1"/>
  <c r="AM221" i="1"/>
  <c r="AN221" i="1" s="1"/>
  <c r="AL221" i="1"/>
  <c r="AG221" i="1" a="1"/>
  <c r="AG221" i="1" s="1"/>
  <c r="AH221" i="1" s="1"/>
  <c r="AI221" i="1" s="1"/>
  <c r="AF221" i="1" a="1"/>
  <c r="AF221" i="1" s="1"/>
  <c r="AD221" i="1"/>
  <c r="AE221" i="1" s="1"/>
  <c r="W221" i="1"/>
  <c r="V221" i="1"/>
  <c r="S221" i="1"/>
  <c r="R221" i="1"/>
  <c r="A221" i="1"/>
  <c r="AU220" i="1"/>
  <c r="AO220" i="1"/>
  <c r="AP220" i="1" s="1"/>
  <c r="AM220" i="1"/>
  <c r="AN220" i="1" s="1"/>
  <c r="AL220" i="1"/>
  <c r="AG220" i="1" a="1"/>
  <c r="AG220" i="1" s="1"/>
  <c r="AF220" i="1" a="1"/>
  <c r="AF220" i="1"/>
  <c r="AD220" i="1"/>
  <c r="AE220" i="1" s="1"/>
  <c r="V220" i="1"/>
  <c r="W220" i="1" s="1"/>
  <c r="S220" i="1"/>
  <c r="R220" i="1"/>
  <c r="A220" i="1"/>
  <c r="AU219" i="1"/>
  <c r="AL219" i="1"/>
  <c r="AG219" i="1" a="1"/>
  <c r="AG219" i="1" s="1"/>
  <c r="AF219" i="1" a="1"/>
  <c r="AF219" i="1" s="1"/>
  <c r="AD219" i="1"/>
  <c r="AE219" i="1" s="1"/>
  <c r="V219" i="1"/>
  <c r="W219" i="1" s="1"/>
  <c r="S219" i="1"/>
  <c r="R219" i="1"/>
  <c r="A219" i="1"/>
  <c r="AU218" i="1"/>
  <c r="AP218" i="1"/>
  <c r="AL218" i="1"/>
  <c r="AO218" i="1" s="1"/>
  <c r="AG218" i="1" a="1"/>
  <c r="AG218" i="1" s="1"/>
  <c r="AF218" i="1" a="1"/>
  <c r="AF218" i="1" s="1"/>
  <c r="AD218" i="1"/>
  <c r="AE218" i="1" s="1"/>
  <c r="W218" i="1"/>
  <c r="V218" i="1"/>
  <c r="R218" i="1"/>
  <c r="S218" i="1" s="1"/>
  <c r="A218" i="1"/>
  <c r="AU217" i="1"/>
  <c r="AO217" i="1"/>
  <c r="AP217" i="1" s="1"/>
  <c r="AL217" i="1"/>
  <c r="AM217" i="1" s="1"/>
  <c r="AN217" i="1" s="1"/>
  <c r="AG217" i="1" a="1"/>
  <c r="AG217" i="1" s="1"/>
  <c r="AJ217" i="1" s="1"/>
  <c r="AK217" i="1" s="1"/>
  <c r="AF217" i="1" a="1"/>
  <c r="AF217" i="1" s="1"/>
  <c r="AE217" i="1"/>
  <c r="AD217" i="1"/>
  <c r="W217" i="1"/>
  <c r="V217" i="1"/>
  <c r="S217" i="1"/>
  <c r="R217" i="1"/>
  <c r="A217" i="1"/>
  <c r="AU216" i="1"/>
  <c r="AO216" i="1"/>
  <c r="AP216" i="1" s="1"/>
  <c r="AL216" i="1"/>
  <c r="AM216" i="1" s="1"/>
  <c r="AN216" i="1" s="1"/>
  <c r="AG216" i="1" a="1"/>
  <c r="AG216" i="1" s="1"/>
  <c r="AJ216" i="1" s="1"/>
  <c r="AK216" i="1" s="1"/>
  <c r="AF216" i="1" a="1"/>
  <c r="AF216" i="1"/>
  <c r="AE216" i="1"/>
  <c r="AD216" i="1"/>
  <c r="W216" i="1"/>
  <c r="V216" i="1"/>
  <c r="S216" i="1"/>
  <c r="R216" i="1"/>
  <c r="A216" i="1"/>
  <c r="AU215" i="1"/>
  <c r="AO215" i="1"/>
  <c r="AP215" i="1" s="1"/>
  <c r="AM215" i="1"/>
  <c r="AN215" i="1" s="1"/>
  <c r="AL215" i="1"/>
  <c r="AG215" i="1" a="1"/>
  <c r="AG215" i="1" s="1"/>
  <c r="AJ215" i="1" s="1"/>
  <c r="AK215" i="1" s="1"/>
  <c r="AF215" i="1" a="1"/>
  <c r="AF215" i="1"/>
  <c r="AE215" i="1"/>
  <c r="AD215" i="1"/>
  <c r="V215" i="1"/>
  <c r="W215" i="1" s="1"/>
  <c r="S215" i="1"/>
  <c r="R215" i="1"/>
  <c r="A215" i="1"/>
  <c r="AU214" i="1"/>
  <c r="AP214" i="1"/>
  <c r="AO214" i="1"/>
  <c r="AN214" i="1"/>
  <c r="AM214" i="1"/>
  <c r="AL214" i="1"/>
  <c r="AG214" i="1" a="1"/>
  <c r="AG214" i="1" s="1"/>
  <c r="AF214" i="1" a="1"/>
  <c r="AF214" i="1"/>
  <c r="AD214" i="1"/>
  <c r="AE214" i="1" s="1"/>
  <c r="V214" i="1"/>
  <c r="W214" i="1" s="1"/>
  <c r="R214" i="1"/>
  <c r="S214" i="1" s="1"/>
  <c r="A214" i="1"/>
  <c r="AU213" i="1"/>
  <c r="AP213" i="1"/>
  <c r="AO213" i="1"/>
  <c r="AN213" i="1"/>
  <c r="AM213" i="1"/>
  <c r="AL213" i="1"/>
  <c r="AG213" i="1" a="1"/>
  <c r="AG213" i="1" s="1"/>
  <c r="AF213" i="1" a="1"/>
  <c r="AF213" i="1" s="1"/>
  <c r="AD213" i="1"/>
  <c r="AE213" i="1" s="1"/>
  <c r="V213" i="1"/>
  <c r="W213" i="1" s="1"/>
  <c r="R213" i="1"/>
  <c r="S213" i="1" s="1"/>
  <c r="A213" i="1"/>
  <c r="AU212" i="1"/>
  <c r="AL212" i="1"/>
  <c r="AG212" i="1" a="1"/>
  <c r="AG212" i="1" s="1"/>
  <c r="AH212" i="1" s="1"/>
  <c r="AI212" i="1" s="1"/>
  <c r="AF212" i="1" a="1"/>
  <c r="AF212" i="1" s="1"/>
  <c r="AE212" i="1"/>
  <c r="AD212" i="1"/>
  <c r="V212" i="1"/>
  <c r="W212" i="1" s="1"/>
  <c r="R212" i="1"/>
  <c r="S212" i="1" s="1"/>
  <c r="A212" i="1"/>
  <c r="AU211" i="1"/>
  <c r="AO211" i="1"/>
  <c r="AP211" i="1" s="1"/>
  <c r="AM211" i="1"/>
  <c r="AN211" i="1" s="1"/>
  <c r="AL211" i="1"/>
  <c r="AG211" i="1" a="1"/>
  <c r="AG211" i="1" s="1"/>
  <c r="AH211" i="1" s="1"/>
  <c r="AI211" i="1" s="1"/>
  <c r="AF211" i="1" a="1"/>
  <c r="AF211" i="1"/>
  <c r="AE211" i="1"/>
  <c r="AD211" i="1"/>
  <c r="W211" i="1"/>
  <c r="V211" i="1"/>
  <c r="S211" i="1"/>
  <c r="R211" i="1"/>
  <c r="A211" i="1"/>
  <c r="AU210" i="1"/>
  <c r="AO210" i="1"/>
  <c r="AP210" i="1" s="1"/>
  <c r="AM210" i="1"/>
  <c r="AN210" i="1" s="1"/>
  <c r="AL210" i="1"/>
  <c r="AG210" i="1" a="1"/>
  <c r="AG210" i="1" s="1"/>
  <c r="AH210" i="1" s="1"/>
  <c r="AI210" i="1" s="1"/>
  <c r="AF210" i="1" a="1"/>
  <c r="AF210" i="1"/>
  <c r="AD210" i="1"/>
  <c r="AE210" i="1" s="1"/>
  <c r="W210" i="1"/>
  <c r="V210" i="1"/>
  <c r="S210" i="1"/>
  <c r="R210" i="1"/>
  <c r="A210" i="1"/>
  <c r="AU209" i="1"/>
  <c r="AO209" i="1"/>
  <c r="AP209" i="1" s="1"/>
  <c r="AN209" i="1"/>
  <c r="AM209" i="1"/>
  <c r="AL209" i="1"/>
  <c r="AG209" i="1" a="1"/>
  <c r="AG209" i="1" s="1"/>
  <c r="AF209" i="1" a="1"/>
  <c r="AF209" i="1"/>
  <c r="AD209" i="1"/>
  <c r="AE209" i="1" s="1"/>
  <c r="W209" i="1"/>
  <c r="V209" i="1"/>
  <c r="R209" i="1"/>
  <c r="S209" i="1" s="1"/>
  <c r="A209" i="1"/>
  <c r="AU208" i="1"/>
  <c r="AL208" i="1"/>
  <c r="AG208" i="1" a="1"/>
  <c r="AG208" i="1" s="1"/>
  <c r="AF208" i="1" a="1"/>
  <c r="AF208" i="1"/>
  <c r="AD208" i="1"/>
  <c r="AE208" i="1" s="1"/>
  <c r="V208" i="1"/>
  <c r="W208" i="1" s="1"/>
  <c r="R208" i="1"/>
  <c r="S208" i="1" s="1"/>
  <c r="A208" i="1"/>
  <c r="AU207" i="1"/>
  <c r="AL207" i="1"/>
  <c r="AG207" i="1" a="1"/>
  <c r="AG207" i="1" s="1"/>
  <c r="AF207" i="1" a="1"/>
  <c r="AF207" i="1" s="1"/>
  <c r="AE207" i="1"/>
  <c r="AD207" i="1"/>
  <c r="V207" i="1"/>
  <c r="W207" i="1" s="1"/>
  <c r="R207" i="1"/>
  <c r="S207" i="1" s="1"/>
  <c r="A207" i="1"/>
  <c r="AU206" i="1"/>
  <c r="AP206" i="1"/>
  <c r="AL206" i="1"/>
  <c r="AO206" i="1" s="1"/>
  <c r="AG206" i="1" a="1"/>
  <c r="AG206" i="1" s="1"/>
  <c r="AJ206" i="1" s="1"/>
  <c r="AK206" i="1" s="1"/>
  <c r="AF206" i="1" a="1"/>
  <c r="AF206" i="1" s="1"/>
  <c r="AE206" i="1"/>
  <c r="AD206" i="1"/>
  <c r="V206" i="1"/>
  <c r="W206" i="1" s="1"/>
  <c r="R206" i="1"/>
  <c r="S206" i="1" s="1"/>
  <c r="A206" i="1"/>
  <c r="AU205" i="1"/>
  <c r="AL205" i="1"/>
  <c r="AO205" i="1" s="1"/>
  <c r="AP205" i="1" s="1"/>
  <c r="AG205" i="1" a="1"/>
  <c r="AG205" i="1" s="1"/>
  <c r="AF205" i="1" a="1"/>
  <c r="AF205" i="1" s="1"/>
  <c r="AD205" i="1"/>
  <c r="AE205" i="1" s="1"/>
  <c r="W205" i="1"/>
  <c r="V205" i="1"/>
  <c r="S205" i="1"/>
  <c r="R205" i="1"/>
  <c r="A205" i="1"/>
  <c r="AU204" i="1"/>
  <c r="AO204" i="1"/>
  <c r="AP204" i="1" s="1"/>
  <c r="AM204" i="1"/>
  <c r="AN204" i="1" s="1"/>
  <c r="AL204" i="1"/>
  <c r="AG204" i="1" a="1"/>
  <c r="AG204" i="1" s="1"/>
  <c r="AJ204" i="1" s="1"/>
  <c r="AK204" i="1" s="1"/>
  <c r="AF204" i="1" a="1"/>
  <c r="AF204" i="1"/>
  <c r="AD204" i="1"/>
  <c r="AE204" i="1" s="1"/>
  <c r="W204" i="1"/>
  <c r="V204" i="1"/>
  <c r="S204" i="1"/>
  <c r="R204" i="1"/>
  <c r="A204" i="1"/>
  <c r="AU203" i="1"/>
  <c r="AM203" i="1"/>
  <c r="AN203" i="1" s="1"/>
  <c r="AL203" i="1"/>
  <c r="AO203" i="1" s="1"/>
  <c r="AP203" i="1" s="1"/>
  <c r="AG203" i="1" a="1"/>
  <c r="AG203" i="1" s="1"/>
  <c r="AF203" i="1" a="1"/>
  <c r="AF203" i="1"/>
  <c r="AD203" i="1"/>
  <c r="AE203" i="1" s="1"/>
  <c r="W203" i="1"/>
  <c r="V203" i="1"/>
  <c r="R203" i="1"/>
  <c r="S203" i="1" s="1"/>
  <c r="A203" i="1"/>
  <c r="AU202" i="1"/>
  <c r="AL202" i="1"/>
  <c r="AG202" i="1" a="1"/>
  <c r="AG202" i="1" s="1"/>
  <c r="AF202" i="1" a="1"/>
  <c r="AF202" i="1" s="1"/>
  <c r="AD202" i="1"/>
  <c r="AE202" i="1" s="1"/>
  <c r="V202" i="1"/>
  <c r="R202" i="1"/>
  <c r="S202" i="1" s="1"/>
  <c r="A202" i="1"/>
  <c r="AU201" i="1"/>
  <c r="AP201" i="1"/>
  <c r="AO201" i="1"/>
  <c r="AM201" i="1"/>
  <c r="AN201" i="1" s="1"/>
  <c r="AL201" i="1"/>
  <c r="AG201" i="1" a="1"/>
  <c r="AG201" i="1" s="1"/>
  <c r="AF201" i="1" a="1"/>
  <c r="AF201" i="1" s="1"/>
  <c r="AD201" i="1"/>
  <c r="AE201" i="1" s="1"/>
  <c r="V201" i="1"/>
  <c r="S201" i="1"/>
  <c r="R201" i="1"/>
  <c r="A201" i="1"/>
  <c r="AU200" i="1"/>
  <c r="AO200" i="1"/>
  <c r="AP200" i="1" s="1"/>
  <c r="AN200" i="1"/>
  <c r="AM200" i="1"/>
  <c r="AL200" i="1"/>
  <c r="AG200" i="1" a="1"/>
  <c r="AG200" i="1" s="1"/>
  <c r="AH200" i="1" s="1"/>
  <c r="AI200" i="1" s="1"/>
  <c r="AF200" i="1" a="1"/>
  <c r="AF200" i="1"/>
  <c r="AE200" i="1"/>
  <c r="AD200" i="1"/>
  <c r="V200" i="1"/>
  <c r="R200" i="1"/>
  <c r="S200" i="1" s="1"/>
  <c r="A200" i="1"/>
  <c r="AU199" i="1"/>
  <c r="AO199" i="1"/>
  <c r="AP199" i="1" s="1"/>
  <c r="AN199" i="1"/>
  <c r="AM199" i="1"/>
  <c r="AL199" i="1"/>
  <c r="AG199" i="1" a="1"/>
  <c r="AG199" i="1" s="1"/>
  <c r="AF199" i="1" a="1"/>
  <c r="AF199" i="1" s="1"/>
  <c r="AE199" i="1"/>
  <c r="AD199" i="1"/>
  <c r="V199" i="1"/>
  <c r="R199" i="1"/>
  <c r="S199" i="1" s="1"/>
  <c r="A199" i="1"/>
  <c r="AU198" i="1"/>
  <c r="AL198" i="1"/>
  <c r="AG198" i="1" a="1"/>
  <c r="AG198" i="1" s="1"/>
  <c r="AF198" i="1" a="1"/>
  <c r="AF198" i="1" s="1"/>
  <c r="AD198" i="1"/>
  <c r="AE198" i="1" s="1"/>
  <c r="W198" i="1"/>
  <c r="V198" i="1"/>
  <c r="R198" i="1"/>
  <c r="S198" i="1" s="1"/>
  <c r="A198" i="1"/>
  <c r="AU197" i="1"/>
  <c r="AL197" i="1"/>
  <c r="AO197" i="1" s="1"/>
  <c r="AP197" i="1" s="1"/>
  <c r="AG197" i="1" a="1"/>
  <c r="AG197" i="1" s="1"/>
  <c r="AF197" i="1" a="1"/>
  <c r="AF197" i="1"/>
  <c r="AD197" i="1"/>
  <c r="AE197" i="1" s="1"/>
  <c r="W197" i="1"/>
  <c r="V197" i="1"/>
  <c r="R197" i="1"/>
  <c r="S197" i="1" s="1"/>
  <c r="A197" i="1"/>
  <c r="AU196" i="1"/>
  <c r="AL196" i="1"/>
  <c r="AG196" i="1" a="1"/>
  <c r="AG196" i="1" s="1"/>
  <c r="AF196" i="1" a="1"/>
  <c r="AF196" i="1" s="1"/>
  <c r="AE196" i="1"/>
  <c r="AD196" i="1"/>
  <c r="W196" i="1"/>
  <c r="V196" i="1"/>
  <c r="S196" i="1"/>
  <c r="R196" i="1"/>
  <c r="A196" i="1"/>
  <c r="AU195" i="1"/>
  <c r="AL195" i="1"/>
  <c r="AO195" i="1" s="1"/>
  <c r="AP195" i="1" s="1"/>
  <c r="AG195" i="1" a="1"/>
  <c r="AG195" i="1" s="1"/>
  <c r="AH195" i="1" s="1"/>
  <c r="AI195" i="1" s="1"/>
  <c r="AF195" i="1" a="1"/>
  <c r="AF195" i="1" s="1"/>
  <c r="AD195" i="1"/>
  <c r="AE195" i="1" s="1"/>
  <c r="W195" i="1"/>
  <c r="V195" i="1"/>
  <c r="R195" i="1"/>
  <c r="S195" i="1" s="1"/>
  <c r="A195" i="1"/>
  <c r="AU194" i="1"/>
  <c r="AP194" i="1"/>
  <c r="AO194" i="1"/>
  <c r="AM194" i="1"/>
  <c r="AN194" i="1" s="1"/>
  <c r="AL194" i="1"/>
  <c r="AG194" i="1" a="1"/>
  <c r="AG194" i="1" s="1"/>
  <c r="AF194" i="1" a="1"/>
  <c r="AF194" i="1" s="1"/>
  <c r="AD194" i="1"/>
  <c r="AE194" i="1" s="1"/>
  <c r="V194" i="1"/>
  <c r="W194" i="1" s="1"/>
  <c r="S194" i="1"/>
  <c r="R194" i="1"/>
  <c r="A194" i="1"/>
  <c r="AU193" i="1"/>
  <c r="AL193" i="1"/>
  <c r="AO193" i="1" s="1"/>
  <c r="AP193" i="1" s="1"/>
  <c r="AG193" i="1" a="1"/>
  <c r="AG193" i="1" s="1"/>
  <c r="AH193" i="1" s="1"/>
  <c r="AI193" i="1" s="1"/>
  <c r="AF193" i="1" a="1"/>
  <c r="AF193" i="1" s="1"/>
  <c r="AD193" i="1"/>
  <c r="AE193" i="1" s="1"/>
  <c r="V193" i="1"/>
  <c r="W193" i="1" s="1"/>
  <c r="S193" i="1"/>
  <c r="R193" i="1"/>
  <c r="A193" i="1"/>
  <c r="AU192" i="1"/>
  <c r="AP192" i="1"/>
  <c r="AO192" i="1"/>
  <c r="AL192" i="1"/>
  <c r="AM192" i="1" s="1"/>
  <c r="AN192" i="1" s="1"/>
  <c r="AG192" i="1" a="1"/>
  <c r="AG192" i="1" s="1"/>
  <c r="AH192" i="1" s="1"/>
  <c r="AI192" i="1" s="1"/>
  <c r="AF192" i="1" a="1"/>
  <c r="AF192" i="1" s="1"/>
  <c r="AE192" i="1"/>
  <c r="AD192" i="1"/>
  <c r="V192" i="1"/>
  <c r="W192" i="1" s="1"/>
  <c r="S192" i="1"/>
  <c r="R192" i="1"/>
  <c r="A192" i="1"/>
  <c r="AU191" i="1"/>
  <c r="AL191" i="1"/>
  <c r="AM191" i="1" s="1"/>
  <c r="AN191" i="1" s="1"/>
  <c r="AG191" i="1" a="1"/>
  <c r="AG191" i="1" s="1"/>
  <c r="AJ191" i="1" s="1"/>
  <c r="AK191" i="1" s="1"/>
  <c r="AF191" i="1" a="1"/>
  <c r="AF191" i="1" s="1"/>
  <c r="AD191" i="1"/>
  <c r="AE191" i="1" s="1"/>
  <c r="V191" i="1"/>
  <c r="W191" i="1" s="1"/>
  <c r="S191" i="1"/>
  <c r="R191" i="1"/>
  <c r="A191" i="1"/>
  <c r="AU190" i="1"/>
  <c r="AO190" i="1"/>
  <c r="AP190" i="1" s="1"/>
  <c r="AN190" i="1"/>
  <c r="AM190" i="1"/>
  <c r="AL190" i="1"/>
  <c r="AG190" i="1" a="1"/>
  <c r="AG190" i="1" s="1"/>
  <c r="AH190" i="1" s="1"/>
  <c r="AI190" i="1" s="1"/>
  <c r="AF190" i="1" a="1"/>
  <c r="AF190" i="1"/>
  <c r="AE190" i="1"/>
  <c r="AD190" i="1"/>
  <c r="W190" i="1"/>
  <c r="V190" i="1"/>
  <c r="S190" i="1"/>
  <c r="R190" i="1"/>
  <c r="A190" i="1"/>
  <c r="AU189" i="1"/>
  <c r="AO189" i="1"/>
  <c r="AP189" i="1" s="1"/>
  <c r="AL189" i="1"/>
  <c r="AM189" i="1" s="1"/>
  <c r="AN189" i="1" s="1"/>
  <c r="AG189" i="1" a="1"/>
  <c r="AG189" i="1" s="1"/>
  <c r="AF189" i="1" a="1"/>
  <c r="AF189" i="1"/>
  <c r="AE189" i="1"/>
  <c r="AD189" i="1"/>
  <c r="V189" i="1"/>
  <c r="W189" i="1" s="1"/>
  <c r="S189" i="1"/>
  <c r="R189" i="1"/>
  <c r="A189" i="1"/>
  <c r="AU188" i="1"/>
  <c r="AO188" i="1"/>
  <c r="AP188" i="1" s="1"/>
  <c r="AN188" i="1"/>
  <c r="AM188" i="1"/>
  <c r="AL188" i="1"/>
  <c r="AG188" i="1" a="1"/>
  <c r="AG188" i="1" s="1"/>
  <c r="AF188" i="1" a="1"/>
  <c r="AF188" i="1"/>
  <c r="AE188" i="1"/>
  <c r="AD188" i="1"/>
  <c r="V188" i="1"/>
  <c r="W188" i="1" s="1"/>
  <c r="R188" i="1"/>
  <c r="S188" i="1" s="1"/>
  <c r="A188" i="1"/>
  <c r="AU187" i="1"/>
  <c r="AP187" i="1"/>
  <c r="AO187" i="1"/>
  <c r="AN187" i="1"/>
  <c r="AM187" i="1"/>
  <c r="AL187" i="1"/>
  <c r="AG187" i="1" a="1"/>
  <c r="AG187" i="1" s="1"/>
  <c r="AF187" i="1" a="1"/>
  <c r="AF187" i="1"/>
  <c r="AE187" i="1"/>
  <c r="AD187" i="1"/>
  <c r="V187" i="1"/>
  <c r="W187" i="1" s="1"/>
  <c r="R187" i="1"/>
  <c r="S187" i="1" s="1"/>
  <c r="A187" i="1"/>
  <c r="AU186" i="1"/>
  <c r="AO186" i="1"/>
  <c r="AP186" i="1" s="1"/>
  <c r="AN186" i="1"/>
  <c r="AM186" i="1"/>
  <c r="AL186" i="1"/>
  <c r="AG186" i="1" a="1"/>
  <c r="AG186" i="1" s="1"/>
  <c r="AH186" i="1" s="1"/>
  <c r="AI186" i="1" s="1"/>
  <c r="AF186" i="1" a="1"/>
  <c r="AF186" i="1" s="1"/>
  <c r="AE186" i="1"/>
  <c r="AD186" i="1"/>
  <c r="W186" i="1"/>
  <c r="V186" i="1"/>
  <c r="R186" i="1"/>
  <c r="S186" i="1" s="1"/>
  <c r="A186" i="1"/>
  <c r="AU185" i="1"/>
  <c r="AM185" i="1"/>
  <c r="AN185" i="1" s="1"/>
  <c r="AL185" i="1"/>
  <c r="AO185" i="1" s="1"/>
  <c r="AP185" i="1" s="1"/>
  <c r="AG185" i="1" a="1"/>
  <c r="AG185" i="1" s="1"/>
  <c r="AF185" i="1" a="1"/>
  <c r="AF185" i="1"/>
  <c r="AE185" i="1"/>
  <c r="AD185" i="1"/>
  <c r="V185" i="1"/>
  <c r="W185" i="1" s="1"/>
  <c r="R185" i="1"/>
  <c r="S185" i="1" s="1"/>
  <c r="A185" i="1"/>
  <c r="AU184" i="1"/>
  <c r="AO184" i="1"/>
  <c r="AP184" i="1" s="1"/>
  <c r="AM184" i="1"/>
  <c r="AN184" i="1" s="1"/>
  <c r="AL184" i="1"/>
  <c r="AG184" i="1" a="1"/>
  <c r="AG184" i="1" s="1"/>
  <c r="AJ184" i="1" s="1"/>
  <c r="AK184" i="1" s="1"/>
  <c r="AF184" i="1" a="1"/>
  <c r="AF184" i="1"/>
  <c r="AD184" i="1"/>
  <c r="AE184" i="1" s="1"/>
  <c r="W184" i="1"/>
  <c r="V184" i="1"/>
  <c r="S184" i="1"/>
  <c r="R184" i="1"/>
  <c r="A184" i="1"/>
  <c r="AU183" i="1"/>
  <c r="AM183" i="1"/>
  <c r="AN183" i="1" s="1"/>
  <c r="AL183" i="1"/>
  <c r="AO183" i="1" s="1"/>
  <c r="AP183" i="1" s="1"/>
  <c r="AG183" i="1" a="1"/>
  <c r="AG183" i="1" s="1"/>
  <c r="AF183" i="1" a="1"/>
  <c r="AF183" i="1"/>
  <c r="AD183" i="1"/>
  <c r="AE183" i="1" s="1"/>
  <c r="W183" i="1"/>
  <c r="V183" i="1"/>
  <c r="R183" i="1"/>
  <c r="S183" i="1" s="1"/>
  <c r="A183" i="1"/>
  <c r="AU182" i="1"/>
  <c r="AL182" i="1"/>
  <c r="AG182" i="1" a="1"/>
  <c r="AG182" i="1" s="1"/>
  <c r="AF182" i="1" a="1"/>
  <c r="AF182" i="1" s="1"/>
  <c r="AD182" i="1"/>
  <c r="AE182" i="1" s="1"/>
  <c r="W182" i="1"/>
  <c r="V182" i="1"/>
  <c r="R182" i="1"/>
  <c r="S182" i="1" s="1"/>
  <c r="A182" i="1"/>
  <c r="AU181" i="1"/>
  <c r="AL181" i="1"/>
  <c r="AO181" i="1" s="1"/>
  <c r="AP181" i="1" s="1"/>
  <c r="AG181" i="1" a="1"/>
  <c r="AG181" i="1" s="1"/>
  <c r="AF181" i="1" a="1"/>
  <c r="AF181" i="1"/>
  <c r="AD181" i="1"/>
  <c r="AE181" i="1" s="1"/>
  <c r="W181" i="1"/>
  <c r="V181" i="1"/>
  <c r="R181" i="1"/>
  <c r="S181" i="1" s="1"/>
  <c r="A181" i="1"/>
  <c r="AU180" i="1"/>
  <c r="AL180" i="1"/>
  <c r="AG180" i="1" a="1"/>
  <c r="AG180" i="1" s="1"/>
  <c r="AF180" i="1" a="1"/>
  <c r="AF180" i="1" s="1"/>
  <c r="AE180" i="1"/>
  <c r="AD180" i="1"/>
  <c r="W180" i="1"/>
  <c r="V180" i="1"/>
  <c r="S180" i="1"/>
  <c r="R180" i="1"/>
  <c r="A180" i="1"/>
  <c r="AU179" i="1"/>
  <c r="AL179" i="1"/>
  <c r="AO179" i="1" s="1"/>
  <c r="AP179" i="1" s="1"/>
  <c r="AG179" i="1" a="1"/>
  <c r="AG179" i="1" s="1"/>
  <c r="AH179" i="1" s="1"/>
  <c r="AI179" i="1" s="1"/>
  <c r="AF179" i="1" a="1"/>
  <c r="AF179" i="1" s="1"/>
  <c r="AD179" i="1"/>
  <c r="AE179" i="1" s="1"/>
  <c r="W179" i="1"/>
  <c r="V179" i="1"/>
  <c r="R179" i="1"/>
  <c r="S179" i="1" s="1"/>
  <c r="A179" i="1"/>
  <c r="AU178" i="1"/>
  <c r="AP178" i="1"/>
  <c r="AO178" i="1"/>
  <c r="AM178" i="1"/>
  <c r="AN178" i="1" s="1"/>
  <c r="AL178" i="1"/>
  <c r="AG178" i="1" a="1"/>
  <c r="AG178" i="1" s="1"/>
  <c r="AF178" i="1" a="1"/>
  <c r="AF178" i="1" s="1"/>
  <c r="AD178" i="1"/>
  <c r="AE178" i="1" s="1"/>
  <c r="V178" i="1"/>
  <c r="W178" i="1" s="1"/>
  <c r="S178" i="1"/>
  <c r="R178" i="1"/>
  <c r="A178" i="1"/>
  <c r="AU177" i="1"/>
  <c r="AL177" i="1"/>
  <c r="AO177" i="1" s="1"/>
  <c r="AP177" i="1" s="1"/>
  <c r="AG177" i="1" a="1"/>
  <c r="AG177" i="1" s="1"/>
  <c r="AF177" i="1" a="1"/>
  <c r="AF177" i="1" s="1"/>
  <c r="AD177" i="1"/>
  <c r="AE177" i="1" s="1"/>
  <c r="V177" i="1"/>
  <c r="W177" i="1" s="1"/>
  <c r="S177" i="1"/>
  <c r="R177" i="1"/>
  <c r="A177" i="1"/>
  <c r="AU176" i="1"/>
  <c r="AP176" i="1"/>
  <c r="AO176" i="1"/>
  <c r="AL176" i="1"/>
  <c r="AM176" i="1" s="1"/>
  <c r="AN176" i="1" s="1"/>
  <c r="AG176" i="1" a="1"/>
  <c r="AG176" i="1" s="1"/>
  <c r="AF176" i="1" a="1"/>
  <c r="AF176" i="1" s="1"/>
  <c r="AE176" i="1"/>
  <c r="AD176" i="1"/>
  <c r="V176" i="1"/>
  <c r="W176" i="1" s="1"/>
  <c r="S176" i="1"/>
  <c r="R176" i="1"/>
  <c r="A176" i="1"/>
  <c r="AU175" i="1"/>
  <c r="AL175" i="1"/>
  <c r="AM175" i="1" s="1"/>
  <c r="AN175" i="1" s="1"/>
  <c r="AG175" i="1" a="1"/>
  <c r="AG175" i="1"/>
  <c r="AF175" i="1" a="1"/>
  <c r="AF175" i="1" s="1"/>
  <c r="AD175" i="1"/>
  <c r="AE175" i="1" s="1"/>
  <c r="V175" i="1"/>
  <c r="W175" i="1" s="1"/>
  <c r="S175" i="1"/>
  <c r="R175" i="1"/>
  <c r="A175" i="1"/>
  <c r="AU174" i="1"/>
  <c r="AO174" i="1"/>
  <c r="AP174" i="1" s="1"/>
  <c r="AN174" i="1"/>
  <c r="AM174" i="1"/>
  <c r="AL174" i="1"/>
  <c r="AG174" i="1" a="1"/>
  <c r="AG174" i="1" s="1"/>
  <c r="AJ174" i="1" s="1"/>
  <c r="AK174" i="1" s="1"/>
  <c r="AF174" i="1" a="1"/>
  <c r="AF174" i="1"/>
  <c r="AE174" i="1"/>
  <c r="AD174" i="1"/>
  <c r="W174" i="1"/>
  <c r="V174" i="1"/>
  <c r="S174" i="1"/>
  <c r="R174" i="1"/>
  <c r="A174" i="1"/>
  <c r="AU173" i="1"/>
  <c r="AO173" i="1"/>
  <c r="AP173" i="1" s="1"/>
  <c r="AN173" i="1"/>
  <c r="AL173" i="1"/>
  <c r="AM173" i="1" s="1"/>
  <c r="AG173" i="1" a="1"/>
  <c r="AG173" i="1" s="1"/>
  <c r="AF173" i="1" a="1"/>
  <c r="AF173" i="1"/>
  <c r="AE173" i="1"/>
  <c r="AD173" i="1"/>
  <c r="V173" i="1"/>
  <c r="W173" i="1" s="1"/>
  <c r="S173" i="1"/>
  <c r="R173" i="1"/>
  <c r="A173" i="1"/>
  <c r="AU172" i="1"/>
  <c r="AL172" i="1"/>
  <c r="AM172" i="1" s="1"/>
  <c r="AN172" i="1" s="1"/>
  <c r="AG172" i="1" a="1"/>
  <c r="AG172" i="1" s="1"/>
  <c r="AF172" i="1" a="1"/>
  <c r="AF172" i="1"/>
  <c r="AE172" i="1"/>
  <c r="AD172" i="1"/>
  <c r="V172" i="1"/>
  <c r="W172" i="1" s="1"/>
  <c r="R172" i="1"/>
  <c r="S172" i="1" s="1"/>
  <c r="A172" i="1"/>
  <c r="AU171" i="1"/>
  <c r="AP171" i="1"/>
  <c r="AO171" i="1"/>
  <c r="AN171" i="1"/>
  <c r="AM171" i="1"/>
  <c r="AL171" i="1"/>
  <c r="AG171" i="1" a="1"/>
  <c r="AG171" i="1" s="1"/>
  <c r="AF171" i="1" a="1"/>
  <c r="AF171" i="1"/>
  <c r="AE171" i="1"/>
  <c r="AD171" i="1"/>
  <c r="V171" i="1"/>
  <c r="S171" i="1"/>
  <c r="R171" i="1"/>
  <c r="A171" i="1"/>
  <c r="AU170" i="1"/>
  <c r="AL170" i="1"/>
  <c r="AO170" i="1" s="1"/>
  <c r="AP170" i="1" s="1"/>
  <c r="AG170" i="1" a="1"/>
  <c r="AG170" i="1" s="1"/>
  <c r="AF170" i="1" a="1"/>
  <c r="AF170" i="1"/>
  <c r="AD170" i="1"/>
  <c r="AE170" i="1" s="1"/>
  <c r="V170" i="1"/>
  <c r="S170" i="1"/>
  <c r="R170" i="1"/>
  <c r="A170" i="1"/>
  <c r="AU169" i="1"/>
  <c r="AL169" i="1"/>
  <c r="AO169" i="1" s="1"/>
  <c r="AP169" i="1" s="1"/>
  <c r="AG169" i="1" a="1"/>
  <c r="AG169" i="1" s="1"/>
  <c r="AH169" i="1" s="1"/>
  <c r="AI169" i="1" s="1"/>
  <c r="AF169" i="1" a="1"/>
  <c r="AF169" i="1" s="1"/>
  <c r="AD169" i="1"/>
  <c r="AE169" i="1" s="1"/>
  <c r="V169" i="1"/>
  <c r="S169" i="1"/>
  <c r="R169" i="1"/>
  <c r="A169" i="1"/>
  <c r="AU168" i="1"/>
  <c r="AO168" i="1"/>
  <c r="AP168" i="1" s="1"/>
  <c r="AL168" i="1"/>
  <c r="AM168" i="1" s="1"/>
  <c r="AN168" i="1" s="1"/>
  <c r="AG168" i="1" a="1"/>
  <c r="AG168" i="1" s="1"/>
  <c r="AF168" i="1" a="1"/>
  <c r="AF168" i="1" s="1"/>
  <c r="AD168" i="1"/>
  <c r="AE168" i="1" s="1"/>
  <c r="V168" i="1"/>
  <c r="R168" i="1"/>
  <c r="S168" i="1" s="1"/>
  <c r="A168" i="1"/>
  <c r="AU167" i="1"/>
  <c r="AP167" i="1"/>
  <c r="AO167" i="1"/>
  <c r="AN167" i="1"/>
  <c r="AM167" i="1"/>
  <c r="AL167" i="1"/>
  <c r="AG167" i="1" a="1"/>
  <c r="AG167" i="1" s="1"/>
  <c r="AF167" i="1" a="1"/>
  <c r="AF167" i="1"/>
  <c r="AE167" i="1"/>
  <c r="AD167" i="1"/>
  <c r="V167" i="1"/>
  <c r="S167" i="1"/>
  <c r="R167" i="1"/>
  <c r="A167" i="1"/>
  <c r="AU166" i="1"/>
  <c r="AL166" i="1"/>
  <c r="AO166" i="1" s="1"/>
  <c r="AP166" i="1" s="1"/>
  <c r="AG166" i="1" a="1"/>
  <c r="AG166" i="1" s="1"/>
  <c r="AF166" i="1" a="1"/>
  <c r="AF166" i="1"/>
  <c r="AD166" i="1"/>
  <c r="AE166" i="1" s="1"/>
  <c r="V166" i="1"/>
  <c r="S166" i="1"/>
  <c r="R166" i="1"/>
  <c r="A166" i="1"/>
  <c r="AU165" i="1"/>
  <c r="AP165" i="1"/>
  <c r="AL165" i="1"/>
  <c r="AO165" i="1" s="1"/>
  <c r="AG165" i="1" a="1"/>
  <c r="AG165" i="1" s="1"/>
  <c r="AF165" i="1" a="1"/>
  <c r="AF165" i="1" s="1"/>
  <c r="AD165" i="1"/>
  <c r="AE165" i="1" s="1"/>
  <c r="V165" i="1"/>
  <c r="W165" i="1" s="1"/>
  <c r="R165" i="1"/>
  <c r="S165" i="1" s="1"/>
  <c r="A165" i="1"/>
  <c r="AU164" i="1"/>
  <c r="AP164" i="1"/>
  <c r="AO164" i="1"/>
  <c r="AM164" i="1"/>
  <c r="AN164" i="1" s="1"/>
  <c r="AL164" i="1"/>
  <c r="AG164" i="1" a="1"/>
  <c r="AG164" i="1" s="1"/>
  <c r="AF164" i="1" a="1"/>
  <c r="AF164" i="1" s="1"/>
  <c r="AD164" i="1"/>
  <c r="AE164" i="1" s="1"/>
  <c r="V164" i="1"/>
  <c r="W164" i="1" s="1"/>
  <c r="R164" i="1"/>
  <c r="S164" i="1" s="1"/>
  <c r="A164" i="1"/>
  <c r="AU163" i="1"/>
  <c r="AL163" i="1"/>
  <c r="AG163" i="1" a="1"/>
  <c r="AG163" i="1" s="1"/>
  <c r="AJ163" i="1" s="1"/>
  <c r="AK163" i="1" s="1"/>
  <c r="AF163" i="1" a="1"/>
  <c r="AF163" i="1" s="1"/>
  <c r="AD163" i="1"/>
  <c r="AE163" i="1" s="1"/>
  <c r="V163" i="1"/>
  <c r="W163" i="1" s="1"/>
  <c r="S163" i="1"/>
  <c r="R163" i="1"/>
  <c r="A163" i="1"/>
  <c r="AU162" i="1"/>
  <c r="AO162" i="1"/>
  <c r="AP162" i="1" s="1"/>
  <c r="AL162" i="1"/>
  <c r="AM162" i="1" s="1"/>
  <c r="AN162" i="1" s="1"/>
  <c r="AG162" i="1" a="1"/>
  <c r="AG162" i="1" s="1"/>
  <c r="AF162" i="1" a="1"/>
  <c r="AF162" i="1" s="1"/>
  <c r="AE162" i="1"/>
  <c r="AD162" i="1"/>
  <c r="V162" i="1"/>
  <c r="W162" i="1" s="1"/>
  <c r="S162" i="1"/>
  <c r="R162" i="1"/>
  <c r="A162" i="1"/>
  <c r="AU161" i="1"/>
  <c r="AO161" i="1"/>
  <c r="AP161" i="1" s="1"/>
  <c r="AL161" i="1"/>
  <c r="AM161" i="1" s="1"/>
  <c r="AN161" i="1" s="1"/>
  <c r="AG161" i="1" a="1"/>
  <c r="AG161" i="1" s="1"/>
  <c r="AF161" i="1" a="1"/>
  <c r="AF161" i="1" s="1"/>
  <c r="AD161" i="1"/>
  <c r="AE161" i="1" s="1"/>
  <c r="V161" i="1"/>
  <c r="W161" i="1" s="1"/>
  <c r="S161" i="1"/>
  <c r="R161" i="1"/>
  <c r="A161" i="1"/>
  <c r="AU160" i="1"/>
  <c r="AO160" i="1"/>
  <c r="AP160" i="1" s="1"/>
  <c r="AN160" i="1"/>
  <c r="AM160" i="1"/>
  <c r="AL160" i="1"/>
  <c r="AG160" i="1" a="1"/>
  <c r="AG160" i="1" s="1"/>
  <c r="AH160" i="1" s="1"/>
  <c r="AI160" i="1" s="1"/>
  <c r="AF160" i="1" a="1"/>
  <c r="AF160" i="1"/>
  <c r="AD160" i="1"/>
  <c r="AE160" i="1" s="1"/>
  <c r="W160" i="1"/>
  <c r="V160" i="1"/>
  <c r="S160" i="1"/>
  <c r="R160" i="1"/>
  <c r="A160" i="1"/>
  <c r="AU159" i="1"/>
  <c r="AO159" i="1"/>
  <c r="AP159" i="1" s="1"/>
  <c r="AN159" i="1"/>
  <c r="AL159" i="1"/>
  <c r="AM159" i="1" s="1"/>
  <c r="AG159" i="1" a="1"/>
  <c r="AG159" i="1" s="1"/>
  <c r="AF159" i="1" a="1"/>
  <c r="AF159" i="1"/>
  <c r="AE159" i="1"/>
  <c r="AD159" i="1"/>
  <c r="V159" i="1"/>
  <c r="W159" i="1" s="1"/>
  <c r="R159" i="1"/>
  <c r="S159" i="1" s="1"/>
  <c r="A159" i="1"/>
  <c r="AU158" i="1"/>
  <c r="AL158" i="1"/>
  <c r="AM158" i="1" s="1"/>
  <c r="AN158" i="1" s="1"/>
  <c r="AG158" i="1" a="1"/>
  <c r="AG158" i="1" s="1"/>
  <c r="AF158" i="1" a="1"/>
  <c r="AF158" i="1"/>
  <c r="AE158" i="1"/>
  <c r="AD158" i="1"/>
  <c r="V158" i="1"/>
  <c r="W158" i="1" s="1"/>
  <c r="R158" i="1"/>
  <c r="S158" i="1" s="1"/>
  <c r="A158" i="1"/>
  <c r="AU157" i="1"/>
  <c r="AP157" i="1"/>
  <c r="AO157" i="1"/>
  <c r="AN157" i="1"/>
  <c r="AM157" i="1"/>
  <c r="AL157" i="1"/>
  <c r="AG157" i="1" a="1"/>
  <c r="AG157" i="1" s="1"/>
  <c r="AF157" i="1" a="1"/>
  <c r="AF157" i="1"/>
  <c r="AE157" i="1"/>
  <c r="AD157" i="1"/>
  <c r="V157" i="1"/>
  <c r="W157" i="1" s="1"/>
  <c r="R157" i="1"/>
  <c r="S157" i="1" s="1"/>
  <c r="A157" i="1"/>
  <c r="AU156" i="1"/>
  <c r="AO156" i="1"/>
  <c r="AP156" i="1" s="1"/>
  <c r="AN156" i="1"/>
  <c r="AM156" i="1"/>
  <c r="AL156" i="1"/>
  <c r="AG156" i="1" a="1"/>
  <c r="AG156" i="1" s="1"/>
  <c r="AF156" i="1" a="1"/>
  <c r="AF156" i="1" s="1"/>
  <c r="AE156" i="1"/>
  <c r="AD156" i="1"/>
  <c r="W156" i="1"/>
  <c r="V156" i="1"/>
  <c r="R156" i="1"/>
  <c r="S156" i="1" s="1"/>
  <c r="A156" i="1"/>
  <c r="AU155" i="1"/>
  <c r="AM155" i="1"/>
  <c r="AN155" i="1" s="1"/>
  <c r="AL155" i="1"/>
  <c r="AO155" i="1" s="1"/>
  <c r="AP155" i="1" s="1"/>
  <c r="AG155" i="1" a="1"/>
  <c r="AG155" i="1" s="1"/>
  <c r="AF155" i="1" a="1"/>
  <c r="AF155" i="1"/>
  <c r="AD155" i="1"/>
  <c r="AE155" i="1" s="1"/>
  <c r="V155" i="1"/>
  <c r="W155" i="1" s="1"/>
  <c r="R155" i="1"/>
  <c r="S155" i="1" s="1"/>
  <c r="A155" i="1"/>
  <c r="AU154" i="1"/>
  <c r="AO154" i="1"/>
  <c r="AP154" i="1" s="1"/>
  <c r="AM154" i="1"/>
  <c r="AN154" i="1" s="1"/>
  <c r="AL154" i="1"/>
  <c r="AG154" i="1" a="1"/>
  <c r="AG154" i="1" s="1"/>
  <c r="AJ154" i="1" s="1"/>
  <c r="AK154" i="1" s="1"/>
  <c r="AF154" i="1" a="1"/>
  <c r="AF154" i="1"/>
  <c r="AD154" i="1"/>
  <c r="AE154" i="1" s="1"/>
  <c r="V154" i="1"/>
  <c r="W154" i="1" s="1"/>
  <c r="S154" i="1"/>
  <c r="R154" i="1"/>
  <c r="A154" i="1"/>
  <c r="AU153" i="1"/>
  <c r="AM153" i="1"/>
  <c r="AN153" i="1" s="1"/>
  <c r="AL153" i="1"/>
  <c r="AO153" i="1" s="1"/>
  <c r="AP153" i="1" s="1"/>
  <c r="AG153" i="1" a="1"/>
  <c r="AG153" i="1" s="1"/>
  <c r="AF153" i="1" a="1"/>
  <c r="AF153" i="1"/>
  <c r="AD153" i="1"/>
  <c r="AE153" i="1" s="1"/>
  <c r="W153" i="1"/>
  <c r="V153" i="1"/>
  <c r="R153" i="1"/>
  <c r="S153" i="1" s="1"/>
  <c r="A153" i="1"/>
  <c r="AU152" i="1"/>
  <c r="AL152" i="1"/>
  <c r="AG152" i="1" a="1"/>
  <c r="AG152" i="1" s="1"/>
  <c r="AF152" i="1" a="1"/>
  <c r="AF152" i="1" s="1"/>
  <c r="AD152" i="1"/>
  <c r="AE152" i="1" s="1"/>
  <c r="W152" i="1"/>
  <c r="V152" i="1"/>
  <c r="R152" i="1"/>
  <c r="S152" i="1" s="1"/>
  <c r="A152" i="1"/>
  <c r="AU151" i="1"/>
  <c r="AO151" i="1"/>
  <c r="AP151" i="1" s="1"/>
  <c r="AL151" i="1"/>
  <c r="AM151" i="1" s="1"/>
  <c r="AN151" i="1" s="1"/>
  <c r="AG151" i="1" a="1"/>
  <c r="AG151" i="1" s="1"/>
  <c r="AF151" i="1" a="1"/>
  <c r="AF151" i="1"/>
  <c r="AD151" i="1"/>
  <c r="AE151" i="1" s="1"/>
  <c r="W151" i="1"/>
  <c r="V151" i="1"/>
  <c r="R151" i="1"/>
  <c r="S151" i="1" s="1"/>
  <c r="A151" i="1"/>
  <c r="AU150" i="1"/>
  <c r="AL150" i="1"/>
  <c r="AO150" i="1" s="1"/>
  <c r="AP150" i="1" s="1"/>
  <c r="AG150" i="1" a="1"/>
  <c r="AG150" i="1" s="1"/>
  <c r="AF150" i="1" a="1"/>
  <c r="AF150" i="1"/>
  <c r="AE150" i="1"/>
  <c r="AD150" i="1"/>
  <c r="W150" i="1"/>
  <c r="V150" i="1"/>
  <c r="S150" i="1"/>
  <c r="R150" i="1"/>
  <c r="A150" i="1"/>
  <c r="AU149" i="1"/>
  <c r="AL149" i="1"/>
  <c r="AO149" i="1" s="1"/>
  <c r="AP149" i="1" s="1"/>
  <c r="AG149" i="1" a="1"/>
  <c r="AG149" i="1" s="1"/>
  <c r="AH149" i="1" s="1"/>
  <c r="AI149" i="1" s="1"/>
  <c r="AF149" i="1" a="1"/>
  <c r="AF149" i="1" s="1"/>
  <c r="AD149" i="1"/>
  <c r="AE149" i="1" s="1"/>
  <c r="V149" i="1"/>
  <c r="W149" i="1" s="1"/>
  <c r="R149" i="1"/>
  <c r="S149" i="1" s="1"/>
  <c r="A149" i="1"/>
  <c r="AU148" i="1"/>
  <c r="AP148" i="1"/>
  <c r="AO148" i="1"/>
  <c r="AM148" i="1"/>
  <c r="AN148" i="1" s="1"/>
  <c r="AL148" i="1"/>
  <c r="AG148" i="1" a="1"/>
  <c r="AG148" i="1" s="1"/>
  <c r="AF148" i="1" a="1"/>
  <c r="AF148" i="1" s="1"/>
  <c r="AD148" i="1"/>
  <c r="AE148" i="1" s="1"/>
  <c r="V148" i="1"/>
  <c r="W148" i="1" s="1"/>
  <c r="R148" i="1"/>
  <c r="S148" i="1" s="1"/>
  <c r="A148" i="1"/>
  <c r="AU147" i="1"/>
  <c r="AL147" i="1"/>
  <c r="AG147" i="1" a="1"/>
  <c r="AG147" i="1" s="1"/>
  <c r="AH147" i="1" s="1"/>
  <c r="AI147" i="1" s="1"/>
  <c r="AF147" i="1" a="1"/>
  <c r="AF147" i="1" s="1"/>
  <c r="AD147" i="1"/>
  <c r="AE147" i="1" s="1"/>
  <c r="V147" i="1"/>
  <c r="W147" i="1" s="1"/>
  <c r="S147" i="1"/>
  <c r="R147" i="1"/>
  <c r="A147" i="1"/>
  <c r="AU146" i="1"/>
  <c r="AO146" i="1"/>
  <c r="AP146" i="1" s="1"/>
  <c r="AL146" i="1"/>
  <c r="AM146" i="1" s="1"/>
  <c r="AN146" i="1" s="1"/>
  <c r="AG146" i="1" a="1"/>
  <c r="AG146" i="1" s="1"/>
  <c r="AH146" i="1" s="1"/>
  <c r="AI146" i="1" s="1"/>
  <c r="AF146" i="1" a="1"/>
  <c r="AF146" i="1" s="1"/>
  <c r="AE146" i="1"/>
  <c r="AD146" i="1"/>
  <c r="W146" i="1"/>
  <c r="V146" i="1"/>
  <c r="S146" i="1"/>
  <c r="R146" i="1"/>
  <c r="A146" i="1"/>
  <c r="AU145" i="1"/>
  <c r="AO145" i="1"/>
  <c r="AP145" i="1" s="1"/>
  <c r="AL145" i="1"/>
  <c r="AM145" i="1" s="1"/>
  <c r="AN145" i="1" s="1"/>
  <c r="AG145" i="1" a="1"/>
  <c r="AG145" i="1" s="1"/>
  <c r="AF145" i="1" a="1"/>
  <c r="AF145" i="1" s="1"/>
  <c r="AD145" i="1"/>
  <c r="AE145" i="1" s="1"/>
  <c r="V145" i="1"/>
  <c r="W145" i="1" s="1"/>
  <c r="S145" i="1"/>
  <c r="R145" i="1"/>
  <c r="A145" i="1"/>
  <c r="AU144" i="1"/>
  <c r="AO144" i="1"/>
  <c r="AP144" i="1" s="1"/>
  <c r="AN144" i="1"/>
  <c r="AM144" i="1"/>
  <c r="AL144" i="1"/>
  <c r="AG144" i="1" a="1"/>
  <c r="AG144" i="1" s="1"/>
  <c r="AF144" i="1" a="1"/>
  <c r="AF144" i="1"/>
  <c r="AD144" i="1"/>
  <c r="AE144" i="1" s="1"/>
  <c r="W144" i="1"/>
  <c r="V144" i="1"/>
  <c r="S144" i="1"/>
  <c r="R144" i="1"/>
  <c r="A144" i="1"/>
  <c r="AU143" i="1"/>
  <c r="AO143" i="1"/>
  <c r="AP143" i="1" s="1"/>
  <c r="AN143" i="1"/>
  <c r="AL143" i="1"/>
  <c r="AM143" i="1" s="1"/>
  <c r="AG143" i="1" a="1"/>
  <c r="AG143" i="1" s="1"/>
  <c r="AF143" i="1" a="1"/>
  <c r="AF143" i="1"/>
  <c r="AE143" i="1"/>
  <c r="AD143" i="1"/>
  <c r="V143" i="1"/>
  <c r="W143" i="1" s="1"/>
  <c r="S143" i="1"/>
  <c r="R143" i="1"/>
  <c r="A143" i="1"/>
  <c r="AU142" i="1"/>
  <c r="AL142" i="1"/>
  <c r="AM142" i="1" s="1"/>
  <c r="AN142" i="1" s="1"/>
  <c r="AG142" i="1" a="1"/>
  <c r="AG142" i="1" s="1"/>
  <c r="AF142" i="1" a="1"/>
  <c r="AF142" i="1"/>
  <c r="AE142" i="1"/>
  <c r="AD142" i="1"/>
  <c r="V142" i="1"/>
  <c r="W142" i="1" s="1"/>
  <c r="R142" i="1"/>
  <c r="S142" i="1" s="1"/>
  <c r="A142" i="1"/>
  <c r="AU141" i="1"/>
  <c r="AP141" i="1"/>
  <c r="AO141" i="1"/>
  <c r="AN141" i="1"/>
  <c r="AM141" i="1"/>
  <c r="AL141" i="1"/>
  <c r="AG141" i="1" a="1"/>
  <c r="AG141" i="1" s="1"/>
  <c r="AF141" i="1" a="1"/>
  <c r="AF141" i="1"/>
  <c r="AE141" i="1"/>
  <c r="AD141" i="1"/>
  <c r="V141" i="1"/>
  <c r="W141" i="1" s="1"/>
  <c r="R141" i="1"/>
  <c r="S141" i="1" s="1"/>
  <c r="A141" i="1"/>
  <c r="AU140" i="1"/>
  <c r="AO140" i="1"/>
  <c r="AP140" i="1" s="1"/>
  <c r="AM140" i="1"/>
  <c r="AN140" i="1" s="1"/>
  <c r="AL140" i="1"/>
  <c r="AG140" i="1" a="1"/>
  <c r="AG140" i="1" s="1"/>
  <c r="AH140" i="1" s="1"/>
  <c r="AI140" i="1" s="1"/>
  <c r="AF140" i="1" a="1"/>
  <c r="AF140" i="1" s="1"/>
  <c r="AE140" i="1"/>
  <c r="AD140" i="1"/>
  <c r="W140" i="1"/>
  <c r="V140" i="1"/>
  <c r="R140" i="1"/>
  <c r="S140" i="1" s="1"/>
  <c r="A140" i="1"/>
  <c r="AU139" i="1"/>
  <c r="AM139" i="1"/>
  <c r="AN139" i="1" s="1"/>
  <c r="AL139" i="1"/>
  <c r="AO139" i="1" s="1"/>
  <c r="AP139" i="1" s="1"/>
  <c r="AG139" i="1" a="1"/>
  <c r="AG139" i="1" s="1"/>
  <c r="AH139" i="1" s="1"/>
  <c r="AI139" i="1" s="1"/>
  <c r="AF139" i="1" a="1"/>
  <c r="AF139" i="1"/>
  <c r="AD139" i="1"/>
  <c r="AE139" i="1" s="1"/>
  <c r="V139" i="1"/>
  <c r="W139" i="1" s="1"/>
  <c r="R139" i="1"/>
  <c r="S139" i="1" s="1"/>
  <c r="A139" i="1"/>
  <c r="AU138" i="1"/>
  <c r="AO138" i="1"/>
  <c r="AP138" i="1" s="1"/>
  <c r="AM138" i="1"/>
  <c r="AN138" i="1" s="1"/>
  <c r="AL138" i="1"/>
  <c r="AG138" i="1" a="1"/>
  <c r="AG138" i="1" s="1"/>
  <c r="AJ138" i="1" s="1"/>
  <c r="AK138" i="1" s="1"/>
  <c r="AF138" i="1" a="1"/>
  <c r="AF138" i="1"/>
  <c r="AD138" i="1"/>
  <c r="AE138" i="1" s="1"/>
  <c r="V138" i="1"/>
  <c r="W138" i="1" s="1"/>
  <c r="S138" i="1"/>
  <c r="R138" i="1"/>
  <c r="A138" i="1"/>
  <c r="AU137" i="1"/>
  <c r="AN137" i="1"/>
  <c r="AM137" i="1"/>
  <c r="AL137" i="1"/>
  <c r="AO137" i="1" s="1"/>
  <c r="AP137" i="1" s="1"/>
  <c r="AG137" i="1" a="1"/>
  <c r="AG137" i="1" s="1"/>
  <c r="AF137" i="1" a="1"/>
  <c r="AF137" i="1"/>
  <c r="AD137" i="1"/>
  <c r="AE137" i="1" s="1"/>
  <c r="W137" i="1"/>
  <c r="V137" i="1"/>
  <c r="R137" i="1"/>
  <c r="S137" i="1" s="1"/>
  <c r="A137" i="1"/>
  <c r="AU136" i="1"/>
  <c r="AL136" i="1"/>
  <c r="AG136" i="1" a="1"/>
  <c r="AG136" i="1" s="1"/>
  <c r="AF136" i="1" a="1"/>
  <c r="AF136" i="1" s="1"/>
  <c r="AE136" i="1"/>
  <c r="AD136" i="1"/>
  <c r="W136" i="1"/>
  <c r="V136" i="1"/>
  <c r="R136" i="1"/>
  <c r="S136" i="1" s="1"/>
  <c r="A136" i="1"/>
  <c r="AU135" i="1"/>
  <c r="AO135" i="1"/>
  <c r="AP135" i="1" s="1"/>
  <c r="AL135" i="1"/>
  <c r="AM135" i="1" s="1"/>
  <c r="AN135" i="1" s="1"/>
  <c r="AG135" i="1" a="1"/>
  <c r="AG135" i="1" s="1"/>
  <c r="AF135" i="1" a="1"/>
  <c r="AF135" i="1"/>
  <c r="AD135" i="1"/>
  <c r="AE135" i="1" s="1"/>
  <c r="W135" i="1"/>
  <c r="V135" i="1"/>
  <c r="R135" i="1"/>
  <c r="S135" i="1" s="1"/>
  <c r="A135" i="1"/>
  <c r="AU134" i="1"/>
  <c r="AM134" i="1"/>
  <c r="AN134" i="1" s="1"/>
  <c r="AL134" i="1"/>
  <c r="AO134" i="1" s="1"/>
  <c r="AP134" i="1" s="1"/>
  <c r="AG134" i="1" a="1"/>
  <c r="AG134" i="1"/>
  <c r="AF134" i="1" a="1"/>
  <c r="AF134" i="1"/>
  <c r="AE134" i="1"/>
  <c r="AD134" i="1"/>
  <c r="W134" i="1"/>
  <c r="V134" i="1"/>
  <c r="S134" i="1"/>
  <c r="R134" i="1"/>
  <c r="A134" i="1"/>
  <c r="AU133" i="1"/>
  <c r="AP133" i="1"/>
  <c r="AL133" i="1"/>
  <c r="AO133" i="1" s="1"/>
  <c r="AG133" i="1" a="1"/>
  <c r="AG133" i="1" s="1"/>
  <c r="AF133" i="1" a="1"/>
  <c r="AF133" i="1" s="1"/>
  <c r="AD133" i="1"/>
  <c r="AE133" i="1" s="1"/>
  <c r="V133" i="1"/>
  <c r="W133" i="1" s="1"/>
  <c r="R133" i="1"/>
  <c r="S133" i="1" s="1"/>
  <c r="A133" i="1"/>
  <c r="AU132" i="1"/>
  <c r="AP132" i="1"/>
  <c r="AO132" i="1"/>
  <c r="AM132" i="1"/>
  <c r="AN132" i="1" s="1"/>
  <c r="AL132" i="1"/>
  <c r="AG132" i="1" a="1"/>
  <c r="AG132" i="1" s="1"/>
  <c r="AF132" i="1" a="1"/>
  <c r="AF132" i="1" s="1"/>
  <c r="AD132" i="1"/>
  <c r="AE132" i="1" s="1"/>
  <c r="V132" i="1"/>
  <c r="W132" i="1" s="1"/>
  <c r="R132" i="1"/>
  <c r="S132" i="1" s="1"/>
  <c r="A132" i="1"/>
  <c r="AU131" i="1"/>
  <c r="AL131" i="1"/>
  <c r="AG131" i="1" a="1"/>
  <c r="AG131" i="1" s="1"/>
  <c r="AF131" i="1" a="1"/>
  <c r="AF131" i="1" s="1"/>
  <c r="AD131" i="1"/>
  <c r="AE131" i="1" s="1"/>
  <c r="V131" i="1"/>
  <c r="W131" i="1" s="1"/>
  <c r="S131" i="1"/>
  <c r="R131" i="1"/>
  <c r="A131" i="1"/>
  <c r="AU130" i="1"/>
  <c r="AO130" i="1"/>
  <c r="AP130" i="1" s="1"/>
  <c r="AL130" i="1"/>
  <c r="AM130" i="1" s="1"/>
  <c r="AN130" i="1" s="1"/>
  <c r="AG130" i="1" a="1"/>
  <c r="AG130" i="1" s="1"/>
  <c r="AH130" i="1" s="1"/>
  <c r="AI130" i="1" s="1"/>
  <c r="AF130" i="1" a="1"/>
  <c r="AF130" i="1" s="1"/>
  <c r="AE130" i="1"/>
  <c r="AD130" i="1"/>
  <c r="W130" i="1"/>
  <c r="V130" i="1"/>
  <c r="S130" i="1"/>
  <c r="R130" i="1"/>
  <c r="A130" i="1"/>
  <c r="AU129" i="1"/>
  <c r="AO129" i="1"/>
  <c r="AP129" i="1" s="1"/>
  <c r="AL129" i="1"/>
  <c r="AM129" i="1" s="1"/>
  <c r="AN129" i="1" s="1"/>
  <c r="AG129" i="1" a="1"/>
  <c r="AG129" i="1" s="1"/>
  <c r="AF129" i="1" a="1"/>
  <c r="AF129" i="1"/>
  <c r="AD129" i="1"/>
  <c r="AE129" i="1" s="1"/>
  <c r="V129" i="1"/>
  <c r="W129" i="1" s="1"/>
  <c r="S129" i="1"/>
  <c r="R129" i="1"/>
  <c r="A129" i="1"/>
  <c r="AU128" i="1"/>
  <c r="AO128" i="1"/>
  <c r="AP128" i="1" s="1"/>
  <c r="AN128" i="1"/>
  <c r="AM128" i="1"/>
  <c r="AL128" i="1"/>
  <c r="AG128" i="1" a="1"/>
  <c r="AG128" i="1" s="1"/>
  <c r="AF128" i="1" a="1"/>
  <c r="AF128" i="1"/>
  <c r="AD128" i="1"/>
  <c r="AE128" i="1" s="1"/>
  <c r="W128" i="1"/>
  <c r="V128" i="1"/>
  <c r="S128" i="1"/>
  <c r="R128" i="1"/>
  <c r="A128" i="1"/>
  <c r="AU127" i="1"/>
  <c r="AP127" i="1"/>
  <c r="AO127" i="1"/>
  <c r="AN127" i="1"/>
  <c r="AL127" i="1"/>
  <c r="AM127" i="1" s="1"/>
  <c r="AG127" i="1" a="1"/>
  <c r="AG127" i="1" s="1"/>
  <c r="AF127" i="1" a="1"/>
  <c r="AF127" i="1"/>
  <c r="AE127" i="1"/>
  <c r="AD127" i="1"/>
  <c r="V127" i="1"/>
  <c r="W127" i="1" s="1"/>
  <c r="S127" i="1"/>
  <c r="R127" i="1"/>
  <c r="A127" i="1"/>
  <c r="AU126" i="1"/>
  <c r="AL126" i="1"/>
  <c r="AG126" i="1" a="1"/>
  <c r="AG126" i="1" s="1"/>
  <c r="AF126" i="1" a="1"/>
  <c r="AF126" i="1"/>
  <c r="AE126" i="1"/>
  <c r="AD126" i="1"/>
  <c r="V126" i="1"/>
  <c r="W126" i="1" s="1"/>
  <c r="R126" i="1"/>
  <c r="S126" i="1" s="1"/>
  <c r="A126" i="1"/>
  <c r="AU125" i="1"/>
  <c r="AN125" i="1"/>
  <c r="AM125" i="1"/>
  <c r="AL125" i="1"/>
  <c r="AO125" i="1" s="1"/>
  <c r="AP125" i="1" s="1"/>
  <c r="AG125" i="1" a="1"/>
  <c r="AG125" i="1" s="1"/>
  <c r="AF125" i="1" a="1"/>
  <c r="AF125" i="1"/>
  <c r="AE125" i="1"/>
  <c r="AD125" i="1"/>
  <c r="W125" i="1"/>
  <c r="V125" i="1"/>
  <c r="R125" i="1"/>
  <c r="S125" i="1" s="1"/>
  <c r="A125" i="1"/>
  <c r="AU124" i="1"/>
  <c r="AO124" i="1"/>
  <c r="AP124" i="1" s="1"/>
  <c r="AN124" i="1"/>
  <c r="AM124" i="1"/>
  <c r="AL124" i="1"/>
  <c r="AG124" i="1" a="1"/>
  <c r="AG124" i="1" s="1"/>
  <c r="AF124" i="1" a="1"/>
  <c r="AF124" i="1" s="1"/>
  <c r="AE124" i="1"/>
  <c r="AD124" i="1"/>
  <c r="W124" i="1"/>
  <c r="V124" i="1"/>
  <c r="R124" i="1"/>
  <c r="S124" i="1" s="1"/>
  <c r="A124" i="1"/>
  <c r="AU123" i="1"/>
  <c r="AM123" i="1"/>
  <c r="AN123" i="1" s="1"/>
  <c r="AL123" i="1"/>
  <c r="AO123" i="1" s="1"/>
  <c r="AP123" i="1" s="1"/>
  <c r="AG123" i="1" a="1"/>
  <c r="AG123" i="1" s="1"/>
  <c r="AJ123" i="1" s="1"/>
  <c r="AK123" i="1" s="1"/>
  <c r="AF123" i="1" a="1"/>
  <c r="AF123" i="1"/>
  <c r="AE123" i="1"/>
  <c r="AD123" i="1"/>
  <c r="V123" i="1"/>
  <c r="W123" i="1" s="1"/>
  <c r="R123" i="1"/>
  <c r="S123" i="1" s="1"/>
  <c r="A123" i="1"/>
  <c r="AU122" i="1"/>
  <c r="AP122" i="1"/>
  <c r="AO122" i="1"/>
  <c r="AM122" i="1"/>
  <c r="AN122" i="1" s="1"/>
  <c r="AL122" i="1"/>
  <c r="AG122" i="1" a="1"/>
  <c r="AG122" i="1" s="1"/>
  <c r="AJ122" i="1" s="1"/>
  <c r="AK122" i="1" s="1"/>
  <c r="AF122" i="1" a="1"/>
  <c r="AF122" i="1"/>
  <c r="AD122" i="1"/>
  <c r="AE122" i="1" s="1"/>
  <c r="W122" i="1"/>
  <c r="V122" i="1"/>
  <c r="S122" i="1"/>
  <c r="R122" i="1"/>
  <c r="A122" i="1"/>
  <c r="AU121" i="1"/>
  <c r="AN121" i="1"/>
  <c r="AM121" i="1"/>
  <c r="AL121" i="1"/>
  <c r="AO121" i="1" s="1"/>
  <c r="AP121" i="1" s="1"/>
  <c r="AG121" i="1" a="1"/>
  <c r="AG121" i="1" s="1"/>
  <c r="AF121" i="1" a="1"/>
  <c r="AF121" i="1" s="1"/>
  <c r="AD121" i="1"/>
  <c r="AE121" i="1" s="1"/>
  <c r="W121" i="1"/>
  <c r="V121" i="1"/>
  <c r="R121" i="1"/>
  <c r="S121" i="1" s="1"/>
  <c r="A121" i="1"/>
  <c r="AU120" i="1"/>
  <c r="AL120" i="1"/>
  <c r="AG120" i="1" a="1"/>
  <c r="AG120" i="1" s="1"/>
  <c r="AH120" i="1" s="1"/>
  <c r="AI120" i="1" s="1"/>
  <c r="AF120" i="1" a="1"/>
  <c r="AF120" i="1" s="1"/>
  <c r="AD120" i="1"/>
  <c r="AE120" i="1" s="1"/>
  <c r="W120" i="1"/>
  <c r="V120" i="1"/>
  <c r="R120" i="1"/>
  <c r="S120" i="1" s="1"/>
  <c r="A120" i="1"/>
  <c r="AU119" i="1"/>
  <c r="AL119" i="1"/>
  <c r="AM119" i="1" s="1"/>
  <c r="AN119" i="1" s="1"/>
  <c r="AG119" i="1" a="1"/>
  <c r="AG119" i="1" s="1"/>
  <c r="AJ119" i="1" s="1"/>
  <c r="AK119" i="1" s="1"/>
  <c r="AF119" i="1" a="1"/>
  <c r="AF119" i="1"/>
  <c r="AD119" i="1"/>
  <c r="AE119" i="1" s="1"/>
  <c r="W119" i="1"/>
  <c r="V119" i="1"/>
  <c r="S119" i="1"/>
  <c r="R119" i="1"/>
  <c r="A119" i="1"/>
  <c r="AU118" i="1"/>
  <c r="AM118" i="1"/>
  <c r="AN118" i="1" s="1"/>
  <c r="AL118" i="1"/>
  <c r="AO118" i="1" s="1"/>
  <c r="AP118" i="1" s="1"/>
  <c r="AG118" i="1" a="1"/>
  <c r="AG118" i="1" s="1"/>
  <c r="AF118" i="1" a="1"/>
  <c r="AF118" i="1"/>
  <c r="AE118" i="1"/>
  <c r="AD118" i="1"/>
  <c r="W118" i="1"/>
  <c r="V118" i="1"/>
  <c r="S118" i="1"/>
  <c r="R118" i="1"/>
  <c r="A118" i="1"/>
  <c r="AU117" i="1"/>
  <c r="AL117" i="1"/>
  <c r="AO117" i="1" s="1"/>
  <c r="AP117" i="1" s="1"/>
  <c r="AG117" i="1" a="1"/>
  <c r="AG117" i="1"/>
  <c r="AJ117" i="1" s="1"/>
  <c r="AK117" i="1" s="1"/>
  <c r="AF117" i="1" a="1"/>
  <c r="AF117" i="1" s="1"/>
  <c r="AD117" i="1"/>
  <c r="AE117" i="1" s="1"/>
  <c r="V117" i="1"/>
  <c r="W117" i="1" s="1"/>
  <c r="R117" i="1"/>
  <c r="S117" i="1" s="1"/>
  <c r="A117" i="1"/>
  <c r="AU116" i="1"/>
  <c r="AO116" i="1"/>
  <c r="AP116" i="1" s="1"/>
  <c r="AN116" i="1"/>
  <c r="AM116" i="1"/>
  <c r="AL116" i="1"/>
  <c r="AG116" i="1" a="1"/>
  <c r="AG116" i="1"/>
  <c r="AF116" i="1" a="1"/>
  <c r="AF116" i="1" s="1"/>
  <c r="AD116" i="1"/>
  <c r="V116" i="1"/>
  <c r="R116" i="1"/>
  <c r="A116" i="1"/>
  <c r="AU115" i="1"/>
  <c r="AL115" i="1"/>
  <c r="AO115" i="1" s="1"/>
  <c r="AP115" i="1" s="1"/>
  <c r="AG115" i="1" a="1"/>
  <c r="AG115" i="1" s="1"/>
  <c r="AJ115" i="1" s="1"/>
  <c r="AK115" i="1" s="1"/>
  <c r="AF115" i="1" a="1"/>
  <c r="AF115" i="1" s="1"/>
  <c r="AD115" i="1"/>
  <c r="AE115" i="1" s="1"/>
  <c r="V115" i="1"/>
  <c r="W115" i="1" s="1"/>
  <c r="S115" i="1"/>
  <c r="R115" i="1"/>
  <c r="A115" i="1"/>
  <c r="AU114" i="1"/>
  <c r="AN114" i="1"/>
  <c r="AM114" i="1"/>
  <c r="AL114" i="1"/>
  <c r="AO114" i="1" s="1"/>
  <c r="AP114" i="1" s="1"/>
  <c r="AG114" i="1" a="1"/>
  <c r="AG114" i="1"/>
  <c r="AF114" i="1" a="1"/>
  <c r="AF114" i="1" s="1"/>
  <c r="AD114" i="1"/>
  <c r="AE114" i="1" s="1"/>
  <c r="W114" i="1"/>
  <c r="V114" i="1"/>
  <c r="R114" i="1"/>
  <c r="S114" i="1" s="1"/>
  <c r="A114" i="1"/>
  <c r="AU113" i="1"/>
  <c r="AL113" i="1"/>
  <c r="AG113" i="1" a="1"/>
  <c r="AG113" i="1" s="1"/>
  <c r="AF113" i="1" a="1"/>
  <c r="AF113" i="1" s="1"/>
  <c r="AD113" i="1"/>
  <c r="V113" i="1"/>
  <c r="R113" i="1"/>
  <c r="A113" i="1"/>
  <c r="AU112" i="1"/>
  <c r="AL112" i="1"/>
  <c r="AO112" i="1" s="1"/>
  <c r="AP112" i="1" s="1"/>
  <c r="AG112" i="1" a="1"/>
  <c r="AG112" i="1" s="1"/>
  <c r="AH112" i="1" s="1"/>
  <c r="AI112" i="1" s="1"/>
  <c r="AF112" i="1" a="1"/>
  <c r="AF112" i="1" s="1"/>
  <c r="AD112" i="1"/>
  <c r="V112" i="1"/>
  <c r="R112" i="1"/>
  <c r="A112" i="1"/>
  <c r="AU111" i="1"/>
  <c r="AP111" i="1"/>
  <c r="AO111" i="1"/>
  <c r="AM111" i="1"/>
  <c r="AN111" i="1" s="1"/>
  <c r="AL111" i="1"/>
  <c r="AG111" i="1" a="1"/>
  <c r="AG111" i="1" s="1"/>
  <c r="AF111" i="1" a="1"/>
  <c r="AF111" i="1" s="1"/>
  <c r="AE111" i="1"/>
  <c r="AD111" i="1"/>
  <c r="V111" i="1"/>
  <c r="W111" i="1" s="1"/>
  <c r="S111" i="1"/>
  <c r="R111" i="1"/>
  <c r="A111" i="1"/>
  <c r="AU110" i="1"/>
  <c r="AL110" i="1"/>
  <c r="AM110" i="1" s="1"/>
  <c r="AN110" i="1" s="1"/>
  <c r="AG110" i="1" a="1"/>
  <c r="AG110" i="1" s="1"/>
  <c r="AF110" i="1" a="1"/>
  <c r="AF110" i="1" s="1"/>
  <c r="AD110" i="1"/>
  <c r="AE110" i="1" s="1"/>
  <c r="V110" i="1"/>
  <c r="W110" i="1" s="1"/>
  <c r="S110" i="1"/>
  <c r="R110" i="1"/>
  <c r="A110" i="1"/>
  <c r="AU109" i="1"/>
  <c r="AO109" i="1"/>
  <c r="AP109" i="1" s="1"/>
  <c r="AL109" i="1"/>
  <c r="AM109" i="1" s="1"/>
  <c r="AN109" i="1" s="1"/>
  <c r="AG109" i="1" a="1"/>
  <c r="AG109" i="1" s="1"/>
  <c r="AF109" i="1" a="1"/>
  <c r="AF109" i="1" s="1"/>
  <c r="AE109" i="1"/>
  <c r="AD109" i="1"/>
  <c r="W109" i="1"/>
  <c r="V109" i="1"/>
  <c r="S109" i="1"/>
  <c r="R109" i="1"/>
  <c r="A109" i="1"/>
  <c r="AU108" i="1"/>
  <c r="AM108" i="1"/>
  <c r="AN108" i="1" s="1"/>
  <c r="AL108" i="1"/>
  <c r="AO108" i="1" s="1"/>
  <c r="AP108" i="1" s="1"/>
  <c r="AG108" i="1" a="1"/>
  <c r="AG108" i="1" s="1"/>
  <c r="AF108" i="1" a="1"/>
  <c r="AF108" i="1" s="1"/>
  <c r="AD108" i="1"/>
  <c r="AE108" i="1" s="1"/>
  <c r="V108" i="1"/>
  <c r="W108" i="1" s="1"/>
  <c r="R108" i="1"/>
  <c r="S108" i="1" s="1"/>
  <c r="A108" i="1"/>
  <c r="AU107" i="1"/>
  <c r="AO107" i="1"/>
  <c r="AP107" i="1" s="1"/>
  <c r="AN107" i="1"/>
  <c r="AM107" i="1"/>
  <c r="AL107" i="1"/>
  <c r="AG107" i="1" a="1"/>
  <c r="AG107" i="1" s="1"/>
  <c r="AF107" i="1" a="1"/>
  <c r="AF107" i="1" s="1"/>
  <c r="AE107" i="1"/>
  <c r="AD107" i="1"/>
  <c r="W107" i="1"/>
  <c r="V107" i="1"/>
  <c r="S107" i="1"/>
  <c r="R107" i="1"/>
  <c r="A107" i="1"/>
  <c r="AU106" i="1"/>
  <c r="AO106" i="1"/>
  <c r="AP106" i="1" s="1"/>
  <c r="AN106" i="1"/>
  <c r="AL106" i="1"/>
  <c r="AM106" i="1" s="1"/>
  <c r="AG106" i="1" a="1"/>
  <c r="AG106" i="1"/>
  <c r="AH106" i="1" s="1"/>
  <c r="AI106" i="1" s="1"/>
  <c r="AF106" i="1" a="1"/>
  <c r="AF106" i="1"/>
  <c r="AD106" i="1"/>
  <c r="AE106" i="1" s="1"/>
  <c r="V106" i="1"/>
  <c r="W106" i="1" s="1"/>
  <c r="R106" i="1"/>
  <c r="S106" i="1" s="1"/>
  <c r="A106" i="1"/>
  <c r="AU105" i="1"/>
  <c r="AL105" i="1"/>
  <c r="AO105" i="1" s="1"/>
  <c r="AP105" i="1" s="1"/>
  <c r="AG105" i="1" a="1"/>
  <c r="AG105" i="1" s="1"/>
  <c r="AJ105" i="1" s="1"/>
  <c r="AK105" i="1" s="1"/>
  <c r="AF105" i="1" a="1"/>
  <c r="AF105" i="1"/>
  <c r="AE105" i="1"/>
  <c r="AD105" i="1"/>
  <c r="W105" i="1"/>
  <c r="V105" i="1"/>
  <c r="S105" i="1"/>
  <c r="R105" i="1"/>
  <c r="A105" i="1"/>
  <c r="AU104" i="1"/>
  <c r="AP104" i="1"/>
  <c r="AO104" i="1"/>
  <c r="AM104" i="1"/>
  <c r="AN104" i="1" s="1"/>
  <c r="AL104" i="1"/>
  <c r="AG104" i="1" a="1"/>
  <c r="AG104" i="1" s="1"/>
  <c r="AF104" i="1" a="1"/>
  <c r="AF104" i="1"/>
  <c r="AE104" i="1"/>
  <c r="AD104" i="1"/>
  <c r="V104" i="1"/>
  <c r="W104" i="1" s="1"/>
  <c r="S104" i="1"/>
  <c r="R104" i="1"/>
  <c r="A104" i="1"/>
  <c r="AU103" i="1"/>
  <c r="AO103" i="1"/>
  <c r="AP103" i="1" s="1"/>
  <c r="AM103" i="1"/>
  <c r="AN103" i="1" s="1"/>
  <c r="AL103" i="1"/>
  <c r="AG103" i="1" a="1"/>
  <c r="AG103" i="1" s="1"/>
  <c r="AH103" i="1" s="1"/>
  <c r="AI103" i="1" s="1"/>
  <c r="AF103" i="1" a="1"/>
  <c r="AF103" i="1" s="1"/>
  <c r="AD103" i="1"/>
  <c r="AE103" i="1" s="1"/>
  <c r="W103" i="1"/>
  <c r="V103" i="1"/>
  <c r="S103" i="1"/>
  <c r="R103" i="1"/>
  <c r="A103" i="1"/>
  <c r="AU102" i="1"/>
  <c r="AM102" i="1"/>
  <c r="AN102" i="1" s="1"/>
  <c r="AL102" i="1"/>
  <c r="AO102" i="1" s="1"/>
  <c r="AP102" i="1" s="1"/>
  <c r="AG102" i="1" a="1"/>
  <c r="AG102" i="1" s="1"/>
  <c r="AF102" i="1" a="1"/>
  <c r="AF102" i="1"/>
  <c r="AD102" i="1"/>
  <c r="AE102" i="1" s="1"/>
  <c r="V102" i="1"/>
  <c r="W102" i="1" s="1"/>
  <c r="S102" i="1"/>
  <c r="R102" i="1"/>
  <c r="A102" i="1"/>
  <c r="AU101" i="1"/>
  <c r="AO101" i="1"/>
  <c r="AP101" i="1" s="1"/>
  <c r="AL101" i="1"/>
  <c r="AM101" i="1" s="1"/>
  <c r="AN101" i="1" s="1"/>
  <c r="AG101" i="1" a="1"/>
  <c r="AG101" i="1" s="1"/>
  <c r="AJ101" i="1" s="1"/>
  <c r="AK101" i="1" s="1"/>
  <c r="AF101" i="1" a="1"/>
  <c r="AF101" i="1"/>
  <c r="AD101" i="1"/>
  <c r="AE101" i="1" s="1"/>
  <c r="V101" i="1"/>
  <c r="W101" i="1" s="1"/>
  <c r="S101" i="1"/>
  <c r="R101" i="1"/>
  <c r="A101" i="1"/>
  <c r="AU100" i="1"/>
  <c r="AM100" i="1"/>
  <c r="AN100" i="1" s="1"/>
  <c r="AL100" i="1"/>
  <c r="AO100" i="1" s="1"/>
  <c r="AP100" i="1" s="1"/>
  <c r="AG100" i="1" a="1"/>
  <c r="AG100" i="1" s="1"/>
  <c r="AF100" i="1" a="1"/>
  <c r="AF100" i="1" s="1"/>
  <c r="AD100" i="1"/>
  <c r="AE100" i="1" s="1"/>
  <c r="V100" i="1"/>
  <c r="W100" i="1" s="1"/>
  <c r="R100" i="1"/>
  <c r="S100" i="1" s="1"/>
  <c r="A100" i="1"/>
  <c r="AU99" i="1"/>
  <c r="AO99" i="1"/>
  <c r="AP99" i="1" s="1"/>
  <c r="AL99" i="1"/>
  <c r="AM99" i="1" s="1"/>
  <c r="AN99" i="1" s="1"/>
  <c r="AG99" i="1" a="1"/>
  <c r="AG99" i="1" s="1"/>
  <c r="AF99" i="1" a="1"/>
  <c r="AF99" i="1" s="1"/>
  <c r="AD99" i="1"/>
  <c r="AE99" i="1" s="1"/>
  <c r="W99" i="1"/>
  <c r="V99" i="1"/>
  <c r="R99" i="1"/>
  <c r="S99" i="1" s="1"/>
  <c r="A99" i="1"/>
  <c r="AU98" i="1"/>
  <c r="AL98" i="1"/>
  <c r="AO98" i="1" s="1"/>
  <c r="AP98" i="1" s="1"/>
  <c r="AG98" i="1" a="1"/>
  <c r="AG98" i="1" s="1"/>
  <c r="AF98" i="1" a="1"/>
  <c r="AF98" i="1"/>
  <c r="AD98" i="1"/>
  <c r="AE98" i="1" s="1"/>
  <c r="W98" i="1"/>
  <c r="V98" i="1"/>
  <c r="S98" i="1"/>
  <c r="R98" i="1"/>
  <c r="A98" i="1"/>
  <c r="AU97" i="1"/>
  <c r="AL97" i="1"/>
  <c r="AG97" i="1" a="1"/>
  <c r="AG97" i="1" s="1"/>
  <c r="AF97" i="1" a="1"/>
  <c r="AF97" i="1" s="1"/>
  <c r="AD97" i="1"/>
  <c r="AE97" i="1" s="1"/>
  <c r="V97" i="1"/>
  <c r="W97" i="1" s="1"/>
  <c r="S97" i="1"/>
  <c r="R97" i="1"/>
  <c r="A97" i="1"/>
  <c r="AU96" i="1"/>
  <c r="AP96" i="1"/>
  <c r="AO96" i="1"/>
  <c r="AN96" i="1"/>
  <c r="AM96" i="1"/>
  <c r="AL96" i="1"/>
  <c r="AG96" i="1" a="1"/>
  <c r="AG96" i="1" s="1"/>
  <c r="AF96" i="1" a="1"/>
  <c r="AF96" i="1"/>
  <c r="AD96" i="1"/>
  <c r="AE96" i="1" s="1"/>
  <c r="V96" i="1"/>
  <c r="W96" i="1" s="1"/>
  <c r="S96" i="1"/>
  <c r="R96" i="1"/>
  <c r="A96" i="1"/>
  <c r="AU95" i="1"/>
  <c r="AO95" i="1"/>
  <c r="AP95" i="1" s="1"/>
  <c r="AN95" i="1"/>
  <c r="AM95" i="1"/>
  <c r="AL95" i="1"/>
  <c r="AG95" i="1" a="1"/>
  <c r="AG95" i="1" s="1"/>
  <c r="AH95" i="1" s="1"/>
  <c r="AI95" i="1" s="1"/>
  <c r="AF95" i="1" a="1"/>
  <c r="AF95" i="1"/>
  <c r="AE95" i="1"/>
  <c r="AD95" i="1"/>
  <c r="W95" i="1"/>
  <c r="V95" i="1"/>
  <c r="R95" i="1"/>
  <c r="S95" i="1" s="1"/>
  <c r="A95" i="1"/>
  <c r="AU94" i="1"/>
  <c r="AO94" i="1"/>
  <c r="AP94" i="1" s="1"/>
  <c r="AL94" i="1"/>
  <c r="AM94" i="1" s="1"/>
  <c r="AN94" i="1" s="1"/>
  <c r="AG94" i="1" a="1"/>
  <c r="AG94" i="1" s="1"/>
  <c r="AF94" i="1" a="1"/>
  <c r="AF94" i="1" s="1"/>
  <c r="AD94" i="1"/>
  <c r="AE94" i="1" s="1"/>
  <c r="W94" i="1"/>
  <c r="V94" i="1"/>
  <c r="R94" i="1"/>
  <c r="S94" i="1" s="1"/>
  <c r="A94" i="1"/>
  <c r="AU93" i="1"/>
  <c r="AL93" i="1"/>
  <c r="AG93" i="1" a="1"/>
  <c r="AG93" i="1" s="1"/>
  <c r="AJ93" i="1" s="1"/>
  <c r="AK93" i="1" s="1"/>
  <c r="AF93" i="1" a="1"/>
  <c r="AF93" i="1" s="1"/>
  <c r="AE93" i="1"/>
  <c r="AD93" i="1"/>
  <c r="V93" i="1"/>
  <c r="W93" i="1" s="1"/>
  <c r="S93" i="1"/>
  <c r="R93" i="1"/>
  <c r="A93" i="1"/>
  <c r="AU92" i="1"/>
  <c r="AO92" i="1"/>
  <c r="AP92" i="1" s="1"/>
  <c r="AL92" i="1"/>
  <c r="AM92" i="1" s="1"/>
  <c r="AN92" i="1" s="1"/>
  <c r="AG92" i="1" a="1"/>
  <c r="AG92" i="1" s="1"/>
  <c r="AJ92" i="1" s="1"/>
  <c r="AK92" i="1" s="1"/>
  <c r="AF92" i="1" a="1"/>
  <c r="AF92" i="1"/>
  <c r="AD92" i="1"/>
  <c r="AE92" i="1" s="1"/>
  <c r="W92" i="1"/>
  <c r="V92" i="1"/>
  <c r="S92" i="1"/>
  <c r="R92" i="1"/>
  <c r="A92" i="1"/>
  <c r="AU91" i="1"/>
  <c r="AP91" i="1"/>
  <c r="AO91" i="1"/>
  <c r="AM91" i="1"/>
  <c r="AN91" i="1" s="1"/>
  <c r="AL91" i="1"/>
  <c r="AG91" i="1" a="1"/>
  <c r="AG91" i="1" s="1"/>
  <c r="AF91" i="1" a="1"/>
  <c r="AF91" i="1"/>
  <c r="AE91" i="1"/>
  <c r="AD91" i="1"/>
  <c r="V91" i="1"/>
  <c r="W91" i="1" s="1"/>
  <c r="S91" i="1"/>
  <c r="R91" i="1"/>
  <c r="A91" i="1"/>
  <c r="AU90" i="1"/>
  <c r="AO90" i="1"/>
  <c r="AP90" i="1" s="1"/>
  <c r="AL90" i="1"/>
  <c r="AM90" i="1" s="1"/>
  <c r="AN90" i="1" s="1"/>
  <c r="AG90" i="1" a="1"/>
  <c r="AG90" i="1" s="1"/>
  <c r="AF90" i="1" a="1"/>
  <c r="AF90" i="1" s="1"/>
  <c r="AD90" i="1"/>
  <c r="AE90" i="1" s="1"/>
  <c r="V90" i="1"/>
  <c r="W90" i="1" s="1"/>
  <c r="R90" i="1"/>
  <c r="S90" i="1" s="1"/>
  <c r="A90" i="1"/>
  <c r="AU89" i="1"/>
  <c r="AP89" i="1"/>
  <c r="AO89" i="1"/>
  <c r="AN89" i="1"/>
  <c r="AM89" i="1"/>
  <c r="AL89" i="1"/>
  <c r="AG89" i="1" a="1"/>
  <c r="AG89" i="1" s="1"/>
  <c r="AF89" i="1" a="1"/>
  <c r="AF89" i="1"/>
  <c r="AE89" i="1"/>
  <c r="AD89" i="1"/>
  <c r="V89" i="1"/>
  <c r="W89" i="1" s="1"/>
  <c r="R89" i="1"/>
  <c r="S89" i="1" s="1"/>
  <c r="A89" i="1"/>
  <c r="AU88" i="1"/>
  <c r="AO88" i="1"/>
  <c r="AP88" i="1" s="1"/>
  <c r="AL88" i="1"/>
  <c r="AM88" i="1" s="1"/>
  <c r="AN88" i="1" s="1"/>
  <c r="AG88" i="1" a="1"/>
  <c r="AG88" i="1"/>
  <c r="AH88" i="1" s="1"/>
  <c r="AI88" i="1" s="1"/>
  <c r="AF88" i="1" a="1"/>
  <c r="AF88" i="1" s="1"/>
  <c r="AJ88" i="1" s="1"/>
  <c r="AK88" i="1" s="1"/>
  <c r="AE88" i="1"/>
  <c r="AD88" i="1"/>
  <c r="V88" i="1"/>
  <c r="W88" i="1" s="1"/>
  <c r="S88" i="1"/>
  <c r="R88" i="1"/>
  <c r="A88" i="1"/>
  <c r="AU87" i="1"/>
  <c r="AO87" i="1"/>
  <c r="AP87" i="1" s="1"/>
  <c r="AM87" i="1"/>
  <c r="AN87" i="1" s="1"/>
  <c r="AL87" i="1"/>
  <c r="AJ87" i="1"/>
  <c r="AK87" i="1" s="1"/>
  <c r="AG87" i="1" a="1"/>
  <c r="AG87" i="1" s="1"/>
  <c r="AH87" i="1" s="1"/>
  <c r="AI87" i="1" s="1"/>
  <c r="AF87" i="1" a="1"/>
  <c r="AF87" i="1"/>
  <c r="AE87" i="1"/>
  <c r="AD87" i="1"/>
  <c r="W87" i="1"/>
  <c r="V87" i="1"/>
  <c r="R87" i="1"/>
  <c r="S87" i="1" s="1"/>
  <c r="A87" i="1"/>
  <c r="AU86" i="1"/>
  <c r="AO86" i="1"/>
  <c r="AP86" i="1" s="1"/>
  <c r="AM86" i="1"/>
  <c r="AN86" i="1" s="1"/>
  <c r="AL86" i="1"/>
  <c r="AG86" i="1" a="1"/>
  <c r="AG86" i="1" s="1"/>
  <c r="AH86" i="1" s="1"/>
  <c r="AI86" i="1" s="1"/>
  <c r="AF86" i="1" a="1"/>
  <c r="AF86" i="1"/>
  <c r="AD86" i="1"/>
  <c r="AE86" i="1" s="1"/>
  <c r="V86" i="1"/>
  <c r="W86" i="1" s="1"/>
  <c r="S86" i="1"/>
  <c r="R86" i="1"/>
  <c r="A86" i="1"/>
  <c r="AU85" i="1"/>
  <c r="AO85" i="1"/>
  <c r="AP85" i="1" s="1"/>
  <c r="AN85" i="1"/>
  <c r="AM85" i="1"/>
  <c r="AL85" i="1"/>
  <c r="AG85" i="1" a="1"/>
  <c r="AG85" i="1" s="1"/>
  <c r="AF85" i="1" a="1"/>
  <c r="AF85" i="1"/>
  <c r="AD85" i="1"/>
  <c r="V85" i="1"/>
  <c r="R85" i="1"/>
  <c r="A85" i="1"/>
  <c r="AU84" i="1"/>
  <c r="AP84" i="1"/>
  <c r="AO84" i="1"/>
  <c r="AM84" i="1"/>
  <c r="AN84" i="1" s="1"/>
  <c r="AL84" i="1"/>
  <c r="AG84" i="1" a="1"/>
  <c r="AG84" i="1" s="1"/>
  <c r="AF84" i="1" a="1"/>
  <c r="AF84" i="1"/>
  <c r="AE84" i="1"/>
  <c r="AD84" i="1"/>
  <c r="V84" i="1"/>
  <c r="W84" i="1" s="1"/>
  <c r="S84" i="1"/>
  <c r="R84" i="1"/>
  <c r="A84" i="1"/>
  <c r="AU83" i="1"/>
  <c r="AO83" i="1"/>
  <c r="AP83" i="1" s="1"/>
  <c r="AL83" i="1"/>
  <c r="AM83" i="1" s="1"/>
  <c r="AN83" i="1" s="1"/>
  <c r="AG83" i="1" a="1"/>
  <c r="AG83" i="1" s="1"/>
  <c r="AF83" i="1" a="1"/>
  <c r="AF83" i="1" s="1"/>
  <c r="AD83" i="1"/>
  <c r="AE83" i="1" s="1"/>
  <c r="V83" i="1"/>
  <c r="W83" i="1" s="1"/>
  <c r="S83" i="1"/>
  <c r="R83" i="1"/>
  <c r="A83" i="1"/>
  <c r="AU82" i="1"/>
  <c r="AP82" i="1"/>
  <c r="AO82" i="1"/>
  <c r="AN82" i="1"/>
  <c r="AM82" i="1"/>
  <c r="AL82" i="1"/>
  <c r="AG82" i="1" a="1"/>
  <c r="AG82" i="1" s="1"/>
  <c r="AF82" i="1" a="1"/>
  <c r="AF82" i="1"/>
  <c r="AE82" i="1"/>
  <c r="AD82" i="1"/>
  <c r="V82" i="1"/>
  <c r="W82" i="1" s="1"/>
  <c r="R82" i="1"/>
  <c r="S82" i="1" s="1"/>
  <c r="A82" i="1"/>
  <c r="AU81" i="1"/>
  <c r="AO81" i="1"/>
  <c r="AP81" i="1" s="1"/>
  <c r="AL81" i="1"/>
  <c r="AM81" i="1" s="1"/>
  <c r="AN81" i="1" s="1"/>
  <c r="AG81" i="1" a="1"/>
  <c r="AG81" i="1" s="1"/>
  <c r="AH81" i="1" s="1"/>
  <c r="AI81" i="1" s="1"/>
  <c r="AF81" i="1" a="1"/>
  <c r="AF81" i="1" s="1"/>
  <c r="AE81" i="1"/>
  <c r="AD81" i="1"/>
  <c r="V81" i="1"/>
  <c r="W81" i="1" s="1"/>
  <c r="S81" i="1"/>
  <c r="R81" i="1"/>
  <c r="A81" i="1"/>
  <c r="AU80" i="1"/>
  <c r="AO80" i="1"/>
  <c r="AP80" i="1" s="1"/>
  <c r="AM80" i="1"/>
  <c r="AN80" i="1" s="1"/>
  <c r="AL80" i="1"/>
  <c r="AG80" i="1" a="1"/>
  <c r="AG80" i="1" s="1"/>
  <c r="AH80" i="1" s="1"/>
  <c r="AI80" i="1" s="1"/>
  <c r="AF80" i="1" a="1"/>
  <c r="AF80" i="1"/>
  <c r="AE80" i="1"/>
  <c r="AD80" i="1"/>
  <c r="W80" i="1"/>
  <c r="V80" i="1"/>
  <c r="R80" i="1"/>
  <c r="S80" i="1" s="1"/>
  <c r="A80" i="1"/>
  <c r="AU79" i="1"/>
  <c r="AO79" i="1"/>
  <c r="AP79" i="1" s="1"/>
  <c r="AM79" i="1"/>
  <c r="AN79" i="1" s="1"/>
  <c r="AL79" i="1"/>
  <c r="AG79" i="1" a="1"/>
  <c r="AG79" i="1"/>
  <c r="AH79" i="1" s="1"/>
  <c r="AI79" i="1" s="1"/>
  <c r="AF79" i="1" a="1"/>
  <c r="AF79" i="1"/>
  <c r="AD79" i="1"/>
  <c r="AE79" i="1" s="1"/>
  <c r="V79" i="1"/>
  <c r="W79" i="1" s="1"/>
  <c r="S79" i="1"/>
  <c r="R79" i="1"/>
  <c r="A79" i="1"/>
  <c r="AU78" i="1"/>
  <c r="AO78" i="1"/>
  <c r="AP78" i="1" s="1"/>
  <c r="AN78" i="1"/>
  <c r="AM78" i="1"/>
  <c r="AL78" i="1"/>
  <c r="AG78" i="1" a="1"/>
  <c r="AG78" i="1" s="1"/>
  <c r="AJ78" i="1" s="1"/>
  <c r="AK78" i="1" s="1"/>
  <c r="AF78" i="1" a="1"/>
  <c r="AF78" i="1"/>
  <c r="AD78" i="1"/>
  <c r="AE78" i="1" s="1"/>
  <c r="W78" i="1"/>
  <c r="V78" i="1"/>
  <c r="R78" i="1"/>
  <c r="S78" i="1" s="1"/>
  <c r="A78" i="1"/>
  <c r="AU77" i="1"/>
  <c r="AL77" i="1"/>
  <c r="AO77" i="1" s="1"/>
  <c r="AP77" i="1" s="1"/>
  <c r="AG77" i="1" a="1"/>
  <c r="AG77" i="1" s="1"/>
  <c r="AF77" i="1" a="1"/>
  <c r="AF77" i="1"/>
  <c r="AE77" i="1"/>
  <c r="AD77" i="1"/>
  <c r="V77" i="1"/>
  <c r="W77" i="1" s="1"/>
  <c r="R77" i="1"/>
  <c r="S77" i="1" s="1"/>
  <c r="A77" i="1"/>
  <c r="AU76" i="1"/>
  <c r="AL76" i="1"/>
  <c r="AO76" i="1" s="1"/>
  <c r="AP76" i="1" s="1"/>
  <c r="AG76" i="1" a="1"/>
  <c r="AG76" i="1" s="1"/>
  <c r="AF76" i="1" a="1"/>
  <c r="AF76" i="1" s="1"/>
  <c r="AD76" i="1"/>
  <c r="AE76" i="1" s="1"/>
  <c r="W76" i="1"/>
  <c r="V76" i="1"/>
  <c r="R76" i="1"/>
  <c r="S76" i="1" s="1"/>
  <c r="A76" i="1"/>
  <c r="AU75" i="1"/>
  <c r="AM75" i="1"/>
  <c r="AN75" i="1" s="1"/>
  <c r="AL75" i="1"/>
  <c r="AO75" i="1" s="1"/>
  <c r="AP75" i="1" s="1"/>
  <c r="AG75" i="1" a="1"/>
  <c r="AG75" i="1" s="1"/>
  <c r="AF75" i="1" a="1"/>
  <c r="AF75" i="1"/>
  <c r="AE75" i="1"/>
  <c r="AD75" i="1"/>
  <c r="W75" i="1"/>
  <c r="V75" i="1"/>
  <c r="R75" i="1"/>
  <c r="S75" i="1" s="1"/>
  <c r="A75" i="1"/>
  <c r="AU74" i="1"/>
  <c r="AL74" i="1"/>
  <c r="AG74" i="1" a="1"/>
  <c r="AG74" i="1" s="1"/>
  <c r="AJ74" i="1" s="1"/>
  <c r="AK74" i="1" s="1"/>
  <c r="AF74" i="1" a="1"/>
  <c r="AF74" i="1" s="1"/>
  <c r="AD74" i="1"/>
  <c r="AE74" i="1" s="1"/>
  <c r="W74" i="1"/>
  <c r="V74" i="1"/>
  <c r="S74" i="1"/>
  <c r="R74" i="1"/>
  <c r="A74" i="1"/>
  <c r="AU73" i="1"/>
  <c r="AP73" i="1"/>
  <c r="AM73" i="1"/>
  <c r="AN73" i="1" s="1"/>
  <c r="AL73" i="1"/>
  <c r="AO73" i="1" s="1"/>
  <c r="AG73" i="1" a="1"/>
  <c r="AG73" i="1" s="1"/>
  <c r="AF73" i="1" a="1"/>
  <c r="AF73" i="1"/>
  <c r="AD73" i="1"/>
  <c r="AE73" i="1" s="1"/>
  <c r="W73" i="1"/>
  <c r="V73" i="1"/>
  <c r="R73" i="1"/>
  <c r="S73" i="1" s="1"/>
  <c r="A73" i="1"/>
  <c r="AU72" i="1"/>
  <c r="AL72" i="1"/>
  <c r="AG72" i="1" a="1"/>
  <c r="AG72" i="1" s="1"/>
  <c r="AF72" i="1" a="1"/>
  <c r="AF72" i="1" s="1"/>
  <c r="AD72" i="1"/>
  <c r="AE72" i="1" s="1"/>
  <c r="V72" i="1"/>
  <c r="W72" i="1" s="1"/>
  <c r="S72" i="1"/>
  <c r="R72" i="1"/>
  <c r="A72" i="1"/>
  <c r="AU71" i="1"/>
  <c r="AL71" i="1"/>
  <c r="AO71" i="1" s="1"/>
  <c r="AP71" i="1" s="1"/>
  <c r="AG71" i="1" a="1"/>
  <c r="AG71" i="1" s="1"/>
  <c r="AH71" i="1" s="1"/>
  <c r="AI71" i="1" s="1"/>
  <c r="AF71" i="1" a="1"/>
  <c r="AF71" i="1" s="1"/>
  <c r="AD71" i="1"/>
  <c r="AE71" i="1" s="1"/>
  <c r="W71" i="1"/>
  <c r="V71" i="1"/>
  <c r="R71" i="1"/>
  <c r="S71" i="1" s="1"/>
  <c r="A71" i="1"/>
  <c r="AU70" i="1"/>
  <c r="AL70" i="1"/>
  <c r="AM70" i="1" s="1"/>
  <c r="AN70" i="1" s="1"/>
  <c r="AG70" i="1" a="1"/>
  <c r="AG70" i="1" s="1"/>
  <c r="AH70" i="1" s="1"/>
  <c r="AI70" i="1" s="1"/>
  <c r="AF70" i="1" a="1"/>
  <c r="AF70" i="1" s="1"/>
  <c r="AE70" i="1"/>
  <c r="AD70" i="1"/>
  <c r="V70" i="1"/>
  <c r="W70" i="1" s="1"/>
  <c r="S70" i="1"/>
  <c r="R70" i="1"/>
  <c r="A70" i="1"/>
  <c r="AU69" i="1"/>
  <c r="AO69" i="1"/>
  <c r="AP69" i="1" s="1"/>
  <c r="AL69" i="1"/>
  <c r="AM69" i="1" s="1"/>
  <c r="AN69" i="1" s="1"/>
  <c r="AG69" i="1" a="1"/>
  <c r="AG69" i="1"/>
  <c r="AF69" i="1" a="1"/>
  <c r="AF69" i="1"/>
  <c r="AD69" i="1"/>
  <c r="AE69" i="1" s="1"/>
  <c r="W69" i="1"/>
  <c r="V69" i="1"/>
  <c r="S69" i="1"/>
  <c r="R69" i="1"/>
  <c r="A69" i="1"/>
  <c r="AU68" i="1"/>
  <c r="AP68" i="1"/>
  <c r="AO68" i="1"/>
  <c r="AM68" i="1"/>
  <c r="AN68" i="1" s="1"/>
  <c r="AL68" i="1"/>
  <c r="AG68" i="1" a="1"/>
  <c r="AG68" i="1" s="1"/>
  <c r="AF68" i="1" a="1"/>
  <c r="AF68" i="1"/>
  <c r="AE68" i="1"/>
  <c r="AD68" i="1"/>
  <c r="V68" i="1"/>
  <c r="W68" i="1" s="1"/>
  <c r="S68" i="1"/>
  <c r="R68" i="1"/>
  <c r="A68" i="1"/>
  <c r="AU67" i="1"/>
  <c r="AO67" i="1"/>
  <c r="AP67" i="1" s="1"/>
  <c r="AL67" i="1"/>
  <c r="AM67" i="1" s="1"/>
  <c r="AN67" i="1" s="1"/>
  <c r="AG67" i="1" a="1"/>
  <c r="AG67" i="1" s="1"/>
  <c r="AF67" i="1" a="1"/>
  <c r="AF67" i="1" s="1"/>
  <c r="AD67" i="1"/>
  <c r="AE67" i="1" s="1"/>
  <c r="V67" i="1"/>
  <c r="W67" i="1" s="1"/>
  <c r="S67" i="1"/>
  <c r="R67" i="1"/>
  <c r="A67" i="1"/>
  <c r="AU66" i="1"/>
  <c r="AP66" i="1"/>
  <c r="AO66" i="1"/>
  <c r="AN66" i="1"/>
  <c r="AM66" i="1"/>
  <c r="AL66" i="1"/>
  <c r="AG66" i="1" a="1"/>
  <c r="AG66" i="1" s="1"/>
  <c r="AJ66" i="1" s="1"/>
  <c r="AK66" i="1" s="1"/>
  <c r="AF66" i="1" a="1"/>
  <c r="AF66" i="1"/>
  <c r="AE66" i="1"/>
  <c r="AD66" i="1"/>
  <c r="V66" i="1"/>
  <c r="W66" i="1" s="1"/>
  <c r="R66" i="1"/>
  <c r="S66" i="1" s="1"/>
  <c r="A66" i="1"/>
  <c r="AU65" i="1"/>
  <c r="AO65" i="1"/>
  <c r="AP65" i="1" s="1"/>
  <c r="AL65" i="1"/>
  <c r="AM65" i="1" s="1"/>
  <c r="AN65" i="1" s="1"/>
  <c r="AG65" i="1" a="1"/>
  <c r="AG65" i="1" s="1"/>
  <c r="AF65" i="1" a="1"/>
  <c r="AF65" i="1" s="1"/>
  <c r="AE65" i="1"/>
  <c r="AD65" i="1"/>
  <c r="V65" i="1"/>
  <c r="W65" i="1" s="1"/>
  <c r="S65" i="1"/>
  <c r="R65" i="1"/>
  <c r="A65" i="1"/>
  <c r="AU64" i="1"/>
  <c r="AO64" i="1"/>
  <c r="AP64" i="1" s="1"/>
  <c r="AM64" i="1"/>
  <c r="AN64" i="1" s="1"/>
  <c r="AL64" i="1"/>
  <c r="AG64" i="1" a="1"/>
  <c r="AG64" i="1" s="1"/>
  <c r="AJ64" i="1" s="1"/>
  <c r="AK64" i="1" s="1"/>
  <c r="AF64" i="1" a="1"/>
  <c r="AF64" i="1"/>
  <c r="AE64" i="1"/>
  <c r="AD64" i="1"/>
  <c r="W64" i="1"/>
  <c r="V64" i="1"/>
  <c r="R64" i="1"/>
  <c r="S64" i="1" s="1"/>
  <c r="A64" i="1"/>
  <c r="AU63" i="1"/>
  <c r="AO63" i="1"/>
  <c r="AP63" i="1" s="1"/>
  <c r="AM63" i="1"/>
  <c r="AN63" i="1" s="1"/>
  <c r="AL63" i="1"/>
  <c r="AG63" i="1" a="1"/>
  <c r="AG63" i="1" s="1"/>
  <c r="AH63" i="1" s="1"/>
  <c r="AI63" i="1" s="1"/>
  <c r="AF63" i="1" a="1"/>
  <c r="AF63" i="1"/>
  <c r="AE63" i="1"/>
  <c r="AD63" i="1"/>
  <c r="V63" i="1"/>
  <c r="W63" i="1" s="1"/>
  <c r="S63" i="1"/>
  <c r="R63" i="1"/>
  <c r="A63" i="1"/>
  <c r="AU62" i="1"/>
  <c r="AO62" i="1"/>
  <c r="AP62" i="1" s="1"/>
  <c r="AN62" i="1"/>
  <c r="AM62" i="1"/>
  <c r="AL62" i="1"/>
  <c r="AG62" i="1" a="1"/>
  <c r="AG62" i="1" s="1"/>
  <c r="AH62" i="1" s="1"/>
  <c r="AI62" i="1" s="1"/>
  <c r="AF62" i="1" a="1"/>
  <c r="AF62" i="1"/>
  <c r="AD62" i="1"/>
  <c r="AE62" i="1" s="1"/>
  <c r="W62" i="1"/>
  <c r="V62" i="1"/>
  <c r="R62" i="1"/>
  <c r="S62" i="1" s="1"/>
  <c r="A62" i="1"/>
  <c r="AU61" i="1"/>
  <c r="AM61" i="1"/>
  <c r="AN61" i="1" s="1"/>
  <c r="AL61" i="1"/>
  <c r="AO61" i="1" s="1"/>
  <c r="AP61" i="1" s="1"/>
  <c r="AG61" i="1" a="1"/>
  <c r="AG61" i="1" s="1"/>
  <c r="AF61" i="1" a="1"/>
  <c r="AF61" i="1"/>
  <c r="AE61" i="1"/>
  <c r="AD61" i="1"/>
  <c r="V61" i="1"/>
  <c r="W61" i="1" s="1"/>
  <c r="R61" i="1"/>
  <c r="S61" i="1" s="1"/>
  <c r="A61" i="1"/>
  <c r="AU60" i="1"/>
  <c r="AM60" i="1"/>
  <c r="AN60" i="1" s="1"/>
  <c r="AL60" i="1"/>
  <c r="AO60" i="1" s="1"/>
  <c r="AP60" i="1" s="1"/>
  <c r="AG60" i="1" a="1"/>
  <c r="AG60" i="1" s="1"/>
  <c r="AJ60" i="1" s="1"/>
  <c r="AK60" i="1" s="1"/>
  <c r="AF60" i="1" a="1"/>
  <c r="AF60" i="1" s="1"/>
  <c r="AD60" i="1"/>
  <c r="AE60" i="1" s="1"/>
  <c r="W60" i="1"/>
  <c r="V60" i="1"/>
  <c r="R60" i="1"/>
  <c r="S60" i="1" s="1"/>
  <c r="A60" i="1"/>
  <c r="AU59" i="1"/>
  <c r="AM59" i="1"/>
  <c r="AN59" i="1" s="1"/>
  <c r="AL59" i="1"/>
  <c r="AO59" i="1" s="1"/>
  <c r="AP59" i="1" s="1"/>
  <c r="AG59" i="1" a="1"/>
  <c r="AG59" i="1" s="1"/>
  <c r="AF59" i="1" a="1"/>
  <c r="AF59" i="1"/>
  <c r="AD59" i="1"/>
  <c r="AE59" i="1" s="1"/>
  <c r="W59" i="1"/>
  <c r="V59" i="1"/>
  <c r="R59" i="1"/>
  <c r="S59" i="1" s="1"/>
  <c r="A59" i="1"/>
  <c r="AU58" i="1"/>
  <c r="AL58" i="1"/>
  <c r="AG58" i="1" a="1"/>
  <c r="AG58" i="1" s="1"/>
  <c r="AF58" i="1" a="1"/>
  <c r="AF58" i="1" s="1"/>
  <c r="AD58" i="1"/>
  <c r="AE58" i="1" s="1"/>
  <c r="W58" i="1"/>
  <c r="V58" i="1"/>
  <c r="S58" i="1"/>
  <c r="R58" i="1"/>
  <c r="A58" i="1"/>
  <c r="AU57" i="1"/>
  <c r="AP57" i="1"/>
  <c r="AM57" i="1"/>
  <c r="AN57" i="1" s="1"/>
  <c r="AL57" i="1"/>
  <c r="AO57" i="1" s="1"/>
  <c r="AG57" i="1" a="1"/>
  <c r="AG57" i="1" s="1"/>
  <c r="AF57" i="1" a="1"/>
  <c r="AF57" i="1"/>
  <c r="AD57" i="1"/>
  <c r="AE57" i="1" s="1"/>
  <c r="W57" i="1"/>
  <c r="V57" i="1"/>
  <c r="R57" i="1"/>
  <c r="S57" i="1" s="1"/>
  <c r="A57" i="1"/>
  <c r="AU56" i="1"/>
  <c r="AL56" i="1"/>
  <c r="AG56" i="1" a="1"/>
  <c r="AG56" i="1" s="1"/>
  <c r="AF56" i="1" a="1"/>
  <c r="AF56" i="1" s="1"/>
  <c r="AD56" i="1"/>
  <c r="AE56" i="1" s="1"/>
  <c r="V56" i="1"/>
  <c r="W56" i="1" s="1"/>
  <c r="S56" i="1"/>
  <c r="R56" i="1"/>
  <c r="A56" i="1"/>
  <c r="AU55" i="1"/>
  <c r="AL55" i="1"/>
  <c r="AO55" i="1" s="1"/>
  <c r="AP55" i="1" s="1"/>
  <c r="AG55" i="1" a="1"/>
  <c r="AG55" i="1" s="1"/>
  <c r="AF55" i="1" a="1"/>
  <c r="AF55" i="1" s="1"/>
  <c r="AD55" i="1"/>
  <c r="AE55" i="1" s="1"/>
  <c r="W55" i="1"/>
  <c r="V55" i="1"/>
  <c r="R55" i="1"/>
  <c r="S55" i="1" s="1"/>
  <c r="A55" i="1"/>
  <c r="AU54" i="1"/>
  <c r="AL54" i="1"/>
  <c r="AM54" i="1" s="1"/>
  <c r="AN54" i="1" s="1"/>
  <c r="AG54" i="1" a="1"/>
  <c r="AG54" i="1" s="1"/>
  <c r="AJ54" i="1" s="1"/>
  <c r="AK54" i="1" s="1"/>
  <c r="AF54" i="1" a="1"/>
  <c r="AF54" i="1" s="1"/>
  <c r="AE54" i="1"/>
  <c r="AD54" i="1"/>
  <c r="V54" i="1"/>
  <c r="W54" i="1" s="1"/>
  <c r="S54" i="1"/>
  <c r="R54" i="1"/>
  <c r="A54" i="1"/>
  <c r="AU53" i="1"/>
  <c r="AP53" i="1"/>
  <c r="AO53" i="1"/>
  <c r="AL53" i="1"/>
  <c r="AM53" i="1" s="1"/>
  <c r="AN53" i="1" s="1"/>
  <c r="AG53" i="1" a="1"/>
  <c r="AG53" i="1" s="1"/>
  <c r="AF53" i="1" a="1"/>
  <c r="AF53" i="1"/>
  <c r="AD53" i="1"/>
  <c r="AE53" i="1" s="1"/>
  <c r="V53" i="1"/>
  <c r="W53" i="1" s="1"/>
  <c r="S53" i="1"/>
  <c r="R53" i="1"/>
  <c r="A53" i="1"/>
  <c r="AU52" i="1"/>
  <c r="AP52" i="1"/>
  <c r="AO52" i="1"/>
  <c r="AM52" i="1"/>
  <c r="AN52" i="1" s="1"/>
  <c r="AL52" i="1"/>
  <c r="AG52" i="1" a="1"/>
  <c r="AG52" i="1" s="1"/>
  <c r="AF52" i="1" a="1"/>
  <c r="AF52" i="1" s="1"/>
  <c r="AE52" i="1"/>
  <c r="AD52" i="1"/>
  <c r="V52" i="1"/>
  <c r="W52" i="1" s="1"/>
  <c r="S52" i="1"/>
  <c r="R52" i="1"/>
  <c r="A52" i="1"/>
  <c r="AU51" i="1"/>
  <c r="AO51" i="1"/>
  <c r="AP51" i="1" s="1"/>
  <c r="AL51" i="1"/>
  <c r="AM51" i="1" s="1"/>
  <c r="AN51" i="1" s="1"/>
  <c r="AG51" i="1" a="1"/>
  <c r="AG51" i="1" s="1"/>
  <c r="AJ51" i="1" s="1"/>
  <c r="AK51" i="1" s="1"/>
  <c r="AF51" i="1" a="1"/>
  <c r="AF51" i="1" s="1"/>
  <c r="AD51" i="1"/>
  <c r="AE51" i="1" s="1"/>
  <c r="V51" i="1"/>
  <c r="W51" i="1" s="1"/>
  <c r="S51" i="1"/>
  <c r="R51" i="1"/>
  <c r="A51" i="1"/>
  <c r="AU50" i="1"/>
  <c r="AO50" i="1"/>
  <c r="AP50" i="1" s="1"/>
  <c r="AN50" i="1"/>
  <c r="AM50" i="1"/>
  <c r="AL50" i="1"/>
  <c r="AG50" i="1" a="1"/>
  <c r="AG50" i="1" s="1"/>
  <c r="AH50" i="1" s="1"/>
  <c r="AI50" i="1" s="1"/>
  <c r="AF50" i="1" a="1"/>
  <c r="AF50" i="1"/>
  <c r="AE50" i="1"/>
  <c r="AD50" i="1"/>
  <c r="V50" i="1"/>
  <c r="W50" i="1" s="1"/>
  <c r="S50" i="1"/>
  <c r="R50" i="1"/>
  <c r="A50" i="1"/>
  <c r="AU49" i="1"/>
  <c r="AL49" i="1"/>
  <c r="AM49" i="1" s="1"/>
  <c r="AN49" i="1" s="1"/>
  <c r="AG49" i="1" a="1"/>
  <c r="AG49" i="1" s="1"/>
  <c r="AF49" i="1" a="1"/>
  <c r="AF49" i="1" s="1"/>
  <c r="AE49" i="1"/>
  <c r="AD49" i="1"/>
  <c r="V49" i="1"/>
  <c r="W49" i="1" s="1"/>
  <c r="S49" i="1"/>
  <c r="R49" i="1"/>
  <c r="A49" i="1"/>
  <c r="AU48" i="1"/>
  <c r="AO48" i="1"/>
  <c r="AP48" i="1" s="1"/>
  <c r="AM48" i="1"/>
  <c r="AN48" i="1" s="1"/>
  <c r="AL48" i="1"/>
  <c r="AG48" i="1" a="1"/>
  <c r="AG48" i="1" s="1"/>
  <c r="AJ48" i="1" s="1"/>
  <c r="AK48" i="1" s="1"/>
  <c r="AF48" i="1" a="1"/>
  <c r="AF48" i="1"/>
  <c r="AE48" i="1"/>
  <c r="AD48" i="1"/>
  <c r="W48" i="1"/>
  <c r="V48" i="1"/>
  <c r="R48" i="1"/>
  <c r="S48" i="1" s="1"/>
  <c r="A48" i="1"/>
  <c r="AU47" i="1"/>
  <c r="AO47" i="1"/>
  <c r="AP47" i="1" s="1"/>
  <c r="AN47" i="1"/>
  <c r="AM47" i="1"/>
  <c r="AL47" i="1"/>
  <c r="AG47" i="1" a="1"/>
  <c r="AG47" i="1" s="1"/>
  <c r="AF47" i="1" a="1"/>
  <c r="AF47" i="1"/>
  <c r="AD47" i="1"/>
  <c r="AE47" i="1" s="1"/>
  <c r="V47" i="1"/>
  <c r="W47" i="1" s="1"/>
  <c r="S47" i="1"/>
  <c r="R47" i="1"/>
  <c r="A47" i="1"/>
  <c r="AU46" i="1"/>
  <c r="AO46" i="1"/>
  <c r="AP46" i="1" s="1"/>
  <c r="AN46" i="1"/>
  <c r="AM46" i="1"/>
  <c r="AL46" i="1"/>
  <c r="AG46" i="1" a="1"/>
  <c r="AG46" i="1" s="1"/>
  <c r="AJ46" i="1" s="1"/>
  <c r="AK46" i="1" s="1"/>
  <c r="AF46" i="1" a="1"/>
  <c r="AF46" i="1"/>
  <c r="AD46" i="1"/>
  <c r="AE46" i="1" s="1"/>
  <c r="W46" i="1"/>
  <c r="V46" i="1"/>
  <c r="R46" i="1"/>
  <c r="S46" i="1" s="1"/>
  <c r="A46" i="1"/>
  <c r="AU45" i="1"/>
  <c r="AP45" i="1"/>
  <c r="AM45" i="1"/>
  <c r="AN45" i="1" s="1"/>
  <c r="AL45" i="1"/>
  <c r="AO45" i="1" s="1"/>
  <c r="AG45" i="1" a="1"/>
  <c r="AG45" i="1" s="1"/>
  <c r="AJ45" i="1" s="1"/>
  <c r="AK45" i="1" s="1"/>
  <c r="AF45" i="1" a="1"/>
  <c r="AF45" i="1"/>
  <c r="AE45" i="1"/>
  <c r="AD45" i="1"/>
  <c r="V45" i="1"/>
  <c r="W45" i="1" s="1"/>
  <c r="R45" i="1"/>
  <c r="S45" i="1" s="1"/>
  <c r="A45" i="1"/>
  <c r="AU44" i="1"/>
  <c r="AL44" i="1"/>
  <c r="AO44" i="1" s="1"/>
  <c r="AP44" i="1" s="1"/>
  <c r="AG44" i="1" a="1"/>
  <c r="AG44" i="1" s="1"/>
  <c r="AH44" i="1" s="1"/>
  <c r="AI44" i="1" s="1"/>
  <c r="AF44" i="1" a="1"/>
  <c r="AF44" i="1" s="1"/>
  <c r="AD44" i="1"/>
  <c r="AE44" i="1" s="1"/>
  <c r="W44" i="1"/>
  <c r="V44" i="1"/>
  <c r="R44" i="1"/>
  <c r="S44" i="1" s="1"/>
  <c r="A44" i="1"/>
  <c r="AU43" i="1"/>
  <c r="AM43" i="1"/>
  <c r="AN43" i="1" s="1"/>
  <c r="AL43" i="1"/>
  <c r="AO43" i="1" s="1"/>
  <c r="AP43" i="1" s="1"/>
  <c r="AG43" i="1" a="1"/>
  <c r="AG43" i="1" s="1"/>
  <c r="AF43" i="1" a="1"/>
  <c r="AF43" i="1"/>
  <c r="AE43" i="1"/>
  <c r="AD43" i="1"/>
  <c r="W43" i="1"/>
  <c r="V43" i="1"/>
  <c r="R43" i="1"/>
  <c r="S43" i="1" s="1"/>
  <c r="A43" i="1"/>
  <c r="AU42" i="1"/>
  <c r="AL42" i="1"/>
  <c r="AM42" i="1" s="1"/>
  <c r="AN42" i="1" s="1"/>
  <c r="AG42" i="1" a="1"/>
  <c r="AG42" i="1" s="1"/>
  <c r="AF42" i="1" a="1"/>
  <c r="AF42" i="1" s="1"/>
  <c r="AD42" i="1"/>
  <c r="AE42" i="1" s="1"/>
  <c r="W42" i="1"/>
  <c r="V42" i="1"/>
  <c r="S42" i="1"/>
  <c r="R42" i="1"/>
  <c r="A42" i="1"/>
  <c r="AU41" i="1"/>
  <c r="AP41" i="1"/>
  <c r="AL41" i="1"/>
  <c r="AO41" i="1" s="1"/>
  <c r="AG41" i="1" a="1"/>
  <c r="AG41" i="1" s="1"/>
  <c r="AF41" i="1" a="1"/>
  <c r="AF41" i="1"/>
  <c r="AD41" i="1"/>
  <c r="AE41" i="1" s="1"/>
  <c r="W41" i="1"/>
  <c r="V41" i="1"/>
  <c r="R41" i="1"/>
  <c r="S41" i="1" s="1"/>
  <c r="A41" i="1"/>
  <c r="AU40" i="1"/>
  <c r="AL40" i="1"/>
  <c r="AG40" i="1" a="1"/>
  <c r="AG40" i="1" s="1"/>
  <c r="AF40" i="1" a="1"/>
  <c r="AF40" i="1" s="1"/>
  <c r="AD40" i="1"/>
  <c r="AE40" i="1" s="1"/>
  <c r="V40" i="1"/>
  <c r="W40" i="1" s="1"/>
  <c r="S40" i="1"/>
  <c r="R40" i="1"/>
  <c r="A40" i="1"/>
  <c r="AU39" i="1"/>
  <c r="AL39" i="1"/>
  <c r="AO39" i="1" s="1"/>
  <c r="AP39" i="1" s="1"/>
  <c r="AG39" i="1" a="1"/>
  <c r="AG39" i="1" s="1"/>
  <c r="AF39" i="1" a="1"/>
  <c r="AF39" i="1" s="1"/>
  <c r="AD39" i="1"/>
  <c r="AE39" i="1" s="1"/>
  <c r="W39" i="1"/>
  <c r="V39" i="1"/>
  <c r="R39" i="1"/>
  <c r="S39" i="1" s="1"/>
  <c r="A39" i="1"/>
  <c r="AU38" i="1"/>
  <c r="AL38" i="1"/>
  <c r="AM38" i="1" s="1"/>
  <c r="AN38" i="1" s="1"/>
  <c r="AG38" i="1" a="1"/>
  <c r="AG38" i="1" s="1"/>
  <c r="AF38" i="1" a="1"/>
  <c r="AF38" i="1" s="1"/>
  <c r="AE38" i="1"/>
  <c r="AD38" i="1"/>
  <c r="V38" i="1"/>
  <c r="W38" i="1" s="1"/>
  <c r="S38" i="1"/>
  <c r="R38" i="1"/>
  <c r="A38" i="1"/>
  <c r="AU37" i="1"/>
  <c r="AP37" i="1"/>
  <c r="AO37" i="1"/>
  <c r="AL37" i="1"/>
  <c r="AM37" i="1" s="1"/>
  <c r="AN37" i="1" s="1"/>
  <c r="AG37" i="1" a="1"/>
  <c r="AG37" i="1" s="1"/>
  <c r="AF37" i="1" a="1"/>
  <c r="AF37" i="1"/>
  <c r="AD37" i="1"/>
  <c r="AE37" i="1" s="1"/>
  <c r="V37" i="1"/>
  <c r="W37" i="1" s="1"/>
  <c r="S37" i="1"/>
  <c r="R37" i="1"/>
  <c r="A37" i="1"/>
  <c r="AU36" i="1"/>
  <c r="AO36" i="1"/>
  <c r="AP36" i="1" s="1"/>
  <c r="AM36" i="1"/>
  <c r="AN36" i="1" s="1"/>
  <c r="AL36" i="1"/>
  <c r="AG36" i="1" a="1"/>
  <c r="AG36" i="1"/>
  <c r="AF36" i="1" a="1"/>
  <c r="AF36" i="1"/>
  <c r="AE36" i="1"/>
  <c r="AD36" i="1"/>
  <c r="V36" i="1"/>
  <c r="W36" i="1" s="1"/>
  <c r="S36" i="1"/>
  <c r="R36" i="1"/>
  <c r="A36" i="1"/>
  <c r="AU35" i="1"/>
  <c r="AO35" i="1"/>
  <c r="AP35" i="1" s="1"/>
  <c r="AL35" i="1"/>
  <c r="AM35" i="1" s="1"/>
  <c r="AN35" i="1" s="1"/>
  <c r="AG35" i="1" a="1"/>
  <c r="AG35" i="1" s="1"/>
  <c r="AF35" i="1" a="1"/>
  <c r="AF35" i="1"/>
  <c r="AD35" i="1"/>
  <c r="AE35" i="1" s="1"/>
  <c r="V35" i="1"/>
  <c r="W35" i="1" s="1"/>
  <c r="S35" i="1"/>
  <c r="R35" i="1"/>
  <c r="A35" i="1"/>
  <c r="AU34" i="1"/>
  <c r="AO34" i="1"/>
  <c r="AP34" i="1" s="1"/>
  <c r="AM34" i="1"/>
  <c r="AN34" i="1" s="1"/>
  <c r="AL34" i="1"/>
  <c r="AG34" i="1" a="1"/>
  <c r="AG34" i="1" s="1"/>
  <c r="AF34" i="1" a="1"/>
  <c r="AF34" i="1"/>
  <c r="AE34" i="1"/>
  <c r="AD34" i="1"/>
  <c r="V34" i="1"/>
  <c r="W34" i="1" s="1"/>
  <c r="R34" i="1"/>
  <c r="S34" i="1" s="1"/>
  <c r="A34" i="1"/>
  <c r="AU33" i="1"/>
  <c r="AL33" i="1"/>
  <c r="AM33" i="1" s="1"/>
  <c r="AN33" i="1" s="1"/>
  <c r="AG33" i="1" a="1"/>
  <c r="AG33" i="1" s="1"/>
  <c r="AF33" i="1" a="1"/>
  <c r="AF33" i="1" s="1"/>
  <c r="AE33" i="1"/>
  <c r="AD33" i="1"/>
  <c r="V33" i="1"/>
  <c r="W33" i="1" s="1"/>
  <c r="R33" i="1"/>
  <c r="S33" i="1" s="1"/>
  <c r="A33" i="1"/>
  <c r="AU32" i="1"/>
  <c r="AO32" i="1"/>
  <c r="AP32" i="1" s="1"/>
  <c r="AN32" i="1"/>
  <c r="AM32" i="1"/>
  <c r="AL32" i="1"/>
  <c r="AG32" i="1" a="1"/>
  <c r="AG32" i="1" s="1"/>
  <c r="AH32" i="1" s="1"/>
  <c r="AI32" i="1" s="1"/>
  <c r="AF32" i="1" a="1"/>
  <c r="AF32" i="1"/>
  <c r="AE32" i="1"/>
  <c r="AD32" i="1"/>
  <c r="W32" i="1"/>
  <c r="V32" i="1"/>
  <c r="R32" i="1"/>
  <c r="S32" i="1" s="1"/>
  <c r="A32" i="1"/>
  <c r="AU31" i="1"/>
  <c r="AO31" i="1"/>
  <c r="AP31" i="1" s="1"/>
  <c r="AL31" i="1"/>
  <c r="AM31" i="1" s="1"/>
  <c r="AN31" i="1" s="1"/>
  <c r="AG31" i="1" a="1"/>
  <c r="AG31" i="1" s="1"/>
  <c r="AJ31" i="1" s="1"/>
  <c r="AK31" i="1" s="1"/>
  <c r="AF31" i="1" a="1"/>
  <c r="AF31" i="1"/>
  <c r="AE31" i="1"/>
  <c r="AD31" i="1"/>
  <c r="W31" i="1"/>
  <c r="V31" i="1"/>
  <c r="S31" i="1"/>
  <c r="R31" i="1"/>
  <c r="A31" i="1"/>
  <c r="AU30" i="1"/>
  <c r="AO30" i="1"/>
  <c r="AP30" i="1" s="1"/>
  <c r="AM30" i="1"/>
  <c r="AN30" i="1" s="1"/>
  <c r="AL30" i="1"/>
  <c r="AG30" i="1" a="1"/>
  <c r="AG30" i="1" s="1"/>
  <c r="AJ30" i="1" s="1"/>
  <c r="AK30" i="1" s="1"/>
  <c r="AF30" i="1" a="1"/>
  <c r="AF30" i="1"/>
  <c r="AD30" i="1"/>
  <c r="AE30" i="1" s="1"/>
  <c r="W30" i="1"/>
  <c r="V30" i="1"/>
  <c r="R30" i="1"/>
  <c r="S30" i="1" s="1"/>
  <c r="A30" i="1"/>
  <c r="AU29" i="1"/>
  <c r="AP29" i="1"/>
  <c r="AN29" i="1"/>
  <c r="AM29" i="1"/>
  <c r="AL29" i="1"/>
  <c r="AO29" i="1" s="1"/>
  <c r="AG29" i="1" a="1"/>
  <c r="AG29" i="1" s="1"/>
  <c r="AF29" i="1" a="1"/>
  <c r="AF29" i="1"/>
  <c r="AE29" i="1"/>
  <c r="AD29" i="1"/>
  <c r="V29" i="1"/>
  <c r="W29" i="1" s="1"/>
  <c r="R29" i="1"/>
  <c r="S29" i="1" s="1"/>
  <c r="A29" i="1"/>
  <c r="AU28" i="1"/>
  <c r="AN28" i="1"/>
  <c r="AM28" i="1"/>
  <c r="AL28" i="1"/>
  <c r="AO28" i="1" s="1"/>
  <c r="AP28" i="1" s="1"/>
  <c r="AG28" i="1" a="1"/>
  <c r="AG28" i="1" s="1"/>
  <c r="AJ28" i="1" s="1"/>
  <c r="AK28" i="1" s="1"/>
  <c r="AF28" i="1" a="1"/>
  <c r="AF28" i="1" s="1"/>
  <c r="AD28" i="1"/>
  <c r="AE28" i="1" s="1"/>
  <c r="W28" i="1"/>
  <c r="V28" i="1"/>
  <c r="R28" i="1"/>
  <c r="S28" i="1" s="1"/>
  <c r="A28" i="1"/>
  <c r="AU27" i="1"/>
  <c r="AP27" i="1"/>
  <c r="AN27" i="1"/>
  <c r="AM27" i="1"/>
  <c r="AL27" i="1"/>
  <c r="AO27" i="1" s="1"/>
  <c r="AG27" i="1" a="1"/>
  <c r="AG27" i="1" s="1"/>
  <c r="AF27" i="1" a="1"/>
  <c r="AF27" i="1"/>
  <c r="AE27" i="1"/>
  <c r="AD27" i="1"/>
  <c r="V27" i="1"/>
  <c r="W27" i="1" s="1"/>
  <c r="R27" i="1"/>
  <c r="S27" i="1" s="1"/>
  <c r="A27" i="1"/>
  <c r="AU26" i="1"/>
  <c r="AO26" i="1"/>
  <c r="AP26" i="1" s="1"/>
  <c r="AM26" i="1"/>
  <c r="AN26" i="1" s="1"/>
  <c r="AL26" i="1"/>
  <c r="AG26" i="1" a="1"/>
  <c r="AG26" i="1" s="1"/>
  <c r="AJ26" i="1" s="1"/>
  <c r="AK26" i="1" s="1"/>
  <c r="AF26" i="1" a="1"/>
  <c r="AF26" i="1" s="1"/>
  <c r="AE26" i="1"/>
  <c r="AD26" i="1"/>
  <c r="W26" i="1"/>
  <c r="V26" i="1"/>
  <c r="S26" i="1"/>
  <c r="R26" i="1"/>
  <c r="A26" i="1"/>
  <c r="AU25" i="1"/>
  <c r="AM25" i="1"/>
  <c r="AN25" i="1" s="1"/>
  <c r="AL25" i="1"/>
  <c r="AO25" i="1" s="1"/>
  <c r="AP25" i="1" s="1"/>
  <c r="AG25" i="1" a="1"/>
  <c r="AG25" i="1" s="1"/>
  <c r="AF25" i="1" a="1"/>
  <c r="AF25" i="1"/>
  <c r="AD25" i="1"/>
  <c r="AE25" i="1" s="1"/>
  <c r="W25" i="1"/>
  <c r="V25" i="1"/>
  <c r="S25" i="1"/>
  <c r="R25" i="1"/>
  <c r="A25" i="1"/>
  <c r="AU24" i="1"/>
  <c r="AL24" i="1"/>
  <c r="AO24" i="1" s="1"/>
  <c r="AP24" i="1" s="1"/>
  <c r="AG24" i="1" a="1"/>
  <c r="AG24" i="1" s="1"/>
  <c r="AF24" i="1" a="1"/>
  <c r="AF24" i="1" s="1"/>
  <c r="AD24" i="1"/>
  <c r="AE24" i="1" s="1"/>
  <c r="W24" i="1"/>
  <c r="V24" i="1"/>
  <c r="R24" i="1"/>
  <c r="S24" i="1" s="1"/>
  <c r="A24" i="1"/>
  <c r="AU23" i="1"/>
  <c r="AL23" i="1"/>
  <c r="AM23" i="1" s="1"/>
  <c r="AN23" i="1" s="1"/>
  <c r="AG23" i="1" a="1"/>
  <c r="AG23" i="1" s="1"/>
  <c r="AF23" i="1" a="1"/>
  <c r="AF23" i="1"/>
  <c r="AD23" i="1"/>
  <c r="AE23" i="1" s="1"/>
  <c r="W23" i="1"/>
  <c r="V23" i="1"/>
  <c r="R23" i="1"/>
  <c r="S23" i="1" s="1"/>
  <c r="A23" i="1"/>
  <c r="AU22" i="1"/>
  <c r="AP22" i="1"/>
  <c r="AO22" i="1"/>
  <c r="AL22" i="1"/>
  <c r="AM22" i="1" s="1"/>
  <c r="AN22" i="1" s="1"/>
  <c r="AG22" i="1" a="1"/>
  <c r="AG22" i="1" s="1"/>
  <c r="AJ22" i="1" s="1"/>
  <c r="AK22" i="1" s="1"/>
  <c r="AF22" i="1" a="1"/>
  <c r="AF22" i="1"/>
  <c r="AD22" i="1"/>
  <c r="AE22" i="1" s="1"/>
  <c r="W22" i="1"/>
  <c r="V22" i="1"/>
  <c r="S22" i="1"/>
  <c r="R22" i="1"/>
  <c r="A22" i="1"/>
  <c r="AU21" i="1"/>
  <c r="AL21" i="1"/>
  <c r="AO21" i="1" s="1"/>
  <c r="AP21" i="1" s="1"/>
  <c r="AG21" i="1" a="1"/>
  <c r="AG21" i="1" s="1"/>
  <c r="AF21" i="1" a="1"/>
  <c r="AF21" i="1" s="1"/>
  <c r="AE21" i="1"/>
  <c r="AD21" i="1"/>
  <c r="V21" i="1"/>
  <c r="W21" i="1" s="1"/>
  <c r="R21" i="1"/>
  <c r="S21" i="1" s="1"/>
  <c r="A21" i="1"/>
  <c r="AU20" i="1"/>
  <c r="AL20" i="1"/>
  <c r="AO20" i="1" s="1"/>
  <c r="AP20" i="1" s="1"/>
  <c r="AG20" i="1" a="1"/>
  <c r="AG20" i="1" s="1"/>
  <c r="AF20" i="1" a="1"/>
  <c r="AF20" i="1" s="1"/>
  <c r="AD20" i="1"/>
  <c r="AE20" i="1" s="1"/>
  <c r="V20" i="1"/>
  <c r="W20" i="1" s="1"/>
  <c r="R20" i="1"/>
  <c r="S20" i="1" s="1"/>
  <c r="A20" i="1"/>
  <c r="AU19" i="1"/>
  <c r="AP19" i="1"/>
  <c r="AO19" i="1"/>
  <c r="AN19" i="1"/>
  <c r="AM19" i="1"/>
  <c r="AL19" i="1"/>
  <c r="AG19" i="1" a="1"/>
  <c r="AG19" i="1" s="1"/>
  <c r="AF19" i="1" a="1"/>
  <c r="AF19" i="1" s="1"/>
  <c r="AD19" i="1"/>
  <c r="AE19" i="1" s="1"/>
  <c r="V19" i="1"/>
  <c r="W19" i="1" s="1"/>
  <c r="S19" i="1"/>
  <c r="R19" i="1"/>
  <c r="A19" i="1"/>
  <c r="AU18" i="1"/>
  <c r="AO18" i="1"/>
  <c r="AP18" i="1" s="1"/>
  <c r="AL18" i="1"/>
  <c r="AM18" i="1" s="1"/>
  <c r="AN18" i="1" s="1"/>
  <c r="AG18" i="1" a="1"/>
  <c r="AG18" i="1" s="1"/>
  <c r="AJ18" i="1" s="1"/>
  <c r="AK18" i="1" s="1"/>
  <c r="AF18" i="1" a="1"/>
  <c r="AF18" i="1" s="1"/>
  <c r="AE18" i="1"/>
  <c r="AD18" i="1"/>
  <c r="V18" i="1"/>
  <c r="W18" i="1" s="1"/>
  <c r="S18" i="1"/>
  <c r="R18" i="1"/>
  <c r="A18" i="1"/>
  <c r="AU17" i="1"/>
  <c r="AO17" i="1"/>
  <c r="AP17" i="1" s="1"/>
  <c r="AL17" i="1"/>
  <c r="AM17" i="1" s="1"/>
  <c r="AN17" i="1" s="1"/>
  <c r="AG17" i="1" a="1"/>
  <c r="AG17" i="1" s="1"/>
  <c r="AF17" i="1" a="1"/>
  <c r="AF17" i="1"/>
  <c r="AD17" i="1"/>
  <c r="AE17" i="1" s="1"/>
  <c r="V17" i="1"/>
  <c r="W17" i="1" s="1"/>
  <c r="S17" i="1"/>
  <c r="R17" i="1"/>
  <c r="A17" i="1"/>
  <c r="AU16" i="1"/>
  <c r="AO16" i="1"/>
  <c r="AP16" i="1" s="1"/>
  <c r="AN16" i="1"/>
  <c r="AM16" i="1"/>
  <c r="AL16" i="1"/>
  <c r="AG16" i="1" a="1"/>
  <c r="AG16" i="1" s="1"/>
  <c r="AJ16" i="1" s="1"/>
  <c r="AK16" i="1" s="1"/>
  <c r="AF16" i="1" a="1"/>
  <c r="AF16" i="1"/>
  <c r="AD16" i="1"/>
  <c r="AE16" i="1" s="1"/>
  <c r="V16" i="1"/>
  <c r="W16" i="1" s="1"/>
  <c r="S16" i="1"/>
  <c r="R16" i="1"/>
  <c r="A16" i="1"/>
  <c r="AU15" i="1"/>
  <c r="AO15" i="1"/>
  <c r="AP15" i="1" s="1"/>
  <c r="AL15" i="1"/>
  <c r="AM15" i="1" s="1"/>
  <c r="AN15" i="1" s="1"/>
  <c r="AG15" i="1" a="1"/>
  <c r="AG15" i="1" s="1"/>
  <c r="AH15" i="1" s="1"/>
  <c r="AI15" i="1" s="1"/>
  <c r="AF15" i="1" a="1"/>
  <c r="AF15" i="1"/>
  <c r="AE15" i="1"/>
  <c r="AD15" i="1"/>
  <c r="W15" i="1"/>
  <c r="V15" i="1"/>
  <c r="R15" i="1"/>
  <c r="S15" i="1" s="1"/>
  <c r="A15" i="1"/>
  <c r="AU14" i="1"/>
  <c r="AO14" i="1"/>
  <c r="AP14" i="1" s="1"/>
  <c r="AL14" i="1"/>
  <c r="AM14" i="1" s="1"/>
  <c r="AN14" i="1" s="1"/>
  <c r="AG14" i="1" a="1"/>
  <c r="AG14" i="1" s="1"/>
  <c r="AF14" i="1" a="1"/>
  <c r="AF14" i="1"/>
  <c r="AE14" i="1"/>
  <c r="AD14" i="1"/>
  <c r="V14" i="1"/>
  <c r="W14" i="1" s="1"/>
  <c r="R14" i="1"/>
  <c r="S14" i="1" s="1"/>
  <c r="A14" i="1"/>
  <c r="AU13" i="1"/>
  <c r="AL13" i="1"/>
  <c r="AO13" i="1" s="1"/>
  <c r="AP13" i="1" s="1"/>
  <c r="AG13" i="1" a="1"/>
  <c r="AG13" i="1" s="1"/>
  <c r="AJ13" i="1" s="1"/>
  <c r="AK13" i="1" s="1"/>
  <c r="AF13" i="1" a="1"/>
  <c r="AF13" i="1"/>
  <c r="AE13" i="1"/>
  <c r="AD13" i="1"/>
  <c r="V13" i="1"/>
  <c r="W13" i="1" s="1"/>
  <c r="R13" i="1"/>
  <c r="S13" i="1" s="1"/>
  <c r="A13" i="1"/>
  <c r="AU12" i="1"/>
  <c r="AL12" i="1"/>
  <c r="AO12" i="1" s="1"/>
  <c r="AP12" i="1" s="1"/>
  <c r="AG12" i="1" a="1"/>
  <c r="AG12" i="1" s="1"/>
  <c r="AJ12" i="1" s="1"/>
  <c r="AK12" i="1" s="1"/>
  <c r="AF12" i="1" a="1"/>
  <c r="AF12" i="1"/>
  <c r="AE12" i="1"/>
  <c r="AD12" i="1"/>
  <c r="W12" i="1"/>
  <c r="V12" i="1"/>
  <c r="R12" i="1"/>
  <c r="S12" i="1" s="1"/>
  <c r="A12" i="1"/>
  <c r="AU11" i="1"/>
  <c r="AO11" i="1"/>
  <c r="AP11" i="1" s="1"/>
  <c r="AM11" i="1"/>
  <c r="AN11" i="1" s="1"/>
  <c r="AL11" i="1"/>
  <c r="AG11" i="1" a="1"/>
  <c r="AG11" i="1" s="1"/>
  <c r="AF11" i="1" a="1"/>
  <c r="AF11" i="1" s="1"/>
  <c r="AD11" i="1"/>
  <c r="AE11" i="1" s="1"/>
  <c r="V11" i="1"/>
  <c r="W11" i="1" s="1"/>
  <c r="R11" i="1"/>
  <c r="S11" i="1" s="1"/>
  <c r="A11" i="1"/>
  <c r="AU10" i="1"/>
  <c r="AL10" i="1"/>
  <c r="AO10" i="1" s="1"/>
  <c r="AP10" i="1" s="1"/>
  <c r="AG10" i="1" a="1"/>
  <c r="AG10" i="1" s="1"/>
  <c r="AF10" i="1" a="1"/>
  <c r="AF10" i="1"/>
  <c r="AD10" i="1"/>
  <c r="AE10" i="1" s="1"/>
  <c r="V10" i="1"/>
  <c r="W10" i="1" s="1"/>
  <c r="R10" i="1"/>
  <c r="S10" i="1" s="1"/>
  <c r="A10" i="1"/>
  <c r="AU9" i="1"/>
  <c r="AL9" i="1"/>
  <c r="AO9" i="1" s="1"/>
  <c r="AP9" i="1" s="1"/>
  <c r="AG9" i="1" a="1"/>
  <c r="AG9" i="1" s="1"/>
  <c r="AF9" i="1" a="1"/>
  <c r="AF9" i="1"/>
  <c r="AD9" i="1"/>
  <c r="AE9" i="1" s="1"/>
  <c r="W9" i="1"/>
  <c r="V9" i="1"/>
  <c r="S9" i="1"/>
  <c r="R9" i="1"/>
  <c r="A9" i="1"/>
  <c r="AU8" i="1"/>
  <c r="AL8" i="1"/>
  <c r="AO8" i="1" s="1"/>
  <c r="AP8" i="1" s="1"/>
  <c r="AG8" i="1" a="1"/>
  <c r="AG8" i="1" s="1"/>
  <c r="AF8" i="1" a="1"/>
  <c r="AF8" i="1" s="1"/>
  <c r="AD8" i="1"/>
  <c r="AE8" i="1" s="1"/>
  <c r="W8" i="1"/>
  <c r="V8" i="1"/>
  <c r="R8" i="1"/>
  <c r="S8" i="1" s="1"/>
  <c r="A8" i="1"/>
  <c r="AU7" i="1"/>
  <c r="AL7" i="1"/>
  <c r="AO7" i="1" s="1"/>
  <c r="AP7" i="1" s="1"/>
  <c r="AG7" i="1" a="1"/>
  <c r="AG7" i="1" s="1"/>
  <c r="AF7" i="1" a="1"/>
  <c r="AF7" i="1"/>
  <c r="AD7" i="1"/>
  <c r="AE7" i="1" s="1"/>
  <c r="W7" i="1"/>
  <c r="V7" i="1"/>
  <c r="R7" i="1"/>
  <c r="S7" i="1" s="1"/>
  <c r="A7" i="1"/>
  <c r="AU6" i="1"/>
  <c r="AP6" i="1"/>
  <c r="AO6" i="1"/>
  <c r="AL6" i="1"/>
  <c r="AM6" i="1" s="1"/>
  <c r="AN6" i="1" s="1"/>
  <c r="AG6" i="1" a="1"/>
  <c r="AG6" i="1" s="1"/>
  <c r="AF6" i="1" a="1"/>
  <c r="AF6" i="1"/>
  <c r="AD6" i="1"/>
  <c r="AE6" i="1" s="1"/>
  <c r="V6" i="1"/>
  <c r="W6" i="1" s="1"/>
  <c r="S6" i="1"/>
  <c r="R6" i="1"/>
  <c r="A6" i="1"/>
  <c r="AU5" i="1"/>
  <c r="AL5" i="1"/>
  <c r="AO5" i="1" s="1"/>
  <c r="AP5" i="1" s="1"/>
  <c r="AG5" i="1" a="1"/>
  <c r="AG5" i="1" s="1"/>
  <c r="AF5" i="1" a="1"/>
  <c r="AF5" i="1" s="1"/>
  <c r="AE5" i="1"/>
  <c r="AD5" i="1"/>
  <c r="V5" i="1"/>
  <c r="W5" i="1" s="1"/>
  <c r="R5" i="1"/>
  <c r="S5" i="1" s="1"/>
  <c r="A5" i="1"/>
  <c r="AU4" i="1"/>
  <c r="AL4" i="1"/>
  <c r="AO4" i="1" s="1"/>
  <c r="AP4" i="1" s="1"/>
  <c r="AG4" i="1" a="1"/>
  <c r="AG4" i="1" s="1"/>
  <c r="AF4" i="1" a="1"/>
  <c r="AF4" i="1" s="1"/>
  <c r="AD4" i="1"/>
  <c r="AE4" i="1" s="1"/>
  <c r="V4" i="1"/>
  <c r="W4" i="1" s="1"/>
  <c r="R4" i="1"/>
  <c r="S4" i="1" s="1"/>
  <c r="A4" i="1"/>
  <c r="AJ71" i="1" l="1"/>
  <c r="AK71" i="1" s="1"/>
  <c r="AJ211" i="1"/>
  <c r="AK211" i="1" s="1"/>
  <c r="AH222" i="1"/>
  <c r="AI222" i="1" s="1"/>
  <c r="AJ222" i="1"/>
  <c r="AK222" i="1" s="1"/>
  <c r="AH122" i="1"/>
  <c r="AI122" i="1" s="1"/>
  <c r="AH227" i="1"/>
  <c r="AI227" i="1" s="1"/>
  <c r="AJ248" i="1"/>
  <c r="AK248" i="1" s="1"/>
  <c r="AJ144" i="1"/>
  <c r="AK144" i="1" s="1"/>
  <c r="AM13" i="1"/>
  <c r="AN13" i="1" s="1"/>
  <c r="AH184" i="1"/>
  <c r="AI184" i="1" s="1"/>
  <c r="AH246" i="1"/>
  <c r="AI246" i="1" s="1"/>
  <c r="AJ233" i="1"/>
  <c r="AK233" i="1" s="1"/>
  <c r="AH51" i="1"/>
  <c r="AI51" i="1" s="1"/>
  <c r="AJ80" i="1"/>
  <c r="AK80" i="1" s="1"/>
  <c r="AH242" i="1"/>
  <c r="AI242" i="1" s="1"/>
  <c r="AJ36" i="1"/>
  <c r="AK36" i="1" s="1"/>
  <c r="AH69" i="1"/>
  <c r="AI69" i="1" s="1"/>
  <c r="AJ141" i="1"/>
  <c r="AK141" i="1" s="1"/>
  <c r="AH141" i="1"/>
  <c r="AI141" i="1" s="1"/>
  <c r="AJ151" i="1"/>
  <c r="AK151" i="1" s="1"/>
  <c r="AH151" i="1"/>
  <c r="AI151" i="1" s="1"/>
  <c r="AH131" i="1"/>
  <c r="AI131" i="1" s="1"/>
  <c r="AJ131" i="1"/>
  <c r="AK131" i="1" s="1"/>
  <c r="AJ171" i="1"/>
  <c r="AK171" i="1" s="1"/>
  <c r="AH171" i="1"/>
  <c r="AI171" i="1" s="1"/>
  <c r="AJ157" i="1"/>
  <c r="AK157" i="1" s="1"/>
  <c r="AH157" i="1"/>
  <c r="AI157" i="1" s="1"/>
  <c r="AH7" i="1"/>
  <c r="AI7" i="1" s="1"/>
  <c r="AJ7" i="1"/>
  <c r="AK7" i="1" s="1"/>
  <c r="AH23" i="1"/>
  <c r="AI23" i="1" s="1"/>
  <c r="AJ23" i="1"/>
  <c r="AK23" i="1" s="1"/>
  <c r="AJ167" i="1"/>
  <c r="AK167" i="1" s="1"/>
  <c r="AH167" i="1"/>
  <c r="AI167" i="1" s="1"/>
  <c r="AJ247" i="1"/>
  <c r="AK247" i="1" s="1"/>
  <c r="AH247" i="1"/>
  <c r="AI247" i="1" s="1"/>
  <c r="AJ104" i="1"/>
  <c r="AK104" i="1" s="1"/>
  <c r="AH104" i="1"/>
  <c r="AI104" i="1" s="1"/>
  <c r="AH125" i="1"/>
  <c r="AI125" i="1" s="1"/>
  <c r="AJ125" i="1"/>
  <c r="AK125" i="1" s="1"/>
  <c r="AJ135" i="1"/>
  <c r="AK135" i="1" s="1"/>
  <c r="AH135" i="1"/>
  <c r="AI135" i="1" s="1"/>
  <c r="AJ98" i="1"/>
  <c r="AK98" i="1" s="1"/>
  <c r="AH98" i="1"/>
  <c r="AI98" i="1" s="1"/>
  <c r="AH187" i="1"/>
  <c r="AI187" i="1" s="1"/>
  <c r="AJ187" i="1"/>
  <c r="AK187" i="1" s="1"/>
  <c r="AJ241" i="1"/>
  <c r="AK241" i="1" s="1"/>
  <c r="AH241" i="1"/>
  <c r="AI241" i="1" s="1"/>
  <c r="AJ68" i="1"/>
  <c r="AK68" i="1" s="1"/>
  <c r="AJ20" i="1"/>
  <c r="AK20" i="1" s="1"/>
  <c r="AH214" i="1"/>
  <c r="AI214" i="1" s="1"/>
  <c r="AM12" i="1"/>
  <c r="AN12" i="1" s="1"/>
  <c r="AJ15" i="1"/>
  <c r="AK15" i="1" s="1"/>
  <c r="AJ37" i="1"/>
  <c r="AK37" i="1" s="1"/>
  <c r="AJ65" i="1"/>
  <c r="AK65" i="1" s="1"/>
  <c r="AH97" i="1"/>
  <c r="AI97" i="1" s="1"/>
  <c r="AH138" i="1"/>
  <c r="AI138" i="1" s="1"/>
  <c r="AH216" i="1"/>
  <c r="AI216" i="1" s="1"/>
  <c r="AH74" i="1"/>
  <c r="AI74" i="1" s="1"/>
  <c r="AJ81" i="1"/>
  <c r="AK81" i="1" s="1"/>
  <c r="AJ133" i="1"/>
  <c r="AK133" i="1" s="1"/>
  <c r="AJ195" i="1"/>
  <c r="AK195" i="1" s="1"/>
  <c r="AJ160" i="1"/>
  <c r="AK160" i="1" s="1"/>
  <c r="AH92" i="1"/>
  <c r="AI92" i="1" s="1"/>
  <c r="AH231" i="1"/>
  <c r="AI231" i="1" s="1"/>
  <c r="AJ52" i="1"/>
  <c r="AK52" i="1" s="1"/>
  <c r="AJ147" i="1"/>
  <c r="AK147" i="1" s="1"/>
  <c r="AJ177" i="1"/>
  <c r="AK177" i="1" s="1"/>
  <c r="AJ128" i="1"/>
  <c r="AK128" i="1" s="1"/>
  <c r="AJ190" i="1"/>
  <c r="AK190" i="1" s="1"/>
  <c r="AH13" i="1"/>
  <c r="AI13" i="1" s="1"/>
  <c r="AH31" i="1"/>
  <c r="AI31" i="1" s="1"/>
  <c r="AH226" i="1"/>
  <c r="AI226" i="1" s="1"/>
  <c r="AJ149" i="1"/>
  <c r="AK149" i="1" s="1"/>
  <c r="AH156" i="1"/>
  <c r="AI156" i="1" s="1"/>
  <c r="AJ200" i="1"/>
  <c r="AK200" i="1" s="1"/>
  <c r="AJ35" i="1"/>
  <c r="AK35" i="1" s="1"/>
  <c r="AJ50" i="1"/>
  <c r="AK50" i="1" s="1"/>
  <c r="AJ165" i="1"/>
  <c r="AK165" i="1" s="1"/>
  <c r="AJ193" i="1"/>
  <c r="AK193" i="1" s="1"/>
  <c r="AJ212" i="1"/>
  <c r="AK212" i="1" s="1"/>
  <c r="AJ234" i="1"/>
  <c r="AK234" i="1" s="1"/>
  <c r="AH12" i="1"/>
  <c r="AI12" i="1" s="1"/>
  <c r="AJ179" i="1"/>
  <c r="AK179" i="1" s="1"/>
  <c r="AJ169" i="1"/>
  <c r="AK169" i="1" s="1"/>
  <c r="AH199" i="1"/>
  <c r="AI199" i="1" s="1"/>
  <c r="AH20" i="1"/>
  <c r="AI20" i="1" s="1"/>
  <c r="AH9" i="1"/>
  <c r="AI9" i="1" s="1"/>
  <c r="AJ9" i="1"/>
  <c r="AK9" i="1" s="1"/>
  <c r="AH24" i="1"/>
  <c r="AI24" i="1" s="1"/>
  <c r="AJ24" i="1"/>
  <c r="AK24" i="1" s="1"/>
  <c r="AJ27" i="1"/>
  <c r="AK27" i="1" s="1"/>
  <c r="AH27" i="1"/>
  <c r="AI27" i="1" s="1"/>
  <c r="AJ33" i="1"/>
  <c r="AK33" i="1" s="1"/>
  <c r="AH33" i="1"/>
  <c r="AI33" i="1" s="1"/>
  <c r="AJ5" i="1"/>
  <c r="AK5" i="1" s="1"/>
  <c r="AJ19" i="1"/>
  <c r="AK19" i="1" s="1"/>
  <c r="AH19" i="1"/>
  <c r="AI19" i="1" s="1"/>
  <c r="AJ6" i="1"/>
  <c r="AK6" i="1" s="1"/>
  <c r="AH6" i="1"/>
  <c r="AI6" i="1" s="1"/>
  <c r="AH8" i="1"/>
  <c r="AI8" i="1" s="1"/>
  <c r="AJ8" i="1"/>
  <c r="AK8" i="1" s="1"/>
  <c r="AH43" i="1"/>
  <c r="AI43" i="1" s="1"/>
  <c r="AJ43" i="1"/>
  <c r="AK43" i="1" s="1"/>
  <c r="AH4" i="1"/>
  <c r="AI4" i="1" s="1"/>
  <c r="AJ4" i="1"/>
  <c r="AK4" i="1" s="1"/>
  <c r="AJ14" i="1"/>
  <c r="AK14" i="1" s="1"/>
  <c r="AH14" i="1"/>
  <c r="AI14" i="1" s="1"/>
  <c r="AJ59" i="1"/>
  <c r="AK59" i="1" s="1"/>
  <c r="AH59" i="1"/>
  <c r="AI59" i="1" s="1"/>
  <c r="AJ21" i="1"/>
  <c r="AK21" i="1" s="1"/>
  <c r="AH25" i="1"/>
  <c r="AI25" i="1" s="1"/>
  <c r="AJ25" i="1"/>
  <c r="AK25" i="1" s="1"/>
  <c r="AH11" i="1"/>
  <c r="AI11" i="1" s="1"/>
  <c r="AJ11" i="1"/>
  <c r="AK11" i="1" s="1"/>
  <c r="AJ29" i="1"/>
  <c r="AK29" i="1" s="1"/>
  <c r="AH29" i="1"/>
  <c r="AI29" i="1" s="1"/>
  <c r="AJ42" i="1"/>
  <c r="AK42" i="1" s="1"/>
  <c r="AH42" i="1"/>
  <c r="AI42" i="1" s="1"/>
  <c r="AJ10" i="1"/>
  <c r="AK10" i="1" s="1"/>
  <c r="AH10" i="1"/>
  <c r="AI10" i="1" s="1"/>
  <c r="AH17" i="1"/>
  <c r="AI17" i="1" s="1"/>
  <c r="AJ17" i="1"/>
  <c r="AK17" i="1" s="1"/>
  <c r="AJ49" i="1"/>
  <c r="AK49" i="1" s="1"/>
  <c r="AH49" i="1"/>
  <c r="AI49" i="1" s="1"/>
  <c r="AJ75" i="1"/>
  <c r="AK75" i="1" s="1"/>
  <c r="AH75" i="1"/>
  <c r="AI75" i="1" s="1"/>
  <c r="AM7" i="1"/>
  <c r="AN7" i="1" s="1"/>
  <c r="AH55" i="1"/>
  <c r="AI55" i="1" s="1"/>
  <c r="AH60" i="1"/>
  <c r="AI60" i="1" s="1"/>
  <c r="AJ67" i="1"/>
  <c r="AK67" i="1" s="1"/>
  <c r="AH67" i="1"/>
  <c r="AI67" i="1" s="1"/>
  <c r="AH78" i="1"/>
  <c r="AI78" i="1" s="1"/>
  <c r="AM10" i="1"/>
  <c r="AN10" i="1" s="1"/>
  <c r="AM20" i="1"/>
  <c r="AN20" i="1" s="1"/>
  <c r="AH21" i="1"/>
  <c r="AI21" i="1" s="1"/>
  <c r="AH34" i="1"/>
  <c r="AI34" i="1" s="1"/>
  <c r="AH68" i="1"/>
  <c r="AI68" i="1" s="1"/>
  <c r="AJ70" i="1"/>
  <c r="AK70" i="1" s="1"/>
  <c r="AO93" i="1"/>
  <c r="AP93" i="1" s="1"/>
  <c r="AM93" i="1"/>
  <c r="AN93" i="1" s="1"/>
  <c r="AJ100" i="1"/>
  <c r="AK100" i="1" s="1"/>
  <c r="AJ41" i="1"/>
  <c r="AK41" i="1" s="1"/>
  <c r="AH41" i="1"/>
  <c r="AI41" i="1" s="1"/>
  <c r="AH5" i="1"/>
  <c r="AI5" i="1" s="1"/>
  <c r="AO23" i="1"/>
  <c r="AP23" i="1" s="1"/>
  <c r="AJ32" i="1"/>
  <c r="AK32" i="1" s="1"/>
  <c r="AO42" i="1"/>
  <c r="AP42" i="1" s="1"/>
  <c r="AJ53" i="1"/>
  <c r="AK53" i="1" s="1"/>
  <c r="AH53" i="1"/>
  <c r="AI53" i="1" s="1"/>
  <c r="AH54" i="1"/>
  <c r="AI54" i="1" s="1"/>
  <c r="AJ55" i="1"/>
  <c r="AK55" i="1" s="1"/>
  <c r="AJ69" i="1"/>
  <c r="AK69" i="1" s="1"/>
  <c r="AJ73" i="1"/>
  <c r="AK73" i="1" s="1"/>
  <c r="AH73" i="1"/>
  <c r="AI73" i="1" s="1"/>
  <c r="AO74" i="1"/>
  <c r="AP74" i="1" s="1"/>
  <c r="AM74" i="1"/>
  <c r="AN74" i="1" s="1"/>
  <c r="AO97" i="1"/>
  <c r="AP97" i="1" s="1"/>
  <c r="AM97" i="1"/>
  <c r="AN97" i="1" s="1"/>
  <c r="AH185" i="1"/>
  <c r="AI185" i="1" s="1"/>
  <c r="AJ185" i="1"/>
  <c r="AK185" i="1" s="1"/>
  <c r="AM4" i="1"/>
  <c r="AN4" i="1" s="1"/>
  <c r="AH18" i="1"/>
  <c r="AI18" i="1" s="1"/>
  <c r="AJ34" i="1"/>
  <c r="AK34" i="1" s="1"/>
  <c r="AH35" i="1"/>
  <c r="AI35" i="1" s="1"/>
  <c r="AH36" i="1"/>
  <c r="AI36" i="1" s="1"/>
  <c r="AJ40" i="1"/>
  <c r="AK40" i="1" s="1"/>
  <c r="AH40" i="1"/>
  <c r="AI40" i="1" s="1"/>
  <c r="AM41" i="1"/>
  <c r="AN41" i="1" s="1"/>
  <c r="AH52" i="1"/>
  <c r="AI52" i="1" s="1"/>
  <c r="AH66" i="1"/>
  <c r="AI66" i="1" s="1"/>
  <c r="AO70" i="1"/>
  <c r="AP70" i="1" s="1"/>
  <c r="AJ77" i="1"/>
  <c r="AK77" i="1" s="1"/>
  <c r="AH77" i="1"/>
  <c r="AI77" i="1" s="1"/>
  <c r="AJ85" i="1"/>
  <c r="AK85" i="1" s="1"/>
  <c r="AH85" i="1"/>
  <c r="AI85" i="1" s="1"/>
  <c r="AJ90" i="1"/>
  <c r="AK90" i="1" s="1"/>
  <c r="AH90" i="1"/>
  <c r="AI90" i="1" s="1"/>
  <c r="AJ91" i="1"/>
  <c r="AK91" i="1" s="1"/>
  <c r="AH91" i="1"/>
  <c r="AI91" i="1" s="1"/>
  <c r="AJ96" i="1"/>
  <c r="AK96" i="1" s="1"/>
  <c r="AH96" i="1"/>
  <c r="AI96" i="1" s="1"/>
  <c r="AJ109" i="1"/>
  <c r="AK109" i="1" s="1"/>
  <c r="AH47" i="1"/>
  <c r="AI47" i="1" s="1"/>
  <c r="AJ47" i="1"/>
  <c r="AK47" i="1" s="1"/>
  <c r="AH208" i="1"/>
  <c r="AI208" i="1" s="1"/>
  <c r="AJ208" i="1"/>
  <c r="AK208" i="1" s="1"/>
  <c r="AM8" i="1"/>
  <c r="AN8" i="1" s="1"/>
  <c r="AM24" i="1"/>
  <c r="AN24" i="1" s="1"/>
  <c r="AH38" i="1"/>
  <c r="AI38" i="1" s="1"/>
  <c r="AH39" i="1"/>
  <c r="AI39" i="1" s="1"/>
  <c r="AH46" i="1"/>
  <c r="AI46" i="1" s="1"/>
  <c r="AH48" i="1"/>
  <c r="AI48" i="1" s="1"/>
  <c r="AJ83" i="1"/>
  <c r="AK83" i="1" s="1"/>
  <c r="AH83" i="1"/>
  <c r="AI83" i="1" s="1"/>
  <c r="AJ84" i="1"/>
  <c r="AK84" i="1" s="1"/>
  <c r="AH84" i="1"/>
  <c r="AI84" i="1" s="1"/>
  <c r="AJ121" i="1"/>
  <c r="AK121" i="1" s="1"/>
  <c r="AH121" i="1"/>
  <c r="AI121" i="1" s="1"/>
  <c r="AM21" i="1"/>
  <c r="AN21" i="1" s="1"/>
  <c r="AH22" i="1"/>
  <c r="AI22" i="1" s="1"/>
  <c r="AH37" i="1"/>
  <c r="AI37" i="1" s="1"/>
  <c r="AO40" i="1"/>
  <c r="AP40" i="1" s="1"/>
  <c r="AM40" i="1"/>
  <c r="AN40" i="1" s="1"/>
  <c r="AH45" i="1"/>
  <c r="AI45" i="1" s="1"/>
  <c r="AJ58" i="1"/>
  <c r="AK58" i="1" s="1"/>
  <c r="AM77" i="1"/>
  <c r="AN77" i="1" s="1"/>
  <c r="AJ99" i="1"/>
  <c r="AK99" i="1" s="1"/>
  <c r="AH99" i="1"/>
  <c r="AI99" i="1" s="1"/>
  <c r="AJ108" i="1"/>
  <c r="AK108" i="1" s="1"/>
  <c r="AO56" i="1"/>
  <c r="AP56" i="1" s="1"/>
  <c r="AM56" i="1"/>
  <c r="AN56" i="1" s="1"/>
  <c r="AO33" i="1"/>
  <c r="AP33" i="1" s="1"/>
  <c r="AJ39" i="1"/>
  <c r="AK39" i="1" s="1"/>
  <c r="AO54" i="1"/>
  <c r="AP54" i="1" s="1"/>
  <c r="AH64" i="1"/>
  <c r="AI64" i="1" s="1"/>
  <c r="AH65" i="1"/>
  <c r="AI65" i="1" s="1"/>
  <c r="AJ72" i="1"/>
  <c r="AK72" i="1" s="1"/>
  <c r="AH72" i="1"/>
  <c r="AI72" i="1" s="1"/>
  <c r="AJ76" i="1"/>
  <c r="AK76" i="1" s="1"/>
  <c r="AM5" i="1"/>
  <c r="AN5" i="1" s="1"/>
  <c r="AH16" i="1"/>
  <c r="AI16" i="1" s="1"/>
  <c r="AH26" i="1"/>
  <c r="AI26" i="1" s="1"/>
  <c r="AJ38" i="1"/>
  <c r="AK38" i="1" s="1"/>
  <c r="AJ44" i="1"/>
  <c r="AK44" i="1" s="1"/>
  <c r="AH58" i="1"/>
  <c r="AI58" i="1" s="1"/>
  <c r="AJ62" i="1"/>
  <c r="AK62" i="1" s="1"/>
  <c r="AH76" i="1"/>
  <c r="AI76" i="1" s="1"/>
  <c r="AJ89" i="1"/>
  <c r="AK89" i="1" s="1"/>
  <c r="AH89" i="1"/>
  <c r="AI89" i="1" s="1"/>
  <c r="AJ132" i="1"/>
  <c r="AK132" i="1" s="1"/>
  <c r="AH132" i="1"/>
  <c r="AI132" i="1" s="1"/>
  <c r="AJ57" i="1"/>
  <c r="AK57" i="1" s="1"/>
  <c r="AH57" i="1"/>
  <c r="AI57" i="1" s="1"/>
  <c r="AO72" i="1"/>
  <c r="AP72" i="1" s="1"/>
  <c r="AM72" i="1"/>
  <c r="AN72" i="1" s="1"/>
  <c r="AJ82" i="1"/>
  <c r="AK82" i="1" s="1"/>
  <c r="AH82" i="1"/>
  <c r="AI82" i="1" s="1"/>
  <c r="AJ94" i="1"/>
  <c r="AK94" i="1" s="1"/>
  <c r="AH94" i="1"/>
  <c r="AI94" i="1" s="1"/>
  <c r="AJ102" i="1"/>
  <c r="AK102" i="1" s="1"/>
  <c r="AH102" i="1"/>
  <c r="AI102" i="1" s="1"/>
  <c r="AH111" i="1"/>
  <c r="AI111" i="1" s="1"/>
  <c r="AJ111" i="1"/>
  <c r="AK111" i="1" s="1"/>
  <c r="AV5" i="2"/>
  <c r="AW5" i="2" s="1"/>
  <c r="AT5" i="2"/>
  <c r="AU5" i="2" s="1"/>
  <c r="AH28" i="1"/>
  <c r="AI28" i="1" s="1"/>
  <c r="AO49" i="1"/>
  <c r="AP49" i="1" s="1"/>
  <c r="AO58" i="1"/>
  <c r="AP58" i="1" s="1"/>
  <c r="AM58" i="1"/>
  <c r="AN58" i="1" s="1"/>
  <c r="AM9" i="1"/>
  <c r="AN9" i="1" s="1"/>
  <c r="AH30" i="1"/>
  <c r="AI30" i="1" s="1"/>
  <c r="AO38" i="1"/>
  <c r="AP38" i="1" s="1"/>
  <c r="AM44" i="1"/>
  <c r="AN44" i="1" s="1"/>
  <c r="AJ107" i="1"/>
  <c r="AK107" i="1" s="1"/>
  <c r="AJ61" i="1"/>
  <c r="AK61" i="1" s="1"/>
  <c r="AH61" i="1"/>
  <c r="AI61" i="1" s="1"/>
  <c r="AH237" i="1"/>
  <c r="AI237" i="1" s="1"/>
  <c r="AJ237" i="1"/>
  <c r="AK237" i="1" s="1"/>
  <c r="AJ56" i="1"/>
  <c r="AK56" i="1" s="1"/>
  <c r="AH56" i="1"/>
  <c r="AI56" i="1" s="1"/>
  <c r="AH113" i="1"/>
  <c r="AI113" i="1" s="1"/>
  <c r="AJ113" i="1"/>
  <c r="AK113" i="1" s="1"/>
  <c r="AJ63" i="1"/>
  <c r="AK63" i="1" s="1"/>
  <c r="AJ79" i="1"/>
  <c r="AK79" i="1" s="1"/>
  <c r="AJ86" i="1"/>
  <c r="AK86" i="1" s="1"/>
  <c r="AJ97" i="1"/>
  <c r="AK97" i="1" s="1"/>
  <c r="AM105" i="1"/>
  <c r="AN105" i="1" s="1"/>
  <c r="AJ106" i="1"/>
  <c r="AK106" i="1" s="1"/>
  <c r="AM115" i="1"/>
  <c r="AN115" i="1" s="1"/>
  <c r="AJ124" i="1"/>
  <c r="AK124" i="1" s="1"/>
  <c r="AJ134" i="1"/>
  <c r="AK134" i="1" s="1"/>
  <c r="AH134" i="1"/>
  <c r="AI134" i="1" s="1"/>
  <c r="AJ148" i="1"/>
  <c r="AK148" i="1" s="1"/>
  <c r="AH148" i="1"/>
  <c r="AI148" i="1" s="1"/>
  <c r="AH154" i="1"/>
  <c r="AI154" i="1" s="1"/>
  <c r="AO175" i="1"/>
  <c r="AP175" i="1" s="1"/>
  <c r="AH189" i="1"/>
  <c r="AI189" i="1" s="1"/>
  <c r="AJ189" i="1"/>
  <c r="AK189" i="1" s="1"/>
  <c r="AO191" i="1"/>
  <c r="AP191" i="1" s="1"/>
  <c r="AJ194" i="1"/>
  <c r="AK194" i="1" s="1"/>
  <c r="AH194" i="1"/>
  <c r="AI194" i="1" s="1"/>
  <c r="AJ198" i="1"/>
  <c r="AK198" i="1" s="1"/>
  <c r="AH198" i="1"/>
  <c r="AI198" i="1" s="1"/>
  <c r="AH93" i="1"/>
  <c r="AI93" i="1" s="1"/>
  <c r="AH108" i="1"/>
  <c r="AI108" i="1" s="1"/>
  <c r="AJ126" i="1"/>
  <c r="AK126" i="1" s="1"/>
  <c r="AH126" i="1"/>
  <c r="AI126" i="1" s="1"/>
  <c r="AJ139" i="1"/>
  <c r="AK139" i="1" s="1"/>
  <c r="AM150" i="1"/>
  <c r="AN150" i="1" s="1"/>
  <c r="AM170" i="1"/>
  <c r="AN170" i="1" s="1"/>
  <c r="AJ178" i="1"/>
  <c r="AK178" i="1" s="1"/>
  <c r="AH178" i="1"/>
  <c r="AI178" i="1" s="1"/>
  <c r="AJ182" i="1"/>
  <c r="AK182" i="1" s="1"/>
  <c r="AH182" i="1"/>
  <c r="AI182" i="1" s="1"/>
  <c r="AJ186" i="1"/>
  <c r="AK186" i="1" s="1"/>
  <c r="AJ188" i="1"/>
  <c r="AK188" i="1" s="1"/>
  <c r="AH188" i="1"/>
  <c r="AI188" i="1" s="1"/>
  <c r="AO242" i="1"/>
  <c r="AP242" i="1" s="1"/>
  <c r="AM242" i="1"/>
  <c r="AN242" i="1" s="1"/>
  <c r="AH123" i="1"/>
  <c r="AI123" i="1" s="1"/>
  <c r="AH124" i="1"/>
  <c r="AI124" i="1" s="1"/>
  <c r="AH133" i="1"/>
  <c r="AI133" i="1" s="1"/>
  <c r="AH163" i="1"/>
  <c r="AI163" i="1" s="1"/>
  <c r="AO198" i="1"/>
  <c r="AP198" i="1" s="1"/>
  <c r="AM198" i="1"/>
  <c r="AN198" i="1" s="1"/>
  <c r="AJ202" i="1"/>
  <c r="AK202" i="1" s="1"/>
  <c r="AH202" i="1"/>
  <c r="AI202" i="1" s="1"/>
  <c r="AJ250" i="1"/>
  <c r="AK250" i="1" s="1"/>
  <c r="AH250" i="1"/>
  <c r="AI250" i="1" s="1"/>
  <c r="AJ103" i="1"/>
  <c r="AK103" i="1" s="1"/>
  <c r="AM126" i="1"/>
  <c r="AN126" i="1" s="1"/>
  <c r="AO126" i="1"/>
  <c r="AP126" i="1" s="1"/>
  <c r="AJ153" i="1"/>
  <c r="AK153" i="1" s="1"/>
  <c r="AH153" i="1"/>
  <c r="AI153" i="1" s="1"/>
  <c r="AO182" i="1"/>
  <c r="AP182" i="1" s="1"/>
  <c r="AM182" i="1"/>
  <c r="AN182" i="1" s="1"/>
  <c r="AM76" i="1"/>
  <c r="AN76" i="1" s="1"/>
  <c r="AH109" i="1"/>
  <c r="AI109" i="1" s="1"/>
  <c r="AH110" i="1"/>
  <c r="AI110" i="1" s="1"/>
  <c r="AJ112" i="1"/>
  <c r="AK112" i="1" s="1"/>
  <c r="AO202" i="1"/>
  <c r="AP202" i="1" s="1"/>
  <c r="AM202" i="1"/>
  <c r="AN202" i="1" s="1"/>
  <c r="AJ110" i="1"/>
  <c r="AK110" i="1" s="1"/>
  <c r="AO113" i="1"/>
  <c r="AP113" i="1" s="1"/>
  <c r="AM113" i="1"/>
  <c r="AN113" i="1" s="1"/>
  <c r="AJ137" i="1"/>
  <c r="AK137" i="1" s="1"/>
  <c r="AH137" i="1"/>
  <c r="AI137" i="1" s="1"/>
  <c r="AH162" i="1"/>
  <c r="AI162" i="1" s="1"/>
  <c r="AO163" i="1"/>
  <c r="AP163" i="1" s="1"/>
  <c r="AM163" i="1"/>
  <c r="AN163" i="1" s="1"/>
  <c r="AJ168" i="1"/>
  <c r="AK168" i="1" s="1"/>
  <c r="AH168" i="1"/>
  <c r="AI168" i="1" s="1"/>
  <c r="AH177" i="1"/>
  <c r="AI177" i="1" s="1"/>
  <c r="AJ197" i="1"/>
  <c r="AK197" i="1" s="1"/>
  <c r="AH197" i="1"/>
  <c r="AI197" i="1" s="1"/>
  <c r="AJ201" i="1"/>
  <c r="AK201" i="1" s="1"/>
  <c r="AH201" i="1"/>
  <c r="AI201" i="1" s="1"/>
  <c r="AJ205" i="1"/>
  <c r="AK205" i="1" s="1"/>
  <c r="AH205" i="1"/>
  <c r="AI205" i="1" s="1"/>
  <c r="AH213" i="1"/>
  <c r="AI213" i="1" s="1"/>
  <c r="AJ213" i="1"/>
  <c r="AK213" i="1" s="1"/>
  <c r="AJ162" i="1"/>
  <c r="AK162" i="1" s="1"/>
  <c r="AJ181" i="1"/>
  <c r="AK181" i="1" s="1"/>
  <c r="AH181" i="1"/>
  <c r="AI181" i="1" s="1"/>
  <c r="AJ152" i="1"/>
  <c r="AK152" i="1" s="1"/>
  <c r="AH152" i="1"/>
  <c r="AI152" i="1" s="1"/>
  <c r="AH159" i="1"/>
  <c r="AI159" i="1" s="1"/>
  <c r="AJ159" i="1"/>
  <c r="AK159" i="1" s="1"/>
  <c r="AJ166" i="1"/>
  <c r="AK166" i="1" s="1"/>
  <c r="AH166" i="1"/>
  <c r="AI166" i="1" s="1"/>
  <c r="AM98" i="1"/>
  <c r="AN98" i="1" s="1"/>
  <c r="AO110" i="1"/>
  <c r="AP110" i="1" s="1"/>
  <c r="AM112" i="1"/>
  <c r="AN112" i="1" s="1"/>
  <c r="AH116" i="1"/>
  <c r="AI116" i="1" s="1"/>
  <c r="AO147" i="1"/>
  <c r="AP147" i="1" s="1"/>
  <c r="AM147" i="1"/>
  <c r="AN147" i="1" s="1"/>
  <c r="AJ161" i="1"/>
  <c r="AK161" i="1" s="1"/>
  <c r="AH161" i="1"/>
  <c r="AI161" i="1" s="1"/>
  <c r="AM228" i="1"/>
  <c r="AN228" i="1" s="1"/>
  <c r="AO228" i="1"/>
  <c r="AP228" i="1" s="1"/>
  <c r="AJ243" i="1"/>
  <c r="AK243" i="1" s="1"/>
  <c r="AH243" i="1"/>
  <c r="AI243" i="1" s="1"/>
  <c r="AV30" i="2"/>
  <c r="AW30" i="2" s="1"/>
  <c r="AT30" i="2"/>
  <c r="AU30" i="2" s="1"/>
  <c r="AJ120" i="1"/>
  <c r="AK120" i="1" s="1"/>
  <c r="AJ146" i="1"/>
  <c r="AK146" i="1" s="1"/>
  <c r="AO152" i="1"/>
  <c r="AP152" i="1" s="1"/>
  <c r="AM152" i="1"/>
  <c r="AN152" i="1" s="1"/>
  <c r="AJ156" i="1"/>
  <c r="AK156" i="1" s="1"/>
  <c r="AM166" i="1"/>
  <c r="AN166" i="1" s="1"/>
  <c r="AH176" i="1"/>
  <c r="AI176" i="1" s="1"/>
  <c r="AJ192" i="1"/>
  <c r="AK192" i="1" s="1"/>
  <c r="AJ199" i="1"/>
  <c r="AK199" i="1" s="1"/>
  <c r="AH204" i="1"/>
  <c r="AI204" i="1" s="1"/>
  <c r="AJ223" i="1"/>
  <c r="AK223" i="1" s="1"/>
  <c r="AH223" i="1"/>
  <c r="AI223" i="1" s="1"/>
  <c r="AJ232" i="1"/>
  <c r="AK232" i="1" s="1"/>
  <c r="AH232" i="1"/>
  <c r="AI232" i="1" s="1"/>
  <c r="AV13" i="2"/>
  <c r="AW13" i="2" s="1"/>
  <c r="AT13" i="2"/>
  <c r="AU13" i="2" s="1"/>
  <c r="AM39" i="1"/>
  <c r="AN39" i="1" s="1"/>
  <c r="AM55" i="1"/>
  <c r="AN55" i="1" s="1"/>
  <c r="AM71" i="1"/>
  <c r="AN71" i="1" s="1"/>
  <c r="AJ95" i="1"/>
  <c r="AK95" i="1" s="1"/>
  <c r="AH100" i="1"/>
  <c r="AI100" i="1" s="1"/>
  <c r="AH105" i="1"/>
  <c r="AI105" i="1" s="1"/>
  <c r="AJ116" i="1"/>
  <c r="AK116" i="1" s="1"/>
  <c r="AH117" i="1"/>
  <c r="AI117" i="1" s="1"/>
  <c r="AJ118" i="1"/>
  <c r="AK118" i="1" s="1"/>
  <c r="AH118" i="1"/>
  <c r="AI118" i="1" s="1"/>
  <c r="AH119" i="1"/>
  <c r="AI119" i="1" s="1"/>
  <c r="AJ136" i="1"/>
  <c r="AK136" i="1" s="1"/>
  <c r="AH136" i="1"/>
  <c r="AI136" i="1" s="1"/>
  <c r="AH143" i="1"/>
  <c r="AI143" i="1" s="1"/>
  <c r="AJ143" i="1"/>
  <c r="AK143" i="1" s="1"/>
  <c r="AH144" i="1"/>
  <c r="AI144" i="1" s="1"/>
  <c r="AJ158" i="1"/>
  <c r="AK158" i="1" s="1"/>
  <c r="AH158" i="1"/>
  <c r="AI158" i="1" s="1"/>
  <c r="AH173" i="1"/>
  <c r="AI173" i="1" s="1"/>
  <c r="AJ173" i="1"/>
  <c r="AK173" i="1" s="1"/>
  <c r="AJ176" i="1"/>
  <c r="AK176" i="1" s="1"/>
  <c r="AJ196" i="1"/>
  <c r="AK196" i="1" s="1"/>
  <c r="AH196" i="1"/>
  <c r="AI196" i="1" s="1"/>
  <c r="AO120" i="1"/>
  <c r="AP120" i="1" s="1"/>
  <c r="AM120" i="1"/>
  <c r="AN120" i="1" s="1"/>
  <c r="AO131" i="1"/>
  <c r="AP131" i="1" s="1"/>
  <c r="AM131" i="1"/>
  <c r="AN131" i="1" s="1"/>
  <c r="AJ145" i="1"/>
  <c r="AK145" i="1" s="1"/>
  <c r="AH145" i="1"/>
  <c r="AI145" i="1" s="1"/>
  <c r="AH165" i="1"/>
  <c r="AI165" i="1" s="1"/>
  <c r="AH174" i="1"/>
  <c r="AI174" i="1" s="1"/>
  <c r="AJ180" i="1"/>
  <c r="AK180" i="1" s="1"/>
  <c r="AH180" i="1"/>
  <c r="AI180" i="1" s="1"/>
  <c r="AJ183" i="1"/>
  <c r="AK183" i="1" s="1"/>
  <c r="AH183" i="1"/>
  <c r="AI183" i="1" s="1"/>
  <c r="AJ207" i="1"/>
  <c r="AK207" i="1" s="1"/>
  <c r="AH207" i="1"/>
  <c r="AI207" i="1" s="1"/>
  <c r="AH101" i="1"/>
  <c r="AI101" i="1" s="1"/>
  <c r="AH115" i="1"/>
  <c r="AI115" i="1" s="1"/>
  <c r="AJ130" i="1"/>
  <c r="AK130" i="1" s="1"/>
  <c r="AO136" i="1"/>
  <c r="AP136" i="1" s="1"/>
  <c r="AM136" i="1"/>
  <c r="AN136" i="1" s="1"/>
  <c r="AJ140" i="1"/>
  <c r="AK140" i="1" s="1"/>
  <c r="AJ150" i="1"/>
  <c r="AK150" i="1" s="1"/>
  <c r="AH150" i="1"/>
  <c r="AI150" i="1" s="1"/>
  <c r="AH155" i="1"/>
  <c r="AI155" i="1" s="1"/>
  <c r="AJ164" i="1"/>
  <c r="AK164" i="1" s="1"/>
  <c r="AH164" i="1"/>
  <c r="AI164" i="1" s="1"/>
  <c r="AJ175" i="1"/>
  <c r="AK175" i="1" s="1"/>
  <c r="AH175" i="1"/>
  <c r="AI175" i="1" s="1"/>
  <c r="AO196" i="1"/>
  <c r="AP196" i="1" s="1"/>
  <c r="AM196" i="1"/>
  <c r="AN196" i="1" s="1"/>
  <c r="AJ203" i="1"/>
  <c r="AK203" i="1" s="1"/>
  <c r="AH203" i="1"/>
  <c r="AI203" i="1" s="1"/>
  <c r="AH218" i="1"/>
  <c r="AI218" i="1" s="1"/>
  <c r="AJ218" i="1"/>
  <c r="AK218" i="1" s="1"/>
  <c r="AO119" i="1"/>
  <c r="AP119" i="1" s="1"/>
  <c r="AH127" i="1"/>
  <c r="AI127" i="1" s="1"/>
  <c r="AJ127" i="1"/>
  <c r="AK127" i="1" s="1"/>
  <c r="AH128" i="1"/>
  <c r="AI128" i="1" s="1"/>
  <c r="AJ142" i="1"/>
  <c r="AK142" i="1" s="1"/>
  <c r="AH142" i="1"/>
  <c r="AI142" i="1" s="1"/>
  <c r="AJ155" i="1"/>
  <c r="AK155" i="1" s="1"/>
  <c r="AJ172" i="1"/>
  <c r="AK172" i="1" s="1"/>
  <c r="AH172" i="1"/>
  <c r="AI172" i="1" s="1"/>
  <c r="AO180" i="1"/>
  <c r="AP180" i="1" s="1"/>
  <c r="AM180" i="1"/>
  <c r="AN180" i="1" s="1"/>
  <c r="AJ225" i="1"/>
  <c r="AK225" i="1" s="1"/>
  <c r="AH225" i="1"/>
  <c r="AI225" i="1" s="1"/>
  <c r="AH107" i="1"/>
  <c r="AI107" i="1" s="1"/>
  <c r="AJ114" i="1"/>
  <c r="AK114" i="1" s="1"/>
  <c r="AH114" i="1"/>
  <c r="AI114" i="1" s="1"/>
  <c r="AJ129" i="1"/>
  <c r="AK129" i="1" s="1"/>
  <c r="AH129" i="1"/>
  <c r="AI129" i="1" s="1"/>
  <c r="AJ170" i="1"/>
  <c r="AK170" i="1" s="1"/>
  <c r="AH170" i="1"/>
  <c r="AI170" i="1" s="1"/>
  <c r="AM212" i="1"/>
  <c r="AN212" i="1" s="1"/>
  <c r="AO212" i="1"/>
  <c r="AP212" i="1" s="1"/>
  <c r="AV17" i="2"/>
  <c r="AW17" i="2" s="1"/>
  <c r="AT17" i="2"/>
  <c r="AU17" i="2" s="1"/>
  <c r="AO142" i="1"/>
  <c r="AP142" i="1" s="1"/>
  <c r="AO158" i="1"/>
  <c r="AP158" i="1" s="1"/>
  <c r="AO172" i="1"/>
  <c r="AP172" i="1" s="1"/>
  <c r="AO219" i="1"/>
  <c r="AP219" i="1" s="1"/>
  <c r="AM219" i="1"/>
  <c r="AN219" i="1" s="1"/>
  <c r="AJ235" i="1"/>
  <c r="AK235" i="1" s="1"/>
  <c r="AH235" i="1"/>
  <c r="AI235" i="1" s="1"/>
  <c r="AJ244" i="1"/>
  <c r="AK244" i="1" s="1"/>
  <c r="AH244" i="1"/>
  <c r="AI244" i="1" s="1"/>
  <c r="AM117" i="1"/>
  <c r="AN117" i="1" s="1"/>
  <c r="AM133" i="1"/>
  <c r="AN133" i="1" s="1"/>
  <c r="AM149" i="1"/>
  <c r="AN149" i="1" s="1"/>
  <c r="AM165" i="1"/>
  <c r="AN165" i="1" s="1"/>
  <c r="AM169" i="1"/>
  <c r="AN169" i="1" s="1"/>
  <c r="AM179" i="1"/>
  <c r="AN179" i="1" s="1"/>
  <c r="AM195" i="1"/>
  <c r="AN195" i="1" s="1"/>
  <c r="AH224" i="1"/>
  <c r="AI224" i="1" s="1"/>
  <c r="AJ224" i="1"/>
  <c r="AK224" i="1" s="1"/>
  <c r="AM227" i="1"/>
  <c r="AN227" i="1" s="1"/>
  <c r="AV34" i="2"/>
  <c r="AW34" i="2" s="1"/>
  <c r="AT34" i="2"/>
  <c r="AU34" i="2" s="1"/>
  <c r="AJ209" i="1"/>
  <c r="AK209" i="1" s="1"/>
  <c r="AH209" i="1"/>
  <c r="AI209" i="1" s="1"/>
  <c r="AH215" i="1"/>
  <c r="AI215" i="1" s="1"/>
  <c r="AH217" i="1"/>
  <c r="AI217" i="1" s="1"/>
  <c r="AV20" i="2"/>
  <c r="AW20" i="2" s="1"/>
  <c r="AT20" i="2"/>
  <c r="AU20" i="2" s="1"/>
  <c r="AJ210" i="1"/>
  <c r="AK210" i="1" s="1"/>
  <c r="AO224" i="1"/>
  <c r="AP224" i="1" s="1"/>
  <c r="AM224" i="1"/>
  <c r="AN224" i="1" s="1"/>
  <c r="AQ17" i="2"/>
  <c r="AR17" i="2" s="1"/>
  <c r="AH229" i="1"/>
  <c r="AI229" i="1" s="1"/>
  <c r="AH233" i="1"/>
  <c r="AI233" i="1" s="1"/>
  <c r="AQ6" i="2"/>
  <c r="AR6" i="2" s="1"/>
  <c r="AM177" i="1"/>
  <c r="AN177" i="1" s="1"/>
  <c r="AM193" i="1"/>
  <c r="AN193" i="1" s="1"/>
  <c r="AO208" i="1"/>
  <c r="AP208" i="1" s="1"/>
  <c r="AM208" i="1"/>
  <c r="AN208" i="1" s="1"/>
  <c r="AM223" i="1"/>
  <c r="AN223" i="1" s="1"/>
  <c r="AO223" i="1"/>
  <c r="AP223" i="1" s="1"/>
  <c r="AJ239" i="1"/>
  <c r="AK239" i="1" s="1"/>
  <c r="AH239" i="1"/>
  <c r="AI239" i="1" s="1"/>
  <c r="AO243" i="1"/>
  <c r="AP243" i="1" s="1"/>
  <c r="AM243" i="1"/>
  <c r="AN243" i="1" s="1"/>
  <c r="AH191" i="1"/>
  <c r="AI191" i="1" s="1"/>
  <c r="AH206" i="1"/>
  <c r="AI206" i="1" s="1"/>
  <c r="AM207" i="1"/>
  <c r="AN207" i="1" s="1"/>
  <c r="AO207" i="1"/>
  <c r="AP207" i="1" s="1"/>
  <c r="AJ229" i="1"/>
  <c r="AK229" i="1" s="1"/>
  <c r="AM239" i="1"/>
  <c r="AN239" i="1" s="1"/>
  <c r="AO239" i="1"/>
  <c r="AP239" i="1" s="1"/>
  <c r="AV6" i="2"/>
  <c r="AW6" i="2" s="1"/>
  <c r="AT6" i="2"/>
  <c r="AU6" i="2" s="1"/>
  <c r="AV64" i="2"/>
  <c r="AW64" i="2" s="1"/>
  <c r="AT64" i="2"/>
  <c r="AU64" i="2" s="1"/>
  <c r="AV16" i="2"/>
  <c r="AW16" i="2" s="1"/>
  <c r="AT16" i="2"/>
  <c r="AU16" i="2" s="1"/>
  <c r="AJ220" i="1"/>
  <c r="AK220" i="1" s="1"/>
  <c r="AH220" i="1"/>
  <c r="AI220" i="1" s="1"/>
  <c r="AJ249" i="1"/>
  <c r="AK249" i="1" s="1"/>
  <c r="AV39" i="2"/>
  <c r="AW39" i="2" s="1"/>
  <c r="AT39" i="2"/>
  <c r="AU39" i="2" s="1"/>
  <c r="AM181" i="1"/>
  <c r="AN181" i="1" s="1"/>
  <c r="AM197" i="1"/>
  <c r="AN197" i="1" s="1"/>
  <c r="AM205" i="1"/>
  <c r="AN205" i="1" s="1"/>
  <c r="AM206" i="1"/>
  <c r="AN206" i="1" s="1"/>
  <c r="AJ221" i="1"/>
  <c r="AK221" i="1" s="1"/>
  <c r="AH228" i="1"/>
  <c r="AI228" i="1" s="1"/>
  <c r="AH238" i="1"/>
  <c r="AI238" i="1" s="1"/>
  <c r="AQ54" i="2"/>
  <c r="AR54" i="2" s="1"/>
  <c r="AO54" i="2"/>
  <c r="AP54" i="2" s="1"/>
  <c r="AJ219" i="1"/>
  <c r="AK219" i="1" s="1"/>
  <c r="AH219" i="1"/>
  <c r="AI219" i="1" s="1"/>
  <c r="AJ236" i="1"/>
  <c r="AK236" i="1" s="1"/>
  <c r="AH236" i="1"/>
  <c r="AI236" i="1" s="1"/>
  <c r="AJ238" i="1"/>
  <c r="AK238" i="1" s="1"/>
  <c r="AJ245" i="1"/>
  <c r="AK245" i="1" s="1"/>
  <c r="AV107" i="2"/>
  <c r="AW107" i="2" s="1"/>
  <c r="AT107" i="2"/>
  <c r="AU107" i="2" s="1"/>
  <c r="AJ214" i="1"/>
  <c r="AK214" i="1" s="1"/>
  <c r="AJ227" i="1"/>
  <c r="AK227" i="1" s="1"/>
  <c r="AO238" i="1"/>
  <c r="AP238" i="1" s="1"/>
  <c r="AM238" i="1"/>
  <c r="AN238" i="1" s="1"/>
  <c r="AM6" i="2"/>
  <c r="AO6" i="2" s="1"/>
  <c r="AP6" i="2" s="1"/>
  <c r="AS12" i="2"/>
  <c r="AM13" i="2"/>
  <c r="AQ13" i="2" s="1"/>
  <c r="AR13" i="2" s="1"/>
  <c r="AM17" i="2"/>
  <c r="AO17" i="2" s="1"/>
  <c r="AP17" i="2" s="1"/>
  <c r="AM21" i="2"/>
  <c r="AQ21" i="2" s="1"/>
  <c r="AR21" i="2" s="1"/>
  <c r="AS23" i="2"/>
  <c r="AS33" i="2"/>
  <c r="AN36" i="2"/>
  <c r="AM37" i="2"/>
  <c r="AS51" i="2"/>
  <c r="AN58" i="2"/>
  <c r="AM79" i="2"/>
  <c r="AN10" i="2"/>
  <c r="AN28" i="2"/>
  <c r="AN31" i="2"/>
  <c r="AS37" i="2"/>
  <c r="AS38" i="2"/>
  <c r="AN50" i="2"/>
  <c r="AM61" i="2"/>
  <c r="AN117" i="2"/>
  <c r="AM7" i="2"/>
  <c r="AS9" i="2"/>
  <c r="AM14" i="2"/>
  <c r="AM18" i="2"/>
  <c r="AM22" i="2"/>
  <c r="AS24" i="2"/>
  <c r="AM25" i="2"/>
  <c r="AS27" i="2"/>
  <c r="AS35" i="2"/>
  <c r="AN45" i="2"/>
  <c r="AM57" i="2"/>
  <c r="AS68" i="2"/>
  <c r="AM218" i="1"/>
  <c r="AN218" i="1" s="1"/>
  <c r="AM234" i="1"/>
  <c r="AN234" i="1" s="1"/>
  <c r="AM249" i="1"/>
  <c r="AN249" i="1" s="1"/>
  <c r="AN7" i="2"/>
  <c r="AN14" i="2"/>
  <c r="AN18" i="2"/>
  <c r="AN22" i="2"/>
  <c r="AN25" i="2"/>
  <c r="BB33" i="2"/>
  <c r="AN53" i="2"/>
  <c r="AN57" i="2"/>
  <c r="AM32" i="2"/>
  <c r="AS50" i="2"/>
  <c r="AN60" i="2"/>
  <c r="AN11" i="2"/>
  <c r="AT21" i="2"/>
  <c r="AU21" i="2" s="1"/>
  <c r="AN32" i="2"/>
  <c r="AS63" i="2"/>
  <c r="AS74" i="2"/>
  <c r="AS78" i="2"/>
  <c r="AM115" i="2"/>
  <c r="AM4" i="2"/>
  <c r="AQ4" i="2" s="1"/>
  <c r="AR4" i="2" s="1"/>
  <c r="AM8" i="2"/>
  <c r="AQ8" i="2" s="1"/>
  <c r="AR8" i="2" s="1"/>
  <c r="AS10" i="2"/>
  <c r="AM15" i="2"/>
  <c r="AQ15" i="2" s="1"/>
  <c r="AR15" i="2" s="1"/>
  <c r="AM19" i="2"/>
  <c r="AO19" i="2" s="1"/>
  <c r="AP19" i="2" s="1"/>
  <c r="AM26" i="2"/>
  <c r="AS28" i="2"/>
  <c r="AM29" i="2"/>
  <c r="AS31" i="2"/>
  <c r="AM44" i="2"/>
  <c r="BB50" i="2"/>
  <c r="AS53" i="2"/>
  <c r="AM106" i="2"/>
  <c r="AN26" i="2"/>
  <c r="AN29" i="2"/>
  <c r="AM42" i="2"/>
  <c r="AM43" i="2"/>
  <c r="AS49" i="2"/>
  <c r="AS60" i="2"/>
  <c r="AM86" i="2"/>
  <c r="AS88" i="2"/>
  <c r="AM235" i="1"/>
  <c r="AN235" i="1" s="1"/>
  <c r="AM250" i="1"/>
  <c r="AN250" i="1" s="1"/>
  <c r="AO4" i="2"/>
  <c r="AP4" i="2" s="1"/>
  <c r="AS7" i="2"/>
  <c r="AO8" i="2"/>
  <c r="AP8" i="2" s="1"/>
  <c r="AM12" i="2"/>
  <c r="AS14" i="2"/>
  <c r="AO15" i="2"/>
  <c r="AP15" i="2" s="1"/>
  <c r="AS18" i="2"/>
  <c r="AS22" i="2"/>
  <c r="AM23" i="2"/>
  <c r="AS25" i="2"/>
  <c r="AM33" i="2"/>
  <c r="AN43" i="2"/>
  <c r="AN48" i="2"/>
  <c r="AS56" i="2"/>
  <c r="AS67" i="2"/>
  <c r="AN86" i="2"/>
  <c r="AN12" i="2"/>
  <c r="AN23" i="2"/>
  <c r="AN33" i="2"/>
  <c r="AH230" i="1"/>
  <c r="AI230" i="1" s="1"/>
  <c r="AH245" i="1"/>
  <c r="AI245" i="1" s="1"/>
  <c r="AM5" i="2"/>
  <c r="AQ5" i="2" s="1"/>
  <c r="AR5" i="2" s="1"/>
  <c r="AS11" i="2"/>
  <c r="AM16" i="2"/>
  <c r="AO16" i="2" s="1"/>
  <c r="AP16" i="2" s="1"/>
  <c r="AM20" i="2"/>
  <c r="AQ20" i="2" s="1"/>
  <c r="AR20" i="2" s="1"/>
  <c r="AM30" i="2"/>
  <c r="AO30" i="2" s="1"/>
  <c r="AP30" i="2" s="1"/>
  <c r="AS32" i="2"/>
  <c r="AN40" i="2"/>
  <c r="AN41" i="2"/>
  <c r="AM62" i="2"/>
  <c r="AM69" i="2"/>
  <c r="AN71" i="2"/>
  <c r="AM34" i="2"/>
  <c r="AM39" i="2"/>
  <c r="AM47" i="2"/>
  <c r="AS4" i="2"/>
  <c r="AS8" i="2"/>
  <c r="AM9" i="2"/>
  <c r="AS15" i="2"/>
  <c r="AS19" i="2"/>
  <c r="AM24" i="2"/>
  <c r="AS26" i="2"/>
  <c r="AM27" i="2"/>
  <c r="AS29" i="2"/>
  <c r="AM35" i="2"/>
  <c r="AN39" i="2"/>
  <c r="AS41" i="2"/>
  <c r="AS43" i="2"/>
  <c r="AS71" i="2"/>
  <c r="AS235" i="2"/>
  <c r="AS231" i="2"/>
  <c r="AM229" i="2"/>
  <c r="AM225" i="2"/>
  <c r="AM221" i="2"/>
  <c r="AS216" i="2"/>
  <c r="AS212" i="2"/>
  <c r="AS208" i="2"/>
  <c r="AM202" i="2"/>
  <c r="AM198" i="2"/>
  <c r="AS190" i="2"/>
  <c r="AS183" i="2"/>
  <c r="AM181" i="2"/>
  <c r="AS180" i="2"/>
  <c r="AS173" i="2"/>
  <c r="AM167" i="2"/>
  <c r="AS166" i="2"/>
  <c r="AM160" i="2"/>
  <c r="AS155" i="2"/>
  <c r="AM153" i="2"/>
  <c r="AS152" i="2"/>
  <c r="AS148" i="2"/>
  <c r="AM146" i="2"/>
  <c r="AN232" i="2"/>
  <c r="BB230" i="2"/>
  <c r="BB226" i="2"/>
  <c r="AN217" i="2"/>
  <c r="AN213" i="2"/>
  <c r="AN209" i="2"/>
  <c r="AN205" i="2"/>
  <c r="AS193" i="2"/>
  <c r="AN191" i="2"/>
  <c r="AN187" i="2"/>
  <c r="AN184" i="2"/>
  <c r="AN177" i="2"/>
  <c r="AN174" i="2"/>
  <c r="BB233" i="2"/>
  <c r="AN228" i="2"/>
  <c r="AN224" i="2"/>
  <c r="AN220" i="2"/>
  <c r="AN201" i="2"/>
  <c r="AN197" i="2"/>
  <c r="AM194" i="2"/>
  <c r="AN170" i="2"/>
  <c r="AS234" i="2"/>
  <c r="AM228" i="2"/>
  <c r="AM224" i="2"/>
  <c r="AM220" i="2"/>
  <c r="AS215" i="2"/>
  <c r="AS211" i="2"/>
  <c r="AS207" i="2"/>
  <c r="AM201" i="2"/>
  <c r="AM197" i="2"/>
  <c r="AS189" i="2"/>
  <c r="AS179" i="2"/>
  <c r="AS172" i="2"/>
  <c r="AM170" i="2"/>
  <c r="AS165" i="2"/>
  <c r="AM159" i="2"/>
  <c r="AS151" i="2"/>
  <c r="AS147" i="2"/>
  <c r="AM145" i="2"/>
  <c r="AS144" i="2"/>
  <c r="AN235" i="2"/>
  <c r="AN231" i="2"/>
  <c r="AN216" i="2"/>
  <c r="AN212" i="2"/>
  <c r="AN208" i="2"/>
  <c r="AN190" i="2"/>
  <c r="AN183" i="2"/>
  <c r="AN180" i="2"/>
  <c r="AN173" i="2"/>
  <c r="AM235" i="2"/>
  <c r="AM231" i="2"/>
  <c r="AS230" i="2"/>
  <c r="AS226" i="2"/>
  <c r="AS222" i="2"/>
  <c r="AM216" i="2"/>
  <c r="AM212" i="2"/>
  <c r="AM208" i="2"/>
  <c r="AS203" i="2"/>
  <c r="AS199" i="2"/>
  <c r="AS195" i="2"/>
  <c r="AN193" i="2"/>
  <c r="AM190" i="2"/>
  <c r="AS185" i="2"/>
  <c r="AM183" i="2"/>
  <c r="AS182" i="2"/>
  <c r="AM180" i="2"/>
  <c r="AS175" i="2"/>
  <c r="AM173" i="2"/>
  <c r="AM166" i="2"/>
  <c r="AS161" i="2"/>
  <c r="AS157" i="2"/>
  <c r="AM155" i="2"/>
  <c r="AS154" i="2"/>
  <c r="AM152" i="2"/>
  <c r="AM148" i="2"/>
  <c r="AS233" i="2"/>
  <c r="AM227" i="2"/>
  <c r="AM223" i="2"/>
  <c r="AM219" i="2"/>
  <c r="AS218" i="2"/>
  <c r="AS214" i="2"/>
  <c r="AS210" i="2"/>
  <c r="AS206" i="2"/>
  <c r="AM204" i="2"/>
  <c r="AM200" i="2"/>
  <c r="AM196" i="2"/>
  <c r="AS192" i="2"/>
  <c r="AS188" i="2"/>
  <c r="AM186" i="2"/>
  <c r="AS178" i="2"/>
  <c r="AM176" i="2"/>
  <c r="AS171" i="2"/>
  <c r="AS164" i="2"/>
  <c r="AM162" i="2"/>
  <c r="AM158" i="2"/>
  <c r="AS150" i="2"/>
  <c r="AS143" i="2"/>
  <c r="AS139" i="2"/>
  <c r="AN234" i="2"/>
  <c r="AN215" i="2"/>
  <c r="AN211" i="2"/>
  <c r="AN207" i="2"/>
  <c r="AN189" i="2"/>
  <c r="AN179" i="2"/>
  <c r="AN172" i="2"/>
  <c r="AM234" i="2"/>
  <c r="AS229" i="2"/>
  <c r="AS225" i="2"/>
  <c r="AS221" i="2"/>
  <c r="AM215" i="2"/>
  <c r="AM211" i="2"/>
  <c r="AM207" i="2"/>
  <c r="AS202" i="2"/>
  <c r="AS198" i="2"/>
  <c r="AM189" i="2"/>
  <c r="AS181" i="2"/>
  <c r="AM179" i="2"/>
  <c r="AM172" i="2"/>
  <c r="AS167" i="2"/>
  <c r="AM165" i="2"/>
  <c r="AS160" i="2"/>
  <c r="AS153" i="2"/>
  <c r="AM151" i="2"/>
  <c r="AM147" i="2"/>
  <c r="AS146" i="2"/>
  <c r="AM144" i="2"/>
  <c r="BB231" i="2"/>
  <c r="AN230" i="2"/>
  <c r="AN226" i="2"/>
  <c r="AN222" i="2"/>
  <c r="AN203" i="2"/>
  <c r="AN199" i="2"/>
  <c r="AN195" i="2"/>
  <c r="AN185" i="2"/>
  <c r="AN182" i="2"/>
  <c r="AS232" i="2"/>
  <c r="AM230" i="2"/>
  <c r="AM226" i="2"/>
  <c r="AM222" i="2"/>
  <c r="AS217" i="2"/>
  <c r="AS213" i="2"/>
  <c r="AS209" i="2"/>
  <c r="AS205" i="2"/>
  <c r="AM203" i="2"/>
  <c r="AM199" i="2"/>
  <c r="AM195" i="2"/>
  <c r="AS191" i="2"/>
  <c r="AS187" i="2"/>
  <c r="AM185" i="2"/>
  <c r="AS184" i="2"/>
  <c r="AM182" i="2"/>
  <c r="AS177" i="2"/>
  <c r="AM175" i="2"/>
  <c r="AS174" i="2"/>
  <c r="AN168" i="2"/>
  <c r="AS163" i="2"/>
  <c r="AM161" i="2"/>
  <c r="AM157" i="2"/>
  <c r="AS156" i="2"/>
  <c r="AN233" i="2"/>
  <c r="BB227" i="2"/>
  <c r="AN218" i="2"/>
  <c r="AM233" i="2"/>
  <c r="AS228" i="2"/>
  <c r="AS224" i="2"/>
  <c r="AS220" i="2"/>
  <c r="AM218" i="2"/>
  <c r="AM214" i="2"/>
  <c r="AM210" i="2"/>
  <c r="AM206" i="2"/>
  <c r="AS201" i="2"/>
  <c r="AS197" i="2"/>
  <c r="AM192" i="2"/>
  <c r="AM188" i="2"/>
  <c r="AM178" i="2"/>
  <c r="AM171" i="2"/>
  <c r="AS170" i="2"/>
  <c r="AM164" i="2"/>
  <c r="AS159" i="2"/>
  <c r="AM150" i="2"/>
  <c r="AN229" i="2"/>
  <c r="AN225" i="2"/>
  <c r="AN221" i="2"/>
  <c r="AN223" i="2"/>
  <c r="BB215" i="2"/>
  <c r="AN202" i="2"/>
  <c r="AM156" i="2"/>
  <c r="AN145" i="2"/>
  <c r="AN139" i="2"/>
  <c r="AM128" i="2"/>
  <c r="AM124" i="2"/>
  <c r="AS119" i="2"/>
  <c r="AM117" i="2"/>
  <c r="AS116" i="2"/>
  <c r="AS109" i="2"/>
  <c r="AM187" i="2"/>
  <c r="AS169" i="2"/>
  <c r="AN157" i="2"/>
  <c r="AS142" i="2"/>
  <c r="AM139" i="2"/>
  <c r="AS134" i="2"/>
  <c r="AS130" i="2"/>
  <c r="AN120" i="2"/>
  <c r="AN113" i="2"/>
  <c r="AN110" i="2"/>
  <c r="AN106" i="2"/>
  <c r="AM193" i="2"/>
  <c r="AM184" i="2"/>
  <c r="AM177" i="2"/>
  <c r="AN158" i="2"/>
  <c r="AN144" i="2"/>
  <c r="AN135" i="2"/>
  <c r="AN131" i="2"/>
  <c r="AS126" i="2"/>
  <c r="AS122" i="2"/>
  <c r="AM120" i="2"/>
  <c r="AM113" i="2"/>
  <c r="AS112" i="2"/>
  <c r="AM110" i="2"/>
  <c r="AM209" i="2"/>
  <c r="AS196" i="2"/>
  <c r="AN169" i="2"/>
  <c r="AN159" i="2"/>
  <c r="AN206" i="2"/>
  <c r="AN196" i="2"/>
  <c r="AN181" i="2"/>
  <c r="AS162" i="2"/>
  <c r="AN160" i="2"/>
  <c r="AM143" i="2"/>
  <c r="AN138" i="2"/>
  <c r="AM127" i="2"/>
  <c r="AM123" i="2"/>
  <c r="AS115" i="2"/>
  <c r="AS108" i="2"/>
  <c r="AS104" i="2"/>
  <c r="AM191" i="2"/>
  <c r="AM174" i="2"/>
  <c r="BB165" i="2"/>
  <c r="AS141" i="2"/>
  <c r="AM138" i="2"/>
  <c r="AS133" i="2"/>
  <c r="AS129" i="2"/>
  <c r="AN119" i="2"/>
  <c r="AN116" i="2"/>
  <c r="AN109" i="2"/>
  <c r="AN105" i="2"/>
  <c r="AN98" i="2"/>
  <c r="AS200" i="2"/>
  <c r="AN188" i="2"/>
  <c r="AN178" i="2"/>
  <c r="AN161" i="2"/>
  <c r="AN142" i="2"/>
  <c r="AN134" i="2"/>
  <c r="AN130" i="2"/>
  <c r="AS125" i="2"/>
  <c r="AS121" i="2"/>
  <c r="AM119" i="2"/>
  <c r="AS118" i="2"/>
  <c r="AM116" i="2"/>
  <c r="AS111" i="2"/>
  <c r="AM109" i="2"/>
  <c r="AM105" i="2"/>
  <c r="AS219" i="2"/>
  <c r="AM213" i="2"/>
  <c r="AN200" i="2"/>
  <c r="AS194" i="2"/>
  <c r="AN171" i="2"/>
  <c r="AN163" i="2"/>
  <c r="AN162" i="2"/>
  <c r="AM142" i="2"/>
  <c r="AM134" i="2"/>
  <c r="AM130" i="2"/>
  <c r="AN126" i="2"/>
  <c r="AN122" i="2"/>
  <c r="AN112" i="2"/>
  <c r="AS227" i="2"/>
  <c r="AN219" i="2"/>
  <c r="AN210" i="2"/>
  <c r="AM163" i="2"/>
  <c r="AN137" i="2"/>
  <c r="BB131" i="2"/>
  <c r="AM126" i="2"/>
  <c r="AM122" i="2"/>
  <c r="AN227" i="2"/>
  <c r="AS204" i="2"/>
  <c r="AN194" i="2"/>
  <c r="AN175" i="2"/>
  <c r="AN164" i="2"/>
  <c r="AS149" i="2"/>
  <c r="AS140" i="2"/>
  <c r="AM137" i="2"/>
  <c r="AS136" i="2"/>
  <c r="AS132" i="2"/>
  <c r="AN115" i="2"/>
  <c r="AN108" i="2"/>
  <c r="AN104" i="2"/>
  <c r="BB232" i="2"/>
  <c r="AN204" i="2"/>
  <c r="AN192" i="2"/>
  <c r="AN141" i="2"/>
  <c r="AN133" i="2"/>
  <c r="AN129" i="2"/>
  <c r="AS128" i="2"/>
  <c r="AS124" i="2"/>
  <c r="AS117" i="2"/>
  <c r="AM232" i="2"/>
  <c r="AM217" i="2"/>
  <c r="AS186" i="2"/>
  <c r="AN165" i="2"/>
  <c r="AM141" i="2"/>
  <c r="AM133" i="2"/>
  <c r="AM129" i="2"/>
  <c r="AN125" i="2"/>
  <c r="AN121" i="2"/>
  <c r="AN118" i="2"/>
  <c r="AN111" i="2"/>
  <c r="AN100" i="2"/>
  <c r="AN93" i="2"/>
  <c r="AN214" i="2"/>
  <c r="AN186" i="2"/>
  <c r="AS176" i="2"/>
  <c r="AS168" i="2"/>
  <c r="AN167" i="2"/>
  <c r="AN166" i="2"/>
  <c r="AN149" i="2"/>
  <c r="AN147" i="2"/>
  <c r="AS145" i="2"/>
  <c r="AM125" i="2"/>
  <c r="AM121" i="2"/>
  <c r="AS120" i="2"/>
  <c r="AM118" i="2"/>
  <c r="AS113" i="2"/>
  <c r="AM111" i="2"/>
  <c r="AN198" i="2"/>
  <c r="AN176" i="2"/>
  <c r="AN150" i="2"/>
  <c r="AM149" i="2"/>
  <c r="AN148" i="2"/>
  <c r="AN140" i="2"/>
  <c r="AS135" i="2"/>
  <c r="AS131" i="2"/>
  <c r="AN114" i="2"/>
  <c r="AN107" i="2"/>
  <c r="AN103" i="2"/>
  <c r="AN153" i="2"/>
  <c r="AN143" i="2"/>
  <c r="AN136" i="2"/>
  <c r="AN89" i="2"/>
  <c r="AN82" i="2"/>
  <c r="AM75" i="2"/>
  <c r="AQ75" i="2" s="1"/>
  <c r="AR75" i="2" s="1"/>
  <c r="AM71" i="2"/>
  <c r="AS70" i="2"/>
  <c r="AM68" i="2"/>
  <c r="AQ68" i="2" s="1"/>
  <c r="AR68" i="2" s="1"/>
  <c r="AM64" i="2"/>
  <c r="BB51" i="2"/>
  <c r="AM50" i="2"/>
  <c r="AS45" i="2"/>
  <c r="AN156" i="2"/>
  <c r="AM136" i="2"/>
  <c r="AN128" i="2"/>
  <c r="AS110" i="2"/>
  <c r="AM107" i="2"/>
  <c r="AM89" i="2"/>
  <c r="AS84" i="2"/>
  <c r="AM82" i="2"/>
  <c r="AS59" i="2"/>
  <c r="AS52" i="2"/>
  <c r="AN46" i="2"/>
  <c r="AN42" i="2"/>
  <c r="AN124" i="2"/>
  <c r="AN85" i="2"/>
  <c r="AS77" i="2"/>
  <c r="AS73" i="2"/>
  <c r="AS66" i="2"/>
  <c r="AM205" i="2"/>
  <c r="AN146" i="2"/>
  <c r="AM131" i="2"/>
  <c r="AS103" i="2"/>
  <c r="AS102" i="2"/>
  <c r="AS101" i="2"/>
  <c r="AS100" i="2"/>
  <c r="AS87" i="2"/>
  <c r="AM85" i="2"/>
  <c r="AN78" i="2"/>
  <c r="AN74" i="2"/>
  <c r="AN67" i="2"/>
  <c r="AN63" i="2"/>
  <c r="AM60" i="2"/>
  <c r="AS55" i="2"/>
  <c r="AM53" i="2"/>
  <c r="AN49" i="2"/>
  <c r="AS48" i="2"/>
  <c r="AN38" i="2"/>
  <c r="AN34" i="2"/>
  <c r="AS99" i="2"/>
  <c r="AS97" i="2"/>
  <c r="AN88" i="2"/>
  <c r="AN81" i="2"/>
  <c r="AS80" i="2"/>
  <c r="AM78" i="2"/>
  <c r="AM74" i="2"/>
  <c r="AS69" i="2"/>
  <c r="AM67" i="2"/>
  <c r="AM63" i="2"/>
  <c r="AS62" i="2"/>
  <c r="AN56" i="2"/>
  <c r="BB54" i="2"/>
  <c r="AM49" i="2"/>
  <c r="AS44" i="2"/>
  <c r="AN151" i="2"/>
  <c r="AS98" i="2"/>
  <c r="AS95" i="2"/>
  <c r="AS94" i="2"/>
  <c r="AS93" i="2"/>
  <c r="AS91" i="2"/>
  <c r="AM88" i="2"/>
  <c r="AS83" i="2"/>
  <c r="AM81" i="2"/>
  <c r="AN70" i="2"/>
  <c r="AS58" i="2"/>
  <c r="AM56" i="2"/>
  <c r="AN154" i="2"/>
  <c r="AS114" i="2"/>
  <c r="AM103" i="2"/>
  <c r="AS92" i="2"/>
  <c r="AN84" i="2"/>
  <c r="AS76" i="2"/>
  <c r="AS72" i="2"/>
  <c r="AM70" i="2"/>
  <c r="AS65" i="2"/>
  <c r="AN59" i="2"/>
  <c r="AN52" i="2"/>
  <c r="AM45" i="2"/>
  <c r="AM41" i="2"/>
  <c r="AS40" i="2"/>
  <c r="AS36" i="2"/>
  <c r="AM154" i="2"/>
  <c r="AM108" i="2"/>
  <c r="AN102" i="2"/>
  <c r="AN101" i="2"/>
  <c r="AN99" i="2"/>
  <c r="AS96" i="2"/>
  <c r="AS90" i="2"/>
  <c r="AM84" i="2"/>
  <c r="AN77" i="2"/>
  <c r="AN73" i="2"/>
  <c r="AN66" i="2"/>
  <c r="AM59" i="2"/>
  <c r="AM52" i="2"/>
  <c r="AS47" i="2"/>
  <c r="BB46" i="2"/>
  <c r="AN37" i="2"/>
  <c r="AS223" i="2"/>
  <c r="AS137" i="2"/>
  <c r="AS127" i="2"/>
  <c r="AM114" i="2"/>
  <c r="AM102" i="2"/>
  <c r="AM101" i="2"/>
  <c r="AM100" i="2"/>
  <c r="AM99" i="2"/>
  <c r="AN97" i="2"/>
  <c r="AN87" i="2"/>
  <c r="AS79" i="2"/>
  <c r="AM77" i="2"/>
  <c r="AM73" i="2"/>
  <c r="AM66" i="2"/>
  <c r="AS61" i="2"/>
  <c r="AN55" i="2"/>
  <c r="BB53" i="2"/>
  <c r="AN132" i="2"/>
  <c r="AS123" i="2"/>
  <c r="AM104" i="2"/>
  <c r="AM98" i="2"/>
  <c r="AM97" i="2"/>
  <c r="AN95" i="2"/>
  <c r="AN94" i="2"/>
  <c r="AN92" i="2"/>
  <c r="AN91" i="2"/>
  <c r="AM87" i="2"/>
  <c r="AS86" i="2"/>
  <c r="AN80" i="2"/>
  <c r="AN69" i="2"/>
  <c r="AN62" i="2"/>
  <c r="AS57" i="2"/>
  <c r="AM55" i="2"/>
  <c r="AS54" i="2"/>
  <c r="AM48" i="2"/>
  <c r="AN44" i="2"/>
  <c r="AM132" i="2"/>
  <c r="AN127" i="2"/>
  <c r="AS105" i="2"/>
  <c r="AN96" i="2"/>
  <c r="AM95" i="2"/>
  <c r="AM94" i="2"/>
  <c r="AM93" i="2"/>
  <c r="AM92" i="2"/>
  <c r="AM91" i="2"/>
  <c r="AN83" i="2"/>
  <c r="AM80" i="2"/>
  <c r="AS75" i="2"/>
  <c r="AM140" i="2"/>
  <c r="AM135" i="2"/>
  <c r="AN123" i="2"/>
  <c r="AS106" i="2"/>
  <c r="AM96" i="2"/>
  <c r="AS89" i="2"/>
  <c r="AM83" i="2"/>
  <c r="AS82" i="2"/>
  <c r="AN76" i="2"/>
  <c r="AN72" i="2"/>
  <c r="AN65" i="2"/>
  <c r="AM58" i="2"/>
  <c r="AM51" i="2"/>
  <c r="AN155" i="2"/>
  <c r="AN152" i="2"/>
  <c r="AN90" i="2"/>
  <c r="AM76" i="2"/>
  <c r="AM72" i="2"/>
  <c r="AM65" i="2"/>
  <c r="BB52" i="2"/>
  <c r="AN47" i="2"/>
  <c r="AS46" i="2"/>
  <c r="AS42" i="2"/>
  <c r="AM40" i="2"/>
  <c r="AS158" i="2"/>
  <c r="AS138" i="2"/>
  <c r="AM90" i="2"/>
  <c r="AS85" i="2"/>
  <c r="AN79" i="2"/>
  <c r="AN61" i="2"/>
  <c r="AN9" i="2"/>
  <c r="AN24" i="2"/>
  <c r="AN27" i="2"/>
  <c r="AN35" i="2"/>
  <c r="AM36" i="2"/>
  <c r="AM38" i="2"/>
  <c r="AM46" i="2"/>
  <c r="AN51" i="2"/>
  <c r="AN64" i="2"/>
  <c r="AS81" i="2"/>
  <c r="H63" i="3"/>
  <c r="K63" i="3" s="1"/>
  <c r="M30" i="3"/>
  <c r="H50" i="3"/>
  <c r="K50" i="3" s="1"/>
  <c r="H58" i="3"/>
  <c r="K58" i="3" s="1"/>
  <c r="H67" i="3"/>
  <c r="K67" i="3" s="1"/>
  <c r="H5" i="3"/>
  <c r="K5" i="3" s="1"/>
  <c r="M60" i="3"/>
  <c r="AQ95" i="2" l="1"/>
  <c r="AR95" i="2" s="1"/>
  <c r="AO95" i="2"/>
  <c r="AP95" i="2" s="1"/>
  <c r="AQ171" i="2"/>
  <c r="AR171" i="2" s="1"/>
  <c r="AO171" i="2"/>
  <c r="AP171" i="2" s="1"/>
  <c r="AO216" i="2"/>
  <c r="AP216" i="2" s="1"/>
  <c r="AQ216" i="2"/>
  <c r="AR216" i="2" s="1"/>
  <c r="AV235" i="2"/>
  <c r="AW235" i="2" s="1"/>
  <c r="AT235" i="2"/>
  <c r="AU235" i="2" s="1"/>
  <c r="AV81" i="2"/>
  <c r="AW81" i="2" s="1"/>
  <c r="AT81" i="2"/>
  <c r="AU81" i="2" s="1"/>
  <c r="AV82" i="2"/>
  <c r="AW82" i="2" s="1"/>
  <c r="AT82" i="2"/>
  <c r="AU82" i="2" s="1"/>
  <c r="AQ96" i="2"/>
  <c r="AR96" i="2" s="1"/>
  <c r="AO96" i="2"/>
  <c r="AP96" i="2" s="1"/>
  <c r="AQ94" i="2"/>
  <c r="AR94" i="2" s="1"/>
  <c r="AO94" i="2"/>
  <c r="AP94" i="2" s="1"/>
  <c r="AV72" i="2"/>
  <c r="AW72" i="2" s="1"/>
  <c r="AT72" i="2"/>
  <c r="AU72" i="2" s="1"/>
  <c r="AV95" i="2"/>
  <c r="AW95" i="2" s="1"/>
  <c r="AT95" i="2"/>
  <c r="AU95" i="2" s="1"/>
  <c r="AV97" i="2"/>
  <c r="AW97" i="2" s="1"/>
  <c r="AT97" i="2"/>
  <c r="AU97" i="2" s="1"/>
  <c r="AT101" i="2"/>
  <c r="AU101" i="2" s="1"/>
  <c r="AV101" i="2"/>
  <c r="AW101" i="2" s="1"/>
  <c r="AT84" i="2"/>
  <c r="AU84" i="2" s="1"/>
  <c r="AV84" i="2"/>
  <c r="AW84" i="2" s="1"/>
  <c r="AQ89" i="2"/>
  <c r="AR89" i="2" s="1"/>
  <c r="AO89" i="2"/>
  <c r="AP89" i="2" s="1"/>
  <c r="AV113" i="2"/>
  <c r="AW113" i="2" s="1"/>
  <c r="AT113" i="2"/>
  <c r="AU113" i="2" s="1"/>
  <c r="AQ111" i="2"/>
  <c r="AR111" i="2" s="1"/>
  <c r="AO111" i="2"/>
  <c r="AP111" i="2" s="1"/>
  <c r="AQ141" i="2"/>
  <c r="AR141" i="2" s="1"/>
  <c r="AO141" i="2"/>
  <c r="AP141" i="2" s="1"/>
  <c r="AQ227" i="2"/>
  <c r="AR227" i="2" s="1"/>
  <c r="AO227" i="2"/>
  <c r="AP227" i="2" s="1"/>
  <c r="AO163" i="2"/>
  <c r="AP163" i="2" s="1"/>
  <c r="AQ163" i="2"/>
  <c r="AR163" i="2" s="1"/>
  <c r="AO142" i="2"/>
  <c r="AP142" i="2" s="1"/>
  <c r="AQ142" i="2"/>
  <c r="AR142" i="2" s="1"/>
  <c r="AO113" i="2"/>
  <c r="AP113" i="2" s="1"/>
  <c r="AQ113" i="2"/>
  <c r="AR113" i="2" s="1"/>
  <c r="AQ145" i="2"/>
  <c r="AR145" i="2" s="1"/>
  <c r="AO145" i="2"/>
  <c r="AP145" i="2" s="1"/>
  <c r="AV197" i="2"/>
  <c r="AW197" i="2" s="1"/>
  <c r="AT197" i="2"/>
  <c r="AU197" i="2" s="1"/>
  <c r="AV163" i="2"/>
  <c r="AW163" i="2" s="1"/>
  <c r="AT163" i="2"/>
  <c r="AU163" i="2" s="1"/>
  <c r="AV217" i="2"/>
  <c r="AW217" i="2" s="1"/>
  <c r="AT217" i="2"/>
  <c r="AU217" i="2" s="1"/>
  <c r="AT225" i="2"/>
  <c r="AU225" i="2" s="1"/>
  <c r="AV225" i="2"/>
  <c r="AW225" i="2" s="1"/>
  <c r="AV171" i="2"/>
  <c r="AW171" i="2" s="1"/>
  <c r="AT171" i="2"/>
  <c r="AU171" i="2" s="1"/>
  <c r="AV233" i="2"/>
  <c r="AW233" i="2" s="1"/>
  <c r="AT233" i="2"/>
  <c r="AU233" i="2" s="1"/>
  <c r="AV195" i="2"/>
  <c r="AW195" i="2" s="1"/>
  <c r="AT195" i="2"/>
  <c r="AU195" i="2" s="1"/>
  <c r="AO212" i="2"/>
  <c r="AP212" i="2" s="1"/>
  <c r="AQ212" i="2"/>
  <c r="AR212" i="2" s="1"/>
  <c r="AV207" i="2"/>
  <c r="AW207" i="2" s="1"/>
  <c r="AT207" i="2"/>
  <c r="AU207" i="2" s="1"/>
  <c r="AO177" i="2"/>
  <c r="AP177" i="2" s="1"/>
  <c r="AQ177" i="2"/>
  <c r="AR177" i="2" s="1"/>
  <c r="AV155" i="2"/>
  <c r="AW155" i="2" s="1"/>
  <c r="AT155" i="2"/>
  <c r="AU155" i="2" s="1"/>
  <c r="AT4" i="2"/>
  <c r="AU4" i="2" s="1"/>
  <c r="AV4" i="2"/>
  <c r="AW4" i="2" s="1"/>
  <c r="AV14" i="2"/>
  <c r="AW14" i="2" s="1"/>
  <c r="AT14" i="2"/>
  <c r="AU14" i="2" s="1"/>
  <c r="AT53" i="2"/>
  <c r="AU53" i="2" s="1"/>
  <c r="AV53" i="2"/>
  <c r="AW53" i="2" s="1"/>
  <c r="AQ32" i="2"/>
  <c r="AR32" i="2" s="1"/>
  <c r="AO32" i="2"/>
  <c r="AP32" i="2" s="1"/>
  <c r="AV38" i="2"/>
  <c r="AW38" i="2" s="1"/>
  <c r="AT38" i="2"/>
  <c r="AU38" i="2" s="1"/>
  <c r="AQ16" i="2"/>
  <c r="AR16" i="2" s="1"/>
  <c r="AO5" i="2"/>
  <c r="AP5" i="2" s="1"/>
  <c r="AQ19" i="2"/>
  <c r="AR19" i="2" s="1"/>
  <c r="AQ51" i="2"/>
  <c r="AR51" i="2" s="1"/>
  <c r="AO51" i="2"/>
  <c r="AP51" i="2" s="1"/>
  <c r="AT42" i="2"/>
  <c r="AU42" i="2" s="1"/>
  <c r="AV42" i="2"/>
  <c r="AW42" i="2" s="1"/>
  <c r="AV199" i="2"/>
  <c r="AW199" i="2" s="1"/>
  <c r="AT199" i="2"/>
  <c r="AU199" i="2" s="1"/>
  <c r="AO34" i="2"/>
  <c r="AP34" i="2" s="1"/>
  <c r="AQ34" i="2"/>
  <c r="AR34" i="2" s="1"/>
  <c r="AQ202" i="2"/>
  <c r="AR202" i="2" s="1"/>
  <c r="AO202" i="2"/>
  <c r="AP202" i="2" s="1"/>
  <c r="AV215" i="2"/>
  <c r="AW215" i="2" s="1"/>
  <c r="AT215" i="2"/>
  <c r="AU215" i="2" s="1"/>
  <c r="AQ47" i="2"/>
  <c r="AR47" i="2" s="1"/>
  <c r="AO47" i="2"/>
  <c r="AP47" i="2" s="1"/>
  <c r="AQ99" i="2"/>
  <c r="AR99" i="2" s="1"/>
  <c r="AO99" i="2"/>
  <c r="AP99" i="2" s="1"/>
  <c r="AV92" i="2"/>
  <c r="AW92" i="2" s="1"/>
  <c r="AT92" i="2"/>
  <c r="AU92" i="2" s="1"/>
  <c r="AV44" i="2"/>
  <c r="AW44" i="2" s="1"/>
  <c r="AT44" i="2"/>
  <c r="AU44" i="2" s="1"/>
  <c r="AO38" i="2"/>
  <c r="AP38" i="2" s="1"/>
  <c r="AQ38" i="2"/>
  <c r="AR38" i="2" s="1"/>
  <c r="AV110" i="2"/>
  <c r="AW110" i="2" s="1"/>
  <c r="AT110" i="2"/>
  <c r="AU110" i="2" s="1"/>
  <c r="AO153" i="2"/>
  <c r="AP153" i="2" s="1"/>
  <c r="AQ153" i="2"/>
  <c r="AR153" i="2" s="1"/>
  <c r="AQ125" i="2"/>
  <c r="AR125" i="2" s="1"/>
  <c r="AO125" i="2"/>
  <c r="AP125" i="2" s="1"/>
  <c r="AQ200" i="2"/>
  <c r="AR200" i="2" s="1"/>
  <c r="AO200" i="2"/>
  <c r="AP200" i="2" s="1"/>
  <c r="AQ188" i="2"/>
  <c r="AR188" i="2" s="1"/>
  <c r="AO188" i="2"/>
  <c r="AP188" i="2" s="1"/>
  <c r="AV115" i="2"/>
  <c r="AW115" i="2" s="1"/>
  <c r="AT115" i="2"/>
  <c r="AU115" i="2" s="1"/>
  <c r="AT134" i="2"/>
  <c r="AU134" i="2" s="1"/>
  <c r="AV134" i="2"/>
  <c r="AW134" i="2" s="1"/>
  <c r="AV160" i="2"/>
  <c r="AW160" i="2" s="1"/>
  <c r="AT160" i="2"/>
  <c r="AU160" i="2" s="1"/>
  <c r="AQ172" i="2"/>
  <c r="AR172" i="2" s="1"/>
  <c r="AO172" i="2"/>
  <c r="AP172" i="2" s="1"/>
  <c r="AV154" i="2"/>
  <c r="AW154" i="2" s="1"/>
  <c r="AT154" i="2"/>
  <c r="AU154" i="2" s="1"/>
  <c r="AO235" i="2"/>
  <c r="AP235" i="2" s="1"/>
  <c r="AQ235" i="2"/>
  <c r="AR235" i="2" s="1"/>
  <c r="AO191" i="2"/>
  <c r="AP191" i="2" s="1"/>
  <c r="AQ191" i="2"/>
  <c r="AR191" i="2" s="1"/>
  <c r="AV71" i="2"/>
  <c r="AW71" i="2" s="1"/>
  <c r="AT71" i="2"/>
  <c r="AU71" i="2" s="1"/>
  <c r="AQ12" i="2"/>
  <c r="AR12" i="2" s="1"/>
  <c r="AO12" i="2"/>
  <c r="AP12" i="2" s="1"/>
  <c r="AV7" i="2"/>
  <c r="AW7" i="2" s="1"/>
  <c r="AT7" i="2"/>
  <c r="AU7" i="2" s="1"/>
  <c r="AV31" i="2"/>
  <c r="AW31" i="2" s="1"/>
  <c r="AT31" i="2"/>
  <c r="AU31" i="2" s="1"/>
  <c r="AO60" i="2"/>
  <c r="AP60" i="2" s="1"/>
  <c r="AQ60" i="2"/>
  <c r="AR60" i="2" s="1"/>
  <c r="AO45" i="2"/>
  <c r="AP45" i="2" s="1"/>
  <c r="AQ45" i="2"/>
  <c r="AR45" i="2" s="1"/>
  <c r="AQ28" i="2"/>
  <c r="AR28" i="2" s="1"/>
  <c r="AO28" i="2"/>
  <c r="AP28" i="2" s="1"/>
  <c r="AV104" i="2"/>
  <c r="AW104" i="2" s="1"/>
  <c r="AT104" i="2"/>
  <c r="AU104" i="2" s="1"/>
  <c r="AQ33" i="2"/>
  <c r="AR33" i="2" s="1"/>
  <c r="AO33" i="2"/>
  <c r="AP33" i="2" s="1"/>
  <c r="AV96" i="2"/>
  <c r="AW96" i="2" s="1"/>
  <c r="AT96" i="2"/>
  <c r="AU96" i="2" s="1"/>
  <c r="AT130" i="2"/>
  <c r="AU130" i="2" s="1"/>
  <c r="AV130" i="2"/>
  <c r="AW130" i="2" s="1"/>
  <c r="AQ11" i="2"/>
  <c r="AR11" i="2" s="1"/>
  <c r="AO11" i="2"/>
  <c r="AP11" i="2" s="1"/>
  <c r="AV106" i="2"/>
  <c r="AW106" i="2" s="1"/>
  <c r="AT106" i="2"/>
  <c r="AU106" i="2" s="1"/>
  <c r="AQ44" i="2"/>
  <c r="AR44" i="2" s="1"/>
  <c r="AO44" i="2"/>
  <c r="AP44" i="2" s="1"/>
  <c r="AQ101" i="2"/>
  <c r="AR101" i="2" s="1"/>
  <c r="AO101" i="2"/>
  <c r="AP101" i="2" s="1"/>
  <c r="AV48" i="2"/>
  <c r="AW48" i="2" s="1"/>
  <c r="AT48" i="2"/>
  <c r="AU48" i="2" s="1"/>
  <c r="AQ146" i="2"/>
  <c r="AR146" i="2" s="1"/>
  <c r="AO146" i="2"/>
  <c r="AP146" i="2" s="1"/>
  <c r="AQ128" i="2"/>
  <c r="AR128" i="2" s="1"/>
  <c r="AO128" i="2"/>
  <c r="AP128" i="2" s="1"/>
  <c r="AQ103" i="2"/>
  <c r="AR103" i="2" s="1"/>
  <c r="AO103" i="2"/>
  <c r="AP103" i="2" s="1"/>
  <c r="AQ104" i="2"/>
  <c r="AR104" i="2" s="1"/>
  <c r="AO104" i="2"/>
  <c r="AP104" i="2" s="1"/>
  <c r="AQ137" i="2"/>
  <c r="AR137" i="2" s="1"/>
  <c r="AO137" i="2"/>
  <c r="AP137" i="2" s="1"/>
  <c r="AT200" i="2"/>
  <c r="AU200" i="2" s="1"/>
  <c r="AV200" i="2"/>
  <c r="AW200" i="2" s="1"/>
  <c r="AQ223" i="2"/>
  <c r="AR223" i="2" s="1"/>
  <c r="AO223" i="2"/>
  <c r="AP223" i="2" s="1"/>
  <c r="AV177" i="2"/>
  <c r="AW177" i="2" s="1"/>
  <c r="AT177" i="2"/>
  <c r="AU177" i="2" s="1"/>
  <c r="AV232" i="2"/>
  <c r="AW232" i="2" s="1"/>
  <c r="AT232" i="2"/>
  <c r="AU232" i="2" s="1"/>
  <c r="AQ179" i="2"/>
  <c r="AR179" i="2" s="1"/>
  <c r="AO179" i="2"/>
  <c r="AP179" i="2" s="1"/>
  <c r="AV188" i="2"/>
  <c r="AW188" i="2" s="1"/>
  <c r="AT188" i="2"/>
  <c r="AU188" i="2" s="1"/>
  <c r="AV144" i="2"/>
  <c r="AW144" i="2" s="1"/>
  <c r="AT144" i="2"/>
  <c r="AU144" i="2" s="1"/>
  <c r="AT193" i="2"/>
  <c r="AU193" i="2" s="1"/>
  <c r="AV193" i="2"/>
  <c r="AW193" i="2" s="1"/>
  <c r="AT173" i="2"/>
  <c r="AU173" i="2" s="1"/>
  <c r="AV173" i="2"/>
  <c r="AW173" i="2" s="1"/>
  <c r="AT43" i="2"/>
  <c r="AU43" i="2" s="1"/>
  <c r="AV43" i="2"/>
  <c r="AW43" i="2" s="1"/>
  <c r="AQ71" i="2"/>
  <c r="AR71" i="2" s="1"/>
  <c r="AO71" i="2"/>
  <c r="AP71" i="2" s="1"/>
  <c r="AQ86" i="2"/>
  <c r="AR86" i="2" s="1"/>
  <c r="AO86" i="2"/>
  <c r="AP86" i="2" s="1"/>
  <c r="AV50" i="2"/>
  <c r="AW50" i="2" s="1"/>
  <c r="AT50" i="2"/>
  <c r="AU50" i="2" s="1"/>
  <c r="AV35" i="2"/>
  <c r="AW35" i="2" s="1"/>
  <c r="AT35" i="2"/>
  <c r="AU35" i="2" s="1"/>
  <c r="AO10" i="2"/>
  <c r="AP10" i="2" s="1"/>
  <c r="AQ10" i="2"/>
  <c r="AR10" i="2" s="1"/>
  <c r="AO68" i="2"/>
  <c r="AP68" i="2" s="1"/>
  <c r="AT90" i="2"/>
  <c r="AU90" i="2" s="1"/>
  <c r="AV90" i="2"/>
  <c r="AW90" i="2" s="1"/>
  <c r="AV201" i="2"/>
  <c r="AW201" i="2" s="1"/>
  <c r="AT201" i="2"/>
  <c r="AU201" i="2" s="1"/>
  <c r="AT37" i="2"/>
  <c r="AU37" i="2" s="1"/>
  <c r="AV37" i="2"/>
  <c r="AW37" i="2" s="1"/>
  <c r="AV120" i="2"/>
  <c r="AW120" i="2" s="1"/>
  <c r="AT120" i="2"/>
  <c r="AU120" i="2" s="1"/>
  <c r="AQ31" i="2"/>
  <c r="AR31" i="2" s="1"/>
  <c r="AO31" i="2"/>
  <c r="AP31" i="2" s="1"/>
  <c r="AQ123" i="2"/>
  <c r="AR123" i="2" s="1"/>
  <c r="AO123" i="2"/>
  <c r="AP123" i="2" s="1"/>
  <c r="AV123" i="2"/>
  <c r="AW123" i="2" s="1"/>
  <c r="AT123" i="2"/>
  <c r="AU123" i="2" s="1"/>
  <c r="AV127" i="2"/>
  <c r="AW127" i="2" s="1"/>
  <c r="AT127" i="2"/>
  <c r="AU127" i="2" s="1"/>
  <c r="AQ102" i="2"/>
  <c r="AR102" i="2" s="1"/>
  <c r="AO102" i="2"/>
  <c r="AP102" i="2" s="1"/>
  <c r="AV114" i="2"/>
  <c r="AW114" i="2" s="1"/>
  <c r="AT114" i="2"/>
  <c r="AU114" i="2" s="1"/>
  <c r="AQ49" i="2"/>
  <c r="AR49" i="2" s="1"/>
  <c r="AO49" i="2"/>
  <c r="AP49" i="2" s="1"/>
  <c r="AO107" i="2"/>
  <c r="AP107" i="2" s="1"/>
  <c r="AQ107" i="2"/>
  <c r="AR107" i="2" s="1"/>
  <c r="AV145" i="2"/>
  <c r="AW145" i="2" s="1"/>
  <c r="AT145" i="2"/>
  <c r="AU145" i="2" s="1"/>
  <c r="AQ108" i="2"/>
  <c r="AR108" i="2" s="1"/>
  <c r="AO108" i="2"/>
  <c r="AP108" i="2" s="1"/>
  <c r="AT219" i="2"/>
  <c r="AU219" i="2" s="1"/>
  <c r="AV219" i="2"/>
  <c r="AW219" i="2" s="1"/>
  <c r="AQ98" i="2"/>
  <c r="AR98" i="2" s="1"/>
  <c r="AO98" i="2"/>
  <c r="AP98" i="2" s="1"/>
  <c r="AT122" i="2"/>
  <c r="AU122" i="2" s="1"/>
  <c r="AV122" i="2"/>
  <c r="AW122" i="2" s="1"/>
  <c r="AT142" i="2"/>
  <c r="AU142" i="2" s="1"/>
  <c r="AV142" i="2"/>
  <c r="AW142" i="2" s="1"/>
  <c r="AQ221" i="2"/>
  <c r="AR221" i="2" s="1"/>
  <c r="AO221" i="2"/>
  <c r="AP221" i="2" s="1"/>
  <c r="AQ182" i="2"/>
  <c r="AR182" i="2" s="1"/>
  <c r="AO182" i="2"/>
  <c r="AP182" i="2" s="1"/>
  <c r="AV167" i="2"/>
  <c r="AW167" i="2" s="1"/>
  <c r="AT167" i="2"/>
  <c r="AU167" i="2" s="1"/>
  <c r="AQ189" i="2"/>
  <c r="AR189" i="2" s="1"/>
  <c r="AO189" i="2"/>
  <c r="AP189" i="2" s="1"/>
  <c r="AV192" i="2"/>
  <c r="AW192" i="2" s="1"/>
  <c r="AT192" i="2"/>
  <c r="AU192" i="2" s="1"/>
  <c r="AV157" i="2"/>
  <c r="AW157" i="2" s="1"/>
  <c r="AT157" i="2"/>
  <c r="AU157" i="2" s="1"/>
  <c r="AO205" i="2"/>
  <c r="AP205" i="2" s="1"/>
  <c r="AQ205" i="2"/>
  <c r="AR205" i="2" s="1"/>
  <c r="AV180" i="2"/>
  <c r="AW180" i="2" s="1"/>
  <c r="AT180" i="2"/>
  <c r="AU180" i="2" s="1"/>
  <c r="AT41" i="2"/>
  <c r="AU41" i="2" s="1"/>
  <c r="AV41" i="2"/>
  <c r="AW41" i="2" s="1"/>
  <c r="AV67" i="2"/>
  <c r="AW67" i="2" s="1"/>
  <c r="AT67" i="2"/>
  <c r="AU67" i="2" s="1"/>
  <c r="AV28" i="2"/>
  <c r="AW28" i="2" s="1"/>
  <c r="AT28" i="2"/>
  <c r="AU28" i="2" s="1"/>
  <c r="AV27" i="2"/>
  <c r="AW27" i="2" s="1"/>
  <c r="AT27" i="2"/>
  <c r="AU27" i="2" s="1"/>
  <c r="AO13" i="2"/>
  <c r="AP13" i="2" s="1"/>
  <c r="AV103" i="2"/>
  <c r="AW103" i="2" s="1"/>
  <c r="AT103" i="2"/>
  <c r="AU103" i="2" s="1"/>
  <c r="AV174" i="2"/>
  <c r="AW174" i="2" s="1"/>
  <c r="AT174" i="2"/>
  <c r="AU174" i="2" s="1"/>
  <c r="AO187" i="2"/>
  <c r="AP187" i="2" s="1"/>
  <c r="AQ187" i="2"/>
  <c r="AR187" i="2" s="1"/>
  <c r="AV54" i="2"/>
  <c r="AW54" i="2" s="1"/>
  <c r="AT54" i="2"/>
  <c r="AU54" i="2" s="1"/>
  <c r="AQ132" i="2"/>
  <c r="AR132" i="2" s="1"/>
  <c r="AO132" i="2"/>
  <c r="AP132" i="2" s="1"/>
  <c r="AV137" i="2"/>
  <c r="AW137" i="2" s="1"/>
  <c r="AT137" i="2"/>
  <c r="AU137" i="2" s="1"/>
  <c r="AQ154" i="2"/>
  <c r="AR154" i="2" s="1"/>
  <c r="AO154" i="2"/>
  <c r="AP154" i="2" s="1"/>
  <c r="AQ56" i="2"/>
  <c r="AR56" i="2" s="1"/>
  <c r="AO56" i="2"/>
  <c r="AP56" i="2" s="1"/>
  <c r="AT66" i="2"/>
  <c r="AU66" i="2" s="1"/>
  <c r="AV66" i="2"/>
  <c r="AW66" i="2" s="1"/>
  <c r="AO156" i="2"/>
  <c r="AP156" i="2" s="1"/>
  <c r="AQ156" i="2"/>
  <c r="AR156" i="2" s="1"/>
  <c r="AO114" i="2"/>
  <c r="AP114" i="2" s="1"/>
  <c r="AQ114" i="2"/>
  <c r="AR114" i="2" s="1"/>
  <c r="AQ147" i="2"/>
  <c r="AR147" i="2" s="1"/>
  <c r="AO147" i="2"/>
  <c r="AP147" i="2" s="1"/>
  <c r="AQ115" i="2"/>
  <c r="AR115" i="2" s="1"/>
  <c r="AO115" i="2"/>
  <c r="AP115" i="2" s="1"/>
  <c r="AQ210" i="2"/>
  <c r="AR210" i="2" s="1"/>
  <c r="AO210" i="2"/>
  <c r="AP210" i="2" s="1"/>
  <c r="AO105" i="2"/>
  <c r="AP105" i="2" s="1"/>
  <c r="AQ105" i="2"/>
  <c r="AR105" i="2" s="1"/>
  <c r="AQ138" i="2"/>
  <c r="AR138" i="2" s="1"/>
  <c r="AO138" i="2"/>
  <c r="AP138" i="2" s="1"/>
  <c r="AT126" i="2"/>
  <c r="AU126" i="2" s="1"/>
  <c r="AV126" i="2"/>
  <c r="AW126" i="2" s="1"/>
  <c r="AQ157" i="2"/>
  <c r="AR157" i="2" s="1"/>
  <c r="AO157" i="2"/>
  <c r="AP157" i="2" s="1"/>
  <c r="AQ225" i="2"/>
  <c r="AR225" i="2" s="1"/>
  <c r="AO225" i="2"/>
  <c r="AP225" i="2" s="1"/>
  <c r="AV220" i="2"/>
  <c r="AW220" i="2" s="1"/>
  <c r="AT220" i="2"/>
  <c r="AU220" i="2" s="1"/>
  <c r="AV184" i="2"/>
  <c r="AW184" i="2" s="1"/>
  <c r="AT184" i="2"/>
  <c r="AU184" i="2" s="1"/>
  <c r="AQ185" i="2"/>
  <c r="AR185" i="2" s="1"/>
  <c r="AO185" i="2"/>
  <c r="AP185" i="2" s="1"/>
  <c r="AQ207" i="2"/>
  <c r="AR207" i="2" s="1"/>
  <c r="AO207" i="2"/>
  <c r="AP207" i="2" s="1"/>
  <c r="AV161" i="2"/>
  <c r="AW161" i="2" s="1"/>
  <c r="AT161" i="2"/>
  <c r="AU161" i="2" s="1"/>
  <c r="AV222" i="2"/>
  <c r="AW222" i="2" s="1"/>
  <c r="AT222" i="2"/>
  <c r="AU222" i="2" s="1"/>
  <c r="AV147" i="2"/>
  <c r="AW147" i="2" s="1"/>
  <c r="AT147" i="2"/>
  <c r="AU147" i="2" s="1"/>
  <c r="AV234" i="2"/>
  <c r="AW234" i="2" s="1"/>
  <c r="AT234" i="2"/>
  <c r="AU234" i="2" s="1"/>
  <c r="AO209" i="2"/>
  <c r="AP209" i="2" s="1"/>
  <c r="AQ209" i="2"/>
  <c r="AR209" i="2" s="1"/>
  <c r="AQ39" i="2"/>
  <c r="AR39" i="2" s="1"/>
  <c r="AO39" i="2"/>
  <c r="AP39" i="2" s="1"/>
  <c r="AV56" i="2"/>
  <c r="AW56" i="2" s="1"/>
  <c r="AT56" i="2"/>
  <c r="AU56" i="2" s="1"/>
  <c r="AQ57" i="2"/>
  <c r="AR57" i="2" s="1"/>
  <c r="AO57" i="2"/>
  <c r="AP57" i="2" s="1"/>
  <c r="AQ58" i="2"/>
  <c r="AR58" i="2" s="1"/>
  <c r="AO58" i="2"/>
  <c r="AP58" i="2" s="1"/>
  <c r="AV99" i="2"/>
  <c r="AW99" i="2" s="1"/>
  <c r="AT99" i="2"/>
  <c r="AU99" i="2" s="1"/>
  <c r="AQ168" i="2"/>
  <c r="AR168" i="2" s="1"/>
  <c r="AO168" i="2"/>
  <c r="AP168" i="2" s="1"/>
  <c r="AQ127" i="2"/>
  <c r="AR127" i="2" s="1"/>
  <c r="AO127" i="2"/>
  <c r="AP127" i="2" s="1"/>
  <c r="AV108" i="2"/>
  <c r="AW108" i="2" s="1"/>
  <c r="AT108" i="2"/>
  <c r="AU108" i="2" s="1"/>
  <c r="AV12" i="2"/>
  <c r="AW12" i="2" s="1"/>
  <c r="AT12" i="2"/>
  <c r="AU12" i="2" s="1"/>
  <c r="AO27" i="2"/>
  <c r="AP27" i="2" s="1"/>
  <c r="AQ27" i="2"/>
  <c r="AR27" i="2" s="1"/>
  <c r="AT223" i="2"/>
  <c r="AU223" i="2" s="1"/>
  <c r="AV223" i="2"/>
  <c r="AW223" i="2" s="1"/>
  <c r="AV62" i="2"/>
  <c r="AW62" i="2" s="1"/>
  <c r="AT62" i="2"/>
  <c r="AU62" i="2" s="1"/>
  <c r="AV55" i="2"/>
  <c r="AW55" i="2" s="1"/>
  <c r="AT55" i="2"/>
  <c r="AU55" i="2" s="1"/>
  <c r="AT73" i="2"/>
  <c r="AU73" i="2" s="1"/>
  <c r="AV73" i="2"/>
  <c r="AW73" i="2" s="1"/>
  <c r="AV45" i="2"/>
  <c r="AW45" i="2" s="1"/>
  <c r="AT45" i="2"/>
  <c r="AU45" i="2" s="1"/>
  <c r="AV131" i="2"/>
  <c r="AW131" i="2" s="1"/>
  <c r="AT131" i="2"/>
  <c r="AU131" i="2" s="1"/>
  <c r="AO149" i="2"/>
  <c r="AP149" i="2" s="1"/>
  <c r="AQ149" i="2"/>
  <c r="AR149" i="2" s="1"/>
  <c r="AQ165" i="2"/>
  <c r="AR165" i="2" s="1"/>
  <c r="AO165" i="2"/>
  <c r="AP165" i="2" s="1"/>
  <c r="AV132" i="2"/>
  <c r="AW132" i="2" s="1"/>
  <c r="AT132" i="2"/>
  <c r="AU132" i="2" s="1"/>
  <c r="AQ219" i="2"/>
  <c r="AR219" i="2" s="1"/>
  <c r="AO219" i="2"/>
  <c r="AP219" i="2" s="1"/>
  <c r="AO109" i="2"/>
  <c r="AP109" i="2" s="1"/>
  <c r="AQ109" i="2"/>
  <c r="AR109" i="2" s="1"/>
  <c r="AO131" i="2"/>
  <c r="AP131" i="2" s="1"/>
  <c r="AQ131" i="2"/>
  <c r="AR131" i="2" s="1"/>
  <c r="AT169" i="2"/>
  <c r="AU169" i="2" s="1"/>
  <c r="AV169" i="2"/>
  <c r="AW169" i="2" s="1"/>
  <c r="AQ229" i="2"/>
  <c r="AR229" i="2" s="1"/>
  <c r="AO229" i="2"/>
  <c r="AP229" i="2" s="1"/>
  <c r="AV224" i="2"/>
  <c r="AW224" i="2" s="1"/>
  <c r="AT224" i="2"/>
  <c r="AU224" i="2" s="1"/>
  <c r="AQ195" i="2"/>
  <c r="AR195" i="2" s="1"/>
  <c r="AO195" i="2"/>
  <c r="AP195" i="2" s="1"/>
  <c r="AQ211" i="2"/>
  <c r="AR211" i="2" s="1"/>
  <c r="AO211" i="2"/>
  <c r="AP211" i="2" s="1"/>
  <c r="AV226" i="2"/>
  <c r="AW226" i="2" s="1"/>
  <c r="AT226" i="2"/>
  <c r="AU226" i="2" s="1"/>
  <c r="AV151" i="2"/>
  <c r="AW151" i="2" s="1"/>
  <c r="AT151" i="2"/>
  <c r="AU151" i="2" s="1"/>
  <c r="AQ170" i="2"/>
  <c r="AR170" i="2" s="1"/>
  <c r="AO170" i="2"/>
  <c r="AP170" i="2" s="1"/>
  <c r="AO213" i="2"/>
  <c r="AP213" i="2" s="1"/>
  <c r="AQ213" i="2"/>
  <c r="AR213" i="2" s="1"/>
  <c r="AV183" i="2"/>
  <c r="AW183" i="2" s="1"/>
  <c r="AT183" i="2"/>
  <c r="AU183" i="2" s="1"/>
  <c r="AO41" i="2"/>
  <c r="AP41" i="2" s="1"/>
  <c r="AQ41" i="2"/>
  <c r="AR41" i="2" s="1"/>
  <c r="AO48" i="2"/>
  <c r="AP48" i="2" s="1"/>
  <c r="AQ48" i="2"/>
  <c r="AR48" i="2" s="1"/>
  <c r="AV88" i="2"/>
  <c r="AW88" i="2" s="1"/>
  <c r="AT88" i="2"/>
  <c r="AU88" i="2" s="1"/>
  <c r="AO53" i="2"/>
  <c r="AP53" i="2" s="1"/>
  <c r="AQ53" i="2"/>
  <c r="AR53" i="2" s="1"/>
  <c r="AV24" i="2"/>
  <c r="AW24" i="2" s="1"/>
  <c r="AT24" i="2"/>
  <c r="AU24" i="2" s="1"/>
  <c r="AT51" i="2"/>
  <c r="AU51" i="2" s="1"/>
  <c r="AV51" i="2"/>
  <c r="AW51" i="2" s="1"/>
  <c r="AO75" i="2"/>
  <c r="AP75" i="2" s="1"/>
  <c r="AV76" i="2"/>
  <c r="AW76" i="2" s="1"/>
  <c r="AT76" i="2"/>
  <c r="AU76" i="2" s="1"/>
  <c r="AO120" i="2"/>
  <c r="AP120" i="2" s="1"/>
  <c r="AQ120" i="2"/>
  <c r="AR120" i="2" s="1"/>
  <c r="AV231" i="2"/>
  <c r="AW231" i="2" s="1"/>
  <c r="AT231" i="2"/>
  <c r="AU231" i="2" s="1"/>
  <c r="AV194" i="2"/>
  <c r="AW194" i="2" s="1"/>
  <c r="AT194" i="2"/>
  <c r="AU194" i="2" s="1"/>
  <c r="AO35" i="2"/>
  <c r="AP35" i="2" s="1"/>
  <c r="AQ35" i="2"/>
  <c r="AR35" i="2" s="1"/>
  <c r="AO24" i="2"/>
  <c r="AP24" i="2" s="1"/>
  <c r="AQ24" i="2"/>
  <c r="AR24" i="2" s="1"/>
  <c r="AQ90" i="2"/>
  <c r="AR90" i="2" s="1"/>
  <c r="AO90" i="2"/>
  <c r="AP90" i="2" s="1"/>
  <c r="AV75" i="2"/>
  <c r="AW75" i="2" s="1"/>
  <c r="AT75" i="2"/>
  <c r="AU75" i="2" s="1"/>
  <c r="AV57" i="2"/>
  <c r="AW57" i="2" s="1"/>
  <c r="AT57" i="2"/>
  <c r="AU57" i="2" s="1"/>
  <c r="AQ55" i="2"/>
  <c r="AR55" i="2" s="1"/>
  <c r="AO55" i="2"/>
  <c r="AP55" i="2" s="1"/>
  <c r="AO37" i="2"/>
  <c r="AP37" i="2" s="1"/>
  <c r="AQ37" i="2"/>
  <c r="AR37" i="2" s="1"/>
  <c r="AV36" i="2"/>
  <c r="AW36" i="2" s="1"/>
  <c r="AT36" i="2"/>
  <c r="AU36" i="2" s="1"/>
  <c r="AT58" i="2"/>
  <c r="AU58" i="2" s="1"/>
  <c r="AV58" i="2"/>
  <c r="AW58" i="2" s="1"/>
  <c r="AT77" i="2"/>
  <c r="AU77" i="2" s="1"/>
  <c r="AV77" i="2"/>
  <c r="AW77" i="2" s="1"/>
  <c r="AV135" i="2"/>
  <c r="AW135" i="2" s="1"/>
  <c r="AT135" i="2"/>
  <c r="AU135" i="2" s="1"/>
  <c r="AO166" i="2"/>
  <c r="AP166" i="2" s="1"/>
  <c r="AQ166" i="2"/>
  <c r="AR166" i="2" s="1"/>
  <c r="AT186" i="2"/>
  <c r="AU186" i="2" s="1"/>
  <c r="AV186" i="2"/>
  <c r="AW186" i="2" s="1"/>
  <c r="AV136" i="2"/>
  <c r="AW136" i="2" s="1"/>
  <c r="AT136" i="2"/>
  <c r="AU136" i="2" s="1"/>
  <c r="AT227" i="2"/>
  <c r="AU227" i="2" s="1"/>
  <c r="AV227" i="2"/>
  <c r="AW227" i="2" s="1"/>
  <c r="AT111" i="2"/>
  <c r="AU111" i="2" s="1"/>
  <c r="AV111" i="2"/>
  <c r="AW111" i="2" s="1"/>
  <c r="AQ116" i="2"/>
  <c r="AR116" i="2" s="1"/>
  <c r="AO116" i="2"/>
  <c r="AP116" i="2" s="1"/>
  <c r="AQ160" i="2"/>
  <c r="AR160" i="2" s="1"/>
  <c r="AO160" i="2"/>
  <c r="AP160" i="2" s="1"/>
  <c r="AO135" i="2"/>
  <c r="AP135" i="2" s="1"/>
  <c r="AQ135" i="2"/>
  <c r="AR135" i="2" s="1"/>
  <c r="AV228" i="2"/>
  <c r="AW228" i="2" s="1"/>
  <c r="AT228" i="2"/>
  <c r="AU228" i="2" s="1"/>
  <c r="AV187" i="2"/>
  <c r="AW187" i="2" s="1"/>
  <c r="AT187" i="2"/>
  <c r="AU187" i="2" s="1"/>
  <c r="AQ199" i="2"/>
  <c r="AR199" i="2" s="1"/>
  <c r="AO199" i="2"/>
  <c r="AP199" i="2" s="1"/>
  <c r="AT181" i="2"/>
  <c r="AU181" i="2" s="1"/>
  <c r="AV181" i="2"/>
  <c r="AW181" i="2" s="1"/>
  <c r="AQ215" i="2"/>
  <c r="AR215" i="2" s="1"/>
  <c r="AO215" i="2"/>
  <c r="AP215" i="2" s="1"/>
  <c r="AV230" i="2"/>
  <c r="AW230" i="2" s="1"/>
  <c r="AT230" i="2"/>
  <c r="AU230" i="2" s="1"/>
  <c r="AO217" i="2"/>
  <c r="AP217" i="2" s="1"/>
  <c r="AQ217" i="2"/>
  <c r="AR217" i="2" s="1"/>
  <c r="AT190" i="2"/>
  <c r="AU190" i="2" s="1"/>
  <c r="AV190" i="2"/>
  <c r="AW190" i="2" s="1"/>
  <c r="AT29" i="2"/>
  <c r="AU29" i="2" s="1"/>
  <c r="AV29" i="2"/>
  <c r="AW29" i="2" s="1"/>
  <c r="AQ40" i="2"/>
  <c r="AR40" i="2" s="1"/>
  <c r="AO40" i="2"/>
  <c r="AP40" i="2" s="1"/>
  <c r="AO43" i="2"/>
  <c r="AP43" i="2" s="1"/>
  <c r="AQ43" i="2"/>
  <c r="AR43" i="2" s="1"/>
  <c r="AO21" i="2"/>
  <c r="AP21" i="2" s="1"/>
  <c r="AV105" i="2"/>
  <c r="AW105" i="2" s="1"/>
  <c r="AT105" i="2"/>
  <c r="AU105" i="2" s="1"/>
  <c r="AQ121" i="2"/>
  <c r="AR121" i="2" s="1"/>
  <c r="AO121" i="2"/>
  <c r="AP121" i="2" s="1"/>
  <c r="AV178" i="2"/>
  <c r="AW178" i="2" s="1"/>
  <c r="AT178" i="2"/>
  <c r="AU178" i="2" s="1"/>
  <c r="AO9" i="2"/>
  <c r="AP9" i="2" s="1"/>
  <c r="AQ9" i="2"/>
  <c r="AR9" i="2" s="1"/>
  <c r="AO152" i="2"/>
  <c r="AP152" i="2" s="1"/>
  <c r="AQ152" i="2"/>
  <c r="AR152" i="2" s="1"/>
  <c r="AQ62" i="2"/>
  <c r="AR62" i="2" s="1"/>
  <c r="AO62" i="2"/>
  <c r="AP62" i="2" s="1"/>
  <c r="AV61" i="2"/>
  <c r="AW61" i="2" s="1"/>
  <c r="AT61" i="2"/>
  <c r="AU61" i="2" s="1"/>
  <c r="AV40" i="2"/>
  <c r="AW40" i="2" s="1"/>
  <c r="AT40" i="2"/>
  <c r="AU40" i="2" s="1"/>
  <c r="AQ70" i="2"/>
  <c r="AR70" i="2" s="1"/>
  <c r="AO70" i="2"/>
  <c r="AP70" i="2" s="1"/>
  <c r="AQ63" i="2"/>
  <c r="AR63" i="2" s="1"/>
  <c r="AO63" i="2"/>
  <c r="AP63" i="2" s="1"/>
  <c r="AO85" i="2"/>
  <c r="AP85" i="2" s="1"/>
  <c r="AQ85" i="2"/>
  <c r="AR85" i="2" s="1"/>
  <c r="AO140" i="2"/>
  <c r="AP140" i="2" s="1"/>
  <c r="AQ140" i="2"/>
  <c r="AR140" i="2" s="1"/>
  <c r="AQ167" i="2"/>
  <c r="AR167" i="2" s="1"/>
  <c r="AO167" i="2"/>
  <c r="AP167" i="2" s="1"/>
  <c r="AQ112" i="2"/>
  <c r="AR112" i="2" s="1"/>
  <c r="AO112" i="2"/>
  <c r="AP112" i="2" s="1"/>
  <c r="AQ119" i="2"/>
  <c r="AR119" i="2" s="1"/>
  <c r="AO119" i="2"/>
  <c r="AP119" i="2" s="1"/>
  <c r="AV162" i="2"/>
  <c r="AW162" i="2" s="1"/>
  <c r="AT162" i="2"/>
  <c r="AU162" i="2" s="1"/>
  <c r="AO144" i="2"/>
  <c r="AP144" i="2" s="1"/>
  <c r="AQ144" i="2"/>
  <c r="AR144" i="2" s="1"/>
  <c r="AV109" i="2"/>
  <c r="AW109" i="2" s="1"/>
  <c r="AT109" i="2"/>
  <c r="AU109" i="2" s="1"/>
  <c r="AV159" i="2"/>
  <c r="AW159" i="2" s="1"/>
  <c r="AT159" i="2"/>
  <c r="AU159" i="2" s="1"/>
  <c r="AV191" i="2"/>
  <c r="AW191" i="2" s="1"/>
  <c r="AT191" i="2"/>
  <c r="AU191" i="2" s="1"/>
  <c r="AQ203" i="2"/>
  <c r="AR203" i="2" s="1"/>
  <c r="AO203" i="2"/>
  <c r="AP203" i="2" s="1"/>
  <c r="AQ234" i="2"/>
  <c r="AR234" i="2" s="1"/>
  <c r="AO234" i="2"/>
  <c r="AP234" i="2" s="1"/>
  <c r="AV206" i="2"/>
  <c r="AW206" i="2" s="1"/>
  <c r="AT206" i="2"/>
  <c r="AU206" i="2" s="1"/>
  <c r="AV175" i="2"/>
  <c r="AW175" i="2" s="1"/>
  <c r="AT175" i="2"/>
  <c r="AU175" i="2" s="1"/>
  <c r="AV165" i="2"/>
  <c r="AW165" i="2" s="1"/>
  <c r="AT165" i="2"/>
  <c r="AU165" i="2" s="1"/>
  <c r="AQ197" i="2"/>
  <c r="AR197" i="2" s="1"/>
  <c r="AO197" i="2"/>
  <c r="AP197" i="2" s="1"/>
  <c r="AV32" i="2"/>
  <c r="AW32" i="2" s="1"/>
  <c r="AT32" i="2"/>
  <c r="AU32" i="2" s="1"/>
  <c r="AT60" i="2"/>
  <c r="AU60" i="2" s="1"/>
  <c r="AV60" i="2"/>
  <c r="AW60" i="2" s="1"/>
  <c r="AV10" i="2"/>
  <c r="AW10" i="2" s="1"/>
  <c r="AT10" i="2"/>
  <c r="AU10" i="2" s="1"/>
  <c r="AQ25" i="2"/>
  <c r="AR25" i="2" s="1"/>
  <c r="AO25" i="2"/>
  <c r="AP25" i="2" s="1"/>
  <c r="AQ36" i="2"/>
  <c r="AR36" i="2" s="1"/>
  <c r="AO36" i="2"/>
  <c r="AP36" i="2" s="1"/>
  <c r="AV98" i="2"/>
  <c r="AW98" i="2" s="1"/>
  <c r="AT98" i="2"/>
  <c r="AU98" i="2" s="1"/>
  <c r="AO184" i="2"/>
  <c r="AP184" i="2" s="1"/>
  <c r="AQ184" i="2"/>
  <c r="AR184" i="2" s="1"/>
  <c r="AV46" i="2"/>
  <c r="AW46" i="2" s="1"/>
  <c r="AT46" i="2"/>
  <c r="AU46" i="2" s="1"/>
  <c r="AQ204" i="2"/>
  <c r="AR204" i="2" s="1"/>
  <c r="AO204" i="2"/>
  <c r="AP204" i="2" s="1"/>
  <c r="AV153" i="2"/>
  <c r="AW153" i="2" s="1"/>
  <c r="AT153" i="2"/>
  <c r="AU153" i="2" s="1"/>
  <c r="AV166" i="2"/>
  <c r="AW166" i="2" s="1"/>
  <c r="AT166" i="2"/>
  <c r="AU166" i="2" s="1"/>
  <c r="AO61" i="2"/>
  <c r="AP61" i="2" s="1"/>
  <c r="AQ61" i="2"/>
  <c r="AR61" i="2" s="1"/>
  <c r="AO155" i="2"/>
  <c r="AP155" i="2" s="1"/>
  <c r="AQ155" i="2"/>
  <c r="AR155" i="2" s="1"/>
  <c r="AQ83" i="2"/>
  <c r="AR83" i="2" s="1"/>
  <c r="AO83" i="2"/>
  <c r="AP83" i="2" s="1"/>
  <c r="AQ69" i="2"/>
  <c r="AR69" i="2" s="1"/>
  <c r="AO69" i="2"/>
  <c r="AP69" i="2" s="1"/>
  <c r="AV47" i="2"/>
  <c r="AW47" i="2" s="1"/>
  <c r="AT47" i="2"/>
  <c r="AU47" i="2" s="1"/>
  <c r="AV69" i="2"/>
  <c r="AW69" i="2" s="1"/>
  <c r="AT69" i="2"/>
  <c r="AU69" i="2" s="1"/>
  <c r="AQ67" i="2"/>
  <c r="AR67" i="2" s="1"/>
  <c r="AO67" i="2"/>
  <c r="AP67" i="2" s="1"/>
  <c r="AQ124" i="2"/>
  <c r="AR124" i="2" s="1"/>
  <c r="AO124" i="2"/>
  <c r="AP124" i="2" s="1"/>
  <c r="AO148" i="2"/>
  <c r="AP148" i="2" s="1"/>
  <c r="AQ148" i="2"/>
  <c r="AR148" i="2" s="1"/>
  <c r="AV168" i="2"/>
  <c r="AW168" i="2" s="1"/>
  <c r="AT168" i="2"/>
  <c r="AU168" i="2" s="1"/>
  <c r="AV140" i="2"/>
  <c r="AW140" i="2" s="1"/>
  <c r="AT140" i="2"/>
  <c r="AU140" i="2" s="1"/>
  <c r="AQ122" i="2"/>
  <c r="AR122" i="2" s="1"/>
  <c r="AO122" i="2"/>
  <c r="AP122" i="2" s="1"/>
  <c r="AT118" i="2"/>
  <c r="AU118" i="2" s="1"/>
  <c r="AV118" i="2"/>
  <c r="AW118" i="2" s="1"/>
  <c r="AV129" i="2"/>
  <c r="AW129" i="2" s="1"/>
  <c r="AT129" i="2"/>
  <c r="AU129" i="2" s="1"/>
  <c r="AQ181" i="2"/>
  <c r="AR181" i="2" s="1"/>
  <c r="AO181" i="2"/>
  <c r="AP181" i="2" s="1"/>
  <c r="AQ158" i="2"/>
  <c r="AR158" i="2" s="1"/>
  <c r="AO158" i="2"/>
  <c r="AP158" i="2" s="1"/>
  <c r="AV116" i="2"/>
  <c r="AW116" i="2" s="1"/>
  <c r="AT116" i="2"/>
  <c r="AU116" i="2" s="1"/>
  <c r="AQ218" i="2"/>
  <c r="AR218" i="2" s="1"/>
  <c r="AO218" i="2"/>
  <c r="AP218" i="2" s="1"/>
  <c r="AQ222" i="2"/>
  <c r="AR222" i="2" s="1"/>
  <c r="AO222" i="2"/>
  <c r="AP222" i="2" s="1"/>
  <c r="AT198" i="2"/>
  <c r="AU198" i="2" s="1"/>
  <c r="AV198" i="2"/>
  <c r="AW198" i="2" s="1"/>
  <c r="AV139" i="2"/>
  <c r="AW139" i="2" s="1"/>
  <c r="AT139" i="2"/>
  <c r="AU139" i="2" s="1"/>
  <c r="AV210" i="2"/>
  <c r="AW210" i="2" s="1"/>
  <c r="AT210" i="2"/>
  <c r="AU210" i="2" s="1"/>
  <c r="AQ201" i="2"/>
  <c r="AR201" i="2" s="1"/>
  <c r="AO201" i="2"/>
  <c r="AP201" i="2" s="1"/>
  <c r="AT26" i="2"/>
  <c r="AU26" i="2" s="1"/>
  <c r="AV26" i="2"/>
  <c r="AW26" i="2" s="1"/>
  <c r="AV25" i="2"/>
  <c r="AW25" i="2" s="1"/>
  <c r="AT25" i="2"/>
  <c r="AU25" i="2" s="1"/>
  <c r="AV49" i="2"/>
  <c r="AW49" i="2" s="1"/>
  <c r="AT49" i="2"/>
  <c r="AU49" i="2" s="1"/>
  <c r="AQ22" i="2"/>
  <c r="AR22" i="2" s="1"/>
  <c r="AO22" i="2"/>
  <c r="AP22" i="2" s="1"/>
  <c r="AV33" i="2"/>
  <c r="AW33" i="2" s="1"/>
  <c r="AT33" i="2"/>
  <c r="AU33" i="2" s="1"/>
  <c r="AQ161" i="2"/>
  <c r="AR161" i="2" s="1"/>
  <c r="AO161" i="2"/>
  <c r="AP161" i="2" s="1"/>
  <c r="AV89" i="2"/>
  <c r="AW89" i="2" s="1"/>
  <c r="AT89" i="2"/>
  <c r="AU89" i="2" s="1"/>
  <c r="AQ74" i="2"/>
  <c r="AR74" i="2" s="1"/>
  <c r="AO74" i="2"/>
  <c r="AP74" i="2" s="1"/>
  <c r="AT176" i="2"/>
  <c r="AU176" i="2" s="1"/>
  <c r="AV176" i="2"/>
  <c r="AW176" i="2" s="1"/>
  <c r="AV117" i="2"/>
  <c r="AW117" i="2" s="1"/>
  <c r="AT117" i="2"/>
  <c r="AU117" i="2" s="1"/>
  <c r="AV149" i="2"/>
  <c r="AW149" i="2" s="1"/>
  <c r="AT149" i="2"/>
  <c r="AU149" i="2" s="1"/>
  <c r="AQ126" i="2"/>
  <c r="AR126" i="2" s="1"/>
  <c r="AO126" i="2"/>
  <c r="AP126" i="2" s="1"/>
  <c r="AV133" i="2"/>
  <c r="AW133" i="2" s="1"/>
  <c r="AT133" i="2"/>
  <c r="AU133" i="2" s="1"/>
  <c r="AQ196" i="2"/>
  <c r="AR196" i="2" s="1"/>
  <c r="AO196" i="2"/>
  <c r="AP196" i="2" s="1"/>
  <c r="AV170" i="2"/>
  <c r="AW170" i="2" s="1"/>
  <c r="AT170" i="2"/>
  <c r="AU170" i="2" s="1"/>
  <c r="AQ226" i="2"/>
  <c r="AR226" i="2" s="1"/>
  <c r="AO226" i="2"/>
  <c r="AP226" i="2" s="1"/>
  <c r="AT202" i="2"/>
  <c r="AU202" i="2" s="1"/>
  <c r="AV202" i="2"/>
  <c r="AW202" i="2" s="1"/>
  <c r="AV143" i="2"/>
  <c r="AW143" i="2" s="1"/>
  <c r="AT143" i="2"/>
  <c r="AU143" i="2" s="1"/>
  <c r="AV214" i="2"/>
  <c r="AW214" i="2" s="1"/>
  <c r="AT214" i="2"/>
  <c r="AU214" i="2" s="1"/>
  <c r="AV182" i="2"/>
  <c r="AW182" i="2" s="1"/>
  <c r="AT182" i="2"/>
  <c r="AU182" i="2" s="1"/>
  <c r="AO173" i="2"/>
  <c r="AP173" i="2" s="1"/>
  <c r="AQ173" i="2"/>
  <c r="AR173" i="2" s="1"/>
  <c r="AV172" i="2"/>
  <c r="AW172" i="2" s="1"/>
  <c r="AT172" i="2"/>
  <c r="AU172" i="2" s="1"/>
  <c r="AQ220" i="2"/>
  <c r="AR220" i="2" s="1"/>
  <c r="AO220" i="2"/>
  <c r="AP220" i="2" s="1"/>
  <c r="AO232" i="2"/>
  <c r="AP232" i="2" s="1"/>
  <c r="AQ232" i="2"/>
  <c r="AR232" i="2" s="1"/>
  <c r="AV208" i="2"/>
  <c r="AW208" i="2" s="1"/>
  <c r="AT208" i="2"/>
  <c r="AU208" i="2" s="1"/>
  <c r="AQ18" i="2"/>
  <c r="AR18" i="2" s="1"/>
  <c r="AO18" i="2"/>
  <c r="AP18" i="2" s="1"/>
  <c r="AV9" i="2"/>
  <c r="AW9" i="2" s="1"/>
  <c r="AT9" i="2"/>
  <c r="AU9" i="2" s="1"/>
  <c r="AQ30" i="2"/>
  <c r="AR30" i="2" s="1"/>
  <c r="AV102" i="2"/>
  <c r="AW102" i="2" s="1"/>
  <c r="AT102" i="2"/>
  <c r="AU102" i="2" s="1"/>
  <c r="AQ84" i="2"/>
  <c r="AR84" i="2" s="1"/>
  <c r="AO84" i="2"/>
  <c r="AP84" i="2" s="1"/>
  <c r="AT112" i="2"/>
  <c r="AU112" i="2" s="1"/>
  <c r="AV112" i="2"/>
  <c r="AW112" i="2" s="1"/>
  <c r="AV203" i="2"/>
  <c r="AW203" i="2" s="1"/>
  <c r="AT203" i="2"/>
  <c r="AU203" i="2" s="1"/>
  <c r="AQ42" i="2"/>
  <c r="AR42" i="2" s="1"/>
  <c r="AO42" i="2"/>
  <c r="AP42" i="2" s="1"/>
  <c r="AV85" i="2"/>
  <c r="AW85" i="2" s="1"/>
  <c r="AT85" i="2"/>
  <c r="AU85" i="2" s="1"/>
  <c r="AV86" i="2"/>
  <c r="AW86" i="2" s="1"/>
  <c r="AT86" i="2"/>
  <c r="AU86" i="2" s="1"/>
  <c r="AQ52" i="2"/>
  <c r="AR52" i="2" s="1"/>
  <c r="AO52" i="2"/>
  <c r="AP52" i="2" s="1"/>
  <c r="AQ78" i="2"/>
  <c r="AR78" i="2" s="1"/>
  <c r="AO78" i="2"/>
  <c r="AP78" i="2" s="1"/>
  <c r="AO46" i="2"/>
  <c r="AP46" i="2" s="1"/>
  <c r="AQ46" i="2"/>
  <c r="AR46" i="2" s="1"/>
  <c r="AV70" i="2"/>
  <c r="AW70" i="2" s="1"/>
  <c r="AT70" i="2"/>
  <c r="AU70" i="2" s="1"/>
  <c r="AQ150" i="2"/>
  <c r="AR150" i="2" s="1"/>
  <c r="AO150" i="2"/>
  <c r="AP150" i="2" s="1"/>
  <c r="AQ186" i="2"/>
  <c r="AR186" i="2" s="1"/>
  <c r="AO186" i="2"/>
  <c r="AP186" i="2" s="1"/>
  <c r="AV124" i="2"/>
  <c r="AW124" i="2" s="1"/>
  <c r="AT124" i="2"/>
  <c r="AU124" i="2" s="1"/>
  <c r="AQ164" i="2"/>
  <c r="AR164" i="2" s="1"/>
  <c r="AO164" i="2"/>
  <c r="AP164" i="2" s="1"/>
  <c r="AT121" i="2"/>
  <c r="AU121" i="2" s="1"/>
  <c r="AV121" i="2"/>
  <c r="AW121" i="2" s="1"/>
  <c r="AQ206" i="2"/>
  <c r="AR206" i="2" s="1"/>
  <c r="AO206" i="2"/>
  <c r="AP206" i="2" s="1"/>
  <c r="AV119" i="2"/>
  <c r="AW119" i="2" s="1"/>
  <c r="AT119" i="2"/>
  <c r="AU119" i="2" s="1"/>
  <c r="AQ233" i="2"/>
  <c r="AR233" i="2" s="1"/>
  <c r="AO233" i="2"/>
  <c r="AP233" i="2" s="1"/>
  <c r="AQ230" i="2"/>
  <c r="AR230" i="2" s="1"/>
  <c r="AO230" i="2"/>
  <c r="AP230" i="2" s="1"/>
  <c r="AV150" i="2"/>
  <c r="AW150" i="2" s="1"/>
  <c r="AT150" i="2"/>
  <c r="AU150" i="2" s="1"/>
  <c r="AV218" i="2"/>
  <c r="AW218" i="2" s="1"/>
  <c r="AT218" i="2"/>
  <c r="AU218" i="2" s="1"/>
  <c r="AO180" i="2"/>
  <c r="AP180" i="2" s="1"/>
  <c r="AQ180" i="2"/>
  <c r="AR180" i="2" s="1"/>
  <c r="AV179" i="2"/>
  <c r="AW179" i="2" s="1"/>
  <c r="AT179" i="2"/>
  <c r="AU179" i="2" s="1"/>
  <c r="AQ224" i="2"/>
  <c r="AR224" i="2" s="1"/>
  <c r="AO224" i="2"/>
  <c r="AP224" i="2" s="1"/>
  <c r="AV212" i="2"/>
  <c r="AW212" i="2" s="1"/>
  <c r="AT212" i="2"/>
  <c r="AU212" i="2" s="1"/>
  <c r="AT19" i="2"/>
  <c r="AU19" i="2" s="1"/>
  <c r="AV19" i="2"/>
  <c r="AW19" i="2" s="1"/>
  <c r="AV22" i="2"/>
  <c r="AW22" i="2" s="1"/>
  <c r="AT22" i="2"/>
  <c r="AU22" i="2" s="1"/>
  <c r="AQ14" i="2"/>
  <c r="AR14" i="2" s="1"/>
  <c r="AO14" i="2"/>
  <c r="AP14" i="2" s="1"/>
  <c r="AV23" i="2"/>
  <c r="AW23" i="2" s="1"/>
  <c r="AT23" i="2"/>
  <c r="AU23" i="2" s="1"/>
  <c r="AO20" i="2"/>
  <c r="AP20" i="2" s="1"/>
  <c r="AO118" i="2"/>
  <c r="AP118" i="2" s="1"/>
  <c r="AQ118" i="2"/>
  <c r="AR118" i="2" s="1"/>
  <c r="AQ178" i="2"/>
  <c r="AR178" i="2" s="1"/>
  <c r="AO178" i="2"/>
  <c r="AP178" i="2" s="1"/>
  <c r="AO231" i="2"/>
  <c r="AP231" i="2" s="1"/>
  <c r="AQ231" i="2"/>
  <c r="AR231" i="2" s="1"/>
  <c r="AV83" i="2"/>
  <c r="AW83" i="2" s="1"/>
  <c r="AT83" i="2"/>
  <c r="AU83" i="2" s="1"/>
  <c r="AQ65" i="2"/>
  <c r="AR65" i="2" s="1"/>
  <c r="AO65" i="2"/>
  <c r="AP65" i="2" s="1"/>
  <c r="AV79" i="2"/>
  <c r="AW79" i="2" s="1"/>
  <c r="AT79" i="2"/>
  <c r="AU79" i="2" s="1"/>
  <c r="AQ66" i="2"/>
  <c r="AR66" i="2" s="1"/>
  <c r="AO66" i="2"/>
  <c r="AP66" i="2" s="1"/>
  <c r="AQ59" i="2"/>
  <c r="AR59" i="2" s="1"/>
  <c r="AO59" i="2"/>
  <c r="AP59" i="2" s="1"/>
  <c r="AV91" i="2"/>
  <c r="AW91" i="2" s="1"/>
  <c r="AT91" i="2"/>
  <c r="AU91" i="2" s="1"/>
  <c r="AV80" i="2"/>
  <c r="AW80" i="2" s="1"/>
  <c r="AT80" i="2"/>
  <c r="AU80" i="2" s="1"/>
  <c r="AT52" i="2"/>
  <c r="AU52" i="2" s="1"/>
  <c r="AV52" i="2"/>
  <c r="AW52" i="2" s="1"/>
  <c r="AQ176" i="2"/>
  <c r="AR176" i="2" s="1"/>
  <c r="AO176" i="2"/>
  <c r="AP176" i="2" s="1"/>
  <c r="AQ214" i="2"/>
  <c r="AR214" i="2" s="1"/>
  <c r="AO214" i="2"/>
  <c r="AP214" i="2" s="1"/>
  <c r="AV128" i="2"/>
  <c r="AW128" i="2" s="1"/>
  <c r="AT128" i="2"/>
  <c r="AU128" i="2" s="1"/>
  <c r="AQ175" i="2"/>
  <c r="AR175" i="2" s="1"/>
  <c r="AO175" i="2"/>
  <c r="AP175" i="2" s="1"/>
  <c r="AT125" i="2"/>
  <c r="AU125" i="2" s="1"/>
  <c r="AV125" i="2"/>
  <c r="AW125" i="2" s="1"/>
  <c r="AV141" i="2"/>
  <c r="AW141" i="2" s="1"/>
  <c r="AT141" i="2"/>
  <c r="AU141" i="2" s="1"/>
  <c r="AQ159" i="2"/>
  <c r="AR159" i="2" s="1"/>
  <c r="AO159" i="2"/>
  <c r="AP159" i="2" s="1"/>
  <c r="AV156" i="2"/>
  <c r="AW156" i="2" s="1"/>
  <c r="AT156" i="2"/>
  <c r="AU156" i="2" s="1"/>
  <c r="AV205" i="2"/>
  <c r="AW205" i="2" s="1"/>
  <c r="AT205" i="2"/>
  <c r="AU205" i="2" s="1"/>
  <c r="AV185" i="2"/>
  <c r="AW185" i="2" s="1"/>
  <c r="AT185" i="2"/>
  <c r="AU185" i="2" s="1"/>
  <c r="AO183" i="2"/>
  <c r="AP183" i="2" s="1"/>
  <c r="AQ183" i="2"/>
  <c r="AR183" i="2" s="1"/>
  <c r="AV189" i="2"/>
  <c r="AW189" i="2" s="1"/>
  <c r="AT189" i="2"/>
  <c r="AU189" i="2" s="1"/>
  <c r="AQ228" i="2"/>
  <c r="AR228" i="2" s="1"/>
  <c r="AO228" i="2"/>
  <c r="AP228" i="2" s="1"/>
  <c r="AV148" i="2"/>
  <c r="AW148" i="2" s="1"/>
  <c r="AT148" i="2"/>
  <c r="AU148" i="2" s="1"/>
  <c r="AV216" i="2"/>
  <c r="AW216" i="2" s="1"/>
  <c r="AT216" i="2"/>
  <c r="AU216" i="2" s="1"/>
  <c r="AT15" i="2"/>
  <c r="AU15" i="2" s="1"/>
  <c r="AV15" i="2"/>
  <c r="AW15" i="2" s="1"/>
  <c r="AV11" i="2"/>
  <c r="AW11" i="2" s="1"/>
  <c r="AT11" i="2"/>
  <c r="AU11" i="2" s="1"/>
  <c r="AQ29" i="2"/>
  <c r="AR29" i="2" s="1"/>
  <c r="AO29" i="2"/>
  <c r="AP29" i="2" s="1"/>
  <c r="AV78" i="2"/>
  <c r="AW78" i="2" s="1"/>
  <c r="AT78" i="2"/>
  <c r="AU78" i="2" s="1"/>
  <c r="AQ7" i="2"/>
  <c r="AR7" i="2" s="1"/>
  <c r="AO7" i="2"/>
  <c r="AP7" i="2" s="1"/>
  <c r="AQ117" i="2"/>
  <c r="AR117" i="2" s="1"/>
  <c r="AO117" i="2"/>
  <c r="AP117" i="2" s="1"/>
  <c r="AQ64" i="2"/>
  <c r="AR64" i="2" s="1"/>
  <c r="AO64" i="2"/>
  <c r="AP64" i="2" s="1"/>
  <c r="AQ192" i="2"/>
  <c r="AR192" i="2" s="1"/>
  <c r="AO192" i="2"/>
  <c r="AP192" i="2" s="1"/>
  <c r="AV211" i="2"/>
  <c r="AW211" i="2" s="1"/>
  <c r="AT211" i="2"/>
  <c r="AU211" i="2" s="1"/>
  <c r="AQ143" i="2"/>
  <c r="AR143" i="2" s="1"/>
  <c r="AO143" i="2"/>
  <c r="AP143" i="2" s="1"/>
  <c r="AQ80" i="2"/>
  <c r="AR80" i="2" s="1"/>
  <c r="AO80" i="2"/>
  <c r="AP80" i="2" s="1"/>
  <c r="AV138" i="2"/>
  <c r="AW138" i="2" s="1"/>
  <c r="AT138" i="2"/>
  <c r="AU138" i="2" s="1"/>
  <c r="AQ91" i="2"/>
  <c r="AR91" i="2" s="1"/>
  <c r="AO91" i="2"/>
  <c r="AP91" i="2" s="1"/>
  <c r="AQ87" i="2"/>
  <c r="AR87" i="2" s="1"/>
  <c r="AO87" i="2"/>
  <c r="AP87" i="2" s="1"/>
  <c r="AQ73" i="2"/>
  <c r="AR73" i="2" s="1"/>
  <c r="AO73" i="2"/>
  <c r="AP73" i="2" s="1"/>
  <c r="AV65" i="2"/>
  <c r="AW65" i="2" s="1"/>
  <c r="AT65" i="2"/>
  <c r="AU65" i="2" s="1"/>
  <c r="AT93" i="2"/>
  <c r="AU93" i="2" s="1"/>
  <c r="AV93" i="2"/>
  <c r="AW93" i="2" s="1"/>
  <c r="AQ81" i="2"/>
  <c r="AR81" i="2" s="1"/>
  <c r="AO81" i="2"/>
  <c r="AP81" i="2" s="1"/>
  <c r="AV87" i="2"/>
  <c r="AW87" i="2" s="1"/>
  <c r="AT87" i="2"/>
  <c r="AU87" i="2" s="1"/>
  <c r="AT59" i="2"/>
  <c r="AU59" i="2" s="1"/>
  <c r="AV59" i="2"/>
  <c r="AW59" i="2" s="1"/>
  <c r="AQ198" i="2"/>
  <c r="AR198" i="2" s="1"/>
  <c r="AO198" i="2"/>
  <c r="AP198" i="2" s="1"/>
  <c r="AQ93" i="2"/>
  <c r="AR93" i="2" s="1"/>
  <c r="AO93" i="2"/>
  <c r="AP93" i="2" s="1"/>
  <c r="AQ129" i="2"/>
  <c r="AR129" i="2" s="1"/>
  <c r="AO129" i="2"/>
  <c r="AP129" i="2" s="1"/>
  <c r="AO194" i="2"/>
  <c r="AP194" i="2" s="1"/>
  <c r="AQ194" i="2"/>
  <c r="AR194" i="2" s="1"/>
  <c r="AO130" i="2"/>
  <c r="AP130" i="2" s="1"/>
  <c r="AQ130" i="2"/>
  <c r="AR130" i="2" s="1"/>
  <c r="AQ169" i="2"/>
  <c r="AR169" i="2" s="1"/>
  <c r="AO169" i="2"/>
  <c r="AP169" i="2" s="1"/>
  <c r="AQ106" i="2"/>
  <c r="AR106" i="2" s="1"/>
  <c r="AO106" i="2"/>
  <c r="AP106" i="2" s="1"/>
  <c r="AV209" i="2"/>
  <c r="AW209" i="2" s="1"/>
  <c r="AT209" i="2"/>
  <c r="AU209" i="2" s="1"/>
  <c r="AO190" i="2"/>
  <c r="AP190" i="2" s="1"/>
  <c r="AQ190" i="2"/>
  <c r="AR190" i="2" s="1"/>
  <c r="AV152" i="2"/>
  <c r="AW152" i="2" s="1"/>
  <c r="AT152" i="2"/>
  <c r="AU152" i="2" s="1"/>
  <c r="AV18" i="2"/>
  <c r="AW18" i="2" s="1"/>
  <c r="AT18" i="2"/>
  <c r="AU18" i="2" s="1"/>
  <c r="AQ26" i="2"/>
  <c r="AR26" i="2" s="1"/>
  <c r="AO26" i="2"/>
  <c r="AP26" i="2" s="1"/>
  <c r="AV74" i="2"/>
  <c r="AW74" i="2" s="1"/>
  <c r="AT74" i="2"/>
  <c r="AU74" i="2" s="1"/>
  <c r="AQ136" i="2"/>
  <c r="AR136" i="2" s="1"/>
  <c r="AO136" i="2"/>
  <c r="AP136" i="2" s="1"/>
  <c r="AT229" i="2"/>
  <c r="AU229" i="2" s="1"/>
  <c r="AV229" i="2"/>
  <c r="AW229" i="2" s="1"/>
  <c r="AV68" i="2"/>
  <c r="AW68" i="2" s="1"/>
  <c r="AT68" i="2"/>
  <c r="AU68" i="2" s="1"/>
  <c r="AQ151" i="2"/>
  <c r="AR151" i="2" s="1"/>
  <c r="AO151" i="2"/>
  <c r="AP151" i="2" s="1"/>
  <c r="AQ23" i="2"/>
  <c r="AR23" i="2" s="1"/>
  <c r="AO23" i="2"/>
  <c r="AP23" i="2" s="1"/>
  <c r="AQ79" i="2"/>
  <c r="AR79" i="2" s="1"/>
  <c r="AO79" i="2"/>
  <c r="AP79" i="2" s="1"/>
  <c r="AQ72" i="2"/>
  <c r="AR72" i="2" s="1"/>
  <c r="AO72" i="2"/>
  <c r="AP72" i="2" s="1"/>
  <c r="AV158" i="2"/>
  <c r="AW158" i="2" s="1"/>
  <c r="AT158" i="2"/>
  <c r="AU158" i="2" s="1"/>
  <c r="AQ76" i="2"/>
  <c r="AR76" i="2" s="1"/>
  <c r="AO76" i="2"/>
  <c r="AP76" i="2" s="1"/>
  <c r="AQ92" i="2"/>
  <c r="AR92" i="2" s="1"/>
  <c r="AO92" i="2"/>
  <c r="AP92" i="2" s="1"/>
  <c r="AQ97" i="2"/>
  <c r="AR97" i="2" s="1"/>
  <c r="AO97" i="2"/>
  <c r="AP97" i="2" s="1"/>
  <c r="AQ77" i="2"/>
  <c r="AR77" i="2" s="1"/>
  <c r="AO77" i="2"/>
  <c r="AP77" i="2" s="1"/>
  <c r="AT94" i="2"/>
  <c r="AU94" i="2" s="1"/>
  <c r="AV94" i="2"/>
  <c r="AW94" i="2" s="1"/>
  <c r="AQ88" i="2"/>
  <c r="AR88" i="2" s="1"/>
  <c r="AO88" i="2"/>
  <c r="AP88" i="2" s="1"/>
  <c r="AT100" i="2"/>
  <c r="AU100" i="2" s="1"/>
  <c r="AV100" i="2"/>
  <c r="AW100" i="2" s="1"/>
  <c r="AQ82" i="2"/>
  <c r="AR82" i="2" s="1"/>
  <c r="AO82" i="2"/>
  <c r="AP82" i="2" s="1"/>
  <c r="AQ100" i="2"/>
  <c r="AR100" i="2" s="1"/>
  <c r="AO100" i="2"/>
  <c r="AP100" i="2" s="1"/>
  <c r="AQ133" i="2"/>
  <c r="AR133" i="2" s="1"/>
  <c r="AO133" i="2"/>
  <c r="AP133" i="2" s="1"/>
  <c r="AT204" i="2"/>
  <c r="AU204" i="2" s="1"/>
  <c r="AV204" i="2"/>
  <c r="AW204" i="2" s="1"/>
  <c r="AQ162" i="2"/>
  <c r="AR162" i="2" s="1"/>
  <c r="AO162" i="2"/>
  <c r="AP162" i="2" s="1"/>
  <c r="AO134" i="2"/>
  <c r="AP134" i="2" s="1"/>
  <c r="AQ134" i="2"/>
  <c r="AR134" i="2" s="1"/>
  <c r="AT196" i="2"/>
  <c r="AU196" i="2" s="1"/>
  <c r="AV196" i="2"/>
  <c r="AW196" i="2" s="1"/>
  <c r="AO110" i="2"/>
  <c r="AP110" i="2" s="1"/>
  <c r="AQ110" i="2"/>
  <c r="AR110" i="2" s="1"/>
  <c r="AQ139" i="2"/>
  <c r="AR139" i="2" s="1"/>
  <c r="AO139" i="2"/>
  <c r="AP139" i="2" s="1"/>
  <c r="AV213" i="2"/>
  <c r="AW213" i="2" s="1"/>
  <c r="AT213" i="2"/>
  <c r="AU213" i="2" s="1"/>
  <c r="AV146" i="2"/>
  <c r="AW146" i="2" s="1"/>
  <c r="AT146" i="2"/>
  <c r="AU146" i="2" s="1"/>
  <c r="AT221" i="2"/>
  <c r="AU221" i="2" s="1"/>
  <c r="AV221" i="2"/>
  <c r="AW221" i="2" s="1"/>
  <c r="AV164" i="2"/>
  <c r="AW164" i="2" s="1"/>
  <c r="AT164" i="2"/>
  <c r="AU164" i="2" s="1"/>
  <c r="AQ193" i="2"/>
  <c r="AR193" i="2" s="1"/>
  <c r="AO193" i="2"/>
  <c r="AP193" i="2" s="1"/>
  <c r="AO208" i="2"/>
  <c r="AP208" i="2" s="1"/>
  <c r="AQ208" i="2"/>
  <c r="AR208" i="2" s="1"/>
  <c r="AO174" i="2"/>
  <c r="AP174" i="2" s="1"/>
  <c r="AQ174" i="2"/>
  <c r="AR174" i="2" s="1"/>
  <c r="AT8" i="2"/>
  <c r="AU8" i="2" s="1"/>
  <c r="AV8" i="2"/>
  <c r="AW8" i="2" s="1"/>
  <c r="AV63" i="2"/>
  <c r="AW63" i="2" s="1"/>
  <c r="AT63" i="2"/>
  <c r="AU63" i="2" s="1"/>
  <c r="AQ50" i="2"/>
  <c r="AR50" i="2" s="1"/>
  <c r="AO50" i="2"/>
  <c r="AP50" i="2" s="1"/>
</calcChain>
</file>

<file path=xl/sharedStrings.xml><?xml version="1.0" encoding="utf-8"?>
<sst xmlns="http://schemas.openxmlformats.org/spreadsheetml/2006/main" count="8280" uniqueCount="1537">
  <si>
    <t>CAPTURA DE AVANCES DE METAS 2026</t>
  </si>
  <si>
    <t>PRIMER TRIMESTRE</t>
  </si>
  <si>
    <t>SEGUNDO TRIMESTRE</t>
  </si>
  <si>
    <t>TERCER TRIMESTRE</t>
  </si>
  <si>
    <t>CUARTO TRIMESTRE</t>
  </si>
  <si>
    <t>RESULTADO ACUMULADO AL 2° TRIMESTRE</t>
  </si>
  <si>
    <t>RESULTADO ACUMULADO ANUAL</t>
  </si>
  <si>
    <t>JUSTIFICACIONES</t>
  </si>
  <si>
    <t>CLAVE</t>
  </si>
  <si>
    <t>ÁREA ENCARGADA</t>
  </si>
  <si>
    <t>DGM</t>
  </si>
  <si>
    <t>DEPENDENCIA GENERAL</t>
  </si>
  <si>
    <t>DAA</t>
  </si>
  <si>
    <t>AUX</t>
  </si>
  <si>
    <t>ESTRUCTURA</t>
  </si>
  <si>
    <t>ESTRUCTURA PROGRAMA</t>
  </si>
  <si>
    <t>PROGRAMA</t>
  </si>
  <si>
    <t>ESTRUCTURA PROYECTO</t>
  </si>
  <si>
    <t>PROYECTO</t>
  </si>
  <si>
    <t>#</t>
  </si>
  <si>
    <t>DESCRIPCIÓN DE LA META FÍSICA</t>
  </si>
  <si>
    <t>UNIDAD DE MEDIDA</t>
  </si>
  <si>
    <t>PROGRAMADO ANUAL</t>
  </si>
  <si>
    <t>PROGR. 1° TRIM</t>
  </si>
  <si>
    <t>AVANCE 1°. TRIM</t>
  </si>
  <si>
    <t>% AVANCE 1er. TRIM</t>
  </si>
  <si>
    <t>1°_SEMAFORO</t>
  </si>
  <si>
    <t>PROGR. 2° TRIM</t>
  </si>
  <si>
    <t>AVANCE 2°. TRIM</t>
  </si>
  <si>
    <t>% AVANCE 2o. TRIM</t>
  </si>
  <si>
    <t>2°_SEMAFORO</t>
  </si>
  <si>
    <t>PROGR. 3° TRIM</t>
  </si>
  <si>
    <t>AVANCE 3°. TRIM</t>
  </si>
  <si>
    <t>% AVANCE 3o. TRIM</t>
  </si>
  <si>
    <t>3°_SEMAFORO</t>
  </si>
  <si>
    <t>PROGR. 4° TRIM</t>
  </si>
  <si>
    <t>AVANCE 4°. TRIM</t>
  </si>
  <si>
    <t>% AVANCE 4o. TRIM</t>
  </si>
  <si>
    <t>4°_SEMAFORO</t>
  </si>
  <si>
    <t>PROG. ACUM</t>
  </si>
  <si>
    <t>AVANCE ACUM. TRIM.</t>
  </si>
  <si>
    <t>% ACUMULADO SEM.</t>
  </si>
  <si>
    <t>SEME SEMAFORO</t>
  </si>
  <si>
    <t>DIFERENCIA ABSOLUTA SEMESTRAL</t>
  </si>
  <si>
    <t>% DIFERENCIA SEMESTRAL</t>
  </si>
  <si>
    <t>AVANCE ACUM. ANUAL</t>
  </si>
  <si>
    <t>% ACUMULADO ANUAL</t>
  </si>
  <si>
    <t>ANUAL_SEMAFORO</t>
  </si>
  <si>
    <t>DIFERENCIA ABSOLUTA ANUAL</t>
  </si>
  <si>
    <t>% DIFERENCIA ANUAL</t>
  </si>
  <si>
    <t>COMPROBACIÓN</t>
  </si>
  <si>
    <t>Dirección General</t>
  </si>
  <si>
    <t>A00</t>
  </si>
  <si>
    <t>212</t>
  </si>
  <si>
    <t>Área de Administración</t>
  </si>
  <si>
    <t>A002120103010103</t>
  </si>
  <si>
    <t>01030101</t>
  </si>
  <si>
    <t>Conducción de las políticas de gobierno</t>
  </si>
  <si>
    <t>0103010103</t>
  </si>
  <si>
    <t>Audiencia pública y consulta popular</t>
  </si>
  <si>
    <t>Participar en las Sesiones de Consejo Directivo del Organismo</t>
  </si>
  <si>
    <t>Sesión</t>
  </si>
  <si>
    <t>CRÍTICO</t>
  </si>
  <si>
    <t>Integrar fichas técnicas de supervisión de la infraestructura y de recorridos para la prestación de los servicios hidrosanitarios</t>
  </si>
  <si>
    <t>Ficha de Técnica</t>
  </si>
  <si>
    <t>Elaborar minutas de trabajo de las reuniones de gabinete</t>
  </si>
  <si>
    <t>Minuta de trabajo</t>
  </si>
  <si>
    <t>Presidir las sesiones de los Comités del Organismo de los que la Dirección General forme parte</t>
  </si>
  <si>
    <t>Los comites internos presididos por la Dirección General sesionaron solo una vez, durante el trimestre que se reporta.</t>
  </si>
  <si>
    <t>Presentar al Consejo Directivo el estado de posición financiera y el estado de actividades del ejercicio fiscal inmediato anterior</t>
  </si>
  <si>
    <t>Acuerdo</t>
  </si>
  <si>
    <t>0</t>
  </si>
  <si>
    <t>NO PROG.</t>
  </si>
  <si>
    <t>Unidad de Vinculación Social</t>
  </si>
  <si>
    <t>A01</t>
  </si>
  <si>
    <t>Secretaría Técnica</t>
  </si>
  <si>
    <t>215</t>
  </si>
  <si>
    <t>Área de Atención a Usuarios</t>
  </si>
  <si>
    <t>A012150103010101</t>
  </si>
  <si>
    <t>0103010101</t>
  </si>
  <si>
    <t>Relaciones públicas</t>
  </si>
  <si>
    <t>Dar seguimiento a los acuerdos generados por el Consejo Directivo</t>
  </si>
  <si>
    <t>Fichas de seguimiento</t>
  </si>
  <si>
    <t>Atender las demandas ciudadanas para brindar y en su caso mejorar el acceso a los servicios que presta el Organismo.</t>
  </si>
  <si>
    <t>Informe</t>
  </si>
  <si>
    <t>Participar en las reuniones institucionales con autoridades auxiliares, organizaciones, asociaciones y ciudadanos</t>
  </si>
  <si>
    <t>Reunión</t>
  </si>
  <si>
    <t>Departamento de Transparencia</t>
  </si>
  <si>
    <t>231</t>
  </si>
  <si>
    <t>Área de Coordinación Institucional</t>
  </si>
  <si>
    <t>A002310108040101</t>
  </si>
  <si>
    <t>01080401</t>
  </si>
  <si>
    <t>Transparencia</t>
  </si>
  <si>
    <t>0108040101</t>
  </si>
  <si>
    <t>Vinculación ciudadana con la administración pública</t>
  </si>
  <si>
    <t>Atender las solicitudes de acceso a la información pública y del ejercicio de derechos de acceso, rectificación, cancelación y oposición de datos personales, recibidas vía electrónica o presencial.</t>
  </si>
  <si>
    <t>Solicitud</t>
  </si>
  <si>
    <t>Actualizar la plataforma IPOMEX (Información Pública de Oficio Mexiquense)</t>
  </si>
  <si>
    <t>Actualización</t>
  </si>
  <si>
    <t>Capacitar a los servidores públicos habilitados del Organismo, en materia de transparencia presencial y/o virtual</t>
  </si>
  <si>
    <t>Capacitación</t>
  </si>
  <si>
    <t>Dar cumplimiento a las resoluciones relativas a los recursos de revisión, resueltas por el INFOEM</t>
  </si>
  <si>
    <t>Recurso</t>
  </si>
  <si>
    <t>El número de recursos de revisión  fue menor al programado,
 derivado de la disminución en el índice de solicitudes recurridas durante el periodo evaluado.</t>
  </si>
  <si>
    <t>Unidad de Cultura del Agua y Enlace con Comunicación</t>
  </si>
  <si>
    <t>234</t>
  </si>
  <si>
    <t>Área de Cultura del Agua</t>
  </si>
  <si>
    <t>A012340108030103</t>
  </si>
  <si>
    <t>01080301</t>
  </si>
  <si>
    <t>Comunicación pública y fortalecimiento informativo</t>
  </si>
  <si>
    <t>0108030103</t>
  </si>
  <si>
    <t>Difusión y comunicación institucional</t>
  </si>
  <si>
    <t>Elaborar síntesis informativa</t>
  </si>
  <si>
    <t>Síntesis</t>
  </si>
  <si>
    <t>Participar en eventos difundiendo las actividades realizadas por el Organismo</t>
  </si>
  <si>
    <t>Evento</t>
  </si>
  <si>
    <t>Emitir un reporte respecto a los alcances de las redes sociales del Organismo</t>
  </si>
  <si>
    <t>Reporte Analítico</t>
  </si>
  <si>
    <t>Elaborar boletines informativos de las actividades que realiza el Organismo que incluya material fotográfico</t>
  </si>
  <si>
    <t>Boletín</t>
  </si>
  <si>
    <t>Producir material videográfico sobre las actividades de Operagua</t>
  </si>
  <si>
    <t>Spot</t>
  </si>
  <si>
    <t>Canalizar reportes en materia de agua potable y saneamiento recibidos por medio de las redes sociales</t>
  </si>
  <si>
    <t>Reporte</t>
  </si>
  <si>
    <t>Implementar la imagen corporativa del Organismo</t>
  </si>
  <si>
    <t>Diseño</t>
  </si>
  <si>
    <t>Realizar conferencia de prensa en los diferentes medios de comunicación que difundan las acciones del Organismo</t>
  </si>
  <si>
    <t>Conferencia</t>
  </si>
  <si>
    <t>Emitir un informe de las actividades más relevantes del Organismo</t>
  </si>
  <si>
    <t>Diseñar campañas de difusión</t>
  </si>
  <si>
    <t>Campaña</t>
  </si>
  <si>
    <t>Unidad de Oficialía de Partes</t>
  </si>
  <si>
    <t>A012150103010103</t>
  </si>
  <si>
    <t>Emitir informes de seguimiento y control de respuestas de peticiones</t>
  </si>
  <si>
    <t>Emitir reportes de la correspondencia que ingresa al organismo</t>
  </si>
  <si>
    <t>Departamento de Control Patrimonial</t>
  </si>
  <si>
    <t>214</t>
  </si>
  <si>
    <t>Área de Patrimonio</t>
  </si>
  <si>
    <t>A012140105020606</t>
  </si>
  <si>
    <t>01050206</t>
  </si>
  <si>
    <t>Consolidación de la administración pública de resultados</t>
  </si>
  <si>
    <t>0105020606</t>
  </si>
  <si>
    <t>Control del patrimonio y normatividad</t>
  </si>
  <si>
    <t>Registrar, controlar e inventariar el patrimonio de bienes muebles e inmuebles del Organismo</t>
  </si>
  <si>
    <t>Inventario</t>
  </si>
  <si>
    <t>Actualizar padrón de Bienes Muebles e Inmuebles del Organismo</t>
  </si>
  <si>
    <t>Padrón</t>
  </si>
  <si>
    <t>Realizar las acciones necesarias para la integración y funcionamiento del Comité de Bienes Muebles e Inmuebles del Organismo en coordinación con la Contraloría Interna</t>
  </si>
  <si>
    <t>Acta</t>
  </si>
  <si>
    <t>Elaborar Programa Anual para la Disposición Final de Bienes Muebles</t>
  </si>
  <si>
    <t>Programa</t>
  </si>
  <si>
    <t>Unidad de Archivo</t>
  </si>
  <si>
    <t>A012310105020606</t>
  </si>
  <si>
    <t>Elaborar y publicar el Programa Anual de Desarrollo Archivístico</t>
  </si>
  <si>
    <t>Programa Anual</t>
  </si>
  <si>
    <t>Asesorar a Servidores Públicos en materia archivística</t>
  </si>
  <si>
    <t>Asesoría</t>
  </si>
  <si>
    <t>Departamento de Simplificación y Digitalización</t>
  </si>
  <si>
    <t>229</t>
  </si>
  <si>
    <t>Área de Aseguramiento de Calidad</t>
  </si>
  <si>
    <t>A012290105020608</t>
  </si>
  <si>
    <t>0105020608</t>
  </si>
  <si>
    <t>Simplificación y modernización de la administración pública</t>
  </si>
  <si>
    <t>Dar seguimiento a la Agenda de simplificación y digitalización</t>
  </si>
  <si>
    <t>Actualizar los trámites y servicios de Operagua Izcalli, O.P.D.M.</t>
  </si>
  <si>
    <t>Cédula</t>
  </si>
  <si>
    <t xml:space="preserve">Integrar de la Agenda Regulatoria </t>
  </si>
  <si>
    <t>Agenda Regulatoria</t>
  </si>
  <si>
    <t>A012290108050103</t>
  </si>
  <si>
    <t>01080501</t>
  </si>
  <si>
    <t>Gobierno digital</t>
  </si>
  <si>
    <t>0108050103</t>
  </si>
  <si>
    <t>Innovación gubernamental con tecnologías de información</t>
  </si>
  <si>
    <t>Elaborar el Programa para la Implementación de la Agenda Digital del Organismo.</t>
  </si>
  <si>
    <t>Realizar Informes Trimestrales del estado que guardan los proyectos de aplicaciones tecnológicas del organismo.</t>
  </si>
  <si>
    <t>A012340202030108</t>
  </si>
  <si>
    <t>02020301</t>
  </si>
  <si>
    <t>Manejo eficiente y sustentable del agua</t>
  </si>
  <si>
    <t>0202030108</t>
  </si>
  <si>
    <t>Cultura del agua para el desarrollo sostenible</t>
  </si>
  <si>
    <t>Impartir actividades (pláticas de concientización, talleres, eventos, jornadas) sobre el uso responsable del agua, dirigidas a diferentes sectores de la sociedad</t>
  </si>
  <si>
    <t>Actividad</t>
  </si>
  <si>
    <t>Se realizaron 45 actividades en materia de Cultura del Agua con el objetivo de propiciar entre la población el correcto cuidado y manejo eficiente del recurso hídrico.</t>
  </si>
  <si>
    <t>Llevar a cabo un registro de la participación social en las actividades de Cultura del Agua</t>
  </si>
  <si>
    <t>Asistente</t>
  </si>
  <si>
    <t>Se logró superar la meta establecida, toda vez que es una meta no controlable porque depende de la asistencia de los ciudadanos en las actividades de Cultura del Agua.</t>
  </si>
  <si>
    <t>A012120105020502</t>
  </si>
  <si>
    <t>01050205</t>
  </si>
  <si>
    <t>Planeación y presupuesto basado en resultados</t>
  </si>
  <si>
    <t>0105020502</t>
  </si>
  <si>
    <t>Planeación de proyectos para el desarrollo social</t>
  </si>
  <si>
    <t>Coordinar los trabajos de asistencia técnica requeridos por el Consejo Directivo</t>
  </si>
  <si>
    <t>Coordinar la elaboración de informes. reportes y demás información que el Organismo presente ante el Ayuntamiento</t>
  </si>
  <si>
    <t>Nota Informativa</t>
  </si>
  <si>
    <t xml:space="preserve">Realizar el informe de la integración de los expedientes sometidos a aprobación del Comité Interno de Dictámenes y factibilidades </t>
  </si>
  <si>
    <t>Unidad de Información, Planeación, Programación y Evaluación (UIPPE)</t>
  </si>
  <si>
    <t>230</t>
  </si>
  <si>
    <t>Área de Planes y Programas</t>
  </si>
  <si>
    <t>A012300105020508</t>
  </si>
  <si>
    <t>0105020508</t>
  </si>
  <si>
    <t>Planeación y evaluación para el desarrollo municipal</t>
  </si>
  <si>
    <t>Brindar capacitaciones en materia de planeación estratégica municipal, dirigidas a los enlaces de las direcciones del organismo con la UIPPE</t>
  </si>
  <si>
    <t>Integrar el Anteproyecto de Presupuesto de Ingresos Municipal</t>
  </si>
  <si>
    <t>Documento</t>
  </si>
  <si>
    <t>Integrar el Proyecto de Presupuesto de Egresos Municipal</t>
  </si>
  <si>
    <t>Oficio</t>
  </si>
  <si>
    <t>Integrar la Publicación del Presupuesto de Egresos Municipal</t>
  </si>
  <si>
    <t>Integrar la información trimestral de metas e indicadores del Organismo</t>
  </si>
  <si>
    <t xml:space="preserve">Publicar el Programa Anual de Evaluación (PAE) </t>
  </si>
  <si>
    <t>Publicación</t>
  </si>
  <si>
    <t>Dar seguimiento a las actividades del Plan de Desarrollo Municipal vigente</t>
  </si>
  <si>
    <t>Enviar información de las actividades de OPERAGUA para el Informe de Gobierno</t>
  </si>
  <si>
    <t>Departamento de Recursos Humanos</t>
  </si>
  <si>
    <t>B00</t>
  </si>
  <si>
    <t>Dirección de Administración y Finanzas</t>
  </si>
  <si>
    <t>B002120105020601</t>
  </si>
  <si>
    <t>0105020601</t>
  </si>
  <si>
    <t>Administración de personal</t>
  </si>
  <si>
    <t>Expedir credenciales de identificación a servidores públicos</t>
  </si>
  <si>
    <t>Credencial</t>
  </si>
  <si>
    <t>Gestionar la impartición de cursos o talleres de capacitación a servidores públicos</t>
  </si>
  <si>
    <t>Curso</t>
  </si>
  <si>
    <t>Realizar reuniones de trabajo con los Departamentos pertenecientes a la Coordinación de Administración</t>
  </si>
  <si>
    <t>Departamento de Servicios Generales y Control Vehicular</t>
  </si>
  <si>
    <t>210</t>
  </si>
  <si>
    <t>Área de Recursos Materiales y Servicios Generales</t>
  </si>
  <si>
    <t>B002100105020603</t>
  </si>
  <si>
    <t>0105020603</t>
  </si>
  <si>
    <t>Adquisiciones y servicios</t>
  </si>
  <si>
    <t>Realizar labores de mantenimiento y limpieza en las instalaciones del Organismo</t>
  </si>
  <si>
    <t>Bitácora de Trabajo</t>
  </si>
  <si>
    <t>Se llevo acabo el mantenimiento adecuado en las Instalaciones de este Organismo.</t>
  </si>
  <si>
    <t>Llevar a cabo la revista del parque vehicular del Organismo</t>
  </si>
  <si>
    <t>Formato de verificación y/o inspección</t>
  </si>
  <si>
    <t>el primer pase de revista se llevara acabo  apartir del segundo trimestre.</t>
  </si>
  <si>
    <t>Monitorear el consumo de gasolina y diésel del parque vehicular, así como en los cárcamos del Organismo</t>
  </si>
  <si>
    <t>Monitoreo</t>
  </si>
  <si>
    <t xml:space="preserve">Se continua trabajando  con el monitoreo de Gasolina y Diesel  </t>
  </si>
  <si>
    <t>Realizar la verificación del parque vehicular del Organismo</t>
  </si>
  <si>
    <t>Expediente</t>
  </si>
  <si>
    <t>Las verificaciones se realizaran  en el segundo trimestre .</t>
  </si>
  <si>
    <t>Departamento de Recursos Materiales y Adquisiciones</t>
  </si>
  <si>
    <t>213</t>
  </si>
  <si>
    <t>Área de Adquisiciones</t>
  </si>
  <si>
    <t>B002130105020603</t>
  </si>
  <si>
    <t>Integrar el catálogo de bienes y servicios</t>
  </si>
  <si>
    <t>Catalogo</t>
  </si>
  <si>
    <t>Realizar los procedimientos adquisitivos</t>
  </si>
  <si>
    <t>Procedimiento</t>
  </si>
  <si>
    <t>Realizar sesiones de Comité de Adquisiciones de Bienes y Servicios</t>
  </si>
  <si>
    <t>Realizar reporte mensual de altas y renovaciones del catálogo de proveedores</t>
  </si>
  <si>
    <t xml:space="preserve">Atención a la ciudadanía, para brindar un servicio eficiente y orientación clara </t>
  </si>
  <si>
    <t xml:space="preserve">Brindar atencion a la Ciudadania para una mejor atencion al Usuario </t>
  </si>
  <si>
    <t>209</t>
  </si>
  <si>
    <t>Área de Recursos Humanos</t>
  </si>
  <si>
    <t>B002090105020602</t>
  </si>
  <si>
    <t>0105020602</t>
  </si>
  <si>
    <t>Capacitación y profesionalización para el desarrollo del personal</t>
  </si>
  <si>
    <t>Integrar expedientes de servidores públicos</t>
  </si>
  <si>
    <t>Actualizar expedientes laborales</t>
  </si>
  <si>
    <t>Promover, administrar y gestionar trámites de servicio social y prácticas profesionales</t>
  </si>
  <si>
    <t>Tramite por estudiante</t>
  </si>
  <si>
    <t>Actualizar el tabulador de sueldos y salarios</t>
  </si>
  <si>
    <t>Tabulador</t>
  </si>
  <si>
    <t>Renovar el convenio sindical</t>
  </si>
  <si>
    <t>Convenio</t>
  </si>
  <si>
    <t>Realizar trámites de baja de personal ante el ISSEMyM</t>
  </si>
  <si>
    <t>Documento de Baja</t>
  </si>
  <si>
    <t>Los movimientos de personal se realizan con base en las necesidades operativas del organismo; asimismo, existe variación debido a las renuncias voluntarias presentadas por los servidores públicos.</t>
  </si>
  <si>
    <t>Realizar trámites de alta de personal ante el ISSEMyM</t>
  </si>
  <si>
    <t>Documento de Alta</t>
  </si>
  <si>
    <t>Los movimientos de personal se realizan con base en las necesidades operativas del organismo.</t>
  </si>
  <si>
    <t>Integrar y generar la nómina del Organismo</t>
  </si>
  <si>
    <t>Actualizar padrón por anualidad de servidores públicos obligados a realizar su declaración de situación patrimonial</t>
  </si>
  <si>
    <t>Integrar y enviar reportes contables</t>
  </si>
  <si>
    <t>Departamento de Caja General</t>
  </si>
  <si>
    <t>205</t>
  </si>
  <si>
    <t>Área de Ingresos</t>
  </si>
  <si>
    <t>B002050105020201</t>
  </si>
  <si>
    <t>01050202</t>
  </si>
  <si>
    <t>Fortalecimiento de los ingresos</t>
  </si>
  <si>
    <t>0105020201</t>
  </si>
  <si>
    <t>Captación y recaudación de ingresos</t>
  </si>
  <si>
    <t>Realizar Arqueos de Caja de forma periódica</t>
  </si>
  <si>
    <t>Corte de caja</t>
  </si>
  <si>
    <t>Realizar un análisis mensual de la Recaudación de la Ley de Ingresos</t>
  </si>
  <si>
    <t>Dar seguimiento a la Ley de Ingresos de Gestión y dar a conocer a las Dependencias Auxiliares su Avance respecto a los ingresos estimados</t>
  </si>
  <si>
    <t>Coadyuvar en el Presupuesto de Ingresos Definitivo</t>
  </si>
  <si>
    <t>Constancia</t>
  </si>
  <si>
    <t>Coadyuvar en la elaboración del Anteproyecto del Presupuesto de Ingresos</t>
  </si>
  <si>
    <t>Participar en la Integración del Proyecto de Presupuesto Definitivo de la Ley de Ingresos</t>
  </si>
  <si>
    <t>Acta de Consejo</t>
  </si>
  <si>
    <t>Coadyuvar en la Entrega de los Informes Trimestrales al Órgano Superior de Fiscalización del Estado de México</t>
  </si>
  <si>
    <t>204</t>
  </si>
  <si>
    <t>Área de Tesorería</t>
  </si>
  <si>
    <t>B002040105020209</t>
  </si>
  <si>
    <t>0105020209</t>
  </si>
  <si>
    <t>Registro y control de caja y tesorería</t>
  </si>
  <si>
    <t>Supervisar la integración del proyecto de presupuesto de ingresos y egresos del organismo</t>
  </si>
  <si>
    <t>Proyecto</t>
  </si>
  <si>
    <t>Supervisar la integración del presupuesto de ingresos y egresos del organismo</t>
  </si>
  <si>
    <t>Presupuesto</t>
  </si>
  <si>
    <t>Supervisar la integración y entrega de la cuenta pública</t>
  </si>
  <si>
    <t>Cuenta Publica</t>
  </si>
  <si>
    <t>Supervisar la integración y entrega de los informes trimestrales al OSFEM</t>
  </si>
  <si>
    <t>Informe Trimestral</t>
  </si>
  <si>
    <t>Presidir las sesiones del comité de adquisiciones de bienes y servicios</t>
  </si>
  <si>
    <t>Coordinación de Finanzas</t>
  </si>
  <si>
    <t>211</t>
  </si>
  <si>
    <t>Área de Finanzas</t>
  </si>
  <si>
    <t>B002110105020209</t>
  </si>
  <si>
    <t>Dar seguimiento a la Integración de la Cuenta Pública</t>
  </si>
  <si>
    <t>Presentar el Presupuesto Definitivo de Ingresos y Egresos ante el Órgano Superior de Fiscalización del Estado De México.</t>
  </si>
  <si>
    <t>Coordinar el proceso de solventación de las recomendaciones y hallazgos por el OSFEM</t>
  </si>
  <si>
    <t>Supervisar la correcta Integración de los Informes Trimestrales</t>
  </si>
  <si>
    <t>Coordinar la solventación de las recomendaciones emitidas por la Contraloría</t>
  </si>
  <si>
    <t>Supervisar la correcta integración de la Declaración de Impuestos Mensuales</t>
  </si>
  <si>
    <t>Declaración</t>
  </si>
  <si>
    <t>Supervisar la correcta integración de la Declaración de Impuestos Bimestrales</t>
  </si>
  <si>
    <t>Departamento de Sistemas, Telecomunicaciones y Soporte Tecnológico</t>
  </si>
  <si>
    <t>201</t>
  </si>
  <si>
    <t>Área de Sistemas</t>
  </si>
  <si>
    <t>B002010108050103</t>
  </si>
  <si>
    <t>Impartir cursos y asesorías en materia de informática, dirigidos a los servidores públicos del Organismo</t>
  </si>
  <si>
    <t>Formato de Asesoría</t>
  </si>
  <si>
    <t>Registrar y actualizar el inventario de los equipos de cómputo del organismo</t>
  </si>
  <si>
    <t>Proporcionar soporte técnico a los equipos del Organismo</t>
  </si>
  <si>
    <t>Formato de Soporte</t>
  </si>
  <si>
    <t>Brindar mantenimiento preventivo, correctivo y actualización a la red interna del Organismo</t>
  </si>
  <si>
    <t>Formato de Mantenimiento</t>
  </si>
  <si>
    <t>Brindar mantenimiento preventivo, correctivo y actualización a los equipos de cómputo del Organismo</t>
  </si>
  <si>
    <t>Formato de mantenimiento</t>
  </si>
  <si>
    <t>B002090206080501</t>
  </si>
  <si>
    <t>02060805</t>
  </si>
  <si>
    <t>Igualdad de trato y oportunidades para la mujer, el hombre y personas LGBTTTIQ+</t>
  </si>
  <si>
    <t>0206080501</t>
  </si>
  <si>
    <t>Coordinación Institucional para la igualdad de género</t>
  </si>
  <si>
    <t>Realizar capacitaciones a personal adscrito que promueven la cultura de igualdad, equidad y prevención de la violencia de genero</t>
  </si>
  <si>
    <t>Realizar eventos para la promoción de la cultura de igualdad, equidad y prevención de la violencia de genero.</t>
  </si>
  <si>
    <t>Entrega de material informativo para la sensibilización en temas con perspectiva de género en el territorio municipal</t>
  </si>
  <si>
    <t>Trípticos</t>
  </si>
  <si>
    <t>Realizar difusión de información sobre la cultura de la igualdad, equidad y prevención de la violencia de genero</t>
  </si>
  <si>
    <t>Periódico mural</t>
  </si>
  <si>
    <t>Departamento de Control Presupuestal</t>
  </si>
  <si>
    <t>206</t>
  </si>
  <si>
    <t>Área de Presupuestos</t>
  </si>
  <si>
    <t>B002060105020510</t>
  </si>
  <si>
    <t>0105020510</t>
  </si>
  <si>
    <t>Integración, seguimiento y control presupuestal del ayuntamiento</t>
  </si>
  <si>
    <t>Presentar el Presupuesto Definitivo de Ingresos y Egresos ante el Órgano Superior de Fiscalización del Estado De México</t>
  </si>
  <si>
    <t>Elaborar el Anteproyecto del Presupuesto de Ingresos y Egresos</t>
  </si>
  <si>
    <t>Elaborar el Proyecto del Presupuesto de Ingresos y Egresos</t>
  </si>
  <si>
    <t>Realizar el análisis trimestral de la ejecución y seguimiento presupuestal</t>
  </si>
  <si>
    <t>Departamento de Contabilidad</t>
  </si>
  <si>
    <t>203</t>
  </si>
  <si>
    <t>Área de Contabilidad y Presupuesto</t>
  </si>
  <si>
    <t>B002030105020511</t>
  </si>
  <si>
    <t>0105020511</t>
  </si>
  <si>
    <t>Registro, control contable-presupuestal y cuenta de la hacienda pública municipal</t>
  </si>
  <si>
    <t>Realizar la Entrega del Informe Trimestral al Órgano Superior de Fiscalización del Estado de México</t>
  </si>
  <si>
    <t>Realizar la Entrega de la Cuenta Pública</t>
  </si>
  <si>
    <t>Coadyuvar en la Integración del Anteproyecto del Presupuesto de Egresos</t>
  </si>
  <si>
    <t>Solventar y dar Seguimiento a las Observaciones de los Informes Trimestrales remitidos al Órgano Superior de Fiscalización del Estado de México</t>
  </si>
  <si>
    <t>Presentar la Dictaminarían del Impuestos Sobre Erogaciones al Personal</t>
  </si>
  <si>
    <t>Presentar la Dictaminarían de Estados Financieros</t>
  </si>
  <si>
    <t>Departamento de Atención a Usuarios</t>
  </si>
  <si>
    <t>B03</t>
  </si>
  <si>
    <t>Dirección de Comercialización</t>
  </si>
  <si>
    <t>B032150103010103</t>
  </si>
  <si>
    <t>Emitir certificados de pago de derechos de agua potable y drenaje.</t>
  </si>
  <si>
    <t>Certificado</t>
  </si>
  <si>
    <t>POR LO QUE CORRESPONDE A ESTE INDICADOR, EN BASE AL ACTUAL REGLAMENTO INTERNO DE OPERAGUA IZCALLI, O.P.D.M., PERTENECE AL DEPARTAMENTO DE PADRON Y LIQUIDACIONES; CON FUNDAMENTO EN EL ARTICULO 67 FRACCION I DEL ANTES MENCIONADO.</t>
  </si>
  <si>
    <t>Emitir constancias de inexistencia de infraestructura.</t>
  </si>
  <si>
    <t>Realizar encuestas telefónicas de satisfacción a la ciudadanía</t>
  </si>
  <si>
    <t>Encuesta</t>
  </si>
  <si>
    <t>SE ALCANZO CON LA META ESTABLECIDA</t>
  </si>
  <si>
    <t>Generar reportes de quejas de la ciudadanía</t>
  </si>
  <si>
    <t>Integrar expedientes y registrar en el sistema el cambio de propietario.</t>
  </si>
  <si>
    <t>ESTA META DEPENDE EN SU TOTALIDAD A LA AFLUENCIA DE PERSONAS QUE REQUIERAN REALIZAR EL CAMBIO DE PROPIETARIO</t>
  </si>
  <si>
    <t>216</t>
  </si>
  <si>
    <t>Área de Comercialización</t>
  </si>
  <si>
    <t>B032160105020201</t>
  </si>
  <si>
    <t>Implementar y dar seguimiento a programas de regularización y bonificaciones</t>
  </si>
  <si>
    <t>Realizar el estudio tarifario para la actualización de tarifas 2026</t>
  </si>
  <si>
    <t>Gaceta</t>
  </si>
  <si>
    <t>Actualizar los precios públicos para el ejercicio 2026</t>
  </si>
  <si>
    <t>Departamento de Padrón y Liquidaciones</t>
  </si>
  <si>
    <t>202</t>
  </si>
  <si>
    <t>Área de Padrones, Lecturas y Facturación</t>
  </si>
  <si>
    <t>B032020105020201</t>
  </si>
  <si>
    <t>Elaboración de Certificado de no Adeudo</t>
  </si>
  <si>
    <t xml:space="preserve">Los usuarios, realizaron el proceso y la soolicitud para el certificado de no adeudo. </t>
  </si>
  <si>
    <t>Emitir constancia de no servicios</t>
  </si>
  <si>
    <t>Las constancias de no servicio, son tramitadas de acuerdo a las solicitudes de los ciudadanos.</t>
  </si>
  <si>
    <t>Integrar expedientes para altas</t>
  </si>
  <si>
    <t>Al no haber campaña de regularización para tomas omisas, los usuarios no se han regularizado. Esperando que en los siguientes trimestres se alcance la meta programada.</t>
  </si>
  <si>
    <t>Emitir liquidaciones para el pago de los servicios</t>
  </si>
  <si>
    <t>Liquidación</t>
  </si>
  <si>
    <t>De acuerdo a la Gaceta 095 de diciembre del año 2025, numeral III, en los meses de enero, febrero y marzo hay campañas de descuentos por el pago anual anticipado. En estos meses hubo mucha afluencia de usuarios por este motivo.</t>
  </si>
  <si>
    <t>Departamento de Inspecciones y Medidores</t>
  </si>
  <si>
    <t>220</t>
  </si>
  <si>
    <t>Área de Operación</t>
  </si>
  <si>
    <t>B032200105020201</t>
  </si>
  <si>
    <t>Colocación de precintos a medidores</t>
  </si>
  <si>
    <t>Realizar revisión a medidores.</t>
  </si>
  <si>
    <t>Orden de Trabajo</t>
  </si>
  <si>
    <t>Realizar verificaciones e inspecciones a usuarios para identificar la instalación de tomas de agua</t>
  </si>
  <si>
    <t>Inspección</t>
  </si>
  <si>
    <t>Departamento de Ejecución Fiscal y Restricciones</t>
  </si>
  <si>
    <t>208</t>
  </si>
  <si>
    <t>Área de Rezago y Cobranza</t>
  </si>
  <si>
    <t>B032080105020201</t>
  </si>
  <si>
    <t>Entrega de carta invitación a usuarios con rezago</t>
  </si>
  <si>
    <t>Carta invitación</t>
  </si>
  <si>
    <t xml:space="preserve">Determinación de créditos fiscales </t>
  </si>
  <si>
    <t>Determinación</t>
  </si>
  <si>
    <t xml:space="preserve">Ejecutar procedimientos administrativos </t>
  </si>
  <si>
    <t xml:space="preserve">Procedimientos </t>
  </si>
  <si>
    <t>Ejecutar procesos de restricción</t>
  </si>
  <si>
    <t>Restricción</t>
  </si>
  <si>
    <t>Dar atención a usuarios en rezago.</t>
  </si>
  <si>
    <t xml:space="preserve">Registro </t>
  </si>
  <si>
    <t>Departamento de Lectura y Facturación</t>
  </si>
  <si>
    <t>223</t>
  </si>
  <si>
    <t>Área de Control y Micromedición</t>
  </si>
  <si>
    <t>B032230105020201</t>
  </si>
  <si>
    <t>Entrega de los estados de adeudo.</t>
  </si>
  <si>
    <t>Estado de Adeudo</t>
  </si>
  <si>
    <t>Planear y elaborar el calendario operativo para la toma de lecturas y la emisión de facturación.</t>
  </si>
  <si>
    <t>Calendario</t>
  </si>
  <si>
    <t>Departamento de Dictámenes y Factibilidad</t>
  </si>
  <si>
    <t>224</t>
  </si>
  <si>
    <t>Área de Factibilidades</t>
  </si>
  <si>
    <t>B032240201030101</t>
  </si>
  <si>
    <t>02010301</t>
  </si>
  <si>
    <t>Manejo de aguas residuales, drenaje y alcantarillado</t>
  </si>
  <si>
    <t>0201030101</t>
  </si>
  <si>
    <t>Construcción de infraestructura para drenaje y alcantarillado</t>
  </si>
  <si>
    <t>Participar en sesiones de comité interno de factibilidades</t>
  </si>
  <si>
    <t>Acta de Sesión</t>
  </si>
  <si>
    <t>Realizar inspecciones técnicas para determinar la factibilidad de servicios y la existencia de Infraestructura</t>
  </si>
  <si>
    <t>Realizar estudios técnicos para determinar la factibilidad de servicios en predios de uso habitacional, mediante inspecciones</t>
  </si>
  <si>
    <t>Estudio Técnico</t>
  </si>
  <si>
    <t>Departamento de Estudios y Proyectos</t>
  </si>
  <si>
    <t>C00</t>
  </si>
  <si>
    <t>Dirección de Construcción y Operación Hidráulica</t>
  </si>
  <si>
    <t>C002300201030101</t>
  </si>
  <si>
    <t>Rendir ante la Dirección de Construcción y Operación Hidráulica, informes del avance físico-financiero en la ejecución de obras del organismo</t>
  </si>
  <si>
    <t>Integrar informes mensuales de las supervisiones realizadas en materia de obra pública y mantenimientos del organismo</t>
  </si>
  <si>
    <t>Generar y revisar el Programa Anual de Obra (PbRM 07) y sus informes trimestrales (PbRM 11)</t>
  </si>
  <si>
    <t>Planificar proyectos de obra prioritaria</t>
  </si>
  <si>
    <t>Participar en el Comité Interno de Obra</t>
  </si>
  <si>
    <t>Acta de Comité</t>
  </si>
  <si>
    <t>233</t>
  </si>
  <si>
    <t>Área de Estudios y Proyectos</t>
  </si>
  <si>
    <t>C002330201030101</t>
  </si>
  <si>
    <t>Llevar a cabo visitas técnicas de atención a peticiones ciudadanas</t>
  </si>
  <si>
    <t>Visita Técnica</t>
  </si>
  <si>
    <t>Ejecutar levantamientos topográficos</t>
  </si>
  <si>
    <t>Levantamiento</t>
  </si>
  <si>
    <t>Diseñar proyectos y/o estudios hidrosanitarios</t>
  </si>
  <si>
    <t>Proyecto y/o Estudio</t>
  </si>
  <si>
    <t>Integrar expedientes únicos de obra (hasta el proceso de licitación)</t>
  </si>
  <si>
    <t>Coordinación de Drenaje y Saneamiento</t>
  </si>
  <si>
    <t>C002200201030102</t>
  </si>
  <si>
    <t>0201030102</t>
  </si>
  <si>
    <t>Operación de infraestructura para drenaje y alcantarillado</t>
  </si>
  <si>
    <t>Controlar y supervisar la operación de los sistemas de drenaje, alcantarillado, tratamiento de aguas residuales y mantenimiento electromecánico conforme a la normatividad aplicable.</t>
  </si>
  <si>
    <t>Supervisión</t>
  </si>
  <si>
    <t>Realizar informes de la coordinación establecida con instancias de los 3 ámbitos de gobierno, para el análisis, valoración de impacto y reducción de riesgos en temporadas de lluvias</t>
  </si>
  <si>
    <t>Informe Semestral</t>
  </si>
  <si>
    <t>Realizar un informe trimestral de la realización de jornadas de desazolve en comunidades</t>
  </si>
  <si>
    <t>Realizar recorridos en diferentes puntos susceptibles a inundación.</t>
  </si>
  <si>
    <t xml:space="preserve">Llevar acabo trabajos preventivos de limpiza, de la presa el Angulo en coordinación con el municipio de Atizapán de Zaragoza  </t>
  </si>
  <si>
    <t>La meta no se cumplió debido a la falta de arrendamiento de maquinaria especializada, así como a la falta de respuesta oportuna por parte de la CAEM para el inicio de los trabajos programados.</t>
  </si>
  <si>
    <t>Departamento de Drenaje y Alcantarillado</t>
  </si>
  <si>
    <t>222</t>
  </si>
  <si>
    <t>Área de Drenaje y Alcantarillado</t>
  </si>
  <si>
    <t>C002220201030102</t>
  </si>
  <si>
    <t>Sustituir o reparar infraestructura brocal, coladera pluvial, rejilla, piso, marco y contramarco de boca de tormenta</t>
  </si>
  <si>
    <t>Pieza</t>
  </si>
  <si>
    <t>Se han venido realizando las reparaciones conforme al suministro de material al Departamento</t>
  </si>
  <si>
    <t>Limpiar y desazolvar las redes de drenaje, secundarias, primarias, colectores y subcolectores (Pozo de visita, coladera pluvial, rejilla de piso o boca de tormenta)</t>
  </si>
  <si>
    <t xml:space="preserve">Metro Lineal </t>
  </si>
  <si>
    <t>La meta se encuentra con un bajo alcance ya que solo se cuenta con una unidad en operación.  Se solicito la reparacion de las unidades mediante el oficio DCOH/133/2026</t>
  </si>
  <si>
    <t>Llevar a cabo el retiro (lodos, sedimentos y basura) de diversos cuerpos de aguas estatales y/o federales que se encuentran al aire libre dentro del territorio Municipal</t>
  </si>
  <si>
    <t>Metro Cubico</t>
  </si>
  <si>
    <t>Realizar conexiones de drenaje</t>
  </si>
  <si>
    <t>Conexión</t>
  </si>
  <si>
    <t>Las instalaciones se han llevado a cabo en función de la disponibilidad y suministro de materiales al Departamento, asegurando la continuidad de las actividades conforme a los recursos recibidos.</t>
  </si>
  <si>
    <t>Realizar limpieza de fosas sépticas</t>
  </si>
  <si>
    <t>Servicio</t>
  </si>
  <si>
    <t>La actividad se ejecuta en zonas de alta vulnerabilidad, conforme a la demanda registrada mediante las solicitudes formales ingresadas al Departamento, priorizando su atención de acuerdo con criterios técnicos y de necesidad identificada.</t>
  </si>
  <si>
    <t>Departamento de Soporte Electromecánico</t>
  </si>
  <si>
    <t>225</t>
  </si>
  <si>
    <t>Área de Electromecánico</t>
  </si>
  <si>
    <t>C002250201030104</t>
  </si>
  <si>
    <t>0201030104</t>
  </si>
  <si>
    <t>Operación y mantenimiento de infraestructura para tratamiento de aguas residuales</t>
  </si>
  <si>
    <t>Llevar a cabo la verificación de los estudios de aguas residuales no domésticos.</t>
  </si>
  <si>
    <t>Estudio</t>
  </si>
  <si>
    <t>El cumplimiento de la actividad depende de que el usuario actualice su documentación correspondiente al trámite anual; por tal motivo, en determinados meses se presenta una mayor demanda que ocasiona el rebase de las metas programadas.</t>
  </si>
  <si>
    <t>Registrar los expedientes referentes a la descarga de aguas residuales no domesticas</t>
  </si>
  <si>
    <t>Registro</t>
  </si>
  <si>
    <t>Realizar mantenimientos preventivos a cárcamos y plantas de tratamiento</t>
  </si>
  <si>
    <t>Mantenimiento</t>
  </si>
  <si>
    <t xml:space="preserve">Se realizan los mantenimientos preventivos pero son menores debido a que solo se utilizán los equipos para desaguar y su temporada de mayor uso es temporada de lluvias </t>
  </si>
  <si>
    <t>Realizar mantenimientos correctivos a cárcamos y plantas de tratamiento</t>
  </si>
  <si>
    <t>Se llevan a cabo mantenimientos preventivos; sin embargo, su volumen es reducido, ya que los equipos se utilizan principalmente para labores de desagüe y su mayor demanda operativa se concentra durante la temporada de lluvias.</t>
  </si>
  <si>
    <t>Tratar agua residual en la planta de tratamiento denominada: Bosques del Alba II</t>
  </si>
  <si>
    <t>Metro cubico</t>
  </si>
  <si>
    <t>Rehabilitación integral a sistemas de drenaje, alcantarillado y plantas de tratamiento</t>
  </si>
  <si>
    <t>Rehabilitación</t>
  </si>
  <si>
    <t>Implementar un programa institucional para el tratamiento de aguas residuales</t>
  </si>
  <si>
    <t>El cumplimiento no se realizó debido a la ejecución de trabajos de mejoramiento y rehabilitación de equipos, así como de la red de conducción de agua potable.</t>
  </si>
  <si>
    <t>Coordinación de Operación Hidráulica</t>
  </si>
  <si>
    <t>C002200202030107</t>
  </si>
  <si>
    <t>0202030107</t>
  </si>
  <si>
    <t>Agua limpia para el bienestar</t>
  </si>
  <si>
    <t>Operar y vigilar los sistemas de almacenamiento y distribución del agua potable</t>
  </si>
  <si>
    <t>Dar seguimiento a las quejas y peticiones de los usuarios, en temas hidráulicos</t>
  </si>
  <si>
    <t>Minuta de Trabajo</t>
  </si>
  <si>
    <t>Realizar un reporte mensual de la correcta distribución de agua potable</t>
  </si>
  <si>
    <t xml:space="preserve">Reporte </t>
  </si>
  <si>
    <t>Departamento de Agua Potable</t>
  </si>
  <si>
    <t>219</t>
  </si>
  <si>
    <t>Área de Agua Potable</t>
  </si>
  <si>
    <t>C002190202030110</t>
  </si>
  <si>
    <t>0202030110</t>
  </si>
  <si>
    <t>Operación y mantenimiento de infraestructura hidráulica para el suministro de agua</t>
  </si>
  <si>
    <t>Reparar las fugas en las líneas de agua potable que afecten el suministro en el municipio</t>
  </si>
  <si>
    <t>Reparación</t>
  </si>
  <si>
    <t xml:space="preserve">Derivado de las constantes tomas obstruidas y sondeos que presentaron en este trimestre no fue posible cubrir las reparaciones de fugas de agua Potable. </t>
  </si>
  <si>
    <t>Rehabilitar tomas domiciliarias, comerciales e industriales</t>
  </si>
  <si>
    <t xml:space="preserve">Las rehabilitaciones que se realizarón por daños en la infraestructura hidráulica fueron menos, por sondeos en tomas obstruidas. </t>
  </si>
  <si>
    <t>Realizar conexiones de toma hidráulica (domestica, comercial e industrial)</t>
  </si>
  <si>
    <t>Llevar a cabo sondeos en líneas primarias de conducción</t>
  </si>
  <si>
    <t>Sondeo</t>
  </si>
  <si>
    <t xml:space="preserve">Se realizó el mayor número de sondeos en el timestre, por tomas obstruidas y fugas no localizadas </t>
  </si>
  <si>
    <t>Reparar o sustituir válvulas primarias de distribución de agua potable</t>
  </si>
  <si>
    <t>Válvula</t>
  </si>
  <si>
    <t>Realizar bacheo por reparación o mantenimiento de la infraestructura hidrosanitaria</t>
  </si>
  <si>
    <t>Tonelada</t>
  </si>
  <si>
    <t>Las acciones se encuentran por debajo de la meta debido a la falta de material necesario para llevar a cabo las reparaciones. Cabe señalar que el convenio con MAVICI fue aprobado hasta el día 20 de febrero de 2026, lo cual retrasó el inicio oportuno de las actividades.</t>
  </si>
  <si>
    <t>Unidad de pipas</t>
  </si>
  <si>
    <t>217</t>
  </si>
  <si>
    <t>Área de Líneas y Tanques</t>
  </si>
  <si>
    <t>C002170202030107</t>
  </si>
  <si>
    <t>Registrar la dotación del vital líquido entregada mediante carro pipa, a las rutas programadas dentro del territorio Municipal</t>
  </si>
  <si>
    <t>Vale de entrega</t>
  </si>
  <si>
    <t>La meta no se cumplió debido a una menor recepción de peticiones ciudadanas para el suministro de agua mediante carro pipa, lo que ocasionó un resultado por debajo de lo programado.</t>
  </si>
  <si>
    <t>Atender peticiones realizadas por las comunidades que no cuenten con red hidráulica, como asentamientos irregulares, estancias de gubernamentales y/o planteles educativos mediante carro pipa.</t>
  </si>
  <si>
    <t xml:space="preserve">Derivado de las adecuaciones que se realizarón a los Tanques de almacenamiento se redujo la disponibilidad de agua y la capacidad operativa para la distribución mediante pipas. </t>
  </si>
  <si>
    <t>Atender solicitudes emitidas por la ciudadanía que cuenten con red hidráulica que tengan falta de suministro ya sea por contingencia y/o acontecimiento en su línea hídrica mediante carro pipa.</t>
  </si>
  <si>
    <t xml:space="preserve">Se le brindo atención mediante carro pipa por contingencia a las siguientes colonias: Atlanta, Cumbria, Ejidal San Isidro, Lomas del Bosque, Luis Echeverria, Mirador Santa Rosa, Plan de Guadalupe, La Piedad, San Agustin, Lago de Guadalupe, Bosques de Lago, Tepalcapa , Colinas de Lago. </t>
  </si>
  <si>
    <t>Departamento de Calidad del Agua</t>
  </si>
  <si>
    <t>226</t>
  </si>
  <si>
    <t>Área de Cloración y Calidad del Agua</t>
  </si>
  <si>
    <t>C002260202030107</t>
  </si>
  <si>
    <t>Realizar muestreos del agua potable para dar cumplimiento a la Norma Oficial vigente.</t>
  </si>
  <si>
    <t>Muestreo</t>
  </si>
  <si>
    <t>Realizar muestreos y análisis, conforme a los métodos y especificaciones de la normativa Mexicana, mediante un laboratorio acreditado ante la EMA.</t>
  </si>
  <si>
    <t>La meta se programó en cero para el trimestre; sin embargo, se realizaron 9 análisis debido a que el laboratorio interno adelantó la programación de muestreos y análisis.</t>
  </si>
  <si>
    <t>Suministrar hipoclorito de sodio en los sistemas hidráulicos al 13 por ciento conforme a la NOM127SSAI2021</t>
  </si>
  <si>
    <t>Realizar mantenimientos a las bombas dosificadoras de los sistemas hidráulicos</t>
  </si>
  <si>
    <t>Departamento de Costos y Licitaciones</t>
  </si>
  <si>
    <t>C002330202030105</t>
  </si>
  <si>
    <t>0202030105</t>
  </si>
  <si>
    <t>Construcción de infraestructura para agua potable</t>
  </si>
  <si>
    <t xml:space="preserve">Actualizar el catálogo de precios unitarios del Organismo. </t>
  </si>
  <si>
    <t xml:space="preserve">Elaborar el presupuesto base de los Proyectos y/o Estudios del Organismo. </t>
  </si>
  <si>
    <t xml:space="preserve">Los presupuestos se elaboran deacuerdo a las necesidades de la Dirección de Contrucón y Operación Hidráulica a petición de las comunidades del Municipio de Cuautitlan Izcalli o proyectos programados en el Departamento de Estudios y Proyectos. </t>
  </si>
  <si>
    <t>Sustanciar el proceso para la adjudicación de contratos de obra públicas y servicios relacionados con las mismas.</t>
  </si>
  <si>
    <t>Contrato</t>
  </si>
  <si>
    <t>Departamento de Ejecución de Obras y Mantenimiento</t>
  </si>
  <si>
    <t>218</t>
  </si>
  <si>
    <t>Área de Construcción, Control y Supervisión</t>
  </si>
  <si>
    <t>C002180202030105</t>
  </si>
  <si>
    <t>Integrar informes trimestrales de las supervisiones realizadas a las obras hídricas por contrato del Organismo</t>
  </si>
  <si>
    <t>Realizar un informe trimestral de la integración de los expedientes únicos de obra por contrato</t>
  </si>
  <si>
    <t>Realizar reportes mensuales de Obra por Contrato (IMOC)</t>
  </si>
  <si>
    <t>La falta de publicación de los nuevos lineamientos para la integración de los informes trimestrales del presente ejercicio fiscal incidió en los resultados de la acción, reflejándose en un nivel de eficiencia menor respecto a lo programado.</t>
  </si>
  <si>
    <t>Realizar reportes mensuales de Obra por Administración (IMOA)</t>
  </si>
  <si>
    <t>Emitir informes trimestrales de la asistencia técnica brindada a las comunidades en materia hídrica</t>
  </si>
  <si>
    <t>Integrar los formatos PbRM de seguimiento trimestral al Programa Anual de Obras (PbRM 11)</t>
  </si>
  <si>
    <t>Formato</t>
  </si>
  <si>
    <t>Programar la revisión y balance de materiales de obra por administración con el almacén central</t>
  </si>
  <si>
    <t xml:space="preserve">Derivado de la falta de presupuesto asignado no se llevo acabo la revision y balance de materiales. Por lo que el resultado de dicha accion muestra un bajo porcentaje de eficiencia, respecto a la cantidad programada. </t>
  </si>
  <si>
    <t>Ejecutar obra hidrosanitaria (obra por administración)</t>
  </si>
  <si>
    <t>Realizar reportes mensuales de reparación y mantenimiento (IMROM)</t>
  </si>
  <si>
    <t>C002250202030110</t>
  </si>
  <si>
    <t>Realizar mantenimientos preventivos en pozos y rebombeos</t>
  </si>
  <si>
    <t xml:space="preserve">Se han priorizado trabajos dentro del Area lo que limito la ejecucion de trabajos </t>
  </si>
  <si>
    <t>Realizar mantenimientos correctivos en pozos y rebombeos</t>
  </si>
  <si>
    <t>Se realizaron trabajos de mantenimiento en los sistemas denominados “Rebombeo Hacienda del Parque”, “Rebombeo La Quebrada” y “Tanque 1”. No obstante, no se alcanzó la meta establecida debido a la priorización de otras actividades operativas consideradas de atención urgente</t>
  </si>
  <si>
    <t>Rehabilitación integral a sistemas de agua potable</t>
  </si>
  <si>
    <t>C002200202030110</t>
  </si>
  <si>
    <t>Realizar recorridos de supervisión de la infraestructura de agua potable, drenaje y alcantarillado.</t>
  </si>
  <si>
    <t>Realizar reuniones de monitoreo con las áreas adscritas a la Unidad Técnica de Operación.</t>
  </si>
  <si>
    <t>Minuta</t>
  </si>
  <si>
    <t>Validar los informes trimestrales de seguimiento al Programa Anual de Obras del Organismo (PbRM 11)</t>
  </si>
  <si>
    <t>Proponer el Programa Anual de Obra (PAO) y sus modificaciones respectivas (PbRM 07a)</t>
  </si>
  <si>
    <t>Proponer el Programa Anual de Reparaciones y Mantenimientos del Organismo (PbRM 07b)</t>
  </si>
  <si>
    <t>Unidad de Macromedición y Telemetría</t>
  </si>
  <si>
    <t>C002190202030107</t>
  </si>
  <si>
    <t>Cuantificar del volumen de agua potable en bloque y fuentes propias.</t>
  </si>
  <si>
    <t>Realizar un informe trimestral de las conciliaciones de la facturación de volúmenes suministrados por la Comisión del Agua del Estado de México</t>
  </si>
  <si>
    <t>Revisar y conciliar con el departamento de electromecánico los niveles estáticos y dinámicos de las fuentes propias.</t>
  </si>
  <si>
    <t>Bitácora</t>
  </si>
  <si>
    <t>Dotar de agua potable a las comunidades del municipio</t>
  </si>
  <si>
    <t>Dirección Jurídica / Departamento de Asuntos Consultivos / Departamento de Asuntos Contenciosos</t>
  </si>
  <si>
    <t>D00</t>
  </si>
  <si>
    <t>Dirección Jurídica</t>
  </si>
  <si>
    <t>228</t>
  </si>
  <si>
    <t>Área Jurídica</t>
  </si>
  <si>
    <t>D002280103050104</t>
  </si>
  <si>
    <t>01030501</t>
  </si>
  <si>
    <t>Asistencia jurídica al ejecutivo</t>
  </si>
  <si>
    <t>0103050104</t>
  </si>
  <si>
    <t>Asesoría jurídica al ayuntamiento</t>
  </si>
  <si>
    <t>Brindar Asesorías Jurídicas a las Unidades Administrativas del Organismo</t>
  </si>
  <si>
    <t>Intervenir en los comités de Obra Pública</t>
  </si>
  <si>
    <t>Atender los convenios de terminación laboral</t>
  </si>
  <si>
    <t>Intervenir en los comités de Bienes Muebles e Inmuebles</t>
  </si>
  <si>
    <t>Revisar y emitir opiniones respecto a sentencias y convenios</t>
  </si>
  <si>
    <t>Atender oficios de las Unidades Administrativas del Organismo</t>
  </si>
  <si>
    <t>Revisar y dar atención a demandas mercantiles, administrativas y amparos</t>
  </si>
  <si>
    <t>Brindar información a instituciones públicas u otras autoridades</t>
  </si>
  <si>
    <t>Contraloría Interna</t>
  </si>
  <si>
    <t>G00</t>
  </si>
  <si>
    <t>G002280103040101</t>
  </si>
  <si>
    <t>01030401</t>
  </si>
  <si>
    <t>Función pública, combate a la corrupción y control de riesgos administrativos</t>
  </si>
  <si>
    <t>0103040101</t>
  </si>
  <si>
    <t>Fiscalización, control y evaluación interna de la gestión pública</t>
  </si>
  <si>
    <t>Realizar recomendaciones de control interno a las Unidades Administrativas y Subalternas del Organismo.</t>
  </si>
  <si>
    <t>Recomendación</t>
  </si>
  <si>
    <t xml:space="preserve">Se cumple con el 50% de la meta, derivado del déficit de plantilla y se dara cumplimiento en segundo trimestre  </t>
  </si>
  <si>
    <t>Realizar campaña informativa para la difusión de las obligaciones de los servidores públicos</t>
  </si>
  <si>
    <t>Realizar capacitaciones en materia de ética y conducta</t>
  </si>
  <si>
    <t>Participar en las Sesiones del Comité de Bienes Muebles</t>
  </si>
  <si>
    <t>Departamento de Auditoría y Control Interno</t>
  </si>
  <si>
    <t>G002280103040102</t>
  </si>
  <si>
    <t>0103040102</t>
  </si>
  <si>
    <t>Participación social en la formulación, seguimiento, control y evaluación interna de obras, programas y servicios públicos</t>
  </si>
  <si>
    <t>Elaborar el Programa Anual de Auditorías</t>
  </si>
  <si>
    <t>Realizar los actos de Entrega-Recepción de las Unidades Administrativas y Subalternas del Organismo</t>
  </si>
  <si>
    <t xml:space="preserve">Oficio de entrega-Recepción realizadas  </t>
  </si>
  <si>
    <t>Realizar auditorías a las Unidades Administrativas y Subalternas del Organismo</t>
  </si>
  <si>
    <t>Auditoria</t>
  </si>
  <si>
    <t>Realizar revisiones y/o supervisiones a las Unidades Administrativas y Subalternas del Organismo</t>
  </si>
  <si>
    <t>Revisión</t>
  </si>
  <si>
    <t>Revisar el informe trimestral Financiero contable y presupuestal</t>
  </si>
  <si>
    <t>Realizar arqueos a formas valoradas, a efectivo y fondos fijos del Organismo</t>
  </si>
  <si>
    <t>Arqueo</t>
  </si>
  <si>
    <t>Realizar pases de lista a las Unidades Administrativas y Subalternas del Organismo</t>
  </si>
  <si>
    <t>Pase de lista</t>
  </si>
  <si>
    <t>Participar en el inventario físicos a los Bienes Muebles e Inmuebles del Organismo</t>
  </si>
  <si>
    <t>Participar en el inventario físico en el Almacén General del Organismo</t>
  </si>
  <si>
    <t>Participar en la Constitución de Comités Ciudadanos de Control y Vigilancia (COCICOVI).</t>
  </si>
  <si>
    <t>Departamento de Investigación y Combate a la Corrupción</t>
  </si>
  <si>
    <t>G002280103040205</t>
  </si>
  <si>
    <t>01030402</t>
  </si>
  <si>
    <t>Sistema Anticorrupción del Estado de México y Municipios</t>
  </si>
  <si>
    <t>0103040205</t>
  </si>
  <si>
    <t>Investigación de faltas administrativas</t>
  </si>
  <si>
    <t>Atender y tramitar denuncias</t>
  </si>
  <si>
    <t>Denuncia</t>
  </si>
  <si>
    <t>Emitir acuerdo de conclusión y archivo</t>
  </si>
  <si>
    <t>Emitir informe de Presunta Responsabilidad Administrativa</t>
  </si>
  <si>
    <t>IPRA</t>
  </si>
  <si>
    <t>Realizar notificaciones relacionadas con el procedimiento de investigación</t>
  </si>
  <si>
    <t>Notificación</t>
  </si>
  <si>
    <t>Asistir a las Audiencias ante la Autoridad de Sustanciación</t>
  </si>
  <si>
    <t>Audiencia</t>
  </si>
  <si>
    <t>Asistir a las Audiencias ante el Tribunal de Justicia Administrativa</t>
  </si>
  <si>
    <t>Realizar eventos para servidores públicos en materia anticorrupción</t>
  </si>
  <si>
    <t>Registrar asistencia a servidores públicos en el evento en la materia.</t>
  </si>
  <si>
    <t>Asistentes</t>
  </si>
  <si>
    <t>Departamento Substanciador y Resolutor</t>
  </si>
  <si>
    <t>G002280103040202</t>
  </si>
  <si>
    <t>0103040202</t>
  </si>
  <si>
    <t>Responsabilidades administrativas</t>
  </si>
  <si>
    <t>Elaborar Acuerdo de admisión del informe de Presunta Responsabilidad Administrativa por faltas graves o no graves</t>
  </si>
  <si>
    <t>Notificar Procedimientos Administrativos por faltas graves o no graves por Unidad Substanciadora y Resolutora</t>
  </si>
  <si>
    <t>Desahogar de Audiencias de Ley, derivadas de procedimientos administrativos por faltas administrativas graves o no graves</t>
  </si>
  <si>
    <t>Elaborar resolución de responsabilidad administrativa</t>
  </si>
  <si>
    <t>Resolución</t>
  </si>
  <si>
    <t>Emitir certificados de pago de derechos de agua potable y drenaje</t>
  </si>
  <si>
    <t>Emitir constancias de inexistencia de infraestructura</t>
  </si>
  <si>
    <t>Integrar expedientes y registrar en el sistema el cambio de propietario</t>
  </si>
  <si>
    <t>Dar seguimiento a las sesiones del comité de adquisiciones de bienes y servicios</t>
  </si>
  <si>
    <t>N/A</t>
  </si>
  <si>
    <t>5</t>
  </si>
  <si>
    <t>Reparar las fugas en las líneas de agua potable que afecten el suministro en el municipio.</t>
  </si>
  <si>
    <t>6</t>
  </si>
  <si>
    <t>Rehabilitar tomas domiciliarias, comerciales e industriales.</t>
  </si>
  <si>
    <t>7</t>
  </si>
  <si>
    <t>Realizar conexiones de toma hidráulica (domestica, comercial e industrial).</t>
  </si>
  <si>
    <t>8</t>
  </si>
  <si>
    <t>Llevar a cabo sondeos en líneas primarias de conducción.</t>
  </si>
  <si>
    <t>9</t>
  </si>
  <si>
    <t>Reparar o sustituir válvulas primarias de distribución de agua potable.</t>
  </si>
  <si>
    <t>10</t>
  </si>
  <si>
    <t>Realizar bacheo por reparación o mantenimiento de la infraestructura hidrosanitaria.</t>
  </si>
  <si>
    <t>Cuantificar del volumen de agua potable en bloque y fuentes propias</t>
  </si>
  <si>
    <t>Realizar un informe trimestral de las conciliaciones de la facturación de volúmenes suministrados por la Comisión del Agua del Estado de México.</t>
  </si>
  <si>
    <t>Revisar y conciliar con el departamento de electromecánico los niveles estáticos y dinámicos de las fuentes propias</t>
  </si>
  <si>
    <t>Dotar de agua potable a las comunidades del municipio.</t>
  </si>
  <si>
    <t>CAPTURA DE AVANCES DE INDICADORES 2026</t>
  </si>
  <si>
    <t>ESTR. PROGRAMA</t>
  </si>
  <si>
    <t>PILAR O EJE TRANSVERSAL</t>
  </si>
  <si>
    <t>NUM. SERIE</t>
  </si>
  <si>
    <t>NIVEL</t>
  </si>
  <si>
    <t>DESCRIPCIÓN DEL INDICADOR</t>
  </si>
  <si>
    <t>VARIABLES</t>
  </si>
  <si>
    <t>FÓRMULA DEL INDICADOR</t>
  </si>
  <si>
    <t>TIPO DE OPERACIÓN</t>
  </si>
  <si>
    <t>FRECUENCIA DE MEDICIÓN</t>
  </si>
  <si>
    <t>SUMATORIA</t>
  </si>
  <si>
    <t>01030501FINPR.J.R.M.A.ACT.</t>
  </si>
  <si>
    <t>D0022801030501 Dirección Jurídica Asistencia jurídica al ejecutivo</t>
  </si>
  <si>
    <t>Eje 1. Cero corrupción y gobierno del pueblo y para el pueblo - Estado de Derecho y austeridad</t>
  </si>
  <si>
    <t>FIN</t>
  </si>
  <si>
    <t>Tasa de variación de procedimientos jurídicos regulatorios mejorados</t>
  </si>
  <si>
    <t>Procedimientos jurídicos regulatorios mejorados en el año actual</t>
  </si>
  <si>
    <t>((Procedimientos jurídicos regulatorios mejorados en el año actual/Procedimientos jurídicos regulatorios mejorados en el año anterior)-1) *100</t>
  </si>
  <si>
    <t>Sumable</t>
  </si>
  <si>
    <t xml:space="preserve">Anual </t>
  </si>
  <si>
    <t>01030501FINPR.J.R.M.A.ANT.</t>
  </si>
  <si>
    <t>Procedimientos jurídicos regulatorios mejorados en el año anterior</t>
  </si>
  <si>
    <t>Asesorías</t>
  </si>
  <si>
    <t>01030501PROPÓSITOA.J.M.CA.</t>
  </si>
  <si>
    <t>PROPÓSITO</t>
  </si>
  <si>
    <t>Porcentaje de asesores jurídicos municipales capacitados</t>
  </si>
  <si>
    <t>Asesores jurídicos municipales capacitados</t>
  </si>
  <si>
    <t xml:space="preserve">(Asesores jurídicos municipales capacitados/Total de asesores jurídicos en el Ayuntamiento) *100 </t>
  </si>
  <si>
    <t>Asesor Jurídico</t>
  </si>
  <si>
    <t>Anual</t>
  </si>
  <si>
    <t>01030501PROPÓSITOT.A.J.A.</t>
  </si>
  <si>
    <t>Total de asesores jurídicos en el Ayuntamiento</t>
  </si>
  <si>
    <t>01030501COMPONENTE 1A.J.IM.</t>
  </si>
  <si>
    <t>COMPONENTE 1</t>
  </si>
  <si>
    <t>Porcentaje de asesorías jurídicas impartidas</t>
  </si>
  <si>
    <t>Asesorías jurídicas impartidas</t>
  </si>
  <si>
    <t>(Asesorías jurídicas impartidas/Asesorías jurídicas programadas) *100</t>
  </si>
  <si>
    <t>Semestral</t>
  </si>
  <si>
    <t>01030501COMPONENTE 1A.J.P.</t>
  </si>
  <si>
    <t>Asesorías jurídicas programadas</t>
  </si>
  <si>
    <t>01030501ACTIVIDAD 1.1RE.J.E.</t>
  </si>
  <si>
    <t>ACTIVIDAD 1.1</t>
  </si>
  <si>
    <t>Porcentaje de resoluciones jurídicas emitidas</t>
  </si>
  <si>
    <t>Resoluciones jurídicas emitidas</t>
  </si>
  <si>
    <t>(Resoluciones jurídicas emitidas/Total de asuntos jurídicos recibidos) *100</t>
  </si>
  <si>
    <t>Trimestral</t>
  </si>
  <si>
    <t>01030501ACTIVIDAD 1.1T.A.J.R.</t>
  </si>
  <si>
    <t>Total de asuntos jurídicos recibidos</t>
  </si>
  <si>
    <t>01030501ACTIVIDAD 2.1T.A.J.RE.</t>
  </si>
  <si>
    <t>ACTIVIDAD 2.1</t>
  </si>
  <si>
    <t>Porcentaje de tramitación de asuntos jurídicos realizados</t>
  </si>
  <si>
    <t>Tramitación de asuntos jurídicos realizados</t>
  </si>
  <si>
    <t>(Tramitación de asuntos jurídicos realizados/Tramitación de asuntos jurídicos programados) *100</t>
  </si>
  <si>
    <t>01030501ACTIVIDAD 2.1T.A.J.PR.</t>
  </si>
  <si>
    <t>Tramitación de asuntos jurídicos programados</t>
  </si>
  <si>
    <t>01030501COMPONENTE 2 D.C.A.P.M.AT.</t>
  </si>
  <si>
    <t xml:space="preserve">COMPONENTE 2 </t>
  </si>
  <si>
    <t>Porcentaje de demandas en contra de la Administración Pública Municipal atendidas</t>
  </si>
  <si>
    <t>Demandas en contra de la Administración Pública Municipal atendidas</t>
  </si>
  <si>
    <t>(Demandas en contra de la Administración Pública Municipal atendidas/Demandas en contra de la Administración Pública Municipal presentadas) *100</t>
  </si>
  <si>
    <t>01030501COMPONENTE 2 D.C.A.P.M.PR.</t>
  </si>
  <si>
    <t>Demandas en contra de la Administración Pública Municipal presentadas</t>
  </si>
  <si>
    <t>01080301FINA.D.I.G.M.C.R.A.ACT.</t>
  </si>
  <si>
    <t>A0123401080301 Secretaría Técnica Comunicación pública y fortalecimiento informativo</t>
  </si>
  <si>
    <t>Tasa de variación en las acciones de difusión de información gubernamental en los medios de comunicación</t>
  </si>
  <si>
    <t>Acciones de difusión de información gubernamental en los medios de comunicación realizados en el año actual</t>
  </si>
  <si>
    <t>((Acciones de difusión de información gubernamental en los medios de comunicación realizados en el año actual/Acciones de difusión de la información gubernamental en los medios de comunicación efectuados en el año anterior)-1) *100</t>
  </si>
  <si>
    <t>01080301FINA.D.I.G.M.C.E.A.ANT.</t>
  </si>
  <si>
    <t>Acciones de difusión de la información gubernamental en los medios de comunicación efectuados en el año anterior</t>
  </si>
  <si>
    <t>01080301PROPÓSITOE.F.C.I.P.D.H.M.R.A.ACT.</t>
  </si>
  <si>
    <t>Tasa de variación de actividades de difusión sobre los valores, principios, obras y acciones del gobierno municipal</t>
  </si>
  <si>
    <t>Eventos para fortalecer la comunicación e información pública dirigida a los habitantes del municipio realizados en el año actual</t>
  </si>
  <si>
    <t>((Eventos para fortalecer la comunicación e información pública dirigida a los habitantes del municipio realizados en el año actual/Eventos para fortalecer la comunicación e información pública dirigida a los habitantes del municipio realizados en el año anterior)-1) *100</t>
  </si>
  <si>
    <t>01080301PROPÓSITOE.F.C.I.P.D.H.M.R.A.ANT.</t>
  </si>
  <si>
    <t>Eventos para fortalecer la comunicación e información pública dirigida a los habitantes del municipio realizados en el año anterior</t>
  </si>
  <si>
    <t>01080301COMPONENTE 2R.E.P.P.A.G.S.O.</t>
  </si>
  <si>
    <t>COMPONENTE 2</t>
  </si>
  <si>
    <t>Porcentaje de resultados de los planes y programas de acción gubernamental para instancias de gobierno y la sociedad</t>
  </si>
  <si>
    <t>Resultados de la evaluación de los planes y programas de acción gubernamental por parte de la sociedad organizada</t>
  </si>
  <si>
    <t>(Resultados de la evaluación de los planes y programas de acción gubernamental por parte de la sociedad organizada/Resultados esperados en la evaluación de los planes y programas de acción gubernamental por parte de la sociedad organizada) *100</t>
  </si>
  <si>
    <t>01080301COMPONENTE 2R.E.E.P.P.A.G.S.O.</t>
  </si>
  <si>
    <t>Resultados esperados en la evaluación de los planes y programas de acción gubernamental por parte de la sociedad organizada</t>
  </si>
  <si>
    <t>01080301ACTIVIDAD 2.1B.I.DI.</t>
  </si>
  <si>
    <t>Porcentaje de cumplimiento en la distribución de boletines informativos</t>
  </si>
  <si>
    <t>Boletines informativos difundidos</t>
  </si>
  <si>
    <t>(Boletines informativos difundidos/Boletines informativos programados para difusión) *100</t>
  </si>
  <si>
    <t>01080301ACTIVIDAD 2.1B.I.P.D.</t>
  </si>
  <si>
    <t>Boletines informativos programados para difusión</t>
  </si>
  <si>
    <t>01080301ACTIVIDAD 2.2S.I.D.</t>
  </si>
  <si>
    <t>ACTIVIDAD 2.2</t>
  </si>
  <si>
    <t>Porcentaje de spots informativos difundidos</t>
  </si>
  <si>
    <t>Spots informativos difundidos</t>
  </si>
  <si>
    <t>(Spots informativos difundidos/Spots informativos para difusión programados) *100</t>
  </si>
  <si>
    <t>01080301ACTIVIDAD 2.2S.I.D.P.</t>
  </si>
  <si>
    <t>Spots informativos para difusión programados</t>
  </si>
  <si>
    <t>01080301ACTIVIDAD 2.3T.S.D.C.R.</t>
  </si>
  <si>
    <t>ACTIVIDAD 2.3</t>
  </si>
  <si>
    <t>Porcentaje de trámites y servicios digitales a la ciudadanía realizados</t>
  </si>
  <si>
    <t>Trámites y servicios digitales a la ciudadanía realizados</t>
  </si>
  <si>
    <t>(Trámites y servicios digitales a la ciudadanía realizados/Trámites y servicios digitales a la ciudadanía programados) *100</t>
  </si>
  <si>
    <t>01080301ACTIVIDAD 2.3T.S.D.C.P.</t>
  </si>
  <si>
    <t>Trámites y servicios digitales a la ciudadanía programados</t>
  </si>
  <si>
    <t>01080301ACTIVIDAD 2.4D.G.R.</t>
  </si>
  <si>
    <t>ACTIVIDAD 2.4</t>
  </si>
  <si>
    <t>Porcentaje de diseños gráficos, con objetivos específicos de difusión realizados</t>
  </si>
  <si>
    <t>Diseños gráficos realizados</t>
  </si>
  <si>
    <t>(Diseños gráficos realizados/Diseños gráficos programados) *100</t>
  </si>
  <si>
    <t>01080301ACTIVIDAD 2.4D.G.P.</t>
  </si>
  <si>
    <t>Diseños gráficos programados</t>
  </si>
  <si>
    <t>01080301ACTIVIDAD 2.5C.P.R.</t>
  </si>
  <si>
    <t>ACTIVIDAD 2.5</t>
  </si>
  <si>
    <t>Porcentaje de conferencias de prensa realizadas</t>
  </si>
  <si>
    <t>Conferencias de prensa realizadas</t>
  </si>
  <si>
    <t>(Conferencias de prensa realizadas/Conferencias de prensa programadas) *100</t>
  </si>
  <si>
    <t>01080301ACTIVIDAD 2.5C.P.P.</t>
  </si>
  <si>
    <t>Conferencias de prensa programadas</t>
  </si>
  <si>
    <t>01030101FINM.I.P.S.R.C.P.P.M.A.ACT.</t>
  </si>
  <si>
    <t>A0021201030101 Dirección General Conducción de las políticas de gobierno</t>
  </si>
  <si>
    <t>Tasa de variación en la ejecución de mecanismos e instrumentos de participación social</t>
  </si>
  <si>
    <t>Mecanismos e instrumentos de participación social realizados para la conformación de Políticas Públicas Municipales en el año actual</t>
  </si>
  <si>
    <t>((Mecanismos e instrumentos de participación social realizados para la conformación de Políticas Públicas Municipales en el año actual/Mecanismos e instrumentos de participación social realizados para la conformación de Políticas Públicas Municipales en el año anterior)-1) *100</t>
  </si>
  <si>
    <t>Registro de participación</t>
  </si>
  <si>
    <t>Constante</t>
  </si>
  <si>
    <t>01030101FINM.I.P.S.R.C.P.P.M.A.ANT.</t>
  </si>
  <si>
    <t>Mecanismos e instrumentos de participación social realizados para la conformación de Políticas Públicas Municipales en el año anterior</t>
  </si>
  <si>
    <t>01030101PROPÓSITOP.C.R.M.I.P.S.C.P.P.M.A.ACT.</t>
  </si>
  <si>
    <t>A0121501030101 Secretaría Técnica Conducción de las políticas de gobierno</t>
  </si>
  <si>
    <t>Tasa de variación en la participación ciudadana registrada en los mecanismos e instrumentos de participación social</t>
  </si>
  <si>
    <t>Participación ciudadana registrada en los mecanismos e instrumentos de participación social para la conformación de políticas públicas municipales en el año actual</t>
  </si>
  <si>
    <t>((Participación ciudadana registrada en los mecanismos e instrumentos de participación social para la conformación de políticas públicas municipales en el año actual/Participación ciudadana registrada en los mecanismos e instrumentos de participación social para la conformación de políticas públicas municipales en el año anterior) 1) *100</t>
  </si>
  <si>
    <t>01030101PROPÓSITOP.C.R.M.I.P.S.C.P.P.M.A.ANT.</t>
  </si>
  <si>
    <t>Participación ciudadana registrada en los mecanismos e instrumentos de participación social para la conformación de políticas públicas municipales en el año anterior</t>
  </si>
  <si>
    <t>01030101COMPONENTE 1D.C.C.P.P.M.A.</t>
  </si>
  <si>
    <t>Porcentaje de demandas ciudadanas para la construcción de las políticas públicas municipales atendidas</t>
  </si>
  <si>
    <t>Demandas ciudadanas para la construcción de las políticas públicas municipales atendidas</t>
  </si>
  <si>
    <t xml:space="preserve">(Demandas ciudadanas para la construcción de las políticas públicas municipales atendidas/Demandas ciudadanas para la construcción de políticas públicas municipales registradas) *100 </t>
  </si>
  <si>
    <t>Demanda ciudadana</t>
  </si>
  <si>
    <t>01030101COMPONENTE 1D.C.C.P.P.M.R.</t>
  </si>
  <si>
    <t>Demandas ciudadanas para la construcción de políticas públicas municipales registradas</t>
  </si>
  <si>
    <t>01030101ACTIVIDAD 1.1 P.P.M.A.</t>
  </si>
  <si>
    <t xml:space="preserve">ACTIVIDAD 1.1 </t>
  </si>
  <si>
    <t>Porcentaje de actualización de las políticas públicas municipales</t>
  </si>
  <si>
    <t>Políticas públicas municipales actualizadas</t>
  </si>
  <si>
    <t xml:space="preserve">(Políticas públicas municipales actualizadas/Total de políticas públicas municipales) *100 </t>
  </si>
  <si>
    <t>Ficha de seguimiento</t>
  </si>
  <si>
    <t>01030101ACTIVIDAD 1.1 T.P.P.M.</t>
  </si>
  <si>
    <t>Total de políticas públicas municipales</t>
  </si>
  <si>
    <t>01030101ACTIVIDAD 1.2R. O. C. S. R. R.</t>
  </si>
  <si>
    <t>ACTIVIDAD 1.2</t>
  </si>
  <si>
    <t>Porcentaje de reuniones con organizaciones civiles o sociales realizadas</t>
  </si>
  <si>
    <t>Reuniones con organizaciones civiles o sociales registradas realizadas</t>
  </si>
  <si>
    <t xml:space="preserve">(Reuniones con organizaciones civiles o sociales registradas realizadas/Reuniones con organizaciones civiles o sociales registradas programadas) *100 </t>
  </si>
  <si>
    <t>Ficha Técnica</t>
  </si>
  <si>
    <t>01030101ACTIVIDAD 1.2R. O. C. S. R. P.</t>
  </si>
  <si>
    <t>Reuniones con organizaciones civiles o sociales registradas programadas</t>
  </si>
  <si>
    <t>01050206FINGA.C.A.ACT.</t>
  </si>
  <si>
    <t>B0021301050206 Dirección de Administración y Finanzas Consolidación de la administración pública de resultados</t>
  </si>
  <si>
    <t>Tasa de variación del gasto corriente</t>
  </si>
  <si>
    <t>Gasto corriente del año actual</t>
  </si>
  <si>
    <t>((Gasto corriente del año actual/Gasto corriente en el año anterior)-1) *100</t>
  </si>
  <si>
    <t>Pesos</t>
  </si>
  <si>
    <t>01050206FINGA.C.A.ANT.</t>
  </si>
  <si>
    <t>Gasto corriente en el año anterior</t>
  </si>
  <si>
    <t>01050206PROPÓSITOG.C.EJ.</t>
  </si>
  <si>
    <t>Porcentaje de avance en el gasto corriente ejercicio</t>
  </si>
  <si>
    <t>Gasto corriente ejercido</t>
  </si>
  <si>
    <t>(Gasto corriente ejercido/Monto del Gasto corriente) *100</t>
  </si>
  <si>
    <t>01050206PROPÓSITOMO.G.C.</t>
  </si>
  <si>
    <t>Monto del gasto corriente</t>
  </si>
  <si>
    <t>01050206COMPONENTE 1SE.P.F.S.ACT.</t>
  </si>
  <si>
    <t>B0020901050206 Dirección de Administración y Finanzas Consolidación de la administración pública de resultados</t>
  </si>
  <si>
    <t>Tasa de variación de servidores públicos municipales en funciones</t>
  </si>
  <si>
    <t>Servidores públicos en funciones en el semestre actual</t>
  </si>
  <si>
    <t>((Servidores públicos en funciones en el semestre actual/Servidores públicos en funciones en el semestre anterior)-1) *100</t>
  </si>
  <si>
    <t>Servidor Público</t>
  </si>
  <si>
    <t>Valor actual</t>
  </si>
  <si>
    <t>01050206COMPONENTE 1SE.P.F.S.ANT.</t>
  </si>
  <si>
    <t>Servidores públicos en funciones en el semestre anterior</t>
  </si>
  <si>
    <t>No Sumable</t>
  </si>
  <si>
    <t>01050206COMPONENTE 2MO.EJ.C.A.B.S.S.ACT.</t>
  </si>
  <si>
    <t>Tasa de variación del gasto ejercido por concepto de adquisiciones, bienes y servicios</t>
  </si>
  <si>
    <t>Monto ejercido por concepto de adquisiciones, bienes y servicios del semestre actual</t>
  </si>
  <si>
    <t>((Monto ejercido por concepto de adquisiciones, bienes y servicios del semestre actual/Monto por concepto de adquisiciones, bienes y servicios ejercidos del semestre anterior)-1) *100</t>
  </si>
  <si>
    <t>Monto</t>
  </si>
  <si>
    <t>01050206COMPONENTE 2MO.EJ.C.A.B.S.E.S.ANT.</t>
  </si>
  <si>
    <t>Monto por concepto de adquisiciones, bienes y servicios ejercidos del semestre anterior</t>
  </si>
  <si>
    <t>01050206COMPONENTE 3R.B.M.P.S.ACT.</t>
  </si>
  <si>
    <t>A0121401050206 Secretaría Técnica Consolidación de la administración pública de resultados</t>
  </si>
  <si>
    <t>COMPONENTE 3</t>
  </si>
  <si>
    <t>Tasa de variación en el registro de bienes patrimoniales</t>
  </si>
  <si>
    <t>Registros de bienes patrimoniales del semestre actual</t>
  </si>
  <si>
    <t>((Registros de bienes patrimoniales del semestre actual/Registros de bienes patrimoniales del semestre anterior)-1) *100</t>
  </si>
  <si>
    <t>01050206COMPONENTE 3R.B.M.P.S.ANT.</t>
  </si>
  <si>
    <t>Registros de bienes patrimoniales del semestre anterior</t>
  </si>
  <si>
    <t>01050206COMPONENTE 4AC.P.A.M.R.C.</t>
  </si>
  <si>
    <t>A0122901050206 Secretaría Técnica Consolidación de la administración pública de resultados</t>
  </si>
  <si>
    <t>COMPONENTE 4</t>
  </si>
  <si>
    <t>Porcentaje de cumplimiento del Programa Anual de Mejora Regulatoria</t>
  </si>
  <si>
    <t>Acciones del Programa Anual de Mejora Regulatoria cumplidas</t>
  </si>
  <si>
    <t>(Acciones del Programa Anual de Mejora Regulatoria cumplidas/Total de Acciones del Programa Anual de Mejora Regulatoria) *100</t>
  </si>
  <si>
    <t>01050206COMPONENTE 4TO.AC.P.A.M.R.</t>
  </si>
  <si>
    <t>Total de Acciones del Programa Anual de Mejora Regulatoria</t>
  </si>
  <si>
    <t xml:space="preserve">01050206COMPONENTE 6E. P. P. A. M. A </t>
  </si>
  <si>
    <t>COMPONENTE 6</t>
  </si>
  <si>
    <t>Porcentaje de cumplimiento en la elaboración y publicación del Programa Anual en materia archivística</t>
  </si>
  <si>
    <t>Elaboración y publicación del Programa Anual en materia archivística</t>
  </si>
  <si>
    <t>(Elaboración y publicación del Programa Anual en materia archivística/Documento programado a elaborar y publicar) *100</t>
  </si>
  <si>
    <t>01050206COMPONENTE 6D. P. E. P.</t>
  </si>
  <si>
    <t>Documento programado a elaborar y publicar</t>
  </si>
  <si>
    <t>01050206ACTIVIDAD 1.1S.R.V.P.A.S.P.</t>
  </si>
  <si>
    <t>Porcentaje de supervisiones realizadas para verificar la puntualidad y asistencia de los servidores públicos</t>
  </si>
  <si>
    <t>Supervisiones realizadas para verificar la puntualidad y asistencia de los servidores públicos</t>
  </si>
  <si>
    <t>(Supervisiones realizadas para verificar la puntualidad y asistencia de los servidores públicos/Supervisiones programadas para verificar la puntualidad y asistencia de los servidores público) *100</t>
  </si>
  <si>
    <t>01050206ACTIVIDAD 1.1S.P.V.P.A.S.P.</t>
  </si>
  <si>
    <t>Supervisiones programadas para verificar la puntualidad y asistencia de los servidores públicos</t>
  </si>
  <si>
    <t>01050206ACTIVIDAD 1.2M.A.B.EF.</t>
  </si>
  <si>
    <t>Porcentaje de movimientos de personal efectuados</t>
  </si>
  <si>
    <t>Movimientos de altas y bajas efectuados</t>
  </si>
  <si>
    <t>(Movimientos de altas y bajas efectuados/Movimientos de altas y bajas en proceso) *100</t>
  </si>
  <si>
    <t>01050206ACTIVIDAD 1.2M.A.B.PR.</t>
  </si>
  <si>
    <t>Movimientos de altas y bajas en proceso</t>
  </si>
  <si>
    <t>01050206ACTIVIDAD 2.1M.C.A.EJ.</t>
  </si>
  <si>
    <t>Porcentaje de recursos ejercidos en adquisiciones</t>
  </si>
  <si>
    <t>Monto por concepto de adquisiciones ejercido</t>
  </si>
  <si>
    <t>(Monto por concepto de adquisiciones ejercido/Monto por concepto de adquisiciones programadas) *100</t>
  </si>
  <si>
    <t>01050206ACTIVIDAD 2.1M.C.A.PR.</t>
  </si>
  <si>
    <t>Monto por concepto de adquisiciones programadas</t>
  </si>
  <si>
    <t>01050206ACTIVIDAD 3.2V.F.I.P.MU.R.</t>
  </si>
  <si>
    <t>ACTIVIDAD 3.2</t>
  </si>
  <si>
    <t>Porcentaje de verificación al inventario patrimonial municipal</t>
  </si>
  <si>
    <t>Verificaciones físicas al inventario patrimonial municipal realizadas</t>
  </si>
  <si>
    <t>(Verificaciones físicas al inventario patrimonial municipal realizadas/Verificaciones físicas al inventario patrimonial municipal programadas) *100</t>
  </si>
  <si>
    <t>01050206ACTIVIDAD 3.2V.F.I.P.MU.P.</t>
  </si>
  <si>
    <t>Verificaciones físicas al inventario patrimonial municipal programadas</t>
  </si>
  <si>
    <t>01050206ACTIVIDAD 4.1T.S.I.A.C.</t>
  </si>
  <si>
    <t>ACTIVIDAD 4.1</t>
  </si>
  <si>
    <t>Porcentaje de trámites y servicios integrados o actualizados</t>
  </si>
  <si>
    <t>Trámites y servicios integrados y/o actualizados en el catálogo</t>
  </si>
  <si>
    <t>(Trámites y servicios integrados y/o actualizados en el catálogo/Total de trámites y servicios) *100</t>
  </si>
  <si>
    <t>01050206ACTIVIDAD 4.1TO.T.S.</t>
  </si>
  <si>
    <t>Total de trámites y servicios</t>
  </si>
  <si>
    <t>01050206ACTIVIDAD 4.2PR.M.R.M.A.</t>
  </si>
  <si>
    <t>ACTIVIDAD 4.2</t>
  </si>
  <si>
    <t>Porcentaje de propuestas al marco regulatorio municipal aprobadas</t>
  </si>
  <si>
    <t>Propuestas al marco regulatorio municipal aprobadas</t>
  </si>
  <si>
    <t>(Propuestas al marco regulatorio municipal aprobadas/Propuestas al marco regulatorio municipal recibidas) *100</t>
  </si>
  <si>
    <t>01050206ACTIVIDAD 4.2PR.M.R.M.R.</t>
  </si>
  <si>
    <t>Propuestas al marco regulatorio municipal recibidas</t>
  </si>
  <si>
    <t>01050206ACTIVIDAD 4.3E.PU.P.A.M.R.</t>
  </si>
  <si>
    <t>ACTIVIDAD 4.3</t>
  </si>
  <si>
    <t>Porcentaje de cumplimiento en la elaboración y publicación del Programa Anual de Mejora Regulatoria</t>
  </si>
  <si>
    <t>Elaboración y publicación del Programa Anual de Mejora Regulatoria</t>
  </si>
  <si>
    <t>(Elaboración y publicación del Programa Anual de Mejora Regulatoria/Documento programado a elaborar y publicar) *100</t>
  </si>
  <si>
    <t>01050206ACTIVIDAD 4.3D.P.E.PU.</t>
  </si>
  <si>
    <t>01050206ACTIVIDAD 6.1A. O. M. A.</t>
  </si>
  <si>
    <t>ACTIVIDAD 6.1</t>
  </si>
  <si>
    <t>Porcentaje de asesorías en materia archivística otorgadas</t>
  </si>
  <si>
    <t>Asesorías otorgadas en materia archivística</t>
  </si>
  <si>
    <t>(Asesorías otorgadas en materia archivística/Asesorías programadas en materia archivística) *100</t>
  </si>
  <si>
    <t>01050206ACTIVIDAD 6.1A. P. M. A.</t>
  </si>
  <si>
    <t>Asesorías programadas en materia archivística</t>
  </si>
  <si>
    <t>01050202FINMO.IN.P.M.A.ACT.</t>
  </si>
  <si>
    <t>B0020501050202 Dirección de Administración y Finanzas Fortalecimiento de los ingresos</t>
  </si>
  <si>
    <t>Tasa de variación de los ingresos propios municipales</t>
  </si>
  <si>
    <t>Monto de Ingresos propios municipales del año actual</t>
  </si>
  <si>
    <t>((Monto de Ingresos propios municipales del año actual/Total de Ingresos propios municipales del año anterior)-1) *100</t>
  </si>
  <si>
    <t>Ingresos</t>
  </si>
  <si>
    <t>01050202FINTO.IN.P.M.A.ANT.</t>
  </si>
  <si>
    <t>Total de Ingresos propios municipales del año anterior</t>
  </si>
  <si>
    <t>01050202PROPÓSITORE.P.M.C.P.A.ACT.</t>
  </si>
  <si>
    <t>Tasa de variación de los recursos propios del municipio sin considerar participaciones</t>
  </si>
  <si>
    <t>Recursos propios del municipio sin considerar participaciones del año actual</t>
  </si>
  <si>
    <t>((Recursos propios del municipio sin considerar participaciones del año actual/Recursos Propios del municipio sin considerar participaciones del año anterior)- 1) *100</t>
  </si>
  <si>
    <t>Recursos</t>
  </si>
  <si>
    <t>01050202PROPÓSITORE.P.M.C.P.A.ANT.</t>
  </si>
  <si>
    <t>Recursos Propios del municipio sin considerar participaciones del año anterior</t>
  </si>
  <si>
    <t>01050202COMPONENTE 1MO.RE.C.O.P.T.A.ACT.</t>
  </si>
  <si>
    <t>Tasa de variación de la recaudación corriente</t>
  </si>
  <si>
    <t>Monto de recaudación corriente obtenida en el trimestre del año actual</t>
  </si>
  <si>
    <t>((Monto de recaudación corriente obtenida en el trimestre del año actual/Total de recaudación corriente obtenida en el trimestre del año anterior)-1) *100</t>
  </si>
  <si>
    <t>Recaudación</t>
  </si>
  <si>
    <t>01050202COMPONENTE 1TO.RE.C.O.P.T.A.ANT.</t>
  </si>
  <si>
    <t>Total de recaudación corriente obtenida en el trimestre del año anterior</t>
  </si>
  <si>
    <t>01050202COMPONENTE 2MO.I.C.A.T.ACT.</t>
  </si>
  <si>
    <t>Tasa de variación del monto de ingresos por cobro de accesorios</t>
  </si>
  <si>
    <t>Monto de ingresos por cobro de accesorios en el trimestre actual</t>
  </si>
  <si>
    <t>((Monto de ingresos por cobro de accesorios en el trimestre actual/Monto de ingresos por cobro de accesorios en el trimestre anterior)-1) *100</t>
  </si>
  <si>
    <t>01050202COMPONENTE 2MO.I.C.A.T.ANT.</t>
  </si>
  <si>
    <t>Monto de ingresos por cobro de accesorios en el trimestre anterior</t>
  </si>
  <si>
    <t>01050202ACTIVIDAD 1.1NU.PR.A.S.ACT.</t>
  </si>
  <si>
    <t>B0320201050202 Dirección de Comercialización Fortalecimiento de los ingresos</t>
  </si>
  <si>
    <t>Tasa de variación en los predios actualizados en el semestre</t>
  </si>
  <si>
    <t>Número de predios actualizados en el semestre actual</t>
  </si>
  <si>
    <t>((Número de predios actualizados en el semestre actual/Total de predios actualizados en el semestre anterior)-1) *100</t>
  </si>
  <si>
    <t>Certificados</t>
  </si>
  <si>
    <t>SE DETERMINA LA CANTIDAD DE ACUERDO AL ANÁLISIS SEMESTRAL , POR LO TANTO AUN NO ES PRECISO  EL MONTO TRIMESTRAL 2026</t>
  </si>
  <si>
    <t>01050202ACTIVIDAD 1.1TO.PR.A.S.ANT.</t>
  </si>
  <si>
    <t>Total de predios actualizados en el semestre anterior</t>
  </si>
  <si>
    <t>SE DETERMINA LA CANTIDAD DE ACUERDO AL ANÁLISIS SEMESTRAL , POR LO TANTO AUN NO ES PRECISO  EL MONTO TRIMESTRAL 2027</t>
  </si>
  <si>
    <t>01050202ACTIVIDAD 1.2NU.CA.D.A. S.F.E.P.P.E.</t>
  </si>
  <si>
    <t>B0321601050202 Dirección de Comercialización Fortalecimiento de los ingresos</t>
  </si>
  <si>
    <t>Porcentaje de campañas de difusión de los apoyos, subsidios fiscales y exhortación al pago puntual efectuadas</t>
  </si>
  <si>
    <t>Número de campañas de difusión de los apoyos, subsidios fiscales y exhortación al pago puntual efectuadas</t>
  </si>
  <si>
    <t>(Número de campañas de difusión de los apoyos, subsidios fiscales y exhortación al pago puntual efectuadas/Campañas de difusión programadas) *100</t>
  </si>
  <si>
    <t xml:space="preserve">Se realizo campaña de "Borrón y Cuenta Nueva 2026", mismaque estara vigente hasta el día 31 de diciembre del año 2026, la cual fue publicada en la gaceta 121 de fecha 29 de mayo del año 2026, y que se encuentra publicada dentro de la pagina oficial del Ayuntamiento de Cuautitlán Izcalli, en la liga https://cuautitlanizcalli.gob.mx/wp-content/uploads/2026/05/GACETA-121.pdf.   </t>
  </si>
  <si>
    <t>01050202ACTIVIDAD 1.2CA.D.P.</t>
  </si>
  <si>
    <t>Campañas de difusión programadas</t>
  </si>
  <si>
    <t>campaña</t>
  </si>
  <si>
    <t>01050202ACTIVIDAD 2.1NU.RE.P.T.A.ACT.</t>
  </si>
  <si>
    <t>Tasa de variación en los registros de los padrones de cobro</t>
  </si>
  <si>
    <t>Número de registros en los padrones del trimestre del año actual</t>
  </si>
  <si>
    <t>((Número de registros en los padrones del trimestre del año actual/Total de registros en los padrones del trimestre del año anterior)-1) *100</t>
  </si>
  <si>
    <t>01050202ACTIVIDAD 2.1TO.RE.P.T.A.ANT.</t>
  </si>
  <si>
    <t>Total de registros en los padrones del trimestre del año anterior</t>
  </si>
  <si>
    <t>01050202ACTIVIDAD 2.2NU.CO.D.S.F.T.ACT.</t>
  </si>
  <si>
    <t>B0320801050202 Dirección de Comercialización Fortalecimiento de los ingresos</t>
  </si>
  <si>
    <t>Tasa de variación del número de contribuyentes detectados en situación fiscalizable</t>
  </si>
  <si>
    <t>Número de contribuyentes detectados en situación fiscalizable del trimestre actual</t>
  </si>
  <si>
    <t>((Número de contribuyentes detectados en situación fiscalizable del trimestre actual/Total de contribuyentes detectados en situación fiscalizable en trimestre anterior)-1) *100</t>
  </si>
  <si>
    <t>El sobrepaso en las cifras de contribuyentes detectados en situación fiscalizable durante el trimestre actual se debe a la implementación de la campaña de regularización y descuentos del ejercicio fiscal 2026, relativa a los servicios de agua potable, alcantarillado, drenaje y saneamiento, la cual incentivó la actualización del padrón y permitió la identificación de nuevos contribuyentes.</t>
  </si>
  <si>
    <t xml:space="preserve">El incremento se debe a la mayor disposición de los contribuyentes para regularizar su situación derivadas de la campaña "BORRÓN Y CUENTA NUEVA 2026", motivando una mayor participación por parte de los usuarios y agilizando la atención de cuentas con adeudo. </t>
  </si>
  <si>
    <t>01050202ACTIVIDAD 2.2TO.CO.D.S.F.T.ANT.</t>
  </si>
  <si>
    <t>Total de contribuyentes detectados en situación fiscalizable en trimestre anterior</t>
  </si>
  <si>
    <t>01050202ACTIVIDAD 2.3NU.IN.P.C.M.O.R.E.</t>
  </si>
  <si>
    <t>Porcentaje de invitaciones de pago a contribuyentes morosos, omisos y remisos detectados</t>
  </si>
  <si>
    <t>Número de invitaciones de pago a contribuyentes morosos, omisos y remisos entregadas</t>
  </si>
  <si>
    <t>(Número de invitaciones de pago a contribuyentes morosos, omisos y remisos entregadas/Total de invitaciones expedidas) *100</t>
  </si>
  <si>
    <t>Carta Invitación</t>
  </si>
  <si>
    <t>Este resultado se atribuye principalmente a la implementación de la campaña de descuento "BORRÓN Y CUENTA NUEVA 2026", la cual se hizo de conocimiento a la población en general mediante la Gaceta de Gobierno del Municipio de Cuautitlán Izcalli,en el mes de mayo de 2026, misma que incentivo a una mayor participación y respuesta por parte de los contribuyentes interesados en regularizar su situción fiscal y aprovechar los beneficios otorados por dicho programa.</t>
  </si>
  <si>
    <t>01050202ACTIVIDAD 2.3TO.IN.EXP.</t>
  </si>
  <si>
    <t>Total de invitaciones expedidas</t>
  </si>
  <si>
    <t>01050202ACTIVIDAD 2.4NU.C.F.RE.</t>
  </si>
  <si>
    <t>Porcentaje de créditos fiscales recuperados</t>
  </si>
  <si>
    <t>Número de créditos fiscales recuperados</t>
  </si>
  <si>
    <t>(Número de créditos fiscales recuperados/Total de créditos fiscales determinados) *100</t>
  </si>
  <si>
    <t xml:space="preserve">Determinación </t>
  </si>
  <si>
    <t>01050202ACTIVIDAD 2.4TO.C.F.DE.</t>
  </si>
  <si>
    <t>Total de créditos fiscales determinados</t>
  </si>
  <si>
    <t>01030401FINN. O. D. A. I. S.</t>
  </si>
  <si>
    <t>G0022801030401 Contraloría Interna Función pública, combate a la corrupción y control de riesgos administrativos</t>
  </si>
  <si>
    <t>Porcentaje de observaciones derivadas de auditorías institucionales que fueron solventadas</t>
  </si>
  <si>
    <t>Número de observaciones derivadas de auditorías institucionales que fueron solventadas</t>
  </si>
  <si>
    <t>(Número de observaciones derivadas de auditorías institucionales que fueron solventadas/Total de observaciones derivadas de auditorías institucionales) * 100</t>
  </si>
  <si>
    <t>Observación</t>
  </si>
  <si>
    <t>01030401FINT. O. D. A. I.</t>
  </si>
  <si>
    <t>Total de observaciones derivadas de auditorías institucionales</t>
  </si>
  <si>
    <t>01030401PROPÓSITON. A. E. R. R.</t>
  </si>
  <si>
    <t>Porcentaje de auditorías realizadas con enfoque de riesgo sobre funciones críticas</t>
  </si>
  <si>
    <t>Número de auditorías con enfoque de riesgo realizadas</t>
  </si>
  <si>
    <t>(Número de auditorías con enfoque de riesgo realizadas/Total de auditorías con enfoque de riesgo previstas a realizar en el año) * 100</t>
  </si>
  <si>
    <t xml:space="preserve">01030401PROPÓSITOT. A. E. R. P. R. A. </t>
  </si>
  <si>
    <t>Total de auditorías con enfoque de riesgo previstas a realizar en el año</t>
  </si>
  <si>
    <t>01030401COMPONENTE 3A. O. S. P. E. I. C. R. R.</t>
  </si>
  <si>
    <t>Porcentaje de auditorías a las obligaciones de los servidores públicos con enfoque de integridad y control de riesgos realizadas</t>
  </si>
  <si>
    <t>Auditorías a las obligaciones de los servidores públicos con enfoque de integridad y control de riesgos realizadas</t>
  </si>
  <si>
    <t xml:space="preserve">(Auditorías a las obligaciones de los servidores públicos con enfoque de integridad y control de riesgos realizadas/Auditorías a las obligaciones de los servidores públicos con enfoque de integridad y control de riesgos programadas) *100 </t>
  </si>
  <si>
    <t xml:space="preserve">Se realiza la auditoria CI/DAyCI/COH-01/2026, denominada "Auditoria de Cumplimiento a la Integración de Expedientes Únicos de Obra Pública en sus modalidades de Obras por Administración y Obras por Contrato, así como lo indicado en la Gaceta de Gobierno del Estado de México en el Acuerdo por el que se establece el índice de expediente único de obra pública e instructivos de llenado en las Modalidades de Adjudicación Directa, Invitación Restringida y Licitación pública conforme a lo indicado en la Gaceta del Gobierno del Estado de México"  </t>
  </si>
  <si>
    <t>01030401COMPONENTE 3A. O. S. P. E. I. C. R. PR.</t>
  </si>
  <si>
    <t>Auditorías a las obligaciones de los servidores públicos con enfoque de integridad y control de riesgos programadas</t>
  </si>
  <si>
    <t>01030401ACTIVIDAD 2.1N. M. I. E. D. M. C. V. R. A.</t>
  </si>
  <si>
    <t>Porcentaje de materiales informativos elaborados y difundidos en materia de control, vigilancia y riesgos administrativos</t>
  </si>
  <si>
    <t>Número de materiales informativos elaborados y difundidos en materia de control, vigilancia y riesgos administrativos</t>
  </si>
  <si>
    <t>(Número de materiales informativos elaborados y difundidos en materia de control, vigilancia y riesgos administrativos/Total de materiales informativos programados) *100</t>
  </si>
  <si>
    <t>Cartel</t>
  </si>
  <si>
    <t>Se colocaron 10 carteles dentro del Organismo, que contenían la información relativa a la presentación de la Declaración de Modificación Patrimonial, de Intereses y la Constancia de Declaración Fiscal.</t>
  </si>
  <si>
    <t>01030401ACTIVIDAD 2.1T. M. I. P.</t>
  </si>
  <si>
    <t>Total de materiales informativos programados</t>
  </si>
  <si>
    <t>01030401ACTIVIDAD 3.1N. O. I. IN. A.</t>
  </si>
  <si>
    <t>ACTIVIDAD 3.1</t>
  </si>
  <si>
    <t>Porcentaje de observaciones integradas al Informe de Auditoría</t>
  </si>
  <si>
    <t>Número de observaciones integradas al informe de auditoría</t>
  </si>
  <si>
    <t>(Número de observaciones integradas al informe de auditoría/Número de observaciones detectadas en auditorías realizadas) *100</t>
  </si>
  <si>
    <t>De la auditoria CI/DAyCI/COH-01/2026, denominada "Auditoria de Cumplimiento a la Integración de Expedientes Únicos de Obra Pública en sus modalidades de Obras por Administración y Obras por Contrato, así como lo indicado en la Gaceta de Gobierno del Estado de México en el Acuerdo por el que se establece el índice de expediente único de obra pública e instructivos de llenado en las Modalidades de Adjudicación Directa, Invitación Restringida y Licitación pública conforme a lo indicado en la Gaceta del Gobierno del Estado de México", se derivaron tres observaciones, con implemetación de acciones de mejoras, de la cédula final las cuales fueron solventadas.</t>
  </si>
  <si>
    <t>01030401ACTIVIDAD 3.1N. O. D. A. R.</t>
  </si>
  <si>
    <t>Número de observaciones detectadas en auditorías realizadas</t>
  </si>
  <si>
    <t>01030401COMPONENTE 2 CA. I. O. S. P. C. I. C. R. A. R.</t>
  </si>
  <si>
    <t>Porcentaje de campañas de información de las obligaciones, cultura de integridad y control de riesgos administrativos realizadas</t>
  </si>
  <si>
    <t>Campañas de información de las obligaciones de los servidores públicos, cultura de integridad y control de riesgos administrativos realizadas</t>
  </si>
  <si>
    <t>(Campañas de información de las obligaciones de los servidores públicos, cultura de integridad y control de riesgos administrativos realizadas/Campañas de información de las obligaciones de los servidores públicos, cultura de integridad y control de riesgos administrativos programadas) *100</t>
  </si>
  <si>
    <t xml:space="preserve">Se realiza la campaña, médiate la colocación de carteles dentro del Organismo, que contenían la información relativa a la presentación de la Declaración de Modificación Patrimonial, de Intereses y la Constancia de Declaración Fiscal.
</t>
  </si>
  <si>
    <t>01030401COMPONENTE 2 CA. I. O. S. P. C. I. C. R. A. P.</t>
  </si>
  <si>
    <t>Campañas de información de las obligaciones de los servidores públicos, cultura de integridad y control de riesgos administrativos programadas</t>
  </si>
  <si>
    <t>Se realiza la campaña, médiate la colocación de carteles dentro del Organismo, que contenían la información relativa a la presentación de la Declaración de Modificación Patrimonial, de Intereses y la Constancia de Declaración Fiscal.</t>
  </si>
  <si>
    <t>01080501FINT.A.A.ACT.</t>
  </si>
  <si>
    <t>A0122901080501 Secretaría Técnica Gobierno digital</t>
  </si>
  <si>
    <t>Tasa de variación en el número de TIC´s adquiridas</t>
  </si>
  <si>
    <t>TIC’s adquiridas en el año actual</t>
  </si>
  <si>
    <t>((TIC’s adquiridas en el año actual/ TIC’s adquiridas el año anterior)-1) *100</t>
  </si>
  <si>
    <t>TIC’s</t>
  </si>
  <si>
    <t>01080501FINT.A.A.ANT.</t>
  </si>
  <si>
    <t>TIC’s adquiridas el año anterior</t>
  </si>
  <si>
    <t>01080501PROPÓSITOT.T.M.L.</t>
  </si>
  <si>
    <t>Porcentaje de avance en la prestación de servicios a través de medios electrónicos</t>
  </si>
  <si>
    <t>Total de trámites municipales en línea</t>
  </si>
  <si>
    <t>(Total de trámites municipales en línea/Total de trámites municipales por subir a la web) *100</t>
  </si>
  <si>
    <t>01080501PROPÓSITOT.T.M.S.W.</t>
  </si>
  <si>
    <t>Total de trámites municipales por subir a la web</t>
  </si>
  <si>
    <t>01080501COMPONENTE 1T.P.S.E.P.S.E.</t>
  </si>
  <si>
    <t>Porcentaje de procedimientos simplificados enfocados a la prestación de servicios electrónicos</t>
  </si>
  <si>
    <t>Total de procedimientos simplificados enfocados a la prestación de servicios electrónicos</t>
  </si>
  <si>
    <t>(Total de procedimientos simplificados enfocados a la prestación de servicios electrónicos/Total de procedimientos identificados de prestación de servicios electrónicos) *100</t>
  </si>
  <si>
    <t>01080501COMPONENTE 1T.P.I.P.S.E.</t>
  </si>
  <si>
    <t>Total de procedimientos identificados de prestación de servicios electrónicos</t>
  </si>
  <si>
    <t>01080501COMPONENTE 3CU.IM.</t>
  </si>
  <si>
    <t>B0020101080501 Dirección de Administración y Finanzas Gobierno digital</t>
  </si>
  <si>
    <t>Porcentaje de cursos de capacitación sobre e-gobierno impartidos</t>
  </si>
  <si>
    <t>Cursos impartidos</t>
  </si>
  <si>
    <t>(Cursos impartidos/Cursos programados) *100</t>
  </si>
  <si>
    <t>curso</t>
  </si>
  <si>
    <t>01080501COMPONENTE 3CUR.PRO.</t>
  </si>
  <si>
    <t>Cursos programados</t>
  </si>
  <si>
    <t>01080501COMPONENTE 4M.R.T.</t>
  </si>
  <si>
    <t>Porcentaje de cumplimiento en los mantenimientos realizados a las TIC´s</t>
  </si>
  <si>
    <t>Mantenimientos realizados a las TIC´S</t>
  </si>
  <si>
    <t>(Mantenimientos realizados a las TIC´S/Total de mantenimientos a las TIC´s programados) *100</t>
  </si>
  <si>
    <t>01080501COMPONENTE 4T.M.T.P.</t>
  </si>
  <si>
    <t>Total de mantenimientos a las TIC´s programados</t>
  </si>
  <si>
    <t>01080501ACTIVIDAD 1.1T.I.P.G.</t>
  </si>
  <si>
    <t>Porcentaje de trámites incorporados al programa de e-gobierno</t>
  </si>
  <si>
    <t>Trámites incorporados al programa de e-gobierno</t>
  </si>
  <si>
    <t>(Trámites incorporados al programa de e-gobierno/Total de trámites seleccionados para el programa e-gobierno) *100</t>
  </si>
  <si>
    <t>Mensual</t>
  </si>
  <si>
    <t>01080501ACTIVIDAD 1.1T.T.S.P.G.</t>
  </si>
  <si>
    <t>Total de trámites seleccionados para el programa e-gobierno</t>
  </si>
  <si>
    <t>01080501ACTIVIDAD 1.2PR.AD.</t>
  </si>
  <si>
    <t>Porcentaje de avance en la readecuación procedimental de trámites</t>
  </si>
  <si>
    <t>Procedimientos adecuados</t>
  </si>
  <si>
    <t>(Procedimientos adecuados/Procedimientos programados) *100</t>
  </si>
  <si>
    <t>01080501ACTIVIDAD 1.2P.PR.</t>
  </si>
  <si>
    <t>Procedimientos programados</t>
  </si>
  <si>
    <t>01080501ACTIVIDAD 3.1CUR.IMP.</t>
  </si>
  <si>
    <t>Porcentaje en el cumplimiento del Programa de Capacitación</t>
  </si>
  <si>
    <t>01080501ACTIVIDAD 3.1CUR.PR.</t>
  </si>
  <si>
    <t>01080501ACTIVIDAD 3.2S.P.C.</t>
  </si>
  <si>
    <t>Porcentaje de Servidores capacitados</t>
  </si>
  <si>
    <t>Servidores públicos capacitados</t>
  </si>
  <si>
    <t>(Servidores públicos capacitados/Servidores públicos programados para ser capacitados) *100</t>
  </si>
  <si>
    <t>Servidores públicos</t>
  </si>
  <si>
    <t>01080501ACTIVIDAD 3.2S.P.P.C.</t>
  </si>
  <si>
    <t>Servidores públicos programados para ser capacitados</t>
  </si>
  <si>
    <t>01080501ACTIVIDAD 4.1R.I.T.A</t>
  </si>
  <si>
    <t>Porcentaje de reportes de incidencias de TIC´s atendidos</t>
  </si>
  <si>
    <t>Reportes de incidencias de TIC´s atendidos</t>
  </si>
  <si>
    <t>(Reportes de incidencias de TIC´s atendidos/Total de reportes presentados) *100</t>
  </si>
  <si>
    <t>01080501ACTIVIDAD 4.1T.R.P.</t>
  </si>
  <si>
    <t>Total de reportes presentados</t>
  </si>
  <si>
    <t>02060805FINN. M. H. P. LGBTTTIQ+. A. I. E. P. V. A. ACT.</t>
  </si>
  <si>
    <t>B0020902060805 Dirección de Administración y Finanzas Igualdad de trato y oportunidades para la mujer, el hombre y personas LGBTTTIQ+</t>
  </si>
  <si>
    <t>Eje transversal 1. Igualdad de Género</t>
  </si>
  <si>
    <t>Tasa de variación de la participación de mujeres, hombres y personas LGBTTTIQ+ en las actividades de los programas para la igualdad de oportunidades, la prevención de la violencia y la no discriminación de género</t>
  </si>
  <si>
    <t>Número de mujeres, hombres y personas LGBTTTIQ+ que participan en actividades de igualdad, equidad, prevención de la violencia y la no discriminación de género en el año actual</t>
  </si>
  <si>
    <t>((Número de mujeres, hombres y personas LGBTTTIQ+ que participan en actividades de igualdad, equidad, prevención de la violencia y la no discriminación de género en el año actual/Número de mujeres, hombres y personas LGBTTTIQ+ que participan en las actividades de igualdad, equidad, prevención de la violencia y la no discriminación de género en el año anterior)-1)*100</t>
  </si>
  <si>
    <t>02060805FINN. M. H. P. LGBTTTIQ+. A. I. E. P. V. A. ANT.</t>
  </si>
  <si>
    <t>Número de mujeres, hombres y personas LGBTTTIQ+ que participan en las actividades de igualdad, equidad, prevención de la violencia y la no discriminación de género en el año anterior</t>
  </si>
  <si>
    <t>02060805PROPÓSITON. M. H. P. LGBTTTIQ+. F. I. E. P. V. D. G.</t>
  </si>
  <si>
    <t>Porcentaje de mujeres, hombres y personas LGBTTTIQ+ beneficiados con los programas de igualdad, equidad, la prevención de la violencia y la no discriminación de género</t>
  </si>
  <si>
    <t>Número de mujeres, hombres y personas LGBTTTIQ+ beneficiados con programas de fomento a la igualdad, equidad, prevención de la violencia y la no discriminación de género</t>
  </si>
  <si>
    <t>(Número de mujeres, hombres y personas LGBTTTIQ+ beneficiados con programas de fomento a la igualdad, equidad, prevención de la violencia y la no discriminación de género/Total de población en el municipio) *100</t>
  </si>
  <si>
    <t>02060805PROPÓSITOT. P. M.</t>
  </si>
  <si>
    <t>Total de población en el municipio</t>
  </si>
  <si>
    <t>Total de la población</t>
  </si>
  <si>
    <t>02060805COMPONENTE 1N. M. H. P. LGBTTTIQ+. E. P. C. A. ACT.</t>
  </si>
  <si>
    <t>Tasa de variación de mujeres, hombres y personas LGBTTTIQ+ en edad productiva capacitados</t>
  </si>
  <si>
    <t>Número de mujeres, hombres y personas LGBTTTIQ+ en edad productiva capacitados en el año actual</t>
  </si>
  <si>
    <t>((Número de mujeres, hombres y personas LGBTTTIQ+ en edad productiva capacitados en el año actual/Número de mujeres, hombres y personas LGBTTTIQ+ capacitadas en el año anterior)-1) *100</t>
  </si>
  <si>
    <t>02060805COMPONENTE 1N. M. H. P.  LGBTTTIQ+. C. A. ANT.</t>
  </si>
  <si>
    <t>Número de mujeres, hombres y personas LGBTTTIQ+ capacitadas en el año anterior</t>
  </si>
  <si>
    <t>02060805COMPONENTE 3N. M. H. P. LGBTTTIQ+. B. P. I. D. O. E. P. V. D. G.</t>
  </si>
  <si>
    <t>Porcentaje de mujeres, hombres y personas LGBTTTIQ+ beneficiados a través de programas de cultura de igualdad, equidad, prevención de la violencia y no discriminación de género</t>
  </si>
  <si>
    <t>Número de mujeres, hombres y personas LGBTTTIQ+ beneficiados con programas de igualdad de derechos y oportunidades, equidad, prevención de la violencia y no discriminación de género</t>
  </si>
  <si>
    <t>(Número de mujeres, hombres y personas LGBTTTIQ+ beneficiados con programas de igualdad de derechos y oportunidades, equidad, prevención de la violencia y no discriminación de género/Total de población del municipio) *100</t>
  </si>
  <si>
    <t>02060805COMPONENTE 3T. P. MU.</t>
  </si>
  <si>
    <t>Total de población del municipio</t>
  </si>
  <si>
    <t>02060805ACTIVIDAD 1.1N. M. H. P. LGBTTTIQ+. R. C. T.</t>
  </si>
  <si>
    <t>Porcentaje de mujeres, hombres y personas LGBTTTIQ+ capacitados en áreas productivas</t>
  </si>
  <si>
    <t>Número de mujeres, hombres y personas LGBTTTIQ+ que recibieron capacitación para el trabajo</t>
  </si>
  <si>
    <t>(Número de mujeres, hombres y personas LGBTTTIQ+ que recibieron capacitación para el trabajo/Total de mujeres, hombres y personas LGBTTTIQ+ asistentes a los cursos de capacitación para el trabajo impartidos por el municipio) *100</t>
  </si>
  <si>
    <t>02060805ACTIVIDAD 1.1T. M. H. P. LGBTTTIQ+. A. C. C. T. I. M.</t>
  </si>
  <si>
    <t>Total de mujeres, hombres y personas LGBTTTIQ+ asistentes a los cursos de capacitación para el trabajo impartidos por el municipio</t>
  </si>
  <si>
    <t>02060805ACTIVIDAD 3.1N. P. P. C. S. O. I. G. R. D. E. R .  D.</t>
  </si>
  <si>
    <t>Porcentaje de participación en campañas de sensibilización orientadas a la igualdad de género, respeto a la diversidad y erradicación de estereotipos discriminatorios</t>
  </si>
  <si>
    <t>Número de personas participantes en campañas de sensibilización orientadas a la igualdad de género, respeto a la diversidad y erradicación de estereotipos discriminatorios</t>
  </si>
  <si>
    <t>(Número de personas participantes en campañas de sensibilización orientadas a la igualdad de género, respeto a la diversidad y erradicación de estereotipos discriminatorios/Población total objetivo del municipio) *100</t>
  </si>
  <si>
    <t>02060805ACTIVIDAD 3.1P. T. O. M.</t>
  </si>
  <si>
    <t>Población total objetivo del municipio</t>
  </si>
  <si>
    <t>02060805ACTIVIDAD 3.2N. E. C. I. P. D. V. G. R</t>
  </si>
  <si>
    <t>Porcentaje de eventos con enfoque de cultura de igualdad y prevención de la discriminación y/o violencia de género realizados</t>
  </si>
  <si>
    <t>Número de eventos de cultura de igualdad y prevención de la discriminación y/o violencia de género realizados</t>
  </si>
  <si>
    <t>(Número de eventos de cultura de igualdad y prevención de la discriminación y/o violencia de género realizados/Total de eventos de cultura de igualdad y prevención de la discriminación y/o violencia de género programados) *100</t>
  </si>
  <si>
    <t>Plática</t>
  </si>
  <si>
    <t>02060805ACTIVIDAD 3.2T. E. C. I. P. D. V. G. P.</t>
  </si>
  <si>
    <t>Total de eventos de cultura de igualdad y prevención de la discriminación y/o violencia de género programados</t>
  </si>
  <si>
    <t>02010301FINT.M.A.R.D.A.B.N.A.TR.</t>
  </si>
  <si>
    <t>C0022502010301 Dirección de Construcción y Operación Hidráulica Manejo de aguas residuales, drenaje y alcantarillado</t>
  </si>
  <si>
    <t>Eje 2. Bienestar ambiental y acceso universal al agua - Preservación y promoción ecológica</t>
  </si>
  <si>
    <t>Tasa de variación en el fomento a la cultura de descontaminación de las aguas residuales</t>
  </si>
  <si>
    <t>Total de m3 de Aguas residuales descargadas en aguas y bienes nacionales con algún tratamiento</t>
  </si>
  <si>
    <t>Total de m3 de Aguas residuales descargadas en aguas y bienes nacionales con algún tratamiento/ Total de m3 de Aguas residuales descargadas en aguas y bienes nacionales)</t>
  </si>
  <si>
    <t>m3</t>
  </si>
  <si>
    <t>02010301FINT.M.A.R.D.A.B.N.</t>
  </si>
  <si>
    <t>Total de m3 de Aguas residuales descargadas en aguas y bienes nacionales</t>
  </si>
  <si>
    <t>02010301PROPÓSITOR.O.A.L.M.P.C.D.A.R.ACT.</t>
  </si>
  <si>
    <t>Tasa de variación en los resultados obtenidos en los análisis de límites máximos permisibles de contaminantes en las descargas de aguas residuales</t>
  </si>
  <si>
    <t>Resultados obtenidos en los de análisis de Límites máximos permisibles de contaminantes en las descargas de aguas residuales en el año actual</t>
  </si>
  <si>
    <t>((Resultados obtenidos en los de análisis de Límites máximos permisibles de contaminantes en las descargas de aguas residuales en el año actual/Resultados obtenidos en los análisis de Límites máximos permisibles de contaminantes en las descargas de aguas residuales en el año anterior)-1) *100</t>
  </si>
  <si>
    <t>02010301PROPÓSITOR.O.A.L.M.P.C.D.A.R.A.ANT.</t>
  </si>
  <si>
    <t>Resultados obtenidos en los análisis de Límites máximos permisibles de contaminantes en las descargas de aguas residuales en el año anterior</t>
  </si>
  <si>
    <t>02010301COMPONENTE 2M.C.A.T.S.A.</t>
  </si>
  <si>
    <t>Porcentaje de metros cúbicos de aguas residuales tratadas</t>
  </si>
  <si>
    <t>Metros Cúbicos de aguas tratadas en el semestre actual</t>
  </si>
  <si>
    <t>(Metros cúbicos de aguas tratadas en el semestre actual/Metros cúbicos de aguas vertidas) *100</t>
  </si>
  <si>
    <t xml:space="preserve">Semestral </t>
  </si>
  <si>
    <t>02010301COMPONENTE 2M.C.A.V.</t>
  </si>
  <si>
    <t>Metros cúbicos de aguas vertidas</t>
  </si>
  <si>
    <t>02010301COMPONENTE 3N.M.I.T.A.R.R.</t>
  </si>
  <si>
    <t>Porcentaje de mantenimientos realizados a la infraestructura de tratamiento de aguas residuales</t>
  </si>
  <si>
    <t>Número de mantenimientos a la infraestructura de tratamiento de aguas residuales realizados</t>
  </si>
  <si>
    <t xml:space="preserve">(Número de mantenimientos a la infraestructura de tratamiento de aguas residuales realizados/Total de mantenimientos a la infraestructura de tratamiento de aguas residuales programados) *100 </t>
  </si>
  <si>
    <t>02010301COMPONENTE 3T.M.I.T.A.R.P.</t>
  </si>
  <si>
    <t>Total de mantenimientos a la infraestructura de tratamiento de aguas residuales programados</t>
  </si>
  <si>
    <t>02010301COMPONENTE 4N.M.I.D.A.R</t>
  </si>
  <si>
    <t>C0022202010301 Dirección de Construcción y Operación Hidráulica Manejo de aguas residuales, drenaje y alcantarillado</t>
  </si>
  <si>
    <t>Porcentaje de mantenimientos realizados a la infraestructura de drenaje y alcantarillado</t>
  </si>
  <si>
    <t>Número de mantenimientos a la infraestructura de drenaje y alcantarillado realizados</t>
  </si>
  <si>
    <t xml:space="preserve">(Número de mantenimientos a la infraestructura de drenaje y alcantarillado realizados/Total de mantenimientos a la infraestructura de drenaje y alcantarillado programados) *100 </t>
  </si>
  <si>
    <t xml:space="preserve">La ejecución de los mantenimientos se ha realizado de acuerdo con la programación establecida, considerando las necesidades operativas y la disponibilidad de recursos del Departamento.
</t>
  </si>
  <si>
    <t>02010301COMPONENTE 4T.M.I.D.A.P.</t>
  </si>
  <si>
    <t>Total de mantenimientos a la infraestructura de drenaje y alcantarillado programados</t>
  </si>
  <si>
    <t>02010301ACTIVIDAD 2.1C.A.D.C.I.S.T.</t>
  </si>
  <si>
    <t>Porcentaje de caudales de aguas domiciliarias, comerciales e industriales sin tratamiento</t>
  </si>
  <si>
    <t>Caudales de aguas domiciliares comerciales e industriales sin tratamiento</t>
  </si>
  <si>
    <t>(Caudales de aguas domiciliares comerciales e industriales sin tratamiento/Total de caudales de aguas domiciliares comerciales e industriales recibidas) *100</t>
  </si>
  <si>
    <t>02010301ACTIVIDAD 2.1T.C.A.D.C.I.R.</t>
  </si>
  <si>
    <t>Total de caudales de aguas domiciliares comerciales e industriales recibidas</t>
  </si>
  <si>
    <t>02010301ACTIVIDAD 2.2M.C.A.R.T.M.A.Q.</t>
  </si>
  <si>
    <t>Porcentaje de aplicación de químicos para el tratamiento de aguas residuales</t>
  </si>
  <si>
    <t>Metros cúbicos de aguas residuales tratadas mediante la aplicación de químicos</t>
  </si>
  <si>
    <t>(Metros cúbicos de aguas residuales tratadas mediante la aplicación de químicos/Total de aguas residuales recibidas (mts3)) *100</t>
  </si>
  <si>
    <t>02010301ACTIVIDAD 2.2T.A.R.R.</t>
  </si>
  <si>
    <t>Total de aguas residuales recibidas (mts3)</t>
  </si>
  <si>
    <t>02010301ACTIVIDAD 3.1I.I.T.A.R.R.</t>
  </si>
  <si>
    <t>C0022002010301 Dirección de Construcción y Operación Hidráulica Manejo de aguas residuales, drenaje y alcantarillado</t>
  </si>
  <si>
    <t>Porcentaje de inspecciones realizadas a la infraestructura para el tratamiento de aguas residuales</t>
  </si>
  <si>
    <t>Inspección de la infraestructura para el tratamiento de aguas residuales realizadas</t>
  </si>
  <si>
    <t xml:space="preserve">(Inspección de la infraestructura para el tratamiento de aguas residuales realizas/Inspección de la infraestructura para el tratamiento de aguas residuales programadas) *100 </t>
  </si>
  <si>
    <t>Recorrido</t>
  </si>
  <si>
    <t>02010301ACTIVIDAD 3.1I.I.T.A.R.PR.</t>
  </si>
  <si>
    <t>Inspección de la infraestructura para el tratamiento de aguas residuales programadas</t>
  </si>
  <si>
    <t>02010301ACTIVIDAD 3.3M.I.T.A.R.RE.</t>
  </si>
  <si>
    <t>ACTIVIDAD 3.3</t>
  </si>
  <si>
    <t>Porcentaje de mantenimientos de la infraestructura para el tratamiento de aguas residuales realizados</t>
  </si>
  <si>
    <t>Mantenimiento de la infraestructura para el tratamiento de aguas residuales realizada</t>
  </si>
  <si>
    <t xml:space="preserve">(Mantenimiento de la infraestructura para el tratamiento de aguas residuales realizada/Mantenimiento de la infraestructura para el tratamiento de aguas residuales programada) *100 </t>
  </si>
  <si>
    <t>02010301ACTIVIDAD 3.3M.I.T.A.R.PR.</t>
  </si>
  <si>
    <t>Mantenimiento de la infraestructura para el tratamiento de aguas residuales programada</t>
  </si>
  <si>
    <t>02010301ACTIVIDAD 4.1M.I.D.A.R.</t>
  </si>
  <si>
    <t>Porcentaje de mantenimientos de la infraestructura para drenaje y alcantarillado realizados</t>
  </si>
  <si>
    <t>Mantenimientos a la infraestructura de drenaje y alcantarillado realizados</t>
  </si>
  <si>
    <t>(Mantenimientos a la infraestructura de drenaje y alcantarillado realizados/Mantenimientos a la infraestructura de drenaje y alcantarillado programados) *100</t>
  </si>
  <si>
    <t>Las reparaciones se han realizado de manera gradual, conforme a la disponibilidad y suministro de materiales al departamento, lo que ha limitado el avance respecto a lo programado durante el periodo.</t>
  </si>
  <si>
    <t>02010301ACTIVIDAD 4.1M.I.D.A.P.</t>
  </si>
  <si>
    <t>Mantenimientos a la infraestructura de drenaje y alcantarillado programados</t>
  </si>
  <si>
    <t>02020301FINA.E.M.S.A.P.A.ACT.</t>
  </si>
  <si>
    <t>C0022002020301 Dirección de Construcción y Operación Hidráulica Manejo eficiente y sustentable del agua</t>
  </si>
  <si>
    <t>Tasa de variación en las acciones encaminadas al manejo sustentable del agua potable</t>
  </si>
  <si>
    <t>Acciones encaminadas al manejo sustentable del agua potable llevadas a cabo en el año actual</t>
  </si>
  <si>
    <t>(Acciones encaminadas al manejo sustentable del agua potable llevadas a cabo en el año actual/Acciones encaminadas al manejo sustentable del agua potable llevadas a cabo en el año anterior)- 1) *100</t>
  </si>
  <si>
    <t>02020301FINA.E.A.S.A.P.A.ANT.</t>
  </si>
  <si>
    <t>Acciones encaminadas al manejo sustentable del agua potable llevadas a cabo en el año anterior</t>
  </si>
  <si>
    <t>02020301PROPÓSITOR.E.LAB.V.E.C.A.P.A.ACT.</t>
  </si>
  <si>
    <t>C0022602020301 Dirección de Construcción y Operación Hidráulica Manejo eficiente y sustentable del agua</t>
  </si>
  <si>
    <t>Tasa de variación de los resultados de los estudios de laboratorio para verificar los estándares de calidad del agua</t>
  </si>
  <si>
    <t>Resultados de los estudios de laboratorio para la verificación de los estándares de calidad en el agua potable fundada en la NOM 127 en el año actual</t>
  </si>
  <si>
    <t>((Resultados de los estudios de laboratorio para la verificación de los estándares de calidad en el agua potable fundada en la NOM 127 en el año actual /Resultados de los estudios de laboratorio para la Verificación de los estándares de calidad en el agua potable fundada en la NOM 127 en el año anterior) - 1) *100</t>
  </si>
  <si>
    <t>Análisis</t>
  </si>
  <si>
    <t>02020301PROPÓSITOR.E.LAB.V.E.C.A.P.A.ANT.</t>
  </si>
  <si>
    <t>Resultados de los estudios de laboratorio para la Verificación de los estándares de calidad en el agua potable fundada en la NOM 127 en el año anterior</t>
  </si>
  <si>
    <t>02020301COMPONENTE 1I.H.S.A.P.CONS.</t>
  </si>
  <si>
    <t>C0021802020301 Dirección de Construcción y Operación Hidráulica Manejo eficiente y sustentable del agua</t>
  </si>
  <si>
    <t>Porcentaje de cumplimiento en la construcción de infraestructura hidráulica de agua potable</t>
  </si>
  <si>
    <t>Infraestructura hidráulica para el suministro de agua potable construida</t>
  </si>
  <si>
    <t>(Infraestructura hidráulica para el suministro de agua potable construida/Infraestructura hidráulica para el suministro de agua potable programada) *100</t>
  </si>
  <si>
    <t>Obra</t>
  </si>
  <si>
    <t>02020301COMPONENTE 1I.H.S.A.P.PROG.</t>
  </si>
  <si>
    <t>Infraestructura hidráulica para el suministro de agua potable programada</t>
  </si>
  <si>
    <t>02020301COMPONENTE 2M.C.D.A.P.</t>
  </si>
  <si>
    <t>Promedio de suministro de agua potable por habitante</t>
  </si>
  <si>
    <t>Metros cúbicos distribuidos de agua potable</t>
  </si>
  <si>
    <t>(Metros cúbicos distribuidos de agua potable/Población beneficiada)</t>
  </si>
  <si>
    <t>02020301COMPONENTE 2POB.B.</t>
  </si>
  <si>
    <t>Población beneficiada</t>
  </si>
  <si>
    <t>Habitante</t>
  </si>
  <si>
    <t>02020301COMPONENTE 3A.P.S.P.</t>
  </si>
  <si>
    <t>C0021902020301 Dirección de Construcción y Operación Hidráulica Manejo eficiente y sustentable del agua</t>
  </si>
  <si>
    <t>Porcentaje de cumplimiento en el abastecimiento de agua potable</t>
  </si>
  <si>
    <t>Agua potable suministrada a la población</t>
  </si>
  <si>
    <t>(Agua potable suministrada a la población/Suministro de agua potable programada) * 100</t>
  </si>
  <si>
    <t>02020301COMPONENTE 3S.A.P.PROG.</t>
  </si>
  <si>
    <t>Suministro de agua potable programada</t>
  </si>
  <si>
    <t>02020301COMPONENTE 4A.M.I.H.S.A.P.P.REA.</t>
  </si>
  <si>
    <t>Porcentaje de cumplimiento de los mantenimientos a la infraestructura hidráulica</t>
  </si>
  <si>
    <t>Acciones de mantenimiento a la infraestructura hidráulica para el suministro de agua potable a la población realizado</t>
  </si>
  <si>
    <t>(Acciones de mantenimiento a la infraestructura hidráulica para el suministro de agua potable a la población realizado/Acciones de mantenimiento a la infraestructura hidráulica para el suministro de agua potable a la población programado) *100</t>
  </si>
  <si>
    <t>02020301COMPONENTE 4A.M.I.H.S.A.P.P.PROG.</t>
  </si>
  <si>
    <t>Acciones de mantenimiento a la infraestructura hidráulica para el suministro de agua potable a la población programado</t>
  </si>
  <si>
    <t>02020301ACTIVIDAD 1.1O.I.H.S.A.P.CONS.</t>
  </si>
  <si>
    <t>Porcentaje de obras de infraestructura hidráulica para el suministro de agua potable construidas</t>
  </si>
  <si>
    <t>Obras de infraestructura hidráulica para el suministro de agua potable construidas</t>
  </si>
  <si>
    <t>(Obras de infraestructura hidráulica para el suministro de agua potable construidas/Obras de infraestructura hidráulica para el suministro de agua potable programadas) *100</t>
  </si>
  <si>
    <t>02020301ACTIVIDAD 1.1O.I.H.S.A.P.PROG.</t>
  </si>
  <si>
    <t>Obras de infraestructura hidráulica para el suministro de agua potable programadas</t>
  </si>
  <si>
    <t>02020301ACTIVIDAD 1.2O.I.H.S.A.P.EQUP.REA.</t>
  </si>
  <si>
    <t>Porcentaje de equipamiento de obras de infraestructura hidráulica de agua potable</t>
  </si>
  <si>
    <t>Obras de infraestructura hidráulica para el suministro de agua potable con equipamiento electromecánico realizadas</t>
  </si>
  <si>
    <t>(Obras de infraestructura hidráulica para el suministro de agua potable con equipamiento electromecánico realizadas/Obras de infraestructura hidráulica para el suministro de agua potable) *100</t>
  </si>
  <si>
    <t>02020301ACTIVIDAD 1.2O.I.H.S.A.P.</t>
  </si>
  <si>
    <t>Obras de infraestructura hidráulica para el suministro de agua potable</t>
  </si>
  <si>
    <t>02020301ACTIVIDAD 1.3O.I.H.S.A.P.ELEC.</t>
  </si>
  <si>
    <t>ACTIVIDAD 1.3</t>
  </si>
  <si>
    <t>Porcentaje en la electrificación de las obras de infraestructura de agua potable</t>
  </si>
  <si>
    <t>Obras de infraestructura hidráulica para el suministro de agua potable electrificadas</t>
  </si>
  <si>
    <t>(Obras de infraestructura hidráulica para el suministro de agua potable electrificadas/Obras de infraestructura hidráulica para el suministro de agua potable para electrificación programadas) *100</t>
  </si>
  <si>
    <t>02020301ACTIVIDAD 1.3O.I.H.S.A.P.ELEC.PROG.</t>
  </si>
  <si>
    <t>Obras de infraestructura hidráulica para el suministro de agua potable para electrificación programadas</t>
  </si>
  <si>
    <t>02020301ACTIVIDAD 1.4P.A.C.O.I.H.S.A.P.CUMP.</t>
  </si>
  <si>
    <t>ACTIVIDAD 1.4</t>
  </si>
  <si>
    <t>Porcentaje en el cumplimiento de los procesos administrativos para la conclusión de las obras de infraestructura hidráulica para el suministro de agua potable</t>
  </si>
  <si>
    <t>Procesos administrativos para la conclusión de las obras de infraestructura hidráulica para el suministro de agua potable cumplidos</t>
  </si>
  <si>
    <t>(Procesos administrativos para la conclusión de las obras de infraestructura hidráulica para el suministro de agua potable cumplidos/Procesos administrativos para la conclusión de las obras de infraestructura hidráulica para el suministro de agua potable programados) *100</t>
  </si>
  <si>
    <t>02020301ACTIVIDAD 1.4P.A.C.O.I.H.S.A.P.PROG.</t>
  </si>
  <si>
    <t>Procesos administrativos para la conclusión de las obras de infraestructura hidráulica para el suministro de agua potable programados</t>
  </si>
  <si>
    <t>02020301ACTIVIDAD 1.5O.C.I.H.S.A.P.ENTR.</t>
  </si>
  <si>
    <t>ACTIVIDAD 1.5</t>
  </si>
  <si>
    <t>Porcentaje de obras concluidas de infraestructura de agua potable entregadas</t>
  </si>
  <si>
    <t>Obras concluidas de infraestructura hidráulica para el suministro de agua potable entregadas</t>
  </si>
  <si>
    <t>(Obras concluidas de infraestructura hidráulica para el suministro de agua potable entregadas/Obras concluidas de infraestructura hidráulica para el suministro de agua potable en proceso de entrega) *100</t>
  </si>
  <si>
    <t>02020301ACTIVIDAD 1.5O.C.I.H.S.A.P.PROC.E.</t>
  </si>
  <si>
    <t>Obras concluidas de infraestructura hidráulica para el suministro de agua potable en proceso de entrega</t>
  </si>
  <si>
    <t>02020301ACTIVIDAD 2.1V.A.P.F.A.EXT.</t>
  </si>
  <si>
    <t>Porcentaje de extracción del agua potable de las fuentes de abastecimiento</t>
  </si>
  <si>
    <t>Volúmenes de agua potable de las fuentes de abastecimiento extraídas</t>
  </si>
  <si>
    <t>(Volúmenes de agua potable de las fuentes de abastecimiento extraídas /Volúmenes de agua potable de las fuentes de abastecimiento para extracción programadas) *100</t>
  </si>
  <si>
    <t>02020301ACTIVIDAD 2.1V.A.P.F.A.E.PROG.</t>
  </si>
  <si>
    <t>Volúmenes de agua potable de las fuentes de abastecimiento para extracción programadas</t>
  </si>
  <si>
    <t>02020301ACTIVIDAD 2.2V.A.P.C.POB.</t>
  </si>
  <si>
    <t>Porcentaje de agua potable clorada para consumo de la población</t>
  </si>
  <si>
    <t>Volúmenes de agua potable para consumo de la población clorada</t>
  </si>
  <si>
    <t>(Volúmenes de agua potable para consumo de la población clorada/Volúmenes de agua potable para consumo de la población programada para cloración) *100</t>
  </si>
  <si>
    <t>02020301ACTIVIDAD 2.2V.A.P.C.P. PROG.C.</t>
  </si>
  <si>
    <t>Volúmenes de agua potable para consumo de la población programada para cloración</t>
  </si>
  <si>
    <t>02020301ACTIVIDAD 2.3V.A.P.C.P.S.B.</t>
  </si>
  <si>
    <t>Porcentaje de agua potable suministrada en bloque para consumo de la población</t>
  </si>
  <si>
    <t>Volúmenes de agua potable para consumo de la población suministrada en bloque</t>
  </si>
  <si>
    <t>(Volúmenes de agua potable para consumo de la población suministrada en bloque/Volúmenes de agua potable para consumo de la población programada para suministro en bloque) *100</t>
  </si>
  <si>
    <t>El incumplimiento al indicador se debió a variaciones en la demanda y a factores externos que afectaron la distribución, como ajustes operativos en la red y condiciones técnicas del sistema. Esto derivó en un suministro menor al programado durante el periodo, sin que implique una deficiencia estructural en la capacidad de prestación del servicio.</t>
  </si>
  <si>
    <t>02020301ACTIVIDAD 2.3V.A.P.C.P.PROG.S.B.</t>
  </si>
  <si>
    <t>Volúmenes de agua potable para consumo de la población programada para suministro en bloque</t>
  </si>
  <si>
    <t>02020301ACTIVIDAD 3.1C.P.B.A.P.</t>
  </si>
  <si>
    <t>Porcentaje de cumplimiento del programa de bombeo de agua potable</t>
  </si>
  <si>
    <t>Cumplimiento del Programa de bombeo de agua potable</t>
  </si>
  <si>
    <t>(Cumplimiento del Programa de bombeo de agua potable/Bombeo de agua potable programado) *100</t>
  </si>
  <si>
    <t>02020301ACTIVIDAD 3.1B.A.P.PROG.</t>
  </si>
  <si>
    <t>Bombeo de agua potable programado</t>
  </si>
  <si>
    <t>02020301ACTIVIDAD 3.2A.P.C.P.S.P</t>
  </si>
  <si>
    <t>Porcentaje de agua potable suministrada en pipas para consumo de la población</t>
  </si>
  <si>
    <t>Agua potable para consumo de la población suministrada en pipas</t>
  </si>
  <si>
    <t>(Agua potable para consumo de la población suministrada en pipas/Agua potable para consumo de la población solicitada en pipas) *100</t>
  </si>
  <si>
    <t>no se cumplió debido a una menor recepción de peticiones ciudadanas para el suministro de agua mediante carro pipa, lo que ocasionó un resultado por debajo de lo programado.</t>
  </si>
  <si>
    <t>02020301ACTIVIDAD 3.2A.P.C.P.SOL.P</t>
  </si>
  <si>
    <t>Agua potable para consumo de la población solicitada en pipas</t>
  </si>
  <si>
    <t>02020301ACTIVIDAD 3.3A.P.C.P.S.T</t>
  </si>
  <si>
    <t>Porcentaje de agua potable suministrada por tandeo a la población</t>
  </si>
  <si>
    <t>Agua potable para consumo de la población suministrada por tandeo</t>
  </si>
  <si>
    <t>(Agua potable para consumo de la población suministrada por tandeo/Agua potable para consumo de la población) *100</t>
  </si>
  <si>
    <t>02020301ACTIVIDAD 3.3A.P.C.P.</t>
  </si>
  <si>
    <t>Agua potable para consumo de la población</t>
  </si>
  <si>
    <t>02020301ACTIVIDAD 4.1N.S.M.I.H.S.A.P.</t>
  </si>
  <si>
    <t>Porcentaje de necesidades solventadas de mantenimiento infraestructura hidráulica</t>
  </si>
  <si>
    <t>Necesidades solventadas de mantenimiento a la infraestructura hidráulica para el suministro de agua potable</t>
  </si>
  <si>
    <t>(Necesidades solventadas de mantenimiento a la infraestructura hidráulica para el suministro de agua potable/Necesidades identificadas de mantenimiento a la infraestructura hidráulica para el suministro de agua potable) *100</t>
  </si>
  <si>
    <t>El resultado por debajo de lo programado se debió a limitaciones operativas y de recursos, así como a la atención de incidencias emergentes que requirieron priorización durante el periodo. Estas condiciones redujeron la capacidad para atender la totalidad de las acciones previstas, sin que ello implique una deficiencia permanente en la operación.</t>
  </si>
  <si>
    <t>02020301ACTIVIDAD 4.1N.I.M.I.H.S.A.P.</t>
  </si>
  <si>
    <t>Necesidades identificadas de mantenimiento a la infraestructura hidráulica para el suministro de agua potable</t>
  </si>
  <si>
    <t>02020301ACTIVIDAD 4.2N.E.T.C.M.E.E.</t>
  </si>
  <si>
    <t>Porcentaje de especificaciones técnicas cumplidas para el mantenimiento del equipo electromecánico</t>
  </si>
  <si>
    <t>Número de especificaciones técnicas cumplidas para el mantenimiento del equipo electromecánico</t>
  </si>
  <si>
    <t>(Número de especificaciones técnicas cumplidas para el mantenimiento del equipo electromecánico/Total de las especificaciones técnicas requeridas para el mantenimiento del equipo electromecánico) *100</t>
  </si>
  <si>
    <t>02020301ACTIVIDAD 4.2T.E.T.R.M.E.E.</t>
  </si>
  <si>
    <t>Total de las especificaciones técnicas requeridas para el mantenimiento del equipo electromecánico</t>
  </si>
  <si>
    <t>01050205FINO.E.L.A.PDM.CUMP.</t>
  </si>
  <si>
    <t>A0123001050205 Secretaría Técnica Planeación y presupuesto basado en resultados</t>
  </si>
  <si>
    <t>Porcentaje de cumplimiento en la ejecución del Plan de Desarrollo Municipal</t>
  </si>
  <si>
    <t>Objetivos, Estrategias y Líneas de acción contenidas en el PDM cumplidas</t>
  </si>
  <si>
    <t>(Objetivos, Estrategias y Líneas de acción contenidas en el PDM cumplidas/Total de Objetivos, Estrategias y Líneas de acción contenidas en el PDM) *100</t>
  </si>
  <si>
    <t>01050205FINT.O.E.L.A.PDM.</t>
  </si>
  <si>
    <t>Total de Objetivos, Estrategias y Líneas de acción contenidas en el PDM</t>
  </si>
  <si>
    <t>01050205PROPÓSITOO.A.C.PDM.</t>
  </si>
  <si>
    <t>Porcentaje de cumplimiento de obras y acciones del Plan de Desarrollo Municipal</t>
  </si>
  <si>
    <t>Obras y acciones contenidas en el PDM cumplidas</t>
  </si>
  <si>
    <t>(Obras y acciones contenidas en el PDM cumplidas/Total de Obras y acciones contenidas en el PDM) *100</t>
  </si>
  <si>
    <t>01050205PROPÓSITOT.O.A.C.PDM.</t>
  </si>
  <si>
    <t>Total de Obras y acciones contenidas en el PDM</t>
  </si>
  <si>
    <t>01050205COMPONENTE 1M.I.R.A.MU.</t>
  </si>
  <si>
    <t>Porcentaje de matrices de indicadores de resultados bajo la MML adoptadas</t>
  </si>
  <si>
    <t>Matrices de indicadores por resultados adoptadas por el municipio</t>
  </si>
  <si>
    <t>(Matrices de indicadores por resultados adoptadas por el municipio/Matrices de Indicadores por resultados aprobadas) *100</t>
  </si>
  <si>
    <t>MIR</t>
  </si>
  <si>
    <t>01050205COMPONENTE 1M.I.R.AP.</t>
  </si>
  <si>
    <t>Matrices de Indicadores por resultados aprobadas</t>
  </si>
  <si>
    <t>01050205COMPONENTE 2T.A.B.M.SE.</t>
  </si>
  <si>
    <t>Porcentaje de asesorías brindadas en materia del Sistema de Evaluación del Desempeño Municipal</t>
  </si>
  <si>
    <t>Total de asesorías brindadas en materia del SED</t>
  </si>
  <si>
    <t>(Total de asesorías brindadas en materia del SED/Total de asesorías solicitadas en materia del SED) *100</t>
  </si>
  <si>
    <t>01050205COMPONENTE 2T.A.S.M.SE.</t>
  </si>
  <si>
    <t>Total de asesorías solicitadas en materia del SED</t>
  </si>
  <si>
    <t>01050205COMPONENTE 3E.P.PAE.</t>
  </si>
  <si>
    <t>Porcentaje de cumplimiento en la elaboración y publicación del PAE</t>
  </si>
  <si>
    <t>Elaboración y publicación del PAE</t>
  </si>
  <si>
    <t>(Elaboración y publicación del PAE/Documento programado a elaborar y publicar) *100</t>
  </si>
  <si>
    <t>01050205COMPONENTE 3D.P.E.P.</t>
  </si>
  <si>
    <t>01050205ACTIVIDAD 1.1F.P.R.A.M.P.P.P.VI.</t>
  </si>
  <si>
    <t>Porcentaje de alineación de formatos de PbRM en cumplimiento al Manual de Planeación, programación y presupuestación</t>
  </si>
  <si>
    <t>Formatos PbRM requisitados en alineación al Manual de Planeación, programación y Presupuestación vigente</t>
  </si>
  <si>
    <t>(Formatos PbRM requisitados en alineación al Manual de Planeación, programación y Presupuestación vigente/Total de formatos PbRM manejados por el ayuntamiento) *100</t>
  </si>
  <si>
    <t>01050205ACTIVIDAD 1.1T.F.P.M.AY.</t>
  </si>
  <si>
    <t>Total de formatos PbRM manejados por el ayuntamiento</t>
  </si>
  <si>
    <t>01050205ACTIVIDAD 2.1A.M.IN.</t>
  </si>
  <si>
    <t>Porcentaje de asesorías en materia de indicadores de desempeño</t>
  </si>
  <si>
    <t>Asesorías en materia de indicadores</t>
  </si>
  <si>
    <t>(Asesorías en materia de indicadores/Total de asesorías brindadas en materia del SEDM) *100</t>
  </si>
  <si>
    <t>01050205ACTIVIDAD 2.1T.A.BR.M.SE.</t>
  </si>
  <si>
    <t>Total de asesorías brindadas en materia del SEDM</t>
  </si>
  <si>
    <t>01050205ACTIVIDAD 2.2A.M.EV.</t>
  </si>
  <si>
    <t>Porcentaje de asesorías en materia de evaluaciones</t>
  </si>
  <si>
    <t>Asesorías en materia de evaluaciones</t>
  </si>
  <si>
    <t>(Asesorías en materia de evaluaciones/Total de asesorías brindadas en materia del SEDM) *100</t>
  </si>
  <si>
    <t>01050205ACTIVIDAD 2.2TO.A.B.M.SE.</t>
  </si>
  <si>
    <t>01050205ACTIVIDAD 3.1T.E.R.S.PAE.</t>
  </si>
  <si>
    <t>Porcentaje de cumplimiento de las evaluaciones señaladas en el PAE</t>
  </si>
  <si>
    <t>Total de evaluaciones realizadas señaladas en el PAE</t>
  </si>
  <si>
    <t>(Total de evaluaciones realizadas señaladas en el PAE/Total de evaluaciones señaladas en el PAE) *100</t>
  </si>
  <si>
    <t>01050205ACTIVIDAD 3.1T.E.S.PAE.</t>
  </si>
  <si>
    <t>Total de evaluaciones señaladas en el PAE</t>
  </si>
  <si>
    <t xml:space="preserve">01030402FINN. A. C. R. </t>
  </si>
  <si>
    <t>G0022801030402 Contraloría Interna Sistema Anticorrupción del Estado de México y Municipios</t>
  </si>
  <si>
    <t>Índice de incidencia de actos de corrupción por cada 10 mil personas en el municipio</t>
  </si>
  <si>
    <t>Número de actos de corrupción con resolución</t>
  </si>
  <si>
    <t>(Número de actos de corrupción con resolución/Total de la población municipal mayor de 18 años) *10000</t>
  </si>
  <si>
    <t>Acto de corrupción</t>
  </si>
  <si>
    <t xml:space="preserve">01030402FINT. P. N. M. M. A. </t>
  </si>
  <si>
    <t>Total de la población municipal mayor de 18 años</t>
  </si>
  <si>
    <t>Población mayor de edad</t>
  </si>
  <si>
    <t xml:space="preserve">01030402PROPÓSITON. A. C. RE. </t>
  </si>
  <si>
    <t>Porcentaje de posibles actos de corrupción con resolución emitida</t>
  </si>
  <si>
    <t xml:space="preserve">(Número de actos de corrupción con resolución/Total de posibles actos de corrupción) *100 </t>
  </si>
  <si>
    <t xml:space="preserve">01030402PROPÓSITOT.P. A. C. </t>
  </si>
  <si>
    <t>Total de posibles actos de corrupción</t>
  </si>
  <si>
    <t>Actos de corrupción</t>
  </si>
  <si>
    <t xml:space="preserve">01030402COMPONENTE 4N. C. C. R. </t>
  </si>
  <si>
    <t>Porcentaje de campañas sobre la tolerancia cero a la corrupción</t>
  </si>
  <si>
    <t>Número de campañas de concientización realizadas</t>
  </si>
  <si>
    <t>(Número de campañas de concientización realizadas/Total de campañas programadas en el año) *100</t>
  </si>
  <si>
    <t>El día 25 de junio de 2025 en la sala de juntas de la Dirección General de OPERAGUA Izcalli,  se impartió la plática denominada "Política Estatal Anticorrupción".</t>
  </si>
  <si>
    <t xml:space="preserve">01030402COMPONENTE 4T. C. P. A. </t>
  </si>
  <si>
    <t>Total de campañas programadas en el año</t>
  </si>
  <si>
    <t>01030402ACTIVIDAD 4.1S. P.A. L. E.</t>
  </si>
  <si>
    <t>Promedio de servidores públicos asistentes a los eventos de concientización</t>
  </si>
  <si>
    <t>Servidores públicos que asisten a los eventos</t>
  </si>
  <si>
    <t>(Servidores públicos que asisten a los eventos/Total de eventos de concientización)</t>
  </si>
  <si>
    <t>Asistieron 20 personas servidoras públicas de las diferentes unidades administrativas del Organismo a la platica denominada "Política Estatal Anticorrupción".</t>
  </si>
  <si>
    <t>01030402ACTIVIDAD 4.1T. E. D. C.</t>
  </si>
  <si>
    <t>Total de eventos de concientización</t>
  </si>
  <si>
    <t>01080401FINR.E.V.V.O.P.I.M.A.ACT.</t>
  </si>
  <si>
    <t>A0023101080401 Dirección General Transparencia</t>
  </si>
  <si>
    <t>Tasa de variación del resultado de evaluación de la verificación virtual oficiosa del portal IPOMEX Municipal</t>
  </si>
  <si>
    <t>Resultado de evaluación de la verificación virtual oficiosa del portal IPOMEX Municipal en el año actual</t>
  </si>
  <si>
    <t>(Resultado de evaluación de la verificación virtual oficiosa del portal IPOMEX Municipal en el año actual/ Resultado de evaluación de la verificación virtual oficiosa del portal IPOMEX Municipal en el año anterior)- 1) *100</t>
  </si>
  <si>
    <t>01080401FINR.E.V.V.O.P.I.M.A.ANT.</t>
  </si>
  <si>
    <t>Resultado de evaluación de la verificación virtual oficiosa del portal IPOMEX Municipal en el año anterior</t>
  </si>
  <si>
    <t>01080401PROPÓSITOS.T.A.I.A.</t>
  </si>
  <si>
    <t>Porcentaje de solicitudes de transparencia y acceso a la información atendidas</t>
  </si>
  <si>
    <t>Solicitudes de transparencia y acceso a la información atendidas</t>
  </si>
  <si>
    <t>((Solicitudes de transparencia y acceso a la información atendidas/Solicitudes de transparencia y acceso a la información presentadas) *100</t>
  </si>
  <si>
    <t>01080401PROPÓSITOS.T.A.I.P.</t>
  </si>
  <si>
    <t>Solicitudes de transparencia y acceso a la información presentadas</t>
  </si>
  <si>
    <t>01080401COMPONENTE 1T.F.A.P.</t>
  </si>
  <si>
    <t>Porcentaje de cumplimiento de fracciones de la ley de Transparencia y Acceso a la información</t>
  </si>
  <si>
    <t>Total de fracciones actualizadas y publicadas</t>
  </si>
  <si>
    <t>(Total de fracciones actualizadas y publicadas/Total de fracciones señaladas en la Ley de Transparencia y Acceso a la información) *100</t>
  </si>
  <si>
    <t>Fracción</t>
  </si>
  <si>
    <t>01080401COMPONENTE 1T.F.S.L.T.A.IN.</t>
  </si>
  <si>
    <t>Total de fracciones señaladas en la Ley de Transparencia y Acceso a la información</t>
  </si>
  <si>
    <t>01080401COMPONENTE 2R.R.R.</t>
  </si>
  <si>
    <t>Porcentaje de recursos de revisión resueltos</t>
  </si>
  <si>
    <t>Recursos de revisión resueltos</t>
  </si>
  <si>
    <t>(Recursos de revisión resueltos/Recursos de revisión presentados) *100</t>
  </si>
  <si>
    <t>El número de recursos de revisión fue menor al programado, derivado de la disminución en el indice de de solicitudes recurridas en el periodo evaluado.</t>
  </si>
  <si>
    <t>01080401COMPONENTE 2R.R.P.</t>
  </si>
  <si>
    <t>Recursos de revisión presentados</t>
  </si>
  <si>
    <t>01080401ACTIVIDAD 1.1N.P.CA.</t>
  </si>
  <si>
    <t>Porcentaje de personal capacitado en materia de trasparencia y acceso a la información pública y protección de datos personales</t>
  </si>
  <si>
    <t>Número de personas capacitadas</t>
  </si>
  <si>
    <t>(Número de personas capacitadas/Número de personas programadas a ser capacitadas) *100</t>
  </si>
  <si>
    <t>SPH</t>
  </si>
  <si>
    <t>01080401ACTIVIDAD 1.1N.P.P.S.CA.</t>
  </si>
  <si>
    <t>Número de personas programadas a ser capacitadas</t>
  </si>
  <si>
    <t>01080401ACTIVIDAD 1.2T.SPH.C.O.M.T.A.I.P.P.D.PE.</t>
  </si>
  <si>
    <t>Porcentaje de seguimiento a los SPH en cumplimiento de sus obligaciones</t>
  </si>
  <si>
    <t>Total de SPH que cumplen con sus obligaciones en materia de Transparencia y Acceso a la Información Pública y Protección de Datos Personales</t>
  </si>
  <si>
    <t>(Total de SPH que cumplen con sus obligaciones en materia de Transparencia y Acceso a la Información Pública y Protección de Datos Personales/Total de SPH para el cumplimiento de sus obligaciones en transparencia, el acceso a la información pública y la protección de los datos personales) *100</t>
  </si>
  <si>
    <t>01080401ACTIVIDAD 1.2T.SPH.C.O.T.A.I.P.P.D.PE.</t>
  </si>
  <si>
    <t>Total de SPH para el cumplimiento de sus obligaciones en transparencia, el acceso a la información pública y la protección de los datos personales</t>
  </si>
  <si>
    <t>01080401ACTIVIDAD 2.1N.S.I.R.R.</t>
  </si>
  <si>
    <t>Porcentaje de solicitudes de acceso a la información con recurso de revisión</t>
  </si>
  <si>
    <t>Número de solicitudes de información con recurso de revisión</t>
  </si>
  <si>
    <t>(Número de solicitudes de información con recurso de revisión/Total de solicitudes de acceso a la información atendidas) *100</t>
  </si>
  <si>
    <t>01080401ACTIVIDAD 2.1T.S.A.I.A.</t>
  </si>
  <si>
    <t>Total de solicitudes de acceso a la información atendidas</t>
  </si>
  <si>
    <t>clv</t>
  </si>
  <si>
    <t>Etiquetas de fila</t>
  </si>
  <si>
    <t>DEFICIENTE</t>
  </si>
  <si>
    <t>REGULAR</t>
  </si>
  <si>
    <t>ADECUADO</t>
  </si>
  <si>
    <t>SOBREPASADO</t>
  </si>
  <si>
    <t>PORCENTAJE</t>
  </si>
  <si>
    <t>NO. METAS</t>
  </si>
  <si>
    <t>PUNTUACIÓN</t>
  </si>
  <si>
    <t>Critico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</si>
</sst>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21" x14ac:knownFonts="1">
    <font>
      <sz val="10"/>
      <color indexed="8"/>
      <name val="Arial"/>
      <family val="2"/>
    </font>
    <font>
      <sz val="11"/>
      <color theme="1"/>
      <name val="Calibri"/>
      <family val="2"/>
      <scheme val="minor"/>
    </font>
    <font>
      <sz val="10"/>
      <color indexed="8"/>
      <name val="Arial"/>
      <family val="2"/>
    </font>
    <font>
      <b/>
      <sz val="26"/>
      <name val="Calibri"/>
      <family val="2"/>
      <scheme val="minor"/>
    </font>
    <font>
      <sz val="12"/>
      <color indexed="8"/>
      <name val="Calibri"/>
      <family val="2"/>
      <scheme val="minor"/>
    </font>
    <font>
      <sz val="12"/>
      <color theme="0"/>
      <name val="Calibri"/>
      <family val="2"/>
      <scheme val="minor"/>
    </font>
    <font>
      <b/>
      <sz val="12"/>
      <color theme="0"/>
      <name val="Calibri"/>
      <family val="2"/>
      <scheme val="minor"/>
    </font>
    <font>
      <b/>
      <sz val="10"/>
      <color theme="0"/>
      <name val="Calibri"/>
      <family val="2"/>
      <scheme val="minor"/>
    </font>
    <font>
      <sz val="14"/>
      <color theme="1"/>
      <name val="Calibri"/>
      <family val="2"/>
      <scheme val="minor"/>
    </font>
    <font>
      <sz val="20"/>
      <name val="Calibri"/>
      <family val="2"/>
      <scheme val="minor"/>
    </font>
    <font>
      <sz val="18"/>
      <name val="Calibri"/>
      <family val="2"/>
      <scheme val="minor"/>
    </font>
    <font>
      <sz val="14"/>
      <name val="Calibri"/>
      <family val="2"/>
      <scheme val="minor"/>
    </font>
    <font>
      <b/>
      <sz val="20"/>
      <name val="Calibri"/>
      <family val="2"/>
      <scheme val="minor"/>
    </font>
    <font>
      <sz val="11"/>
      <color indexed="8"/>
      <name val="Calibri"/>
      <family val="2"/>
      <scheme val="minor"/>
    </font>
    <font>
      <sz val="14"/>
      <color indexed="8"/>
      <name val="Calibri"/>
      <family val="2"/>
      <scheme val="minor"/>
    </font>
    <font>
      <sz val="20"/>
      <color theme="1"/>
      <name val="Calibri"/>
      <family val="2"/>
      <scheme val="minor"/>
    </font>
    <font>
      <sz val="18"/>
      <color theme="1"/>
      <name val="Calibri"/>
      <family val="2"/>
      <scheme val="minor"/>
    </font>
    <font>
      <b/>
      <sz val="12"/>
      <color indexed="8"/>
      <name val="Calibri"/>
      <family val="2"/>
      <scheme val="minor"/>
    </font>
    <font>
      <sz val="10"/>
      <color indexed="8"/>
      <name val="Calibri"/>
      <family val="2"/>
      <scheme val="minor"/>
    </font>
    <font>
      <sz val="12"/>
      <color theme="1"/>
      <name val="Calibri"/>
      <family val="2"/>
      <scheme val="minor"/>
    </font>
    <font>
      <b/>
      <sz val="14"/>
      <name val="Calibri"/>
      <family val="2"/>
      <scheme val="minor"/>
    </font>
  </fonts>
  <fills count="21">
    <fill>
      <patternFill patternType="none"/>
    </fill>
    <fill>
      <patternFill patternType="gray125"/>
    </fill>
    <fill>
      <patternFill patternType="solid">
        <fgColor theme="0"/>
        <bgColor indexed="64"/>
      </patternFill>
    </fill>
    <fill>
      <patternFill patternType="solid">
        <fgColor rgb="FFBC955B"/>
        <bgColor indexed="64"/>
      </patternFill>
    </fill>
    <fill>
      <patternFill patternType="solid">
        <fgColor rgb="FF7030A0"/>
        <bgColor indexed="64"/>
      </patternFill>
    </fill>
    <fill>
      <patternFill patternType="solid">
        <fgColor theme="7"/>
        <bgColor indexed="64"/>
      </patternFill>
    </fill>
    <fill>
      <patternFill patternType="solid">
        <fgColor rgb="FF92D050"/>
        <bgColor indexed="64"/>
      </patternFill>
    </fill>
    <fill>
      <patternFill patternType="solid">
        <fgColor rgb="FF6B1C34"/>
        <bgColor indexed="64"/>
      </patternFill>
    </fill>
    <fill>
      <patternFill patternType="solid">
        <fgColor rgb="FF8F0635"/>
        <bgColor indexed="64"/>
      </patternFill>
    </fill>
    <fill>
      <patternFill patternType="solid">
        <fgColor theme="7" tint="0.39997558519241921"/>
        <bgColor indexed="64"/>
      </patternFill>
    </fill>
    <fill>
      <patternFill patternType="solid">
        <fgColor rgb="FFAB2FFF"/>
        <bgColor indexed="64"/>
      </patternFill>
    </fill>
    <fill>
      <patternFill patternType="solid">
        <fgColor theme="5"/>
        <bgColor indexed="64"/>
      </patternFill>
    </fill>
    <fill>
      <patternFill patternType="solid">
        <fgColor theme="8"/>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0000"/>
        <bgColor indexed="64"/>
      </patternFill>
    </fill>
    <fill>
      <patternFill patternType="solid">
        <fgColor rgb="FF00B0F0"/>
        <bgColor indexed="64"/>
      </patternFill>
    </fill>
    <fill>
      <patternFill patternType="solid">
        <fgColor rgb="FF00B050"/>
        <bgColor indexed="64"/>
      </patternFill>
    </fill>
    <fill>
      <patternFill patternType="solid">
        <fgColor rgb="FFF6DEE5"/>
        <bgColor indexed="64"/>
      </patternFill>
    </fill>
    <fill>
      <patternFill patternType="solid">
        <fgColor rgb="FFE4D2F2"/>
        <bgColor indexed="64"/>
      </patternFill>
    </fill>
    <fill>
      <patternFill patternType="solid">
        <fgColor theme="7" tint="0.59999389629810485"/>
        <bgColor indexed="64"/>
      </patternFill>
    </fill>
  </fills>
  <borders count="10">
    <border>
      <left/>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style="thin">
        <color indexed="64"/>
      </right>
      <top style="thin">
        <color indexed="64"/>
      </top>
      <bottom style="thin">
        <color indexed="64"/>
      </bottom>
      <diagonal/>
    </border>
  </borders>
  <cellStyleXfs count="5">
    <xf numFmtId="0" fontId="0" fillId="0" borderId="0"/>
    <xf numFmtId="43" fontId="2" fillId="0" borderId="0"/>
    <xf numFmtId="0" fontId="1" fillId="0" borderId="0"/>
    <xf numFmtId="0" fontId="1" fillId="0" borderId="0"/>
    <xf numFmtId="43" fontId="2" fillId="0" borderId="0"/>
  </cellStyleXfs>
  <cellXfs count="155">
    <xf numFmtId="0" fontId="0" fillId="0" borderId="0" xfId="0"/>
    <xf numFmtId="0" fontId="4" fillId="0" borderId="0" xfId="0" applyFont="1"/>
    <xf numFmtId="0" fontId="4" fillId="2" borderId="0" xfId="0" applyFont="1" applyFill="1" applyAlignment="1">
      <alignment horizontal="center" vertical="center"/>
    </xf>
    <xf numFmtId="0" fontId="4" fillId="2" borderId="0" xfId="0" applyFont="1" applyFill="1" applyAlignment="1">
      <alignment horizontal="center" vertical="center" wrapText="1"/>
    </xf>
    <xf numFmtId="0" fontId="4" fillId="2" borderId="0" xfId="0" applyFont="1" applyFill="1" applyAlignment="1">
      <alignment wrapText="1"/>
    </xf>
    <xf numFmtId="0" fontId="4" fillId="2" borderId="0" xfId="0" applyFont="1" applyFill="1"/>
    <xf numFmtId="0" fontId="6" fillId="6" borderId="6" xfId="0" applyFont="1" applyFill="1" applyBorder="1" applyAlignment="1" applyProtection="1">
      <alignment horizontal="center" vertical="center"/>
      <protection hidden="1"/>
    </xf>
    <xf numFmtId="0" fontId="6" fillId="7" borderId="6" xfId="0" applyFont="1" applyFill="1" applyBorder="1" applyAlignment="1">
      <alignment horizontal="center" vertical="center" wrapText="1"/>
    </xf>
    <xf numFmtId="0" fontId="6" fillId="7" borderId="6" xfId="0" applyFont="1" applyFill="1" applyBorder="1" applyAlignment="1">
      <alignment horizontal="center" vertical="center"/>
    </xf>
    <xf numFmtId="0" fontId="6" fillId="8" borderId="6" xfId="0" applyFont="1" applyFill="1" applyBorder="1" applyAlignment="1">
      <alignment horizontal="center" vertical="center" wrapText="1"/>
    </xf>
    <xf numFmtId="0" fontId="7" fillId="8" borderId="6" xfId="0" applyFont="1" applyFill="1" applyBorder="1" applyAlignment="1">
      <alignment horizontal="center" vertical="center" wrapText="1"/>
    </xf>
    <xf numFmtId="0" fontId="7" fillId="9" borderId="6" xfId="0" applyFont="1" applyFill="1" applyBorder="1" applyAlignment="1">
      <alignment horizontal="center" vertical="center" wrapText="1"/>
    </xf>
    <xf numFmtId="3" fontId="6" fillId="9" borderId="6" xfId="0" applyNumberFormat="1" applyFont="1" applyFill="1" applyBorder="1" applyAlignment="1">
      <alignment horizontal="center" vertical="center" wrapText="1"/>
    </xf>
    <xf numFmtId="0" fontId="6" fillId="9" borderId="6" xfId="0" applyFont="1" applyFill="1" applyBorder="1" applyAlignment="1">
      <alignment horizontal="center" vertical="center" wrapText="1"/>
    </xf>
    <xf numFmtId="3" fontId="6" fillId="10" borderId="6" xfId="0" applyNumberFormat="1" applyFont="1" applyFill="1" applyBorder="1" applyAlignment="1">
      <alignment horizontal="center" vertical="center" wrapText="1"/>
    </xf>
    <xf numFmtId="0" fontId="6" fillId="10" borderId="6" xfId="0" applyFont="1" applyFill="1" applyBorder="1" applyAlignment="1">
      <alignment horizontal="center" vertical="center" wrapText="1"/>
    </xf>
    <xf numFmtId="0" fontId="6" fillId="9" borderId="7" xfId="0" applyFont="1" applyFill="1" applyBorder="1" applyAlignment="1">
      <alignment horizontal="center" vertical="center" wrapText="1"/>
    </xf>
    <xf numFmtId="0" fontId="6" fillId="11" borderId="7" xfId="0" applyFont="1" applyFill="1" applyBorder="1" applyAlignment="1">
      <alignment horizontal="center" vertical="center" wrapText="1"/>
    </xf>
    <xf numFmtId="0" fontId="4" fillId="0" borderId="0" xfId="0" applyFont="1" applyAlignment="1">
      <alignment horizontal="center" vertical="center"/>
    </xf>
    <xf numFmtId="0" fontId="8" fillId="12" borderId="0" xfId="0" applyFont="1" applyFill="1" applyProtection="1">
      <protection hidden="1"/>
    </xf>
    <xf numFmtId="0" fontId="8" fillId="0" borderId="0" xfId="0" applyFont="1" applyAlignment="1">
      <alignment horizontal="center" vertical="center" wrapText="1"/>
    </xf>
    <xf numFmtId="0" fontId="8" fillId="0" borderId="0" xfId="0" applyFont="1" applyAlignment="1">
      <alignment horizontal="center" vertical="center"/>
    </xf>
    <xf numFmtId="0" fontId="8" fillId="0" borderId="0" xfId="2" applyFont="1" applyAlignment="1">
      <alignment horizontal="center" vertical="center" wrapText="1"/>
    </xf>
    <xf numFmtId="0" fontId="8" fillId="0" borderId="0" xfId="0" applyFont="1" applyAlignment="1">
      <alignment horizontal="left" vertical="center" wrapText="1"/>
    </xf>
    <xf numFmtId="164" fontId="9" fillId="0" borderId="0" xfId="1" applyNumberFormat="1" applyFont="1" applyAlignment="1">
      <alignment horizontal="center" vertical="center"/>
    </xf>
    <xf numFmtId="2" fontId="10" fillId="0" borderId="0" xfId="0" applyNumberFormat="1" applyFont="1" applyAlignment="1">
      <alignment horizontal="center" vertical="center"/>
    </xf>
    <xf numFmtId="165" fontId="11" fillId="0" borderId="0" xfId="0" applyNumberFormat="1" applyFont="1" applyAlignment="1" applyProtection="1">
      <alignment horizontal="center" vertical="center"/>
      <protection hidden="1"/>
    </xf>
    <xf numFmtId="2" fontId="10" fillId="0" borderId="0" xfId="0" applyNumberFormat="1" applyFont="1" applyAlignment="1">
      <alignment horizontal="right" vertical="center"/>
    </xf>
    <xf numFmtId="164" fontId="9" fillId="13" borderId="0" xfId="1" applyNumberFormat="1" applyFont="1" applyFill="1" applyAlignment="1">
      <alignment horizontal="right" vertical="center"/>
    </xf>
    <xf numFmtId="164" fontId="11" fillId="0" borderId="0" xfId="1" applyNumberFormat="1" applyFont="1" applyAlignment="1">
      <alignment horizontal="center" vertical="center"/>
    </xf>
    <xf numFmtId="164" fontId="9" fillId="0" borderId="0" xfId="1" applyNumberFormat="1" applyFont="1" applyAlignment="1" applyProtection="1">
      <alignment horizontal="center" vertical="center"/>
      <protection hidden="1"/>
    </xf>
    <xf numFmtId="3" fontId="12" fillId="0" borderId="0" xfId="0" applyNumberFormat="1" applyFont="1" applyAlignment="1">
      <alignment horizontal="right" vertical="center"/>
    </xf>
    <xf numFmtId="2" fontId="11" fillId="0" borderId="0" xfId="0" applyNumberFormat="1" applyFont="1" applyAlignment="1">
      <alignment horizontal="right" vertical="center"/>
    </xf>
    <xf numFmtId="2" fontId="9" fillId="0" borderId="0" xfId="0" applyNumberFormat="1" applyFont="1" applyAlignment="1">
      <alignment horizontal="right" vertical="center"/>
    </xf>
    <xf numFmtId="0" fontId="11" fillId="14" borderId="0" xfId="0" applyFont="1" applyFill="1" applyAlignment="1">
      <alignment horizontal="center" vertical="center"/>
    </xf>
    <xf numFmtId="2" fontId="11" fillId="14" borderId="0" xfId="0" applyNumberFormat="1" applyFont="1" applyFill="1" applyAlignment="1">
      <alignment horizontal="left" vertical="center"/>
    </xf>
    <xf numFmtId="2" fontId="11" fillId="14" borderId="0" xfId="0" applyNumberFormat="1" applyFont="1" applyFill="1" applyAlignment="1">
      <alignment horizontal="center" vertical="center"/>
    </xf>
    <xf numFmtId="2" fontId="11" fillId="13" borderId="0" xfId="0" applyNumberFormat="1" applyFont="1" applyFill="1" applyAlignment="1" applyProtection="1">
      <alignment horizontal="center" vertical="center"/>
      <protection locked="0"/>
    </xf>
    <xf numFmtId="0" fontId="4" fillId="0" borderId="0" xfId="0" applyFont="1" applyProtection="1">
      <protection locked="0"/>
    </xf>
    <xf numFmtId="0" fontId="8" fillId="0" borderId="0" xfId="0" quotePrefix="1" applyFont="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center" vertical="center"/>
    </xf>
    <xf numFmtId="0" fontId="11" fillId="0" borderId="0" xfId="2" applyFont="1" applyAlignment="1">
      <alignment horizontal="center" vertical="center" wrapText="1"/>
    </xf>
    <xf numFmtId="0" fontId="11" fillId="0" borderId="0" xfId="0" applyFont="1" applyAlignment="1">
      <alignment horizontal="left" vertical="center" wrapText="1"/>
    </xf>
    <xf numFmtId="0" fontId="4" fillId="0" borderId="0" xfId="0" applyFont="1" applyAlignment="1" applyProtection="1">
      <alignment horizontal="left"/>
      <protection locked="0"/>
    </xf>
    <xf numFmtId="0" fontId="13" fillId="0" borderId="0" xfId="0" applyFont="1" applyAlignment="1">
      <alignment horizontal="left"/>
    </xf>
    <xf numFmtId="0" fontId="4" fillId="0" borderId="0" xfId="0" applyFont="1" applyAlignment="1">
      <alignment horizontal="left"/>
    </xf>
    <xf numFmtId="0" fontId="14" fillId="0" borderId="0" xfId="0" applyFont="1" applyAlignment="1">
      <alignment horizontal="center" vertical="center" wrapText="1"/>
    </xf>
    <xf numFmtId="0" fontId="14" fillId="0" borderId="0" xfId="0" applyFont="1" applyAlignment="1">
      <alignment horizontal="center" vertical="center"/>
    </xf>
    <xf numFmtId="0" fontId="4" fillId="15" borderId="0" xfId="0" applyFont="1" applyFill="1" applyProtection="1">
      <protection locked="0"/>
    </xf>
    <xf numFmtId="0" fontId="4" fillId="15" borderId="0" xfId="0" applyFont="1" applyFill="1"/>
    <xf numFmtId="0" fontId="8" fillId="15" borderId="0" xfId="0" applyFont="1" applyFill="1" applyProtection="1">
      <protection hidden="1"/>
    </xf>
    <xf numFmtId="0" fontId="8" fillId="15" borderId="0" xfId="0" applyFont="1" applyFill="1" applyAlignment="1">
      <alignment horizontal="center" vertical="center" wrapText="1"/>
    </xf>
    <xf numFmtId="0" fontId="8" fillId="15" borderId="0" xfId="0" applyFont="1" applyFill="1" applyAlignment="1">
      <alignment horizontal="center" vertical="center"/>
    </xf>
    <xf numFmtId="0" fontId="8" fillId="15" borderId="0" xfId="2" applyFont="1" applyFill="1" applyAlignment="1">
      <alignment horizontal="center" vertical="center" wrapText="1"/>
    </xf>
    <xf numFmtId="0" fontId="8" fillId="15" borderId="0" xfId="0" applyFont="1" applyFill="1" applyAlignment="1">
      <alignment horizontal="left" vertical="center" wrapText="1"/>
    </xf>
    <xf numFmtId="164" fontId="9" fillId="15" borderId="0" xfId="1" applyNumberFormat="1" applyFont="1" applyFill="1" applyAlignment="1">
      <alignment horizontal="center" vertical="center"/>
    </xf>
    <xf numFmtId="2" fontId="10" fillId="15" borderId="0" xfId="0" applyNumberFormat="1" applyFont="1" applyFill="1" applyAlignment="1">
      <alignment horizontal="center" vertical="center"/>
    </xf>
    <xf numFmtId="165" fontId="11" fillId="15" borderId="0" xfId="0" applyNumberFormat="1" applyFont="1" applyFill="1" applyAlignment="1" applyProtection="1">
      <alignment horizontal="center" vertical="center"/>
      <protection hidden="1"/>
    </xf>
    <xf numFmtId="2" fontId="10" fillId="15" borderId="0" xfId="0" applyNumberFormat="1" applyFont="1" applyFill="1" applyAlignment="1">
      <alignment horizontal="right" vertical="center"/>
    </xf>
    <xf numFmtId="164" fontId="11" fillId="15" borderId="0" xfId="1" applyNumberFormat="1" applyFont="1" applyFill="1" applyAlignment="1">
      <alignment horizontal="center" vertical="center"/>
    </xf>
    <xf numFmtId="3" fontId="12" fillId="15" borderId="0" xfId="0" applyNumberFormat="1" applyFont="1" applyFill="1" applyAlignment="1">
      <alignment horizontal="right" vertical="center"/>
    </xf>
    <xf numFmtId="2" fontId="11" fillId="15" borderId="0" xfId="0" applyNumberFormat="1" applyFont="1" applyFill="1" applyAlignment="1">
      <alignment horizontal="right" vertical="center"/>
    </xf>
    <xf numFmtId="164" fontId="12" fillId="15" borderId="0" xfId="1" applyNumberFormat="1" applyFont="1" applyFill="1" applyAlignment="1">
      <alignment horizontal="right" vertical="center"/>
    </xf>
    <xf numFmtId="2" fontId="9" fillId="15" borderId="0" xfId="0" applyNumberFormat="1" applyFont="1" applyFill="1" applyAlignment="1">
      <alignment horizontal="right" vertical="center"/>
    </xf>
    <xf numFmtId="0" fontId="11" fillId="15" borderId="0" xfId="0" applyFont="1" applyFill="1" applyAlignment="1">
      <alignment horizontal="center" vertical="center"/>
    </xf>
    <xf numFmtId="2" fontId="11" fillId="15" borderId="0" xfId="0" applyNumberFormat="1" applyFont="1" applyFill="1" applyAlignment="1">
      <alignment horizontal="left" vertical="center"/>
    </xf>
    <xf numFmtId="2" fontId="11" fillId="15" borderId="0" xfId="0" applyNumberFormat="1" applyFont="1" applyFill="1" applyAlignment="1" applyProtection="1">
      <alignment horizontal="center" vertical="center"/>
      <protection locked="0"/>
    </xf>
    <xf numFmtId="0" fontId="8" fillId="16" borderId="0" xfId="0" applyFont="1" applyFill="1" applyAlignment="1">
      <alignment horizontal="left" vertical="center" wrapText="1"/>
    </xf>
    <xf numFmtId="2" fontId="11" fillId="4" borderId="0" xfId="0" applyNumberFormat="1" applyFont="1" applyFill="1" applyAlignment="1" applyProtection="1">
      <alignment horizontal="center" vertical="center"/>
      <protection locked="0"/>
    </xf>
    <xf numFmtId="0" fontId="8" fillId="11" borderId="0" xfId="0" applyFont="1" applyFill="1" applyAlignment="1">
      <alignment horizontal="left" vertical="center" wrapText="1"/>
    </xf>
    <xf numFmtId="0" fontId="11" fillId="15" borderId="0" xfId="0" applyFont="1" applyFill="1" applyAlignment="1">
      <alignment horizontal="center" vertical="center" wrapText="1"/>
    </xf>
    <xf numFmtId="0" fontId="11" fillId="15" borderId="0" xfId="2" applyFont="1" applyFill="1" applyAlignment="1">
      <alignment horizontal="center" vertical="center" wrapText="1"/>
    </xf>
    <xf numFmtId="0" fontId="11" fillId="15" borderId="0" xfId="0" applyFont="1" applyFill="1" applyAlignment="1">
      <alignment horizontal="left" vertical="center" wrapText="1"/>
    </xf>
    <xf numFmtId="2" fontId="11" fillId="0" borderId="0" xfId="0" applyNumberFormat="1" applyFont="1" applyAlignment="1" applyProtection="1">
      <alignment horizontal="center" vertical="center"/>
      <protection locked="0"/>
    </xf>
    <xf numFmtId="164" fontId="9" fillId="15" borderId="0" xfId="1" applyNumberFormat="1" applyFont="1" applyFill="1" applyAlignment="1" applyProtection="1">
      <alignment horizontal="center" vertical="center"/>
      <protection hidden="1"/>
    </xf>
    <xf numFmtId="0" fontId="11" fillId="11" borderId="0" xfId="0" applyFont="1" applyFill="1" applyAlignment="1">
      <alignment horizontal="left" vertical="center" wrapText="1"/>
    </xf>
    <xf numFmtId="0" fontId="11" fillId="16" borderId="0" xfId="0" applyFont="1" applyFill="1" applyAlignment="1">
      <alignment horizontal="left" vertical="center" wrapText="1"/>
    </xf>
    <xf numFmtId="0" fontId="14" fillId="0" borderId="0" xfId="0" quotePrefix="1" applyFont="1" applyAlignment="1">
      <alignment horizontal="center" vertical="center" wrapText="1"/>
    </xf>
    <xf numFmtId="2" fontId="11" fillId="15" borderId="0" xfId="0" applyNumberFormat="1" applyFont="1" applyFill="1" applyAlignment="1">
      <alignment horizontal="center" vertical="center"/>
    </xf>
    <xf numFmtId="0" fontId="8" fillId="0" borderId="0" xfId="2" applyFont="1" applyAlignment="1">
      <alignment horizontal="left" vertical="center" wrapText="1"/>
    </xf>
    <xf numFmtId="164" fontId="15" fillId="0" borderId="0" xfId="1" applyNumberFormat="1" applyFont="1" applyAlignment="1">
      <alignment horizontal="center" vertical="center"/>
    </xf>
    <xf numFmtId="164" fontId="16" fillId="0" borderId="0" xfId="1" applyNumberFormat="1" applyFont="1" applyAlignment="1">
      <alignment horizontal="center" vertical="center"/>
    </xf>
    <xf numFmtId="164" fontId="8" fillId="0" borderId="0" xfId="1" applyNumberFormat="1" applyFont="1" applyAlignment="1">
      <alignment horizontal="center" vertical="center"/>
    </xf>
    <xf numFmtId="164" fontId="12" fillId="0" borderId="0" xfId="1" applyNumberFormat="1" applyFont="1" applyAlignment="1">
      <alignment horizontal="right" vertical="center"/>
    </xf>
    <xf numFmtId="0" fontId="11" fillId="14" borderId="0" xfId="0" applyFont="1" applyFill="1" applyAlignment="1" applyProtection="1">
      <alignment horizontal="center" vertical="center"/>
      <protection locked="0"/>
    </xf>
    <xf numFmtId="2" fontId="11" fillId="14" borderId="0" xfId="0" applyNumberFormat="1" applyFont="1" applyFill="1" applyAlignment="1" applyProtection="1">
      <alignment horizontal="left" vertical="center"/>
      <protection locked="0"/>
    </xf>
    <xf numFmtId="49" fontId="8" fillId="0" borderId="0" xfId="2" applyNumberFormat="1" applyFont="1" applyAlignment="1">
      <alignment horizontal="center" vertical="center" wrapText="1"/>
    </xf>
    <xf numFmtId="0" fontId="8" fillId="0" borderId="0" xfId="0" applyFont="1" applyAlignment="1" applyProtection="1">
      <alignment horizontal="left" vertical="center"/>
      <protection hidden="1"/>
    </xf>
    <xf numFmtId="0" fontId="8" fillId="6" borderId="0" xfId="2" applyFont="1" applyFill="1" applyAlignment="1">
      <alignment horizontal="left" vertical="center" wrapText="1"/>
    </xf>
    <xf numFmtId="0" fontId="8" fillId="0" borderId="0" xfId="0" applyFont="1" applyAlignment="1" applyProtection="1">
      <alignment horizontal="center" vertical="center"/>
      <protection hidden="1"/>
    </xf>
    <xf numFmtId="0" fontId="4" fillId="0" borderId="0" xfId="0" applyFont="1" applyAlignment="1">
      <alignment horizontal="center" vertical="center" wrapText="1"/>
    </xf>
    <xf numFmtId="0" fontId="4" fillId="0" borderId="0" xfId="0" applyFont="1" applyAlignment="1">
      <alignment horizontal="center" wrapText="1"/>
    </xf>
    <xf numFmtId="0" fontId="4" fillId="0" borderId="0" xfId="0" applyFont="1" applyAlignment="1">
      <alignment wrapText="1"/>
    </xf>
    <xf numFmtId="0" fontId="17" fillId="0" borderId="0" xfId="0" applyFont="1" applyAlignment="1">
      <alignment horizontal="right"/>
    </xf>
    <xf numFmtId="0" fontId="18" fillId="0" borderId="0" xfId="0" applyFont="1" applyAlignment="1">
      <alignment horizontal="center"/>
    </xf>
    <xf numFmtId="0" fontId="17" fillId="0" borderId="0" xfId="0" applyFont="1"/>
    <xf numFmtId="0" fontId="19" fillId="0" borderId="0" xfId="0" applyFont="1" applyProtection="1">
      <protection hidden="1"/>
    </xf>
    <xf numFmtId="0" fontId="6" fillId="6" borderId="6" xfId="0" applyFont="1" applyFill="1" applyBorder="1" applyAlignment="1" applyProtection="1">
      <alignment horizontal="center" vertical="center" wrapText="1"/>
      <protection hidden="1"/>
    </xf>
    <xf numFmtId="0" fontId="8" fillId="0" borderId="0" xfId="0" applyFont="1" applyAlignment="1" applyProtection="1">
      <alignment wrapText="1"/>
      <protection hidden="1"/>
    </xf>
    <xf numFmtId="0" fontId="8" fillId="0" borderId="0" xfId="0" applyFont="1" applyAlignment="1">
      <alignment vertical="center" wrapText="1"/>
    </xf>
    <xf numFmtId="0" fontId="8" fillId="0" borderId="0" xfId="3" applyFont="1" applyAlignment="1">
      <alignment horizontal="center" vertical="center" wrapText="1"/>
    </xf>
    <xf numFmtId="0" fontId="11" fillId="0" borderId="0" xfId="2" applyFont="1" applyAlignment="1">
      <alignment vertical="top" wrapText="1"/>
    </xf>
    <xf numFmtId="164" fontId="9" fillId="18" borderId="8" xfId="1" applyNumberFormat="1" applyFont="1" applyFill="1" applyBorder="1" applyAlignment="1" applyProtection="1">
      <alignment horizontal="right" vertical="center"/>
      <protection locked="0"/>
    </xf>
    <xf numFmtId="164" fontId="9" fillId="2" borderId="8" xfId="1" applyNumberFormat="1" applyFont="1" applyFill="1" applyBorder="1" applyAlignment="1">
      <alignment horizontal="center" vertical="center"/>
    </xf>
    <xf numFmtId="164" fontId="9" fillId="18" borderId="8" xfId="1" applyNumberFormat="1" applyFont="1" applyFill="1" applyBorder="1" applyAlignment="1">
      <alignment horizontal="right" vertical="center"/>
    </xf>
    <xf numFmtId="3" fontId="20" fillId="0" borderId="0" xfId="0" applyNumberFormat="1" applyFont="1" applyAlignment="1">
      <alignment horizontal="right" vertical="center"/>
    </xf>
    <xf numFmtId="164" fontId="12" fillId="19" borderId="0" xfId="1" applyNumberFormat="1" applyFont="1" applyFill="1" applyAlignment="1">
      <alignment horizontal="right" vertical="center"/>
    </xf>
    <xf numFmtId="0" fontId="11" fillId="14" borderId="0" xfId="0" applyFont="1" applyFill="1" applyAlignment="1">
      <alignment horizontal="left" vertical="center"/>
    </xf>
    <xf numFmtId="0" fontId="8" fillId="0" borderId="0" xfId="0" applyFont="1" applyProtection="1">
      <protection hidden="1"/>
    </xf>
    <xf numFmtId="0" fontId="8" fillId="0" borderId="0" xfId="2" applyFont="1" applyAlignment="1">
      <alignment vertical="top" wrapText="1"/>
    </xf>
    <xf numFmtId="164" fontId="9" fillId="14" borderId="8" xfId="1" applyNumberFormat="1" applyFont="1" applyFill="1" applyBorder="1" applyAlignment="1">
      <alignment horizontal="right" vertical="center"/>
    </xf>
    <xf numFmtId="164" fontId="9" fillId="13" borderId="8" xfId="1" applyNumberFormat="1" applyFont="1" applyFill="1" applyBorder="1" applyAlignment="1" applyProtection="1">
      <alignment horizontal="right" vertical="center"/>
      <protection locked="0"/>
    </xf>
    <xf numFmtId="164" fontId="9" fillId="13" borderId="8" xfId="1" applyNumberFormat="1" applyFont="1" applyFill="1" applyBorder="1" applyAlignment="1">
      <alignment horizontal="right" vertical="center"/>
    </xf>
    <xf numFmtId="164" fontId="9" fillId="18" borderId="8" xfId="4" applyNumberFormat="1" applyFont="1" applyFill="1" applyBorder="1" applyAlignment="1" applyProtection="1">
      <alignment horizontal="right" vertical="center"/>
      <protection locked="0"/>
    </xf>
    <xf numFmtId="0" fontId="8" fillId="15" borderId="0" xfId="0" applyFont="1" applyFill="1" applyAlignment="1" applyProtection="1">
      <alignment wrapText="1"/>
      <protection hidden="1"/>
    </xf>
    <xf numFmtId="0" fontId="8" fillId="15" borderId="0" xfId="0" applyFont="1" applyFill="1" applyAlignment="1">
      <alignment vertical="center" wrapText="1"/>
    </xf>
    <xf numFmtId="0" fontId="8" fillId="15" borderId="0" xfId="3" applyFont="1" applyFill="1" applyAlignment="1">
      <alignment horizontal="center" vertical="center" wrapText="1"/>
    </xf>
    <xf numFmtId="0" fontId="8" fillId="15" borderId="0" xfId="2" applyFont="1" applyFill="1" applyAlignment="1">
      <alignment horizontal="left" vertical="center" wrapText="1"/>
    </xf>
    <xf numFmtId="0" fontId="8" fillId="15" borderId="0" xfId="2" applyFont="1" applyFill="1" applyAlignment="1">
      <alignment vertical="top" wrapText="1"/>
    </xf>
    <xf numFmtId="164" fontId="9" fillId="15" borderId="8" xfId="1" applyNumberFormat="1" applyFont="1" applyFill="1" applyBorder="1" applyAlignment="1" applyProtection="1">
      <alignment horizontal="right" vertical="center"/>
      <protection locked="0"/>
    </xf>
    <xf numFmtId="164" fontId="9" fillId="15" borderId="8" xfId="1" applyNumberFormat="1" applyFont="1" applyFill="1" applyBorder="1" applyAlignment="1">
      <alignment horizontal="center" vertical="center"/>
    </xf>
    <xf numFmtId="164" fontId="9" fillId="15" borderId="8" xfId="1" applyNumberFormat="1" applyFont="1" applyFill="1" applyBorder="1" applyAlignment="1">
      <alignment horizontal="right" vertical="center"/>
    </xf>
    <xf numFmtId="3" fontId="20" fillId="15" borderId="0" xfId="0" applyNumberFormat="1" applyFont="1" applyFill="1" applyAlignment="1">
      <alignment horizontal="right" vertical="center"/>
    </xf>
    <xf numFmtId="0" fontId="11" fillId="15" borderId="0" xfId="0" applyFont="1" applyFill="1" applyAlignment="1">
      <alignment horizontal="left" vertical="center"/>
    </xf>
    <xf numFmtId="0" fontId="11" fillId="15" borderId="0" xfId="2" applyFont="1" applyFill="1" applyAlignment="1">
      <alignment vertical="top" wrapText="1"/>
    </xf>
    <xf numFmtId="0" fontId="11" fillId="11" borderId="0" xfId="2" applyFont="1" applyFill="1" applyAlignment="1">
      <alignment vertical="top" wrapText="1"/>
    </xf>
    <xf numFmtId="164" fontId="9" fillId="14" borderId="8" xfId="1" applyNumberFormat="1" applyFont="1" applyFill="1" applyBorder="1" applyAlignment="1" applyProtection="1">
      <alignment horizontal="right" vertical="center"/>
      <protection locked="0"/>
    </xf>
    <xf numFmtId="164" fontId="9" fillId="20" borderId="8" xfId="1" applyNumberFormat="1" applyFont="1" applyFill="1" applyBorder="1" applyAlignment="1">
      <alignment horizontal="right" vertical="center"/>
    </xf>
    <xf numFmtId="4" fontId="20" fillId="0" borderId="0" xfId="0" applyNumberFormat="1" applyFont="1" applyAlignment="1">
      <alignment horizontal="right" vertical="center"/>
    </xf>
    <xf numFmtId="49" fontId="8" fillId="0" borderId="0" xfId="2" applyNumberFormat="1" applyFont="1" applyAlignment="1">
      <alignment horizontal="left" vertical="center" wrapText="1"/>
    </xf>
    <xf numFmtId="164" fontId="12" fillId="14" borderId="0" xfId="1" applyNumberFormat="1" applyFont="1" applyFill="1" applyAlignment="1">
      <alignment horizontal="right" vertical="center"/>
    </xf>
    <xf numFmtId="0" fontId="11" fillId="14" borderId="0" xfId="0" applyFont="1" applyFill="1" applyAlignment="1" applyProtection="1">
      <alignment horizontal="left" vertical="center"/>
      <protection locked="0"/>
    </xf>
    <xf numFmtId="0" fontId="8" fillId="11" borderId="0" xfId="2" applyFont="1" applyFill="1" applyAlignment="1">
      <alignment vertical="top" wrapText="1"/>
    </xf>
    <xf numFmtId="0" fontId="0" fillId="17" borderId="0" xfId="0" applyFill="1"/>
    <xf numFmtId="2" fontId="0" fillId="0" borderId="0" xfId="0" applyNumberFormat="1"/>
    <xf numFmtId="0" fontId="0" fillId="6" borderId="0" xfId="0" applyFill="1"/>
    <xf numFmtId="43" fontId="9" fillId="0" borderId="0" xfId="1" applyFont="1" applyAlignment="1">
      <alignment horizontal="center" vertical="center"/>
    </xf>
    <xf numFmtId="0" fontId="5" fillId="3" borderId="9" xfId="0" applyFont="1" applyFill="1" applyBorder="1" applyAlignment="1">
      <alignment horizontal="center"/>
    </xf>
    <xf numFmtId="0" fontId="0" fillId="0" borderId="3" xfId="0" applyBorder="1"/>
    <xf numFmtId="0" fontId="0" fillId="0" borderId="4" xfId="0" applyBorder="1"/>
    <xf numFmtId="0" fontId="5" fillId="3" borderId="6" xfId="0" applyFont="1" applyFill="1" applyBorder="1" applyAlignment="1">
      <alignment horizontal="center"/>
    </xf>
    <xf numFmtId="0" fontId="0" fillId="0" borderId="1" xfId="0" applyBorder="1"/>
    <xf numFmtId="0" fontId="0" fillId="0" borderId="2" xfId="0" applyBorder="1"/>
    <xf numFmtId="0" fontId="5" fillId="5" borderId="5" xfId="0" applyFont="1" applyFill="1" applyBorder="1" applyAlignment="1">
      <alignment horizontal="center"/>
    </xf>
    <xf numFmtId="0" fontId="4" fillId="0" borderId="0" xfId="0" applyFont="1"/>
    <xf numFmtId="0" fontId="5" fillId="4" borderId="6" xfId="0" applyFont="1" applyFill="1" applyBorder="1" applyAlignment="1">
      <alignment horizontal="center"/>
    </xf>
    <xf numFmtId="0" fontId="3"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wrapText="1"/>
    </xf>
    <xf numFmtId="0" fontId="4" fillId="0" borderId="0" xfId="0" applyFont="1" applyAlignment="1">
      <alignment wrapText="1"/>
    </xf>
    <xf numFmtId="0" fontId="17" fillId="0" borderId="0" xfId="0" applyFont="1" applyAlignment="1">
      <alignment horizontal="right"/>
    </xf>
    <xf numFmtId="0" fontId="18" fillId="0" borderId="0" xfId="0" applyFont="1" applyAlignment="1">
      <alignment horizontal="center"/>
    </xf>
    <xf numFmtId="0" fontId="17" fillId="0" borderId="0" xfId="0" applyFont="1"/>
  </cellXfs>
  <cellStyles count="5">
    <cellStyle name="Millares" xfId="1" builtinId="3"/>
    <cellStyle name="Millares 2" xfId="4" xr:uid="{00000000-0005-0000-0000-000004000000}"/>
    <cellStyle name="Normal" xfId="0" builtinId="0"/>
    <cellStyle name="Normal 102 5 2" xfId="2" xr:uid="{00000000-0005-0000-0000-000002000000}"/>
    <cellStyle name="Normal 13 10 2 3 2" xfId="3" xr:uid="{00000000-0005-0000-0000-000003000000}"/>
  </cellStyles>
  <dxfs count="121">
    <dxf>
      <font>
        <strike val="0"/>
        <condense val="0"/>
        <extend val="0"/>
        <outline val="0"/>
        <shadow val="0"/>
        <vertAlign val="baseline"/>
        <sz val="14"/>
        <color theme="1"/>
        <name val="Calibri"/>
        <family val="2"/>
        <scheme val="minor"/>
      </font>
      <numFmt numFmtId="0" formatCode="General"/>
      <fill>
        <patternFill patternType="solid">
          <fgColor indexed="64"/>
          <bgColor theme="7" tint="0.79998168889431442"/>
        </patternFill>
      </fill>
      <alignment horizontal="left" vertical="center"/>
      <protection locked="1" hidden="1"/>
    </dxf>
    <dxf>
      <font>
        <strike val="0"/>
        <condense val="0"/>
        <extend val="0"/>
        <outline val="0"/>
        <shadow val="0"/>
        <vertAlign val="baseline"/>
        <sz val="14"/>
        <color auto="1"/>
        <name val="Calibri"/>
        <family val="2"/>
        <scheme val="minor"/>
      </font>
      <numFmt numFmtId="2" formatCode="0.00"/>
      <fill>
        <patternFill patternType="solid">
          <fgColor indexed="64"/>
          <bgColor theme="7" tint="0.79998168889431442"/>
        </patternFill>
      </fill>
      <alignment horizontal="left" vertical="center"/>
      <protection locked="0" hidden="0"/>
    </dxf>
    <dxf>
      <font>
        <strike val="0"/>
        <condense val="0"/>
        <extend val="0"/>
        <outline val="0"/>
        <shadow val="0"/>
        <vertAlign val="baseline"/>
        <sz val="14"/>
        <color auto="1"/>
        <name val="Calibri"/>
        <family val="2"/>
        <scheme val="minor"/>
      </font>
      <numFmt numFmtId="2" formatCode="0.00"/>
      <fill>
        <patternFill patternType="solid">
          <fgColor indexed="64"/>
          <bgColor theme="7" tint="0.79998168889431442"/>
        </patternFill>
      </fill>
      <alignment horizontal="left" vertical="center"/>
      <protection locked="0" hidden="0"/>
    </dxf>
    <dxf>
      <font>
        <strike val="0"/>
        <condense val="0"/>
        <extend val="0"/>
        <outline val="0"/>
        <shadow val="0"/>
        <vertAlign val="baseline"/>
        <sz val="14"/>
        <color auto="1"/>
        <name val="Calibri"/>
        <family val="2"/>
        <scheme val="minor"/>
      </font>
      <numFmt numFmtId="2" formatCode="0.00"/>
      <fill>
        <patternFill patternType="solid">
          <fgColor indexed="64"/>
          <bgColor theme="7" tint="0.79998168889431442"/>
        </patternFill>
      </fill>
      <alignment horizontal="left" vertical="center"/>
      <protection locked="0" hidden="0"/>
    </dxf>
    <dxf>
      <font>
        <strike val="0"/>
        <condense val="0"/>
        <extend val="0"/>
        <outline val="0"/>
        <shadow val="0"/>
        <vertAlign val="baseline"/>
        <sz val="14"/>
        <color auto="1"/>
        <name val="Calibri"/>
        <family val="2"/>
        <scheme val="minor"/>
      </font>
      <numFmt numFmtId="0" formatCode="General"/>
      <fill>
        <patternFill patternType="solid">
          <fgColor indexed="64"/>
          <bgColor theme="7" tint="0.79998168889431442"/>
        </patternFill>
      </fill>
      <alignment horizontal="left" vertical="center"/>
      <protection locked="0" hidden="0"/>
    </dxf>
    <dxf>
      <font>
        <strike val="0"/>
        <condense val="0"/>
        <extend val="0"/>
        <outline val="0"/>
        <shadow val="0"/>
        <vertAlign val="baseline"/>
        <sz val="14"/>
        <color auto="1"/>
        <name val="Calibri"/>
        <family val="2"/>
        <scheme val="minor"/>
      </font>
      <numFmt numFmtId="2" formatCode="0.00"/>
      <fill>
        <patternFill>
          <fgColor indexed="64"/>
          <bgColor auto="1"/>
        </patternFill>
      </fill>
      <alignment horizontal="right" vertical="center"/>
      <protection locked="1" hidden="0"/>
    </dxf>
    <dxf>
      <font>
        <b/>
        <strike val="0"/>
        <condense val="0"/>
        <extend val="0"/>
        <outline val="0"/>
        <shadow val="0"/>
        <vertAlign val="baseline"/>
        <sz val="14"/>
        <color auto="1"/>
        <name val="Calibri"/>
        <family val="2"/>
        <scheme val="minor"/>
      </font>
      <numFmt numFmtId="3" formatCode="#,##0"/>
      <fill>
        <patternFill>
          <fgColor indexed="64"/>
          <bgColor auto="1"/>
        </patternFill>
      </fill>
      <alignment horizontal="right" vertical="center"/>
      <protection locked="1" hidden="0"/>
    </dxf>
    <dxf>
      <font>
        <strike val="0"/>
        <condense val="0"/>
        <extend val="0"/>
        <outline val="0"/>
        <shadow val="0"/>
        <vertAlign val="baseline"/>
        <sz val="14"/>
        <color auto="1"/>
        <name val="Calibri"/>
        <family val="2"/>
        <scheme val="minor"/>
      </font>
      <numFmt numFmtId="165" formatCode="0.0"/>
      <fill>
        <patternFill>
          <fgColor indexed="64"/>
          <bgColor auto="1"/>
        </patternFill>
      </fill>
      <alignment horizontal="center" vertical="center"/>
      <protection locked="1" hidden="1"/>
    </dxf>
    <dxf>
      <font>
        <strike val="0"/>
        <condense val="0"/>
        <extend val="0"/>
        <outline val="0"/>
        <shadow val="0"/>
        <vertAlign val="baseline"/>
        <sz val="18"/>
        <color auto="1"/>
        <name val="Calibri"/>
        <family val="2"/>
        <scheme val="minor"/>
      </font>
      <numFmt numFmtId="2" formatCode="0.00"/>
      <fill>
        <patternFill>
          <fgColor indexed="64"/>
          <bgColor auto="1"/>
        </patternFill>
      </fill>
      <alignment horizontal="right" vertical="center"/>
      <protection locked="1" hidden="0"/>
    </dxf>
    <dxf>
      <font>
        <b/>
        <strike val="0"/>
        <condense val="0"/>
        <extend val="0"/>
        <outline val="0"/>
        <shadow val="0"/>
        <vertAlign val="baseline"/>
        <sz val="20"/>
        <color auto="1"/>
        <name val="Calibri"/>
        <family val="2"/>
        <scheme val="minor"/>
      </font>
      <numFmt numFmtId="164" formatCode="_-* #,##0_-;\-* #,##0_-;_-* &quot;-&quot;??_-;_-@_-"/>
      <fill>
        <patternFill patternType="solid">
          <fgColor indexed="64"/>
          <bgColor rgb="FFE4D2F2"/>
        </patternFill>
      </fill>
      <alignment horizontal="right" vertical="center"/>
      <protection locked="1" hidden="0"/>
    </dxf>
    <dxf>
      <font>
        <strike val="0"/>
        <condense val="0"/>
        <extend val="0"/>
        <outline val="0"/>
        <shadow val="0"/>
        <vertAlign val="baseline"/>
        <sz val="14"/>
        <color auto="1"/>
        <name val="Calibri"/>
        <family val="2"/>
        <scheme val="minor"/>
      </font>
      <numFmt numFmtId="2" formatCode="0.00"/>
      <fill>
        <patternFill>
          <fgColor indexed="64"/>
          <bgColor auto="1"/>
        </patternFill>
      </fill>
      <alignment horizontal="right" vertical="center"/>
      <protection locked="1" hidden="0"/>
    </dxf>
    <dxf>
      <font>
        <b/>
        <strike val="0"/>
        <condense val="0"/>
        <extend val="0"/>
        <outline val="0"/>
        <shadow val="0"/>
        <vertAlign val="baseline"/>
        <sz val="14"/>
        <color auto="1"/>
        <name val="Calibri"/>
        <family val="2"/>
        <scheme val="minor"/>
      </font>
      <numFmt numFmtId="3" formatCode="#,##0"/>
      <fill>
        <patternFill>
          <fgColor indexed="64"/>
          <bgColor auto="1"/>
        </patternFill>
      </fill>
      <alignment horizontal="right" vertical="center"/>
      <protection locked="1" hidden="0"/>
    </dxf>
    <dxf>
      <font>
        <strike val="0"/>
        <condense val="0"/>
        <extend val="0"/>
        <outline val="0"/>
        <shadow val="0"/>
        <vertAlign val="baseline"/>
        <sz val="14"/>
        <color auto="1"/>
        <name val="Calibri"/>
        <family val="2"/>
        <scheme val="minor"/>
      </font>
      <numFmt numFmtId="165" formatCode="0.0"/>
      <fill>
        <patternFill>
          <fgColor indexed="64"/>
          <bgColor auto="1"/>
        </patternFill>
      </fill>
      <alignment horizontal="center" vertical="center"/>
      <protection locked="1" hidden="1"/>
    </dxf>
    <dxf>
      <font>
        <strike val="0"/>
        <condense val="0"/>
        <extend val="0"/>
        <outline val="0"/>
        <shadow val="0"/>
        <vertAlign val="baseline"/>
        <sz val="18"/>
        <color auto="1"/>
        <name val="Calibri"/>
        <family val="2"/>
        <scheme val="minor"/>
      </font>
      <numFmt numFmtId="2" formatCode="0.00"/>
      <fill>
        <patternFill>
          <fgColor indexed="64"/>
          <bgColor auto="1"/>
        </patternFill>
      </fill>
      <alignment horizontal="right" vertical="center"/>
      <protection locked="1" hidden="0"/>
    </dxf>
    <dxf>
      <font>
        <b/>
        <strike val="0"/>
        <condense val="0"/>
        <extend val="0"/>
        <outline val="0"/>
        <shadow val="0"/>
        <vertAlign val="baseline"/>
        <sz val="20"/>
        <color auto="1"/>
        <name val="Calibri"/>
        <family val="2"/>
        <scheme val="minor"/>
      </font>
      <numFmt numFmtId="164" formatCode="_-* #,##0_-;\-* #,##0_-;_-* &quot;-&quot;??_-;_-@_-"/>
      <fill>
        <patternFill patternType="solid">
          <fgColor indexed="64"/>
          <bgColor theme="7" tint="0.79998168889431442"/>
        </patternFill>
      </fill>
      <alignment horizontal="right" vertical="center"/>
      <protection locked="1" hidden="0"/>
    </dxf>
    <dxf>
      <font>
        <strike val="0"/>
        <condense val="0"/>
        <extend val="0"/>
        <outline val="0"/>
        <shadow val="0"/>
        <vertAlign val="baseline"/>
        <sz val="20"/>
        <color auto="1"/>
        <name val="Calibri"/>
        <family val="2"/>
        <scheme val="minor"/>
      </font>
      <numFmt numFmtId="164" formatCode="_-* #,##0_-;\-* #,##0_-;_-* &quot;-&quot;??_-;_-@_-"/>
      <fill>
        <patternFill>
          <fgColor indexed="64"/>
          <bgColor auto="1"/>
        </patternFill>
      </fill>
      <alignment horizontal="center" vertical="center"/>
      <protection locked="1" hidden="1"/>
    </dxf>
    <dxf>
      <font>
        <strike val="0"/>
        <condense val="0"/>
        <extend val="0"/>
        <outline val="0"/>
        <shadow val="0"/>
        <vertAlign val="baseline"/>
        <sz val="14"/>
        <color theme="1"/>
        <name val="Calibri"/>
        <family val="2"/>
        <scheme val="minor"/>
      </font>
      <numFmt numFmtId="164" formatCode="_-* #,##0_-;\-* #,##0_-;_-* &quot;-&quot;??_-;_-@_-"/>
      <fill>
        <patternFill>
          <fgColor indexed="64"/>
          <bgColor auto="1"/>
        </patternFill>
      </fill>
      <alignment horizontal="center" vertical="center"/>
    </dxf>
    <dxf>
      <font>
        <strike val="0"/>
        <condense val="0"/>
        <extend val="0"/>
        <outline val="0"/>
        <shadow val="0"/>
        <vertAlign val="baseline"/>
        <sz val="18"/>
        <color theme="1"/>
        <name val="Calibri"/>
        <family val="2"/>
        <scheme val="minor"/>
      </font>
      <numFmt numFmtId="164" formatCode="_-* #,##0_-;\-* #,##0_-;_-* &quot;-&quot;??_-;_-@_-"/>
      <fill>
        <patternFill>
          <fgColor indexed="64"/>
          <bgColor auto="1"/>
        </patternFill>
      </fill>
      <alignment horizontal="center" vertical="center"/>
      <border outline="0">
        <left style="thin">
          <color theme="0" tint="-0.249977111117893"/>
        </left>
      </border>
    </dxf>
    <dxf>
      <font>
        <b/>
        <strike val="0"/>
        <condense val="0"/>
        <extend val="0"/>
        <outline val="0"/>
        <shadow val="0"/>
        <vertAlign val="baseline"/>
        <sz val="20"/>
        <color auto="1"/>
        <name val="Calibri"/>
        <family val="2"/>
        <scheme val="minor"/>
      </font>
      <numFmt numFmtId="164" formatCode="_-* #,##0_-;\-* #,##0_-;_-* &quot;-&quot;??_-;_-@_-"/>
      <fill>
        <patternFill patternType="solid">
          <fgColor indexed="64"/>
          <bgColor rgb="FFF6DEE5"/>
        </patternFill>
      </fill>
      <alignment horizontal="right" vertical="center"/>
      <border outline="0">
        <left style="thin">
          <color theme="0" tint="-0.249977111117893"/>
        </left>
        <right/>
        <top style="thin">
          <color theme="0" tint="-0.249977111117893"/>
        </top>
        <bottom style="thin">
          <color theme="0" tint="-0.249977111117893"/>
        </bottom>
      </border>
      <protection locked="1" hidden="0"/>
    </dxf>
    <dxf>
      <font>
        <strike val="0"/>
        <condense val="0"/>
        <extend val="0"/>
        <outline val="0"/>
        <shadow val="0"/>
        <vertAlign val="baseline"/>
        <sz val="20"/>
        <color auto="1"/>
        <name val="Calibri"/>
        <family val="2"/>
        <scheme val="minor"/>
      </font>
      <numFmt numFmtId="164" formatCode="_-* #,##0_-;\-* #,##0_-;_-* &quot;-&quot;??_-;_-@_-"/>
      <fill>
        <patternFill patternType="solid">
          <fgColor indexed="64"/>
          <bgColor theme="0"/>
        </patternFill>
      </fill>
      <alignment horizontal="center" vertical="center"/>
      <border outline="0">
        <left style="thin">
          <color theme="0" tint="-0.249977111117893"/>
        </left>
        <right style="thin">
          <color theme="0" tint="-0.249977111117893"/>
        </right>
        <top style="thin">
          <color theme="0" tint="-0.249977111117893"/>
        </top>
        <bottom style="thin">
          <color theme="0" tint="-0.249977111117893"/>
        </bottom>
      </border>
      <protection locked="1" hidden="0"/>
    </dxf>
    <dxf>
      <font>
        <strike val="0"/>
        <condense val="0"/>
        <extend val="0"/>
        <outline val="0"/>
        <shadow val="0"/>
        <vertAlign val="baseline"/>
        <sz val="14"/>
        <color auto="1"/>
        <name val="Calibri"/>
        <family val="2"/>
        <scheme val="minor"/>
      </font>
      <numFmt numFmtId="165" formatCode="0.0"/>
      <fill>
        <patternFill>
          <fgColor indexed="64"/>
          <bgColor auto="1"/>
        </patternFill>
      </fill>
      <alignment horizontal="center" vertical="center"/>
      <border outline="0">
        <left/>
        <right style="thin">
          <color theme="0" tint="-0.249977111117893"/>
        </right>
      </border>
      <protection locked="1" hidden="1"/>
    </dxf>
    <dxf>
      <font>
        <strike val="0"/>
        <condense val="0"/>
        <extend val="0"/>
        <outline val="0"/>
        <shadow val="0"/>
        <vertAlign val="baseline"/>
        <sz val="18"/>
        <color auto="1"/>
        <name val="Calibri"/>
        <family val="2"/>
        <scheme val="minor"/>
      </font>
      <numFmt numFmtId="2" formatCode="0.00"/>
      <fill>
        <patternFill>
          <fgColor indexed="64"/>
          <bgColor auto="1"/>
        </patternFill>
      </fill>
      <alignment horizontal="right" vertical="center"/>
      <protection locked="1" hidden="0"/>
    </dxf>
    <dxf>
      <font>
        <b/>
        <strike val="0"/>
        <condense val="0"/>
        <extend val="0"/>
        <outline val="0"/>
        <shadow val="0"/>
        <vertAlign val="baseline"/>
        <sz val="20"/>
        <color auto="1"/>
        <name val="Calibri"/>
        <family val="2"/>
        <scheme val="minor"/>
      </font>
      <numFmt numFmtId="164" formatCode="_-* #,##0_-;\-* #,##0_-;_-* &quot;-&quot;??_-;_-@_-"/>
      <fill>
        <patternFill patternType="solid">
          <fgColor indexed="64"/>
          <bgColor rgb="FFF6DEE5"/>
        </patternFill>
      </fill>
      <alignment horizontal="right" vertical="center"/>
      <border outline="0">
        <left style="thin">
          <color theme="0" tint="-0.249977111117893"/>
        </left>
        <right/>
        <top style="thin">
          <color theme="0" tint="-0.249977111117893"/>
        </top>
        <bottom style="thin">
          <color theme="0" tint="-0.249977111117893"/>
        </bottom>
      </border>
      <protection locked="1" hidden="0"/>
    </dxf>
    <dxf>
      <font>
        <strike val="0"/>
        <condense val="0"/>
        <extend val="0"/>
        <outline val="0"/>
        <shadow val="0"/>
        <vertAlign val="baseline"/>
        <sz val="20"/>
        <color auto="1"/>
        <name val="Calibri"/>
        <family val="2"/>
        <scheme val="minor"/>
      </font>
      <numFmt numFmtId="164" formatCode="_-* #,##0_-;\-* #,##0_-;_-* &quot;-&quot;??_-;_-@_-"/>
      <fill>
        <patternFill patternType="solid">
          <fgColor indexed="64"/>
          <bgColor theme="0"/>
        </patternFill>
      </fill>
      <alignment horizontal="center" vertical="center"/>
      <border outline="0">
        <left style="thin">
          <color theme="0" tint="-0.249977111117893"/>
        </left>
        <right style="thin">
          <color theme="0" tint="-0.249977111117893"/>
        </right>
        <top style="thin">
          <color theme="0" tint="-0.249977111117893"/>
        </top>
        <bottom style="thin">
          <color theme="0" tint="-0.249977111117893"/>
        </bottom>
      </border>
      <protection locked="1" hidden="0"/>
    </dxf>
    <dxf>
      <font>
        <strike val="0"/>
        <condense val="0"/>
        <extend val="0"/>
        <outline val="0"/>
        <shadow val="0"/>
        <vertAlign val="baseline"/>
        <sz val="14"/>
        <color auto="1"/>
        <name val="Calibri"/>
        <family val="2"/>
        <scheme val="minor"/>
      </font>
      <numFmt numFmtId="165" formatCode="0.0"/>
      <fill>
        <patternFill>
          <fgColor indexed="64"/>
          <bgColor auto="1"/>
        </patternFill>
      </fill>
      <alignment horizontal="center" vertical="center"/>
      <protection locked="1" hidden="1"/>
    </dxf>
    <dxf>
      <font>
        <strike val="0"/>
        <condense val="0"/>
        <extend val="0"/>
        <outline val="0"/>
        <shadow val="0"/>
        <vertAlign val="baseline"/>
        <sz val="18"/>
        <color auto="1"/>
        <name val="Calibri"/>
        <family val="2"/>
        <scheme val="minor"/>
      </font>
      <numFmt numFmtId="2" formatCode="0.00"/>
      <fill>
        <patternFill>
          <fgColor indexed="64"/>
          <bgColor auto="1"/>
        </patternFill>
      </fill>
      <alignment horizontal="right" vertical="center"/>
      <protection locked="1" hidden="0"/>
    </dxf>
    <dxf>
      <font>
        <b/>
        <strike val="0"/>
        <condense val="0"/>
        <extend val="0"/>
        <outline val="0"/>
        <shadow val="0"/>
        <vertAlign val="baseline"/>
        <sz val="20"/>
        <color auto="1"/>
        <name val="Calibri"/>
        <family val="2"/>
        <scheme val="minor"/>
      </font>
      <numFmt numFmtId="164" formatCode="_-* #,##0_-;\-* #,##0_-;_-* &quot;-&quot;??_-;_-@_-"/>
      <fill>
        <patternFill patternType="solid">
          <fgColor indexed="64"/>
          <bgColor rgb="FFF6DEE5"/>
        </patternFill>
      </fill>
      <alignment horizontal="right" vertical="center"/>
      <border outline="0">
        <left style="thin">
          <color theme="0" tint="-0.249977111117893"/>
        </left>
        <right/>
        <top style="thin">
          <color theme="0" tint="-0.249977111117893"/>
        </top>
        <bottom style="thin">
          <color theme="0" tint="-0.249977111117893"/>
        </bottom>
      </border>
      <protection locked="1" hidden="0"/>
    </dxf>
    <dxf>
      <font>
        <strike val="0"/>
        <condense val="0"/>
        <extend val="0"/>
        <outline val="0"/>
        <shadow val="0"/>
        <vertAlign val="baseline"/>
        <sz val="20"/>
        <color auto="1"/>
        <name val="Calibri"/>
        <family val="2"/>
        <scheme val="minor"/>
      </font>
      <numFmt numFmtId="164" formatCode="_-* #,##0_-;\-* #,##0_-;_-* &quot;-&quot;??_-;_-@_-"/>
      <fill>
        <patternFill patternType="solid">
          <fgColor indexed="64"/>
          <bgColor theme="0"/>
        </patternFill>
      </fill>
      <alignment horizontal="center" vertical="center"/>
      <border outline="0">
        <left style="thin">
          <color theme="0" tint="-0.249977111117893"/>
        </left>
        <right style="thin">
          <color theme="0" tint="-0.249977111117893"/>
        </right>
        <top style="thin">
          <color theme="0" tint="-0.249977111117893"/>
        </top>
        <bottom style="thin">
          <color theme="0" tint="-0.249977111117893"/>
        </bottom>
      </border>
      <protection locked="1" hidden="0"/>
    </dxf>
    <dxf>
      <font>
        <strike val="0"/>
        <condense val="0"/>
        <extend val="0"/>
        <outline val="0"/>
        <shadow val="0"/>
        <vertAlign val="baseline"/>
        <sz val="14"/>
        <color auto="1"/>
        <name val="Calibri"/>
        <family val="2"/>
        <scheme val="minor"/>
      </font>
      <numFmt numFmtId="165" formatCode="0.0"/>
      <fill>
        <patternFill>
          <fgColor indexed="64"/>
          <bgColor auto="1"/>
        </patternFill>
      </fill>
      <alignment horizontal="center" vertical="center"/>
      <protection locked="1" hidden="1"/>
    </dxf>
    <dxf>
      <font>
        <strike val="0"/>
        <condense val="0"/>
        <extend val="0"/>
        <outline val="0"/>
        <shadow val="0"/>
        <vertAlign val="baseline"/>
        <sz val="18"/>
        <color auto="1"/>
        <name val="Calibri"/>
        <family val="2"/>
        <scheme val="minor"/>
      </font>
      <numFmt numFmtId="2" formatCode="0.00"/>
      <fill>
        <patternFill>
          <fgColor indexed="64"/>
          <bgColor auto="1"/>
        </patternFill>
      </fill>
      <alignment horizontal="center" vertical="center"/>
      <protection locked="1" hidden="0"/>
    </dxf>
    <dxf>
      <font>
        <b/>
        <strike val="0"/>
        <condense val="0"/>
        <extend val="0"/>
        <outline val="0"/>
        <shadow val="0"/>
        <vertAlign val="baseline"/>
        <sz val="20"/>
        <color auto="1"/>
        <name val="Calibri"/>
        <family val="2"/>
        <scheme val="minor"/>
      </font>
      <numFmt numFmtId="164" formatCode="_-* #,##0_-;\-* #,##0_-;_-* &quot;-&quot;??_-;_-@_-"/>
      <fill>
        <patternFill patternType="solid">
          <fgColor indexed="64"/>
          <bgColor rgb="FFF6DEE5"/>
        </patternFill>
      </fill>
      <alignment horizontal="right" vertical="center"/>
      <border outline="0">
        <left style="thin">
          <color theme="0" tint="-0.249977111117893"/>
        </left>
        <right/>
        <top style="thin">
          <color theme="0" tint="-0.249977111117893"/>
        </top>
        <bottom style="thin">
          <color theme="0" tint="-0.249977111117893"/>
        </bottom>
      </border>
      <protection locked="0" hidden="0"/>
    </dxf>
    <dxf>
      <font>
        <strike val="0"/>
        <condense val="0"/>
        <extend val="0"/>
        <outline val="0"/>
        <shadow val="0"/>
        <vertAlign val="baseline"/>
        <sz val="20"/>
        <color theme="1"/>
        <name val="Calibri"/>
        <family val="2"/>
        <scheme val="minor"/>
      </font>
      <numFmt numFmtId="164" formatCode="_-* #,##0_-;\-* #,##0_-;_-* &quot;-&quot;??_-;_-@_-"/>
      <fill>
        <patternFill>
          <fgColor indexed="64"/>
          <bgColor auto="1"/>
        </patternFill>
      </fill>
      <alignment horizontal="center" vertical="center"/>
      <protection locked="1" hidden="0"/>
    </dxf>
    <dxf>
      <font>
        <strike val="0"/>
        <condense val="0"/>
        <extend val="0"/>
        <outline val="0"/>
        <shadow val="0"/>
        <vertAlign val="baseline"/>
        <sz val="20"/>
        <color theme="1"/>
        <name val="Calibri"/>
        <family val="2"/>
        <scheme val="minor"/>
      </font>
      <numFmt numFmtId="164" formatCode="_-* #,##0_-;\-* #,##0_-;_-* &quot;-&quot;??_-;_-@_-"/>
      <fill>
        <patternFill>
          <fgColor indexed="64"/>
          <bgColor auto="1"/>
        </patternFill>
      </fill>
      <alignment horizontal="center" vertical="center"/>
      <protection locked="1" hidden="0"/>
    </dxf>
    <dxf>
      <font>
        <strike val="0"/>
        <condense val="0"/>
        <extend val="0"/>
        <outline val="0"/>
        <shadow val="0"/>
        <vertAlign val="baseline"/>
        <sz val="14"/>
        <color auto="1"/>
        <name val="Calibri"/>
        <family val="2"/>
        <scheme val="minor"/>
      </font>
      <fill>
        <patternFill>
          <fgColor indexed="64"/>
          <bgColor auto="1"/>
        </patternFill>
      </fill>
      <alignment horizontal="center" vertical="center" wrapText="1"/>
    </dxf>
    <dxf>
      <font>
        <strike val="0"/>
        <condense val="0"/>
        <extend val="0"/>
        <outline val="0"/>
        <shadow val="0"/>
        <vertAlign val="baseline"/>
        <sz val="14"/>
        <color auto="1"/>
        <name val="Calibri"/>
        <family val="2"/>
        <scheme val="minor"/>
      </font>
      <numFmt numFmtId="0" formatCode="General"/>
      <fill>
        <patternFill>
          <fgColor indexed="64"/>
          <bgColor auto="1"/>
        </patternFill>
      </fill>
      <alignment horizontal="center" vertical="center" wrapText="1"/>
    </dxf>
    <dxf>
      <font>
        <strike val="0"/>
        <condense val="0"/>
        <extend val="0"/>
        <outline val="0"/>
        <shadow val="0"/>
        <vertAlign val="baseline"/>
        <sz val="14"/>
        <color theme="1"/>
        <name val="Calibri"/>
        <family val="2"/>
        <scheme val="minor"/>
      </font>
      <numFmt numFmtId="0" formatCode="General"/>
      <fill>
        <patternFill>
          <fgColor indexed="64"/>
          <bgColor auto="1"/>
        </patternFill>
      </fill>
      <alignment horizontal="center" vertical="center" wrapText="1"/>
      <protection locked="1" hidden="0"/>
    </dxf>
    <dxf>
      <font>
        <strike val="0"/>
        <condense val="0"/>
        <extend val="0"/>
        <outline val="0"/>
        <shadow val="0"/>
        <vertAlign val="baseline"/>
        <sz val="14"/>
        <color auto="1"/>
        <name val="Calibri"/>
        <family val="2"/>
        <scheme val="minor"/>
      </font>
      <fill>
        <patternFill>
          <fgColor indexed="64"/>
          <bgColor auto="1"/>
        </patternFill>
      </fill>
      <alignment horizontal="general" vertical="top" wrapText="1"/>
    </dxf>
    <dxf>
      <font>
        <strike val="0"/>
        <condense val="0"/>
        <extend val="0"/>
        <outline val="0"/>
        <shadow val="0"/>
        <vertAlign val="baseline"/>
        <sz val="14"/>
        <color theme="1"/>
        <name val="Calibri"/>
        <family val="2"/>
        <scheme val="minor"/>
      </font>
      <numFmt numFmtId="0" formatCode="General"/>
      <fill>
        <patternFill>
          <fgColor indexed="64"/>
          <bgColor auto="1"/>
        </patternFill>
      </fill>
      <alignment horizontal="general" vertical="top" wrapText="1"/>
      <protection locked="1" hidden="0"/>
    </dxf>
    <dxf>
      <font>
        <strike val="0"/>
        <condense val="0"/>
        <extend val="0"/>
        <outline val="0"/>
        <shadow val="0"/>
        <vertAlign val="baseline"/>
        <sz val="14"/>
        <color theme="1"/>
        <name val="Calibri"/>
        <family val="2"/>
        <scheme val="minor"/>
      </font>
      <numFmt numFmtId="0" formatCode="General"/>
      <fill>
        <patternFill>
          <fgColor indexed="64"/>
          <bgColor auto="1"/>
        </patternFill>
      </fill>
      <alignment horizontal="general" vertical="top" wrapText="1"/>
      <protection locked="1" hidden="0"/>
    </dxf>
    <dxf>
      <font>
        <strike val="0"/>
        <condense val="0"/>
        <extend val="0"/>
        <outline val="0"/>
        <shadow val="0"/>
        <vertAlign val="baseline"/>
        <sz val="14"/>
        <color theme="1"/>
        <name val="Calibri"/>
        <family val="2"/>
        <scheme val="minor"/>
      </font>
      <fill>
        <patternFill>
          <fgColor indexed="64"/>
          <bgColor auto="1"/>
        </patternFill>
      </fill>
      <alignment horizontal="center" vertical="center"/>
      <protection locked="1" hidden="0"/>
    </dxf>
    <dxf>
      <font>
        <strike val="0"/>
        <condense val="0"/>
        <extend val="0"/>
        <outline val="0"/>
        <shadow val="0"/>
        <vertAlign val="baseline"/>
        <sz val="14"/>
        <color theme="1"/>
        <name val="Calibri"/>
        <family val="2"/>
        <scheme val="minor"/>
      </font>
      <fill>
        <patternFill>
          <fgColor indexed="64"/>
          <bgColor auto="1"/>
        </patternFill>
      </fill>
      <alignment horizontal="center" vertical="center"/>
    </dxf>
    <dxf>
      <font>
        <strike val="0"/>
        <condense val="0"/>
        <extend val="0"/>
        <outline val="0"/>
        <shadow val="0"/>
        <vertAlign val="baseline"/>
        <sz val="14"/>
        <color theme="1"/>
        <name val="Calibri"/>
        <family val="2"/>
        <scheme val="minor"/>
      </font>
      <numFmt numFmtId="0" formatCode="General"/>
      <fill>
        <patternFill>
          <fgColor indexed="64"/>
          <bgColor auto="1"/>
        </patternFill>
      </fill>
      <alignment horizontal="left" vertical="center" wrapText="1"/>
      <protection locked="1" hidden="0"/>
    </dxf>
    <dxf>
      <font>
        <strike val="0"/>
        <condense val="0"/>
        <extend val="0"/>
        <outline val="0"/>
        <shadow val="0"/>
        <vertAlign val="baseline"/>
        <sz val="14"/>
        <color theme="1"/>
        <name val="Calibri"/>
        <family val="2"/>
        <scheme val="minor"/>
      </font>
      <numFmt numFmtId="0" formatCode="General"/>
      <fill>
        <patternFill>
          <fgColor indexed="64"/>
          <bgColor auto="1"/>
        </patternFill>
      </fill>
      <alignment horizontal="center" vertical="center" wrapText="1"/>
      <protection locked="1" hidden="0"/>
    </dxf>
    <dxf>
      <font>
        <strike val="0"/>
        <condense val="0"/>
        <extend val="0"/>
        <outline val="0"/>
        <shadow val="0"/>
        <vertAlign val="baseline"/>
        <sz val="14"/>
        <color theme="1"/>
        <name val="Calibri"/>
        <family val="2"/>
        <scheme val="minor"/>
      </font>
      <numFmt numFmtId="0" formatCode="General"/>
      <fill>
        <patternFill>
          <fgColor indexed="64"/>
          <bgColor auto="1"/>
        </patternFill>
      </fill>
      <alignment horizontal="left" vertical="center" wrapText="1"/>
      <protection locked="1" hidden="0"/>
    </dxf>
    <dxf>
      <font>
        <strike val="0"/>
        <condense val="0"/>
        <extend val="0"/>
        <outline val="0"/>
        <shadow val="0"/>
        <vertAlign val="baseline"/>
        <sz val="14"/>
        <color theme="1"/>
        <name val="Calibri"/>
        <family val="2"/>
        <scheme val="minor"/>
      </font>
      <numFmt numFmtId="0" formatCode="General"/>
      <fill>
        <patternFill>
          <fgColor indexed="64"/>
          <bgColor auto="1"/>
        </patternFill>
      </fill>
      <alignment horizontal="center" vertical="center" wrapText="1"/>
      <protection locked="1" hidden="0"/>
    </dxf>
    <dxf>
      <font>
        <strike val="0"/>
        <condense val="0"/>
        <extend val="0"/>
        <outline val="0"/>
        <shadow val="0"/>
        <vertAlign val="baseline"/>
        <sz val="14"/>
        <color theme="1"/>
        <name val="Calibri"/>
        <family val="2"/>
        <scheme val="minor"/>
      </font>
      <numFmt numFmtId="0" formatCode="General"/>
      <fill>
        <patternFill>
          <fgColor indexed="64"/>
          <bgColor auto="1"/>
        </patternFill>
      </fill>
      <alignment horizontal="center" vertical="center" wrapText="1"/>
      <protection locked="1" hidden="0"/>
    </dxf>
    <dxf>
      <font>
        <strike val="0"/>
        <condense val="0"/>
        <extend val="0"/>
        <outline val="0"/>
        <shadow val="0"/>
        <vertAlign val="baseline"/>
        <sz val="14"/>
        <color theme="1"/>
        <name val="Calibri"/>
        <family val="2"/>
        <scheme val="minor"/>
      </font>
      <numFmt numFmtId="0" formatCode="General"/>
      <fill>
        <patternFill>
          <fgColor indexed="64"/>
          <bgColor auto="1"/>
        </patternFill>
      </fill>
      <alignment horizontal="left" vertical="center" wrapText="1"/>
    </dxf>
    <dxf>
      <font>
        <strike val="0"/>
        <condense val="0"/>
        <extend val="0"/>
        <outline val="0"/>
        <shadow val="0"/>
        <vertAlign val="baseline"/>
        <sz val="14"/>
        <color theme="1"/>
        <name val="Calibri"/>
        <family val="2"/>
        <scheme val="minor"/>
      </font>
      <numFmt numFmtId="30" formatCode="@"/>
      <fill>
        <patternFill>
          <fgColor indexed="64"/>
          <bgColor auto="1"/>
        </patternFill>
      </fill>
      <alignment horizontal="left" vertical="center" wrapText="1"/>
      <protection locked="1" hidden="0"/>
    </dxf>
    <dxf>
      <font>
        <strike val="0"/>
        <condense val="0"/>
        <extend val="0"/>
        <outline val="0"/>
        <shadow val="0"/>
        <vertAlign val="baseline"/>
        <sz val="14"/>
        <color theme="1"/>
        <name val="Calibri"/>
        <family val="2"/>
        <scheme val="minor"/>
      </font>
      <numFmt numFmtId="0" formatCode="General"/>
      <fill>
        <patternFill>
          <fgColor indexed="64"/>
          <bgColor auto="1"/>
        </patternFill>
      </fill>
      <alignment horizontal="center" vertical="center" wrapText="1"/>
      <protection locked="1" hidden="0"/>
    </dxf>
    <dxf>
      <font>
        <strike val="0"/>
        <condense val="0"/>
        <extend val="0"/>
        <outline val="0"/>
        <shadow val="0"/>
        <vertAlign val="baseline"/>
        <sz val="14"/>
        <color theme="1"/>
        <name val="Calibri"/>
        <family val="2"/>
        <scheme val="minor"/>
      </font>
      <fill>
        <patternFill>
          <fgColor indexed="64"/>
          <bgColor auto="1"/>
        </patternFill>
      </fill>
      <alignment horizontal="center" vertical="center" wrapText="1"/>
    </dxf>
    <dxf>
      <font>
        <strike val="0"/>
        <condense val="0"/>
        <extend val="0"/>
        <outline val="0"/>
        <shadow val="0"/>
        <vertAlign val="baseline"/>
        <sz val="14"/>
        <color theme="1"/>
        <name val="Calibri"/>
        <family val="2"/>
        <scheme val="minor"/>
      </font>
      <fill>
        <patternFill>
          <fgColor indexed="64"/>
          <bgColor auto="1"/>
        </patternFill>
      </fill>
      <alignment horizontal="general" vertical="center" wrapText="1"/>
      <protection locked="1" hidden="0"/>
    </dxf>
    <dxf>
      <font>
        <strike val="0"/>
        <condense val="0"/>
        <extend val="0"/>
        <outline val="0"/>
        <shadow val="0"/>
        <vertAlign val="baseline"/>
        <sz val="14"/>
        <color theme="1"/>
        <name val="Calibri"/>
        <family val="2"/>
        <scheme val="minor"/>
      </font>
      <fill>
        <patternFill>
          <fgColor indexed="64"/>
          <bgColor auto="1"/>
        </patternFill>
      </fill>
      <alignment horizontal="center" vertical="center" wrapText="1"/>
      <protection locked="1" hidden="0"/>
    </dxf>
    <dxf>
      <font>
        <strike val="0"/>
        <condense val="0"/>
        <extend val="0"/>
        <outline val="0"/>
        <shadow val="0"/>
        <vertAlign val="baseline"/>
        <sz val="14"/>
        <color theme="1"/>
        <name val="Calibri"/>
        <family val="2"/>
        <scheme val="minor"/>
      </font>
      <fill>
        <patternFill>
          <fgColor indexed="64"/>
          <bgColor auto="1"/>
        </patternFill>
      </fill>
      <alignment horizontal="general" vertical="bottom" wrapText="1"/>
      <protection locked="1" hidden="1"/>
    </dxf>
    <dxf>
      <font>
        <strike val="0"/>
        <condense val="0"/>
        <extend val="0"/>
        <outline val="0"/>
        <shadow val="0"/>
        <vertAlign val="baseline"/>
        <sz val="14"/>
        <color theme="1"/>
        <name val="Calibri"/>
        <family val="2"/>
        <scheme val="minor"/>
      </font>
      <numFmt numFmtId="0" formatCode="General"/>
      <fill>
        <patternFill patternType="solid">
          <fgColor theme="4" tint="0.79998168889431442"/>
          <bgColor theme="9"/>
        </patternFill>
      </fill>
      <alignment horizontal="center" vertical="center"/>
      <protection locked="1" hidden="1"/>
    </dxf>
    <dxf>
      <border outline="0">
        <top style="thin">
          <color rgb="FF000000"/>
        </top>
      </border>
    </dxf>
    <dxf>
      <font>
        <strike val="0"/>
        <outline val="0"/>
        <shadow val="0"/>
        <vertAlign val="baseline"/>
        <sz val="14"/>
        <name val="Calibri"/>
        <family val="2"/>
        <scheme val="minor"/>
      </font>
    </dxf>
    <dxf>
      <font>
        <b/>
        <strike val="0"/>
        <condense val="0"/>
        <extend val="0"/>
        <outline val="0"/>
        <shadow val="0"/>
        <vertAlign val="baseline"/>
        <sz val="12"/>
        <color theme="0"/>
        <name val="Calibri"/>
        <scheme val="minor"/>
      </font>
      <fill>
        <patternFill patternType="solid">
          <fgColor indexed="64"/>
          <bgColor theme="7" tint="0.39997558519241921"/>
        </patternFill>
      </fill>
      <alignment horizontal="center" vertical="center" wrapText="1"/>
      <border outline="0">
        <left style="thin">
          <color indexed="64"/>
        </left>
        <right style="thin">
          <color indexed="64"/>
        </right>
        <top/>
        <bottom/>
      </border>
    </dxf>
    <dxf>
      <font>
        <color theme="0"/>
      </font>
      <fill>
        <patternFill>
          <bgColor rgb="FFFF0000"/>
        </patternFill>
      </fill>
    </dxf>
    <dxf>
      <fill>
        <patternFill>
          <bgColor rgb="FFFFC000"/>
        </patternFill>
      </fill>
    </dxf>
    <dxf>
      <fill>
        <patternFill>
          <bgColor rgb="FFFFFF00"/>
        </patternFill>
      </fill>
    </dxf>
    <dxf>
      <font>
        <color theme="0"/>
      </font>
      <fill>
        <patternFill>
          <bgColor rgb="FF00B050"/>
        </patternFill>
      </fill>
    </dxf>
    <dxf>
      <font>
        <color theme="0"/>
      </font>
      <fill>
        <patternFill>
          <bgColor rgb="FF7030A0"/>
        </patternFill>
      </fill>
    </dxf>
    <dxf>
      <font>
        <strike val="0"/>
        <condense val="0"/>
        <extend val="0"/>
        <outline val="0"/>
        <shadow val="0"/>
        <vertAlign val="baseline"/>
        <sz val="14"/>
        <color auto="1"/>
        <name val="Calibri"/>
        <family val="2"/>
        <scheme val="minor"/>
      </font>
      <numFmt numFmtId="2" formatCode="0.00"/>
      <fill>
        <patternFill patternType="solid">
          <fgColor indexed="64"/>
          <bgColor theme="5" tint="0.79998168889431442"/>
        </patternFill>
      </fill>
      <alignment horizontal="center" vertical="center"/>
      <protection locked="0" hidden="0"/>
    </dxf>
    <dxf>
      <font>
        <strike val="0"/>
        <condense val="0"/>
        <extend val="0"/>
        <outline val="0"/>
        <shadow val="0"/>
        <vertAlign val="baseline"/>
        <sz val="14"/>
        <color auto="1"/>
        <name val="Calibri"/>
        <family val="2"/>
        <scheme val="minor"/>
      </font>
      <numFmt numFmtId="2" formatCode="0.00"/>
      <fill>
        <patternFill patternType="solid">
          <fgColor indexed="64"/>
          <bgColor theme="7" tint="0.79998168889431442"/>
        </patternFill>
      </fill>
      <alignment horizontal="left" vertical="center"/>
      <protection locked="0" hidden="0"/>
    </dxf>
    <dxf>
      <font>
        <strike val="0"/>
        <condense val="0"/>
        <extend val="0"/>
        <outline val="0"/>
        <shadow val="0"/>
        <vertAlign val="baseline"/>
        <sz val="14"/>
        <color auto="1"/>
        <name val="Calibri"/>
        <family val="2"/>
        <scheme val="minor"/>
      </font>
      <numFmt numFmtId="2" formatCode="0.00"/>
      <fill>
        <patternFill patternType="solid">
          <fgColor indexed="64"/>
          <bgColor theme="7" tint="0.79998168889431442"/>
        </patternFill>
      </fill>
      <alignment horizontal="left" vertical="center"/>
      <protection locked="0" hidden="0"/>
    </dxf>
    <dxf>
      <font>
        <strike val="0"/>
        <condense val="0"/>
        <extend val="0"/>
        <outline val="0"/>
        <shadow val="0"/>
        <vertAlign val="baseline"/>
        <sz val="14"/>
        <color auto="1"/>
        <name val="Calibri"/>
        <family val="2"/>
        <scheme val="minor"/>
      </font>
      <numFmt numFmtId="2" formatCode="0.00"/>
      <fill>
        <patternFill patternType="solid">
          <fgColor indexed="64"/>
          <bgColor theme="7" tint="0.79998168889431442"/>
        </patternFill>
      </fill>
      <alignment horizontal="left" vertical="center"/>
      <protection locked="0" hidden="0"/>
    </dxf>
    <dxf>
      <font>
        <strike val="0"/>
        <condense val="0"/>
        <extend val="0"/>
        <outline val="0"/>
        <shadow val="0"/>
        <vertAlign val="baseline"/>
        <sz val="14"/>
        <color auto="1"/>
        <name val="Calibri"/>
        <family val="2"/>
        <scheme val="minor"/>
      </font>
      <numFmt numFmtId="0" formatCode="General"/>
      <fill>
        <patternFill patternType="solid">
          <fgColor indexed="64"/>
          <bgColor theme="7" tint="0.79998168889431442"/>
        </patternFill>
      </fill>
      <alignment horizontal="center" vertical="center"/>
      <protection locked="0" hidden="0"/>
    </dxf>
    <dxf>
      <font>
        <strike val="0"/>
        <condense val="0"/>
        <extend val="0"/>
        <outline val="0"/>
        <shadow val="0"/>
        <vertAlign val="baseline"/>
        <sz val="20"/>
        <color auto="1"/>
        <name val="Calibri"/>
        <family val="2"/>
        <scheme val="minor"/>
      </font>
      <numFmt numFmtId="2" formatCode="0.00"/>
      <fill>
        <patternFill>
          <fgColor indexed="64"/>
          <bgColor auto="1"/>
        </patternFill>
      </fill>
      <alignment horizontal="right" vertical="center"/>
      <protection locked="1" hidden="0"/>
    </dxf>
    <dxf>
      <font>
        <b/>
        <strike val="0"/>
        <condense val="0"/>
        <extend val="0"/>
        <outline val="0"/>
        <shadow val="0"/>
        <vertAlign val="baseline"/>
        <sz val="20"/>
        <color auto="1"/>
        <name val="Calibri"/>
        <family val="2"/>
        <scheme val="minor"/>
      </font>
      <numFmt numFmtId="3" formatCode="#,##0"/>
      <fill>
        <patternFill>
          <fgColor indexed="64"/>
          <bgColor auto="1"/>
        </patternFill>
      </fill>
      <alignment horizontal="right" vertical="center"/>
      <protection locked="1" hidden="0"/>
    </dxf>
    <dxf>
      <font>
        <strike val="0"/>
        <condense val="0"/>
        <extend val="0"/>
        <outline val="0"/>
        <shadow val="0"/>
        <vertAlign val="baseline"/>
        <sz val="14"/>
        <color auto="1"/>
        <name val="Calibri"/>
        <family val="2"/>
        <scheme val="minor"/>
      </font>
      <numFmt numFmtId="165" formatCode="0.0"/>
      <fill>
        <patternFill>
          <fgColor indexed="64"/>
          <bgColor auto="1"/>
        </patternFill>
      </fill>
      <alignment horizontal="center" vertical="center"/>
      <protection locked="1" hidden="1"/>
    </dxf>
    <dxf>
      <font>
        <strike val="0"/>
        <condense val="0"/>
        <extend val="0"/>
        <outline val="0"/>
        <shadow val="0"/>
        <vertAlign val="baseline"/>
        <sz val="18"/>
        <color auto="1"/>
        <name val="Calibri"/>
        <family val="2"/>
        <scheme val="minor"/>
      </font>
      <numFmt numFmtId="2" formatCode="0.00"/>
      <fill>
        <patternFill>
          <fgColor indexed="64"/>
          <bgColor auto="1"/>
        </patternFill>
      </fill>
      <alignment horizontal="right" vertical="center"/>
      <protection locked="1" hidden="0"/>
    </dxf>
    <dxf>
      <font>
        <b/>
        <strike val="0"/>
        <condense val="0"/>
        <extend val="0"/>
        <outline val="0"/>
        <shadow val="0"/>
        <vertAlign val="baseline"/>
        <sz val="20"/>
        <color auto="1"/>
        <name val="Calibri"/>
        <family val="2"/>
        <scheme val="minor"/>
      </font>
      <numFmt numFmtId="164" formatCode="_-* #,##0_-;\-* #,##0_-;_-* &quot;-&quot;??_-;_-@_-"/>
      <fill>
        <patternFill>
          <fgColor indexed="64"/>
          <bgColor auto="1"/>
        </patternFill>
      </fill>
      <alignment horizontal="right" vertical="center"/>
      <protection locked="1" hidden="0"/>
    </dxf>
    <dxf>
      <font>
        <strike val="0"/>
        <condense val="0"/>
        <extend val="0"/>
        <outline val="0"/>
        <shadow val="0"/>
        <vertAlign val="baseline"/>
        <sz val="14"/>
        <color auto="1"/>
        <name val="Calibri"/>
        <family val="2"/>
        <scheme val="minor"/>
      </font>
      <numFmt numFmtId="2" formatCode="0.00"/>
      <fill>
        <patternFill>
          <fgColor indexed="64"/>
          <bgColor auto="1"/>
        </patternFill>
      </fill>
      <alignment horizontal="right" vertical="center"/>
      <protection locked="1" hidden="0"/>
    </dxf>
    <dxf>
      <font>
        <b/>
        <strike val="0"/>
        <condense val="0"/>
        <extend val="0"/>
        <outline val="0"/>
        <shadow val="0"/>
        <vertAlign val="baseline"/>
        <sz val="20"/>
        <color auto="1"/>
        <name val="Calibri"/>
        <family val="2"/>
        <scheme val="minor"/>
      </font>
      <numFmt numFmtId="3" formatCode="#,##0"/>
      <fill>
        <patternFill>
          <fgColor indexed="64"/>
          <bgColor auto="1"/>
        </patternFill>
      </fill>
      <alignment horizontal="right" vertical="center"/>
      <protection locked="1" hidden="0"/>
    </dxf>
    <dxf>
      <font>
        <strike val="0"/>
        <condense val="0"/>
        <extend val="0"/>
        <outline val="0"/>
        <shadow val="0"/>
        <vertAlign val="baseline"/>
        <sz val="14"/>
        <color auto="1"/>
        <name val="Calibri"/>
        <family val="2"/>
        <scheme val="minor"/>
      </font>
      <numFmt numFmtId="165" formatCode="0.0"/>
      <fill>
        <patternFill>
          <fgColor indexed="64"/>
          <bgColor auto="1"/>
        </patternFill>
      </fill>
      <alignment horizontal="center" vertical="center"/>
      <protection locked="1" hidden="1"/>
    </dxf>
    <dxf>
      <font>
        <strike val="0"/>
        <condense val="0"/>
        <extend val="0"/>
        <outline val="0"/>
        <shadow val="0"/>
        <vertAlign val="baseline"/>
        <sz val="18"/>
        <color auto="1"/>
        <name val="Calibri"/>
        <family val="2"/>
        <scheme val="minor"/>
      </font>
      <numFmt numFmtId="2" formatCode="0.00"/>
      <fill>
        <patternFill>
          <fgColor indexed="64"/>
          <bgColor auto="1"/>
        </patternFill>
      </fill>
      <alignment horizontal="right" vertical="center"/>
      <protection locked="1" hidden="0"/>
    </dxf>
    <dxf>
      <font>
        <b/>
        <strike val="0"/>
        <condense val="0"/>
        <extend val="0"/>
        <outline val="0"/>
        <shadow val="0"/>
        <vertAlign val="baseline"/>
        <sz val="20"/>
        <color auto="1"/>
        <name val="Calibri"/>
        <family val="2"/>
        <scheme val="minor"/>
      </font>
      <numFmt numFmtId="164" formatCode="_-* #,##0_-;\-* #,##0_-;_-* &quot;-&quot;??_-;_-@_-"/>
      <fill>
        <patternFill>
          <fgColor indexed="64"/>
          <bgColor auto="1"/>
        </patternFill>
      </fill>
      <alignment horizontal="right" vertical="center"/>
      <protection locked="1" hidden="0"/>
    </dxf>
    <dxf>
      <font>
        <strike val="0"/>
        <condense val="0"/>
        <extend val="0"/>
        <outline val="0"/>
        <shadow val="0"/>
        <vertAlign val="baseline"/>
        <sz val="20"/>
        <color auto="1"/>
        <name val="Calibri"/>
        <family val="2"/>
        <scheme val="minor"/>
      </font>
      <numFmt numFmtId="164" formatCode="_-* #,##0_-;\-* #,##0_-;_-* &quot;-&quot;??_-;_-@_-"/>
      <fill>
        <patternFill>
          <fgColor indexed="64"/>
          <bgColor auto="1"/>
        </patternFill>
      </fill>
      <alignment horizontal="center" vertical="center"/>
      <protection locked="1" hidden="1"/>
    </dxf>
    <dxf>
      <font>
        <strike val="0"/>
        <condense val="0"/>
        <extend val="0"/>
        <outline val="0"/>
        <shadow val="0"/>
        <vertAlign val="baseline"/>
        <sz val="14"/>
        <color theme="1"/>
        <name val="Calibri"/>
        <family val="2"/>
        <scheme val="minor"/>
      </font>
      <numFmt numFmtId="164" formatCode="_-* #,##0_-;\-* #,##0_-;_-* &quot;-&quot;??_-;_-@_-"/>
      <fill>
        <patternFill>
          <fgColor indexed="64"/>
          <bgColor auto="1"/>
        </patternFill>
      </fill>
      <alignment horizontal="center" vertical="center"/>
    </dxf>
    <dxf>
      <font>
        <strike val="0"/>
        <condense val="0"/>
        <extend val="0"/>
        <outline val="0"/>
        <shadow val="0"/>
        <vertAlign val="baseline"/>
        <sz val="18"/>
        <color theme="1"/>
        <name val="Calibri"/>
        <family val="2"/>
        <scheme val="minor"/>
      </font>
      <numFmt numFmtId="164" formatCode="_-* #,##0_-;\-* #,##0_-;_-* &quot;-&quot;??_-;_-@_-"/>
      <fill>
        <patternFill>
          <fgColor indexed="64"/>
          <bgColor auto="1"/>
        </patternFill>
      </fill>
      <alignment horizontal="center" vertical="center"/>
    </dxf>
    <dxf>
      <font>
        <strike val="0"/>
        <condense val="0"/>
        <extend val="0"/>
        <outline val="0"/>
        <shadow val="0"/>
        <vertAlign val="baseline"/>
        <sz val="20"/>
        <color auto="1"/>
        <name val="Calibri"/>
        <family val="2"/>
        <scheme val="minor"/>
      </font>
      <numFmt numFmtId="164" formatCode="_-* #,##0_-;\-* #,##0_-;_-* &quot;-&quot;??_-;_-@_-"/>
      <fill>
        <patternFill patternType="solid">
          <fgColor indexed="64"/>
          <bgColor theme="5" tint="0.79998168889431442"/>
        </patternFill>
      </fill>
      <alignment horizontal="right" vertical="center"/>
    </dxf>
    <dxf>
      <font>
        <strike val="0"/>
        <condense val="0"/>
        <extend val="0"/>
        <outline val="0"/>
        <shadow val="0"/>
        <vertAlign val="baseline"/>
        <sz val="20"/>
        <color auto="1"/>
        <name val="Calibri"/>
        <family val="2"/>
        <scheme val="minor"/>
      </font>
      <numFmt numFmtId="164" formatCode="_-* #,##0_-;\-* #,##0_-;_-* &quot;-&quot;??_-;_-@_-"/>
      <fill>
        <patternFill>
          <fgColor indexed="64"/>
          <bgColor indexed="65"/>
        </patternFill>
      </fill>
      <alignment horizontal="center" vertical="center"/>
      <protection locked="1" hidden="0"/>
    </dxf>
    <dxf>
      <font>
        <strike val="0"/>
        <condense val="0"/>
        <extend val="0"/>
        <outline val="0"/>
        <shadow val="0"/>
        <vertAlign val="baseline"/>
        <sz val="14"/>
        <color auto="1"/>
        <name val="Calibri"/>
        <family val="2"/>
        <scheme val="minor"/>
      </font>
      <numFmt numFmtId="165" formatCode="0.0"/>
      <fill>
        <patternFill>
          <fgColor indexed="64"/>
          <bgColor auto="1"/>
        </patternFill>
      </fill>
      <alignment horizontal="center" vertical="center"/>
      <protection locked="1" hidden="1"/>
    </dxf>
    <dxf>
      <font>
        <strike val="0"/>
        <condense val="0"/>
        <extend val="0"/>
        <outline val="0"/>
        <shadow val="0"/>
        <vertAlign val="baseline"/>
        <sz val="18"/>
        <color auto="1"/>
        <name val="Calibri"/>
        <family val="2"/>
        <scheme val="minor"/>
      </font>
      <numFmt numFmtId="2" formatCode="0.00"/>
      <fill>
        <patternFill>
          <fgColor indexed="64"/>
          <bgColor auto="1"/>
        </patternFill>
      </fill>
      <alignment horizontal="right" vertical="center"/>
      <protection locked="1" hidden="0"/>
    </dxf>
    <dxf>
      <font>
        <strike val="0"/>
        <condense val="0"/>
        <extend val="0"/>
        <outline val="0"/>
        <shadow val="0"/>
        <vertAlign val="baseline"/>
        <sz val="20"/>
        <color auto="1"/>
        <name val="Calibri"/>
        <family val="2"/>
        <scheme val="minor"/>
      </font>
      <numFmt numFmtId="164" formatCode="_-* #,##0_-;\-* #,##0_-;_-* &quot;-&quot;??_-;_-@_-"/>
      <fill>
        <patternFill patternType="solid">
          <fgColor indexed="64"/>
          <bgColor theme="5" tint="0.79998168889431442"/>
        </patternFill>
      </fill>
      <alignment horizontal="right" vertical="center"/>
      <protection locked="1" hidden="0"/>
    </dxf>
    <dxf>
      <font>
        <strike val="0"/>
        <condense val="0"/>
        <extend val="0"/>
        <outline val="0"/>
        <shadow val="0"/>
        <vertAlign val="baseline"/>
        <sz val="20"/>
        <color auto="1"/>
        <name val="Calibri"/>
        <family val="2"/>
        <scheme val="minor"/>
      </font>
      <numFmt numFmtId="164" formatCode="_-* #,##0_-;\-* #,##0_-;_-* &quot;-&quot;??_-;_-@_-"/>
      <fill>
        <patternFill>
          <fgColor indexed="64"/>
          <bgColor indexed="65"/>
        </patternFill>
      </fill>
      <alignment horizontal="center" vertical="center"/>
      <protection locked="1" hidden="0"/>
    </dxf>
    <dxf>
      <font>
        <strike val="0"/>
        <condense val="0"/>
        <extend val="0"/>
        <outline val="0"/>
        <shadow val="0"/>
        <vertAlign val="baseline"/>
        <sz val="14"/>
        <color auto="1"/>
        <name val="Calibri"/>
        <family val="2"/>
        <scheme val="minor"/>
      </font>
      <numFmt numFmtId="165" formatCode="0.0"/>
      <fill>
        <patternFill>
          <fgColor indexed="64"/>
          <bgColor auto="1"/>
        </patternFill>
      </fill>
      <alignment horizontal="center" vertical="center"/>
      <protection locked="1" hidden="1"/>
    </dxf>
    <dxf>
      <font>
        <strike val="0"/>
        <condense val="0"/>
        <extend val="0"/>
        <outline val="0"/>
        <shadow val="0"/>
        <vertAlign val="baseline"/>
        <sz val="18"/>
        <color auto="1"/>
        <name val="Calibri"/>
        <family val="2"/>
        <scheme val="minor"/>
      </font>
      <numFmt numFmtId="2" formatCode="0.00"/>
      <fill>
        <patternFill>
          <fgColor indexed="64"/>
          <bgColor auto="1"/>
        </patternFill>
      </fill>
      <alignment horizontal="right" vertical="center"/>
      <protection locked="1" hidden="0"/>
    </dxf>
    <dxf>
      <font>
        <strike val="0"/>
        <condense val="0"/>
        <extend val="0"/>
        <outline val="0"/>
        <shadow val="0"/>
        <vertAlign val="baseline"/>
        <sz val="20"/>
        <color auto="1"/>
        <name val="Calibri"/>
        <family val="2"/>
        <scheme val="minor"/>
      </font>
      <numFmt numFmtId="164" formatCode="_-* #,##0_-;\-* #,##0_-;_-* &quot;-&quot;??_-;_-@_-"/>
      <fill>
        <patternFill patternType="solid">
          <fgColor indexed="64"/>
          <bgColor theme="5" tint="0.79998168889431442"/>
        </patternFill>
      </fill>
      <alignment horizontal="right" vertical="center"/>
      <protection locked="1" hidden="0"/>
    </dxf>
    <dxf>
      <font>
        <strike val="0"/>
        <condense val="0"/>
        <extend val="0"/>
        <outline val="0"/>
        <shadow val="0"/>
        <vertAlign val="baseline"/>
        <sz val="20"/>
        <color auto="1"/>
        <name val="Calibri"/>
        <family val="2"/>
        <scheme val="minor"/>
      </font>
      <numFmt numFmtId="164" formatCode="_-* #,##0_-;\-* #,##0_-;_-* &quot;-&quot;??_-;_-@_-"/>
      <fill>
        <patternFill>
          <fgColor indexed="64"/>
          <bgColor indexed="65"/>
        </patternFill>
      </fill>
      <alignment horizontal="center" vertical="center"/>
      <protection locked="1" hidden="0"/>
    </dxf>
    <dxf>
      <font>
        <strike val="0"/>
        <condense val="0"/>
        <extend val="0"/>
        <outline val="0"/>
        <shadow val="0"/>
        <vertAlign val="baseline"/>
        <sz val="14"/>
        <color auto="1"/>
        <name val="Calibri"/>
        <family val="2"/>
        <scheme val="minor"/>
      </font>
      <numFmt numFmtId="165" formatCode="0.0"/>
      <fill>
        <patternFill>
          <fgColor indexed="64"/>
          <bgColor auto="1"/>
        </patternFill>
      </fill>
      <alignment horizontal="center" vertical="center"/>
      <protection locked="1" hidden="1"/>
    </dxf>
    <dxf>
      <font>
        <strike val="0"/>
        <condense val="0"/>
        <extend val="0"/>
        <outline val="0"/>
        <shadow val="0"/>
        <vertAlign val="baseline"/>
        <sz val="18"/>
        <color auto="1"/>
        <name val="Calibri"/>
        <family val="2"/>
        <scheme val="minor"/>
      </font>
      <numFmt numFmtId="2" formatCode="0.00"/>
      <fill>
        <patternFill>
          <fgColor indexed="64"/>
          <bgColor auto="1"/>
        </patternFill>
      </fill>
      <alignment horizontal="center" vertical="center"/>
      <protection locked="1" hidden="0"/>
    </dxf>
    <dxf>
      <font>
        <strike val="0"/>
        <condense val="0"/>
        <extend val="0"/>
        <outline val="0"/>
        <shadow val="0"/>
        <vertAlign val="baseline"/>
        <sz val="20"/>
        <color auto="1"/>
        <name val="Calibri"/>
        <family val="2"/>
        <scheme val="minor"/>
      </font>
      <numFmt numFmtId="164" formatCode="_-* #,##0_-;\-* #,##0_-;_-* &quot;-&quot;??_-;_-@_-"/>
      <fill>
        <patternFill>
          <fgColor indexed="64"/>
          <bgColor theme="5" tint="0.79998168889431442"/>
        </patternFill>
      </fill>
      <alignment horizontal="right" vertical="center"/>
      <protection locked="1" hidden="0"/>
    </dxf>
    <dxf>
      <font>
        <strike val="0"/>
        <condense val="0"/>
        <extend val="0"/>
        <outline val="0"/>
        <shadow val="0"/>
        <vertAlign val="baseline"/>
        <sz val="20"/>
        <color theme="1"/>
        <name val="Calibri"/>
        <family val="2"/>
        <scheme val="minor"/>
      </font>
      <numFmt numFmtId="164" formatCode="_-* #,##0_-;\-* #,##0_-;_-* &quot;-&quot;??_-;_-@_-"/>
      <fill>
        <patternFill>
          <fgColor indexed="64"/>
          <bgColor auto="1"/>
        </patternFill>
      </fill>
      <alignment horizontal="center" vertical="center"/>
      <protection locked="1" hidden="0"/>
    </dxf>
    <dxf>
      <font>
        <strike val="0"/>
        <condense val="0"/>
        <extend val="0"/>
        <outline val="0"/>
        <shadow val="0"/>
        <vertAlign val="baseline"/>
        <sz val="20"/>
        <color theme="1"/>
        <name val="Calibri"/>
        <family val="2"/>
        <scheme val="minor"/>
      </font>
      <numFmt numFmtId="164" formatCode="_-* #,##0_-;\-* #,##0_-;_-* &quot;-&quot;??_-;_-@_-"/>
      <fill>
        <patternFill>
          <fgColor indexed="64"/>
          <bgColor auto="1"/>
        </patternFill>
      </fill>
      <alignment horizontal="center" vertical="center"/>
      <protection locked="1" hidden="0"/>
    </dxf>
    <dxf>
      <font>
        <strike val="0"/>
        <condense val="0"/>
        <extend val="0"/>
        <outline val="0"/>
        <shadow val="0"/>
        <vertAlign val="baseline"/>
        <sz val="14"/>
        <color theme="1"/>
        <name val="Calibri"/>
        <family val="2"/>
        <scheme val="minor"/>
      </font>
      <numFmt numFmtId="0" formatCode="General"/>
      <fill>
        <patternFill>
          <fgColor indexed="64"/>
          <bgColor auto="1"/>
        </patternFill>
      </fill>
      <alignment horizontal="center" vertical="center" wrapText="1"/>
      <protection locked="1" hidden="0"/>
    </dxf>
    <dxf>
      <font>
        <strike val="0"/>
        <condense val="0"/>
        <extend val="0"/>
        <outline val="0"/>
        <shadow val="0"/>
        <vertAlign val="baseline"/>
        <sz val="14"/>
        <color theme="1"/>
        <name val="Calibri"/>
        <family val="2"/>
        <scheme val="minor"/>
      </font>
      <numFmt numFmtId="0" formatCode="General"/>
      <fill>
        <patternFill>
          <fgColor indexed="64"/>
          <bgColor auto="1"/>
        </patternFill>
      </fill>
      <alignment horizontal="left" vertical="center" wrapText="1"/>
      <protection locked="1" hidden="0"/>
    </dxf>
    <dxf>
      <font>
        <strike val="0"/>
        <condense val="0"/>
        <extend val="0"/>
        <outline val="0"/>
        <shadow val="0"/>
        <vertAlign val="baseline"/>
        <sz val="14"/>
        <color theme="1"/>
        <name val="Calibri"/>
        <family val="2"/>
        <scheme val="minor"/>
      </font>
      <fill>
        <patternFill>
          <fgColor indexed="64"/>
          <bgColor auto="1"/>
        </patternFill>
      </fill>
      <alignment horizontal="center" vertical="center"/>
      <protection locked="1" hidden="0"/>
    </dxf>
    <dxf>
      <font>
        <strike val="0"/>
        <condense val="0"/>
        <extend val="0"/>
        <outline val="0"/>
        <shadow val="0"/>
        <vertAlign val="baseline"/>
        <sz val="14"/>
        <color auto="1"/>
        <name val="Calibri"/>
        <family val="2"/>
        <scheme val="minor"/>
      </font>
      <numFmt numFmtId="0" formatCode="General"/>
      <fill>
        <patternFill>
          <fgColor indexed="64"/>
          <bgColor auto="1"/>
        </patternFill>
      </fill>
      <alignment horizontal="left" vertical="center"/>
      <protection locked="1" hidden="0"/>
    </dxf>
    <dxf>
      <font>
        <strike val="0"/>
        <condense val="0"/>
        <extend val="0"/>
        <outline val="0"/>
        <shadow val="0"/>
        <vertAlign val="baseline"/>
        <sz val="14"/>
        <color auto="1"/>
        <name val="Calibri"/>
        <family val="2"/>
        <scheme val="minor"/>
      </font>
      <numFmt numFmtId="0" formatCode="General"/>
      <fill>
        <patternFill>
          <fgColor indexed="64"/>
          <bgColor auto="1"/>
        </patternFill>
      </fill>
      <alignment horizontal="center" vertical="center" wrapText="1"/>
      <protection locked="1" hidden="0"/>
    </dxf>
    <dxf>
      <font>
        <strike val="0"/>
        <condense val="0"/>
        <extend val="0"/>
        <outline val="0"/>
        <shadow val="0"/>
        <vertAlign val="baseline"/>
        <sz val="14"/>
        <color auto="1"/>
        <name val="Calibri"/>
        <family val="2"/>
        <scheme val="minor"/>
      </font>
      <numFmt numFmtId="0" formatCode="General"/>
      <fill>
        <patternFill>
          <fgColor indexed="64"/>
          <bgColor auto="1"/>
        </patternFill>
      </fill>
      <alignment horizontal="left" vertical="center"/>
      <protection locked="1" hidden="0"/>
    </dxf>
    <dxf>
      <font>
        <strike val="0"/>
        <condense val="0"/>
        <extend val="0"/>
        <outline val="0"/>
        <shadow val="0"/>
        <vertAlign val="baseline"/>
        <sz val="14"/>
        <color auto="1"/>
        <name val="Calibri"/>
        <family val="2"/>
        <scheme val="minor"/>
      </font>
      <numFmt numFmtId="0" formatCode="General"/>
      <fill>
        <patternFill>
          <fgColor indexed="64"/>
          <bgColor auto="1"/>
        </patternFill>
      </fill>
      <alignment horizontal="center" vertical="center" wrapText="1"/>
      <protection locked="1" hidden="0"/>
    </dxf>
    <dxf>
      <font>
        <strike val="0"/>
        <condense val="0"/>
        <extend val="0"/>
        <outline val="0"/>
        <shadow val="0"/>
        <vertAlign val="baseline"/>
        <sz val="14"/>
        <color theme="1"/>
        <name val="Calibri"/>
        <family val="2"/>
        <scheme val="minor"/>
      </font>
      <numFmt numFmtId="30" formatCode="@"/>
      <fill>
        <patternFill>
          <fgColor indexed="64"/>
          <bgColor auto="1"/>
        </patternFill>
      </fill>
      <alignment horizontal="center" vertical="center" wrapText="1"/>
      <protection locked="1" hidden="0"/>
    </dxf>
    <dxf>
      <font>
        <strike val="0"/>
        <condense val="0"/>
        <extend val="0"/>
        <outline val="0"/>
        <shadow val="0"/>
        <vertAlign val="baseline"/>
        <sz val="14"/>
        <color auto="1"/>
        <name val="Calibri"/>
        <family val="2"/>
        <scheme val="minor"/>
      </font>
      <numFmt numFmtId="0" formatCode="General"/>
      <fill>
        <patternFill>
          <fgColor indexed="64"/>
          <bgColor auto="1"/>
        </patternFill>
      </fill>
      <alignment horizontal="left" vertical="center"/>
      <protection locked="1" hidden="0"/>
    </dxf>
    <dxf>
      <font>
        <strike val="0"/>
        <condense val="0"/>
        <extend val="0"/>
        <outline val="0"/>
        <shadow val="0"/>
        <vertAlign val="baseline"/>
        <sz val="14"/>
        <color auto="1"/>
        <name val="Calibri"/>
        <family val="2"/>
        <scheme val="minor"/>
      </font>
      <numFmt numFmtId="0" formatCode="General"/>
      <fill>
        <patternFill>
          <fgColor indexed="64"/>
          <bgColor auto="1"/>
        </patternFill>
      </fill>
      <alignment horizontal="center" vertical="center" wrapText="1"/>
      <protection locked="1" hidden="0"/>
    </dxf>
    <dxf>
      <font>
        <strike val="0"/>
        <condense val="0"/>
        <extend val="0"/>
        <outline val="0"/>
        <shadow val="0"/>
        <vertAlign val="baseline"/>
        <sz val="14"/>
        <color auto="1"/>
        <name val="Calibri"/>
        <family val="2"/>
        <scheme val="minor"/>
      </font>
      <numFmt numFmtId="0" formatCode="General"/>
      <fill>
        <patternFill>
          <fgColor indexed="64"/>
          <bgColor auto="1"/>
        </patternFill>
      </fill>
      <alignment horizontal="general" vertical="center" wrapText="1"/>
    </dxf>
    <dxf>
      <font>
        <strike val="0"/>
        <condense val="0"/>
        <extend val="0"/>
        <outline val="0"/>
        <shadow val="0"/>
        <vertAlign val="baseline"/>
        <sz val="14"/>
        <color auto="1"/>
        <name val="Calibri"/>
        <family val="2"/>
        <scheme val="minor"/>
      </font>
      <numFmt numFmtId="0" formatCode="General"/>
      <fill>
        <patternFill>
          <fgColor indexed="64"/>
          <bgColor auto="1"/>
        </patternFill>
      </fill>
      <alignment horizontal="center" vertical="center" wrapText="1"/>
      <protection locked="1" hidden="0"/>
    </dxf>
    <dxf>
      <font>
        <strike val="0"/>
        <condense val="0"/>
        <extend val="0"/>
        <outline val="0"/>
        <shadow val="0"/>
        <vertAlign val="baseline"/>
        <sz val="14"/>
        <color theme="1"/>
        <name val="Calibri"/>
        <family val="2"/>
        <scheme val="minor"/>
      </font>
      <numFmt numFmtId="0" formatCode="General"/>
      <fill>
        <patternFill>
          <fgColor indexed="64"/>
          <bgColor auto="1"/>
        </patternFill>
      </fill>
      <alignment horizontal="left" vertical="center"/>
      <protection locked="1" hidden="1"/>
    </dxf>
    <dxf>
      <font>
        <strike val="0"/>
        <condense val="0"/>
        <extend val="0"/>
        <outline val="0"/>
        <shadow val="0"/>
        <vertAlign val="baseline"/>
        <sz val="14"/>
        <color theme="1"/>
        <name val="Calibri"/>
        <family val="2"/>
        <scheme val="minor"/>
      </font>
      <numFmt numFmtId="0" formatCode="General"/>
      <fill>
        <patternFill patternType="solid">
          <fgColor theme="4" tint="0.79998168889431442"/>
          <bgColor theme="9"/>
        </patternFill>
      </fill>
      <alignment horizontal="center" vertical="center"/>
      <protection locked="1" hidden="1"/>
    </dxf>
    <dxf>
      <border outline="0">
        <top style="thin">
          <color indexed="64"/>
        </top>
      </border>
    </dxf>
    <dxf>
      <font>
        <strike val="0"/>
        <outline val="0"/>
        <shadow val="0"/>
        <vertAlign val="baseline"/>
        <sz val="14"/>
        <name val="Calibri"/>
        <family val="2"/>
        <scheme val="minor"/>
      </font>
    </dxf>
    <dxf>
      <font>
        <b/>
        <strike val="0"/>
        <condense val="0"/>
        <extend val="0"/>
        <outline val="0"/>
        <shadow val="0"/>
        <vertAlign val="baseline"/>
        <sz val="12"/>
        <color theme="0"/>
        <name val="Calibri"/>
        <scheme val="minor"/>
      </font>
      <fill>
        <patternFill patternType="solid">
          <fgColor indexed="64"/>
          <bgColor theme="7" tint="0.39997558519241921"/>
        </patternFill>
      </fill>
      <alignment horizontal="center" vertical="center" wrapText="1"/>
      <border outline="0">
        <left style="thin">
          <color indexed="64"/>
        </left>
        <right style="thin">
          <color indexed="64"/>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FF0000"/>
        </patternFill>
      </fill>
    </dxf>
    <dxf>
      <fill>
        <patternFill>
          <bgColor rgb="FFFFC000"/>
        </patternFill>
      </fill>
    </dxf>
    <dxf>
      <fill>
        <patternFill>
          <bgColor rgb="FFFFFF00"/>
        </patternFill>
      </fill>
    </dxf>
    <dxf>
      <font>
        <color theme="0"/>
      </font>
      <fill>
        <patternFill>
          <bgColor rgb="FF00B050"/>
        </patternFill>
      </fill>
    </dxf>
    <dxf>
      <font>
        <color theme="0"/>
      </font>
      <fill>
        <patternFill>
          <bgColor rgb="FF7030A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36</xdr:col>
      <xdr:colOff>309563</xdr:colOff>
      <xdr:row>0</xdr:row>
      <xdr:rowOff>500006</xdr:rowOff>
    </xdr:from>
    <xdr:to>
      <xdr:col>40</xdr:col>
      <xdr:colOff>958845</xdr:colOff>
      <xdr:row>0</xdr:row>
      <xdr:rowOff>1626949</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45172313" y="500006"/>
          <a:ext cx="5440357" cy="1126943"/>
        </a:xfrm>
        <a:prstGeom prst="rect">
          <a:avLst/>
        </a:prstGeom>
        <a:ln>
          <a:prstDash val="solid"/>
        </a:ln>
      </xdr:spPr>
    </xdr:pic>
    <xdr:clientData/>
  </xdr:twoCellAnchor>
  <xdr:oneCellAnchor>
    <xdr:from>
      <xdr:col>1</xdr:col>
      <xdr:colOff>1262063</xdr:colOff>
      <xdr:row>0</xdr:row>
      <xdr:rowOff>659707</xdr:rowOff>
    </xdr:from>
    <xdr:ext cx="3053185" cy="982165"/>
    <xdr:pic>
      <xdr:nvPicPr>
        <xdr:cNvPr id="3" name="1 Imagen">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rcRect/>
        <a:stretch>
          <a:fillRect/>
        </a:stretch>
      </xdr:blipFill>
      <xdr:spPr>
        <a:xfrm>
          <a:off x="1909763" y="659707"/>
          <a:ext cx="3053185" cy="982165"/>
        </a:xfrm>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42</xdr:col>
      <xdr:colOff>309282</xdr:colOff>
      <xdr:row>0</xdr:row>
      <xdr:rowOff>562702</xdr:rowOff>
    </xdr:from>
    <xdr:to>
      <xdr:col>46</xdr:col>
      <xdr:colOff>195983</xdr:colOff>
      <xdr:row>0</xdr:row>
      <xdr:rowOff>1689645</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stretch>
          <a:fillRect/>
        </a:stretch>
      </xdr:blipFill>
      <xdr:spPr>
        <a:xfrm>
          <a:off x="63488607" y="562702"/>
          <a:ext cx="5411201" cy="1126943"/>
        </a:xfrm>
        <a:prstGeom prst="rect">
          <a:avLst/>
        </a:prstGeom>
        <a:ln>
          <a:prstDash val="solid"/>
        </a:ln>
      </xdr:spPr>
    </xdr:pic>
    <xdr:clientData/>
  </xdr:twoCellAnchor>
  <xdr:oneCellAnchor>
    <xdr:from>
      <xdr:col>2</xdr:col>
      <xdr:colOff>0</xdr:colOff>
      <xdr:row>0</xdr:row>
      <xdr:rowOff>635895</xdr:rowOff>
    </xdr:from>
    <xdr:ext cx="3053185" cy="982165"/>
    <xdr:pic>
      <xdr:nvPicPr>
        <xdr:cNvPr id="2" name="1 Imagen">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cstate="print"/>
        <a:srcRect/>
        <a:stretch>
          <a:fillRect/>
        </a:stretch>
      </xdr:blipFill>
      <xdr:spPr>
        <a:xfrm>
          <a:off x="3162300" y="635895"/>
          <a:ext cx="3053185" cy="982165"/>
        </a:xfrm>
        <a:prstGeom prst="rect">
          <a:avLst/>
        </a:prstGeom>
        <a:ln>
          <a:prstDash val="solid"/>
        </a:ln>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V&#237;nculoExternoRecuperado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BSERVACIONES ANTE"/>
      <sheetName val="ITSP METAS"/>
      <sheetName val="ITSP INDI"/>
      <sheetName val="resultados general"/>
      <sheetName val="DINA RES GRAL"/>
      <sheetName val="METAS"/>
      <sheetName val="INDICADORES"/>
      <sheetName val="FORMATO INDICADORES OSFEM"/>
      <sheetName val="FORMATO INDICADORES"/>
      <sheetName val="COMPORTAMIENTO"/>
      <sheetName val="SEMAFOROS METAS"/>
      <sheetName val="SEM. METAS"/>
      <sheetName val="SEM. GRAFICAS"/>
      <sheetName val="SEMAFOROS INDICADORES"/>
      <sheetName val="SEM. INDICADORES"/>
      <sheetName val="METAS1"/>
      <sheetName val="METAS2"/>
      <sheetName val="METAS3"/>
      <sheetName val="METAS4"/>
      <sheetName val="INDICADORES1"/>
      <sheetName val="INDICADORES2"/>
      <sheetName val="INDICADORES3"/>
      <sheetName val="INDICADORES4"/>
      <sheetName val="VínculoExternoRecuperado1"/>
    </sheetNames>
    <sheetDataSet>
      <sheetData sheetId="0"/>
      <sheetData sheetId="1"/>
      <sheetData sheetId="2"/>
      <sheetData sheetId="3"/>
      <sheetData sheetId="4"/>
      <sheetData sheetId="5">
        <row r="2">
          <cell r="AF2" t="str">
            <v>RESULTADO ACUMULADO AL 2° TRIMESTRE</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_AVANCE_METAS" displayName="TABLA_AVANCE_METAS" ref="A3:AU250" totalsRowShown="0" headerRowDxfId="111" dataDxfId="110" tableBorderDxfId="109">
  <autoFilter ref="A3:AU250" xr:uid="{00000000-0009-0000-0100-000001000000}">
    <filterColumn colId="3">
      <filters>
        <filter val="Dirección General"/>
      </filters>
    </filterColumn>
  </autoFilter>
  <tableColumns count="47">
    <tableColumn id="1" xr3:uid="{00000000-0010-0000-0000-000001000000}" name="CLAVE" dataDxfId="108">
      <calculatedColumnFormula>CONCATENATE(TABLA_AVANCE_METAS[[#This Row],[ESTRUCTURA]],TABLA_AVANCE_METAS[[#This Row],['#]])</calculatedColumnFormula>
    </tableColumn>
    <tableColumn id="10" xr3:uid="{00000000-0010-0000-0000-00000A000000}" name="ÁREA ENCARGADA" dataDxfId="107"/>
    <tableColumn id="2" xr3:uid="{00000000-0010-0000-0000-000002000000}" name="DGM" dataDxfId="106"/>
    <tableColumn id="18" xr3:uid="{00000000-0010-0000-0000-000012000000}" name="DEPENDENCIA GENERAL" dataDxfId="105"/>
    <tableColumn id="4" xr3:uid="{00000000-0010-0000-0000-000004000000}" name="DAA" dataDxfId="104"/>
    <tableColumn id="54" xr3:uid="{00000000-0010-0000-0000-000036000000}" name="AUX" dataDxfId="103" dataCellStyle="Normal 102 5 2"/>
    <tableColumn id="5" xr3:uid="{00000000-0010-0000-0000-000005000000}" name="ESTRUCTURA" dataDxfId="102" dataCellStyle="Normal 102 5 2"/>
    <tableColumn id="6" xr3:uid="{00000000-0010-0000-0000-000006000000}" name="ESTRUCTURA PROGRAMA" dataDxfId="101" dataCellStyle="Normal 102 5 2"/>
    <tableColumn id="59" xr3:uid="{00000000-0010-0000-0000-00003B000000}" name="PROGRAMA" dataDxfId="100" dataCellStyle="Normal 102 5 2"/>
    <tableColumn id="7" xr3:uid="{00000000-0010-0000-0000-000007000000}" name="ESTRUCTURA PROYECTO" dataDxfId="99" dataCellStyle="Normal 102 5 2"/>
    <tableColumn id="9" xr3:uid="{00000000-0010-0000-0000-000009000000}" name="PROYECTO" dataDxfId="98" dataCellStyle="Normal 102 5 2"/>
    <tableColumn id="11" xr3:uid="{00000000-0010-0000-0000-00000B000000}" name="#" dataDxfId="97"/>
    <tableColumn id="12" xr3:uid="{00000000-0010-0000-0000-00000C000000}" name="DESCRIPCIÓN DE LA META FÍSICA" dataDxfId="96" dataCellStyle="Normal 102 5 2"/>
    <tableColumn id="13" xr3:uid="{00000000-0010-0000-0000-00000D000000}" name="UNIDAD DE MEDIDA" dataDxfId="95" dataCellStyle="Normal 102 5 2"/>
    <tableColumn id="15" xr3:uid="{00000000-0010-0000-0000-00000F000000}" name="PROGRAMADO ANUAL" dataDxfId="94" dataCellStyle="Millares"/>
    <tableColumn id="16" xr3:uid="{00000000-0010-0000-0000-000010000000}" name="PROGR. 1° TRIM" dataDxfId="93" dataCellStyle="Millares"/>
    <tableColumn id="20" xr3:uid="{00000000-0010-0000-0000-000014000000}" name="AVANCE 1°. TRIM" dataDxfId="92" dataCellStyle="Millares"/>
    <tableColumn id="21" xr3:uid="{00000000-0010-0000-0000-000015000000}" name="% AVANCE 1er. TRIM" dataDxfId="91">
      <calculatedColumnFormula>IFERROR((TABLA_AVANCE_METAS[[#This Row],[AVANCE 1°. TRIM]]/TABLA_AVANCE_METAS[[#This Row],[PROGR. 1° TRIM]])*100,"0")</calculatedColumnFormula>
    </tableColumn>
    <tableColumn id="22" xr3:uid="{00000000-0010-0000-0000-000016000000}" name="1°_SEMAFORO" dataDxfId="90">
      <calculatedColumnFormula>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calculatedColumnFormula>
    </tableColumn>
    <tableColumn id="23" xr3:uid="{00000000-0010-0000-0000-000017000000}" name="PROGR. 2° TRIM" dataDxfId="89" dataCellStyle="Millares"/>
    <tableColumn id="27" xr3:uid="{00000000-0010-0000-0000-00001B000000}" name="AVANCE 2°. TRIM" dataDxfId="88" dataCellStyle="Millares"/>
    <tableColumn id="28" xr3:uid="{00000000-0010-0000-0000-00001C000000}" name="% AVANCE 2o. TRIM" dataDxfId="87">
      <calculatedColumnFormula>IFERROR((U4/T4)*100,"0")</calculatedColumnFormula>
    </tableColumn>
    <tableColumn id="29" xr3:uid="{00000000-0010-0000-0000-00001D000000}" name="2°_SEMAFORO" dataDxfId="86">
      <calculatedColumnFormula>IF(AND(V4&gt;=0,V4&lt;=49.9999999999999),"CRÍTICO",IF(AND(V4&gt;=50,V4&lt;=69.9999999999999),"DEFICIENTE",IF(AND(V4&gt;=70,V4&lt;=89.9999999999999),"REGULAR",IF(AND(V4&gt;=90,V4&lt;=110.999999999999),"ADECUADO",IF(AND(V4&gt;=111,V4&lt;=999999),"SOBREPASADO","NO PROG.")))))</calculatedColumnFormula>
    </tableColumn>
    <tableColumn id="30" xr3:uid="{00000000-0010-0000-0000-00001E000000}" name="PROGR. 3° TRIM" dataDxfId="85" dataCellStyle="Millares"/>
    <tableColumn id="34" xr3:uid="{00000000-0010-0000-0000-000022000000}" name="AVANCE 3°. TRIM" dataDxfId="84" dataCellStyle="Millares"/>
    <tableColumn id="35" xr3:uid="{00000000-0010-0000-0000-000023000000}" name="% AVANCE 3o. TRIM" dataDxfId="83"/>
    <tableColumn id="36" xr3:uid="{00000000-0010-0000-0000-000024000000}" name="3°_SEMAFORO" dataDxfId="82"/>
    <tableColumn id="37" xr3:uid="{00000000-0010-0000-0000-000025000000}" name="PROGR. 4° TRIM" dataDxfId="81" dataCellStyle="Millares"/>
    <tableColumn id="40" xr3:uid="{00000000-0010-0000-0000-000028000000}" name="AVANCE 4°. TRIM" dataDxfId="80" dataCellStyle="Millares"/>
    <tableColumn id="39" xr3:uid="{00000000-0010-0000-0000-000027000000}" name="% AVANCE 4o. TRIM" dataDxfId="79" dataCellStyle="Millares">
      <calculatedColumnFormula>IFERROR((TABLA_AVANCE_METAS[[#This Row],[AVANCE 4°. TRIM]]/TABLA_AVANCE_METAS[[#This Row],[PROGR. 4° TRIM]])*100,"0")</calculatedColumnFormula>
    </tableColumn>
    <tableColumn id="38" xr3:uid="{00000000-0010-0000-0000-000026000000}" name="4°_SEMAFORO" dataDxfId="78" dataCellStyle="Millares">
      <calculatedColumnFormula>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calculatedColumnFormula>
    </tableColumn>
    <tableColumn id="68" xr3:uid="{00000000-0010-0000-0000-000044000000}" name="PROG. ACUM" dataDxfId="77" dataCellStyle="Millares">
      <calculatedColumnFormula array="1">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calculatedColumnFormula>
    </tableColumn>
    <tableColumn id="44" xr3:uid="{00000000-0010-0000-0000-00002C000000}" name="AVANCE ACUM. TRIM." dataDxfId="76" dataCellStyle="Millares">
      <calculatedColumnFormula array="1">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calculatedColumnFormula>
    </tableColumn>
    <tableColumn id="45" xr3:uid="{00000000-0010-0000-0000-00002D000000}" name="% ACUMULADO SEM." dataDxfId="75">
      <calculatedColumnFormula>IFERROR((TABLA_AVANCE_METAS[[#This Row],[AVANCE ACUM. TRIM.]]/TABLA_AVANCE_METAS[[#This Row],[PROG. ACUM]])*100,"N/A")</calculatedColumnFormula>
    </tableColumn>
    <tableColumn id="46" xr3:uid="{00000000-0010-0000-0000-00002E000000}" name="SEME SEMAFORO" dataDxfId="74">
      <calculatedColumnFormula>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calculatedColumnFormula>
    </tableColumn>
    <tableColumn id="47" xr3:uid="{00000000-0010-0000-0000-00002F000000}" name="DIFERENCIA ABSOLUTA SEMESTRAL" dataDxfId="73">
      <calculatedColumnFormula>TABLA_AVANCE_METAS[[#This Row],[AVANCE ACUM. TRIM.]]-TABLA_AVANCE_METAS[[#This Row],[PROG. ACUM]]</calculatedColumnFormula>
    </tableColumn>
    <tableColumn id="48" xr3:uid="{00000000-0010-0000-0000-000030000000}" name="% DIFERENCIA SEMESTRAL" dataDxfId="72">
      <calculatedColumnFormula>IFERROR((TABLA_AVANCE_METAS[[#This Row],[DIFERENCIA ABSOLUTA SEMESTRAL]]/TABLA_AVANCE_METAS[[#This Row],[PROG. ACUM]])*100,"N/A")</calculatedColumnFormula>
    </tableColumn>
    <tableColumn id="49" xr3:uid="{00000000-0010-0000-0000-000031000000}" name="AVANCE ACUM. ANUAL" dataDxfId="71" dataCellStyle="Millares">
      <calculatedColumnFormula>TABLA_AVANCE_METAS[[#This Row],[AVANCE 1°. TRIM]]+TABLA_AVANCE_METAS[[#This Row],[AVANCE 2°. TRIM]]+TABLA_AVANCE_METAS[[#This Row],[AVANCE 3°. TRIM]]+TABLA_AVANCE_METAS[[#This Row],[AVANCE 4°. TRIM]]</calculatedColumnFormula>
    </tableColumn>
    <tableColumn id="50" xr3:uid="{00000000-0010-0000-0000-000032000000}" name="% ACUMULADO ANUAL" dataDxfId="70">
      <calculatedColumnFormula>IFERROR((TABLA_AVANCE_METAS[[#This Row],[AVANCE ACUM. ANUAL]]/TABLA_AVANCE_METAS[[#This Row],[PROGRAMADO ANUAL]])*100,"N/A")</calculatedColumnFormula>
    </tableColumn>
    <tableColumn id="51" xr3:uid="{00000000-0010-0000-0000-000033000000}" name="ANUAL_SEMAFORO" dataDxfId="69">
      <calculatedColumnFormula>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calculatedColumnFormula>
    </tableColumn>
    <tableColumn id="52" xr3:uid="{00000000-0010-0000-0000-000034000000}" name="DIFERENCIA ABSOLUTA ANUAL" dataDxfId="68">
      <calculatedColumnFormula>TABLA_AVANCE_METAS[[#This Row],[AVANCE ACUM. ANUAL]]-TABLA_AVANCE_METAS[[#This Row],[PROGRAMADO ANUAL]]</calculatedColumnFormula>
    </tableColumn>
    <tableColumn id="53" xr3:uid="{00000000-0010-0000-0000-000035000000}" name="% DIFERENCIA ANUAL" dataDxfId="67">
      <calculatedColumnFormula>IFERROR((TABLA_AVANCE_METAS[[#This Row],[DIFERENCIA ABSOLUTA ANUAL]]/TABLA_AVANCE_METAS[[#This Row],[PROGRAMADO ANUAL]])*100,"N/A")</calculatedColumnFormula>
    </tableColumn>
    <tableColumn id="55" xr3:uid="{00000000-0010-0000-0000-000037000000}" name="PRIMER TRIMESTRE" dataDxfId="66"/>
    <tableColumn id="58" xr3:uid="{00000000-0010-0000-0000-00003A000000}" name="SEGUNDO TRIMESTRE" dataDxfId="65"/>
    <tableColumn id="57" xr3:uid="{00000000-0010-0000-0000-000039000000}" name="TERCER TRIMESTRE" dataDxfId="64"/>
    <tableColumn id="8" xr3:uid="{00000000-0010-0000-0000-000008000000}" name="CUARTO TRIMESTRE" dataDxfId="63"/>
    <tableColumn id="3" xr3:uid="{00000000-0010-0000-0000-000003000000}" name="COMPROBACIÓN" dataDxfId="62">
      <calculatedColumnFormula>TABLA_AVANCE_METAS[[#This Row],[PROGRAMADO ANUAL]]=SUM(TABLA_AVANCE_METAS[[#This Row],[PROGR. 1° TRIM]],TABLA_AVANCE_METAS[[#This Row],[PROGR. 2° TRIM]],TABLA_AVANCE_METAS[[#This Row],[PROGR. 3° TRIM]],TABLA_AVANCE_METAS[[#This Row],[PROGR. 4° TRIM]])</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_AVANCE_INDICADORES" displayName="TABLA_AVANCE_INDICADORES" ref="A3:BB235" totalsRowShown="0" headerRowDxfId="56" dataDxfId="55" tableBorderDxfId="54">
  <autoFilter ref="A3:BB235" xr:uid="{00000000-0009-0000-0100-000002000000}">
    <filterColumn colId="3">
      <filters>
        <filter val="Dirección General"/>
      </filters>
    </filterColumn>
  </autoFilter>
  <tableColumns count="54">
    <tableColumn id="1" xr3:uid="{00000000-0010-0000-0100-000001000000}" name="CLAVE" dataDxfId="53"/>
    <tableColumn id="10" xr3:uid="{00000000-0010-0000-0100-00000A000000}" name="ÁREA ENCARGADA" dataDxfId="52"/>
    <tableColumn id="2" xr3:uid="{00000000-0010-0000-0100-000002000000}" name="DGM" dataDxfId="51"/>
    <tableColumn id="3" xr3:uid="{00000000-0010-0000-0100-000003000000}" name="DEPENDENCIA GENERAL" dataDxfId="50"/>
    <tableColumn id="18" xr3:uid="{00000000-0010-0000-0100-000012000000}" name="DAA" dataDxfId="49"/>
    <tableColumn id="4" xr3:uid="{00000000-0010-0000-0100-000004000000}" name="AUX" dataDxfId="48" dataCellStyle="Normal 13 10 2 3 2"/>
    <tableColumn id="54" xr3:uid="{00000000-0010-0000-0100-000036000000}" name="ESTRUCTURA" dataDxfId="47" dataCellStyle="Normal 102 5 2"/>
    <tableColumn id="5" xr3:uid="{00000000-0010-0000-0100-000005000000}" name="ESTR. PROGRAMA" dataDxfId="46" dataCellStyle="Normal 102 5 2"/>
    <tableColumn id="70" xr3:uid="{00000000-0010-0000-0100-000046000000}" name="PILAR O EJE TRANSVERSAL" dataDxfId="45" dataCellStyle="Normal 102 5 2"/>
    <tableColumn id="6" xr3:uid="{00000000-0010-0000-0100-000006000000}" name="ESTRUCTURA PROGRAMA" dataDxfId="44" dataCellStyle="Normal 102 5 2"/>
    <tableColumn id="59" xr3:uid="{00000000-0010-0000-0100-00003B000000}" name="PROGRAMA" dataDxfId="43" dataCellStyle="Normal 102 5 2"/>
    <tableColumn id="7" xr3:uid="{00000000-0010-0000-0100-000007000000}" name="ESTRUCTURA PROYECTO" dataDxfId="42" dataCellStyle="Normal 102 5 2"/>
    <tableColumn id="9" xr3:uid="{00000000-0010-0000-0100-000009000000}" name="PROYECTO" dataDxfId="41" dataCellStyle="Normal 102 5 2"/>
    <tableColumn id="17" xr3:uid="{00000000-0010-0000-0100-000011000000}" name="NUM. SERIE" dataDxfId="40"/>
    <tableColumn id="11" xr3:uid="{00000000-0010-0000-0100-00000B000000}" name="NIVEL" dataDxfId="39"/>
    <tableColumn id="12" xr3:uid="{00000000-0010-0000-0100-00000C000000}" name="DESCRIPCIÓN DEL INDICADOR" dataDxfId="38" dataCellStyle="Normal 102 5 2"/>
    <tableColumn id="14" xr3:uid="{00000000-0010-0000-0100-00000E000000}" name="VARIABLES" dataDxfId="37" dataCellStyle="Normal 102 5 2"/>
    <tableColumn id="19" xr3:uid="{00000000-0010-0000-0100-000013000000}" name="FÓRMULA DEL INDICADOR" dataDxfId="36" dataCellStyle="Normal 102 5 2"/>
    <tableColumn id="13" xr3:uid="{00000000-0010-0000-0100-00000D000000}" name="UNIDAD DE MEDIDA" dataDxfId="35" dataCellStyle="Normal 102 5 2"/>
    <tableColumn id="26" xr3:uid="{00000000-0010-0000-0100-00001A000000}" name="TIPO DE OPERACIÓN" dataDxfId="34" dataCellStyle="Normal 102 5 2"/>
    <tableColumn id="24" xr3:uid="{00000000-0010-0000-0100-000018000000}" name="FRECUENCIA DE MEDICIÓN" dataDxfId="33" dataCellStyle="Normal 102 5 2"/>
    <tableColumn id="15" xr3:uid="{00000000-0010-0000-0100-00000F000000}" name="PROGRAMADO ANUAL" dataDxfId="32" dataCellStyle="Millares"/>
    <tableColumn id="16" xr3:uid="{00000000-0010-0000-0100-000010000000}" name="PROGR. 1° TRIM" dataDxfId="31" dataCellStyle="Millares"/>
    <tableColumn id="20" xr3:uid="{00000000-0010-0000-0100-000014000000}" name="AVANCE 1°. TRIM" dataDxfId="30" dataCellStyle="Millares"/>
    <tableColumn id="21" xr3:uid="{00000000-0010-0000-0100-000015000000}" name="% AVANCE 1er. TRIM" dataDxfId="29">
      <calculatedColumnFormula>IFERROR((TABLA_AVANCE_INDICADORES[[#This Row],[AVANCE 1°. TRIM]]/TABLA_AVANCE_INDICADORES[[#This Row],[PROGR. 1° TRIM]])*100,"0")</calculatedColumnFormula>
    </tableColumn>
    <tableColumn id="22" xr3:uid="{00000000-0010-0000-0100-000016000000}" name="1°_SEMAFORO" dataDxfId="28">
      <calculatedColumnFormula>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calculatedColumnFormula>
    </tableColumn>
    <tableColumn id="23" xr3:uid="{00000000-0010-0000-0100-000017000000}" name="PROGR. 2° TRIM" dataDxfId="27" dataCellStyle="Millares"/>
    <tableColumn id="27" xr3:uid="{00000000-0010-0000-0100-00001B000000}" name="AVANCE 2°. TRIM" dataDxfId="26" dataCellStyle="Millares"/>
    <tableColumn id="28" xr3:uid="{00000000-0010-0000-0100-00001C000000}" name="% AVANCE 2o. TRIM" dataDxfId="25">
      <calculatedColumnFormula>IFERROR((AB4/AA4)*100,"0")</calculatedColumnFormula>
    </tableColumn>
    <tableColumn id="29" xr3:uid="{00000000-0010-0000-0100-00001D000000}" name="2°_SEMAFORO" dataDxfId="24">
      <calculatedColumnFormula>IF(AND(AC4&gt;=0,AC4&lt;=49.9999999999999),"CRÍTICO",IF(AND(AC4&gt;=50,AC4&lt;=69.9999999999999),"DEFICIENTE",IF(AND(AC4&gt;=70,AC4&lt;=89.9999999999999),"REGULAR",IF(AND(AC4&gt;=90,AC4&lt;=110.999999999999),"ADECUADO",IF(AND(AC4&gt;=111,AC4&lt;=999999),"SOBREPASADO","NO PROG.")))))</calculatedColumnFormula>
    </tableColumn>
    <tableColumn id="30" xr3:uid="{00000000-0010-0000-0100-00001E000000}" name="PROGR. 3° TRIM" dataDxfId="23" dataCellStyle="Millares"/>
    <tableColumn id="34" xr3:uid="{00000000-0010-0000-0100-000022000000}" name="AVANCE 3°. TRIM" dataDxfId="22" dataCellStyle="Millares"/>
    <tableColumn id="35" xr3:uid="{00000000-0010-0000-0100-000023000000}" name="% AVANCE 3o. TRIM" dataDxfId="21">
      <calculatedColumnFormula>IFERROR((TABLA_AVANCE_INDICADORES[[#This Row],[AVANCE 3°. TRIM]]/TABLA_AVANCE_INDICADORES[[#This Row],[PROGR. 3° TRIM]])*100,"0")</calculatedColumnFormula>
    </tableColumn>
    <tableColumn id="36" xr3:uid="{00000000-0010-0000-0100-000024000000}" name="3°_SEMAFORO" dataDxfId="20">
      <calculatedColumnFormula>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calculatedColumnFormula>
    </tableColumn>
    <tableColumn id="37" xr3:uid="{00000000-0010-0000-0100-000025000000}" name="PROGR. 4° TRIM" dataDxfId="19" dataCellStyle="Millares"/>
    <tableColumn id="40" xr3:uid="{00000000-0010-0000-0100-000028000000}" name="AVANCE 4°. TRIM" dataDxfId="18" dataCellStyle="Millares"/>
    <tableColumn id="39" xr3:uid="{00000000-0010-0000-0100-000027000000}" name="% AVANCE 4o. TRIM" dataDxfId="17" dataCellStyle="Millares">
      <calculatedColumnFormula>IFERROR((TABLA_AVANCE_INDICADORES[[#This Row],[AVANCE 4°. TRIM]]/TABLA_AVANCE_INDICADORES[[#This Row],[PROGR. 4° TRIM]])*100,"0")</calculatedColumnFormula>
    </tableColumn>
    <tableColumn id="38" xr3:uid="{00000000-0010-0000-0100-000026000000}" name="4°_SEMAFORO" dataDxfId="16" dataCellStyle="Millares">
      <calculatedColumnFormula>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calculatedColumnFormula>
    </tableColumn>
    <tableColumn id="68" xr3:uid="{00000000-0010-0000-0100-000044000000}" name="PROG. ACUM" dataDxfId="15" dataCellStyle="Millares">
      <calculatedColumnFormula>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calculatedColumnFormula>
    </tableColumn>
    <tableColumn id="44" xr3:uid="{00000000-0010-0000-0100-00002C000000}" name="AVANCE ACUM. TRIM." dataDxfId="14" dataCellStyle="Millares">
      <calculatedColumnFormula>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calculatedColumnFormula>
    </tableColumn>
    <tableColumn id="45" xr3:uid="{00000000-0010-0000-0100-00002D000000}" name="% ACUMULADO SEM." dataDxfId="13">
      <calculatedColumnFormula>IFERROR((TABLA_AVANCE_INDICADORES[[#This Row],[AVANCE ACUM. TRIM.]]/TABLA_AVANCE_INDICADORES[[#This Row],[PROG. ACUM]])*100,"N/A")</calculatedColumnFormula>
    </tableColumn>
    <tableColumn id="46" xr3:uid="{00000000-0010-0000-0100-00002E000000}" name="SEME SEMAFORO" dataDxfId="12">
      <calculatedColumnFormula>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calculatedColumnFormula>
    </tableColumn>
    <tableColumn id="47" xr3:uid="{00000000-0010-0000-0100-00002F000000}" name="DIFERENCIA ABSOLUTA SEMESTRAL" dataDxfId="11">
      <calculatedColumnFormula>TABLA_AVANCE_INDICADORES[[#This Row],[AVANCE ACUM. TRIM.]]-TABLA_AVANCE_INDICADORES[[#This Row],[PROG. ACUM]]</calculatedColumnFormula>
    </tableColumn>
    <tableColumn id="48" xr3:uid="{00000000-0010-0000-0100-000030000000}" name="% DIFERENCIA SEMESTRAL" dataDxfId="10">
      <calculatedColumnFormula>IFERROR((TABLA_AVANCE_INDICADORES[[#This Row],[DIFERENCIA ABSOLUTA SEMESTRAL]]/TABLA_AVANCE_INDICADORES[[#This Row],[PROG. ACUM]])*100,"N/A")</calculatedColumnFormula>
    </tableColumn>
    <tableColumn id="49" xr3:uid="{00000000-0010-0000-0100-000031000000}" name="AVANCE ACUM. ANUAL" dataDxfId="9" dataCellStyle="Millares">
      <calculatedColumnFormula>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calculatedColumnFormula>
    </tableColumn>
    <tableColumn id="50" xr3:uid="{00000000-0010-0000-0100-000032000000}" name="% ACUMULADO ANUAL" dataDxfId="8">
      <calculatedColumnFormula>IFERROR((TABLA_AVANCE_INDICADORES[[#This Row],[AVANCE ACUM. ANUAL]]/TABLA_AVANCE_INDICADORES[[#This Row],[PROGRAMADO ANUAL]])*100,"N/A")</calculatedColumnFormula>
    </tableColumn>
    <tableColumn id="51" xr3:uid="{00000000-0010-0000-0100-000033000000}" name="ANUAL_SEMAFORO" dataDxfId="7">
      <calculatedColumnFormula>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calculatedColumnFormula>
    </tableColumn>
    <tableColumn id="52" xr3:uid="{00000000-0010-0000-0100-000034000000}" name="DIFERENCIA ABSOLUTA ANUAL" dataDxfId="6">
      <calculatedColumnFormula>TABLA_AVANCE_INDICADORES[[#This Row],[AVANCE ACUM. ANUAL]]-TABLA_AVANCE_INDICADORES[[#This Row],[PROGRAMADO ANUAL]]</calculatedColumnFormula>
    </tableColumn>
    <tableColumn id="53" xr3:uid="{00000000-0010-0000-0100-000035000000}" name="% DIFERENCIA ANUAL" dataDxfId="5">
      <calculatedColumnFormula>IFERROR((TABLA_AVANCE_INDICADORES[[#This Row],[DIFERENCIA ABSOLUTA ANUAL]]/TABLA_AVANCE_INDICADORES[[#This Row],[PROGRAMADO ANUAL]])*100,"N/A")</calculatedColumnFormula>
    </tableColumn>
    <tableColumn id="55" xr3:uid="{00000000-0010-0000-0100-000037000000}" name="PRIMER TRIMESTRE" dataDxfId="4"/>
    <tableColumn id="58" xr3:uid="{00000000-0010-0000-0100-00003A000000}" name="SEGUNDO TRIMESTRE" dataDxfId="3"/>
    <tableColumn id="57" xr3:uid="{00000000-0010-0000-0100-000039000000}" name="TERCER TRIMESTRE" dataDxfId="2"/>
    <tableColumn id="8" xr3:uid="{00000000-0010-0000-0100-000008000000}" name="CUARTO TRIMESTRE" dataDxfId="1"/>
    <tableColumn id="67" xr3:uid="{00000000-0010-0000-0100-000043000000}" name="SUMATORIA" dataDxfId="0">
      <calculatedColumnFormula>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calculatedColumnFormula>
    </tableColumn>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2">
    <tabColor rgb="FF92D050"/>
    <pageSetUpPr fitToPage="1"/>
  </sheetPr>
  <dimension ref="A1:AY250"/>
  <sheetViews>
    <sheetView tabSelected="1" topLeftCell="P7" zoomScale="60" zoomScaleNormal="60" workbookViewId="0">
      <selection activeCell="Y14" sqref="Y14"/>
    </sheetView>
  </sheetViews>
  <sheetFormatPr baseColWidth="10" defaultColWidth="10.88671875" defaultRowHeight="15.6" outlineLevelCol="1" x14ac:dyDescent="0.3"/>
  <cols>
    <col min="1" max="1" width="9.6640625" style="18" customWidth="1"/>
    <col min="2" max="2" width="37.6640625" style="18" customWidth="1"/>
    <col min="3" max="3" width="8" style="91" customWidth="1"/>
    <col min="4" max="4" width="30.44140625" style="92" customWidth="1"/>
    <col min="5" max="5" width="9.6640625" style="91" customWidth="1"/>
    <col min="6" max="6" width="20.6640625" style="18" customWidth="1"/>
    <col min="7" max="7" width="30" style="91" bestFit="1" customWidth="1"/>
    <col min="8" max="8" width="25.6640625" style="91" customWidth="1"/>
    <col min="9" max="9" width="25.6640625" style="18" customWidth="1"/>
    <col min="10" max="10" width="25.44140625" style="91" customWidth="1"/>
    <col min="11" max="11" width="28.5546875" style="18" customWidth="1"/>
    <col min="12" max="12" width="8.88671875" style="91" customWidth="1"/>
    <col min="13" max="13" width="45.109375" style="93" customWidth="1"/>
    <col min="14" max="14" width="21.33203125" style="1" customWidth="1"/>
    <col min="15" max="15" width="22.44140625" style="1" customWidth="1"/>
    <col min="16" max="16" width="22.109375" style="1" bestFit="1" customWidth="1"/>
    <col min="17" max="17" width="22.33203125" style="94" customWidth="1"/>
    <col min="18" max="18" width="12.6640625" style="1" customWidth="1" outlineLevel="1"/>
    <col min="19" max="19" width="16.33203125" style="95" customWidth="1" outlineLevel="1"/>
    <col min="20" max="20" width="22.109375" style="1" bestFit="1" customWidth="1"/>
    <col min="21" max="21" width="20.6640625" style="96" customWidth="1"/>
    <col min="22" max="22" width="12.6640625" style="96" customWidth="1" outlineLevel="1"/>
    <col min="23" max="23" width="16.33203125" style="96" customWidth="1" outlineLevel="1"/>
    <col min="24" max="24" width="22.109375" style="1" bestFit="1" customWidth="1"/>
    <col min="25" max="25" width="18" style="96" customWidth="1"/>
    <col min="26" max="26" width="12.6640625" style="96" hidden="1" customWidth="1" outlineLevel="1"/>
    <col min="27" max="27" width="16.33203125" style="96" hidden="1" customWidth="1" outlineLevel="1"/>
    <col min="28" max="28" width="22.109375" style="1" bestFit="1" customWidth="1" collapsed="1"/>
    <col min="29" max="29" width="21.88671875" style="1" customWidth="1"/>
    <col min="30" max="30" width="12.6640625" style="1" hidden="1" customWidth="1" outlineLevel="1"/>
    <col min="31" max="31" width="16.33203125" style="1" hidden="1" customWidth="1" outlineLevel="1"/>
    <col min="32" max="32" width="22.109375" style="1" bestFit="1" customWidth="1" collapsed="1"/>
    <col min="33" max="33" width="22.109375" style="1" bestFit="1" customWidth="1"/>
    <col min="34" max="34" width="12.6640625" style="1" customWidth="1"/>
    <col min="35" max="35" width="16.33203125" style="1" customWidth="1"/>
    <col min="36" max="37" width="20.6640625" style="1" customWidth="1"/>
    <col min="38" max="38" width="22.109375" style="1" bestFit="1" customWidth="1"/>
    <col min="39" max="39" width="12.6640625" style="1" customWidth="1"/>
    <col min="40" max="40" width="16.33203125" style="1" customWidth="1"/>
    <col min="41" max="41" width="22.109375" style="96" customWidth="1"/>
    <col min="42" max="42" width="20.6640625" style="1" customWidth="1"/>
    <col min="43" max="43" width="85.6640625" style="1" hidden="1" customWidth="1"/>
    <col min="44" max="44" width="85.6640625" style="1" customWidth="1"/>
    <col min="45" max="46" width="85.6640625" style="1" hidden="1" customWidth="1"/>
    <col min="47" max="47" width="25.5546875" style="1" bestFit="1" customWidth="1"/>
    <col min="48" max="57" width="10.88671875" style="1" customWidth="1"/>
    <col min="58" max="16384" width="10.88671875" style="1"/>
  </cols>
  <sheetData>
    <row r="1" spans="1:51" ht="160.5" customHeight="1" x14ac:dyDescent="0.3">
      <c r="A1" s="147" t="s">
        <v>0</v>
      </c>
      <c r="B1" s="148"/>
      <c r="C1" s="149"/>
      <c r="D1" s="150"/>
      <c r="E1" s="149"/>
      <c r="F1" s="148"/>
      <c r="G1" s="149"/>
      <c r="H1" s="149"/>
      <c r="I1" s="148"/>
      <c r="J1" s="149"/>
      <c r="K1" s="148"/>
      <c r="L1" s="149"/>
      <c r="M1" s="151"/>
      <c r="N1" s="145"/>
      <c r="O1" s="145"/>
      <c r="P1" s="145"/>
      <c r="Q1" s="152"/>
      <c r="R1" s="145"/>
      <c r="S1" s="153"/>
      <c r="T1" s="145"/>
      <c r="U1" s="154"/>
      <c r="V1" s="154"/>
      <c r="W1" s="154"/>
      <c r="X1" s="145"/>
      <c r="Y1" s="154"/>
      <c r="Z1" s="154"/>
      <c r="AA1" s="154"/>
      <c r="AB1" s="145"/>
      <c r="AC1" s="145"/>
      <c r="AD1" s="145"/>
      <c r="AE1" s="145"/>
      <c r="AF1" s="145"/>
      <c r="AG1" s="145"/>
      <c r="AH1" s="145"/>
      <c r="AI1" s="145"/>
      <c r="AJ1" s="145"/>
      <c r="AK1" s="145"/>
      <c r="AL1" s="145"/>
      <c r="AM1" s="145"/>
      <c r="AN1" s="145"/>
      <c r="AO1" s="154"/>
      <c r="AP1" s="145"/>
      <c r="AQ1" s="145"/>
      <c r="AR1" s="145"/>
      <c r="AS1" s="145"/>
      <c r="AT1" s="145"/>
    </row>
    <row r="2" spans="1:51" x14ac:dyDescent="0.3">
      <c r="A2" s="2"/>
      <c r="B2" s="2"/>
      <c r="C2" s="3"/>
      <c r="D2" s="4"/>
      <c r="E2" s="3"/>
      <c r="F2" s="2"/>
      <c r="G2" s="3"/>
      <c r="H2" s="4"/>
      <c r="I2" s="5"/>
      <c r="J2" s="4"/>
      <c r="K2" s="5"/>
      <c r="L2" s="3"/>
      <c r="M2" s="4"/>
      <c r="N2" s="5"/>
      <c r="O2" s="5"/>
      <c r="P2" s="141" t="s">
        <v>1</v>
      </c>
      <c r="Q2" s="142"/>
      <c r="R2" s="142"/>
      <c r="S2" s="143"/>
      <c r="T2" s="141" t="s">
        <v>2</v>
      </c>
      <c r="U2" s="142"/>
      <c r="V2" s="142"/>
      <c r="W2" s="143"/>
      <c r="X2" s="141" t="s">
        <v>3</v>
      </c>
      <c r="Y2" s="142"/>
      <c r="Z2" s="142"/>
      <c r="AA2" s="143"/>
      <c r="AB2" s="138" t="s">
        <v>4</v>
      </c>
      <c r="AC2" s="139"/>
      <c r="AD2" s="139"/>
      <c r="AE2" s="140"/>
      <c r="AF2" s="138" t="s">
        <v>5</v>
      </c>
      <c r="AG2" s="139"/>
      <c r="AH2" s="139"/>
      <c r="AI2" s="139"/>
      <c r="AJ2" s="139"/>
      <c r="AK2" s="140"/>
      <c r="AL2" s="146" t="s">
        <v>6</v>
      </c>
      <c r="AM2" s="142"/>
      <c r="AN2" s="142"/>
      <c r="AO2" s="142"/>
      <c r="AP2" s="143"/>
      <c r="AQ2" s="144" t="s">
        <v>7</v>
      </c>
      <c r="AR2" s="145"/>
      <c r="AS2" s="145"/>
      <c r="AT2" s="145"/>
    </row>
    <row r="3" spans="1:51" s="18" customFormat="1" ht="47.1" customHeight="1" x14ac:dyDescent="0.25">
      <c r="A3" s="6" t="s">
        <v>8</v>
      </c>
      <c r="B3" s="7" t="s">
        <v>9</v>
      </c>
      <c r="C3" s="7" t="s">
        <v>10</v>
      </c>
      <c r="D3" s="7" t="s">
        <v>11</v>
      </c>
      <c r="E3" s="7" t="s">
        <v>12</v>
      </c>
      <c r="F3" s="8" t="s">
        <v>13</v>
      </c>
      <c r="G3" s="7" t="s">
        <v>14</v>
      </c>
      <c r="H3" s="7" t="s">
        <v>15</v>
      </c>
      <c r="I3" s="8" t="s">
        <v>16</v>
      </c>
      <c r="J3" s="7" t="s">
        <v>17</v>
      </c>
      <c r="K3" s="8" t="s">
        <v>18</v>
      </c>
      <c r="L3" s="7" t="s">
        <v>19</v>
      </c>
      <c r="M3" s="7" t="s">
        <v>20</v>
      </c>
      <c r="N3" s="7" t="s">
        <v>21</v>
      </c>
      <c r="O3" s="7" t="s">
        <v>22</v>
      </c>
      <c r="P3" s="9" t="s">
        <v>23</v>
      </c>
      <c r="Q3" s="9" t="s">
        <v>24</v>
      </c>
      <c r="R3" s="9" t="s">
        <v>25</v>
      </c>
      <c r="S3" s="9" t="s">
        <v>26</v>
      </c>
      <c r="T3" s="9" t="s">
        <v>27</v>
      </c>
      <c r="U3" s="9" t="s">
        <v>28</v>
      </c>
      <c r="V3" s="9" t="s">
        <v>29</v>
      </c>
      <c r="W3" s="10" t="s">
        <v>30</v>
      </c>
      <c r="X3" s="9" t="s">
        <v>31</v>
      </c>
      <c r="Y3" s="9" t="s">
        <v>32</v>
      </c>
      <c r="Z3" s="9" t="s">
        <v>33</v>
      </c>
      <c r="AA3" s="10" t="s">
        <v>34</v>
      </c>
      <c r="AB3" s="9" t="s">
        <v>35</v>
      </c>
      <c r="AC3" s="9" t="s">
        <v>36</v>
      </c>
      <c r="AD3" s="9" t="s">
        <v>37</v>
      </c>
      <c r="AE3" s="10" t="s">
        <v>38</v>
      </c>
      <c r="AF3" s="11" t="s">
        <v>39</v>
      </c>
      <c r="AG3" s="12" t="s">
        <v>40</v>
      </c>
      <c r="AH3" s="13" t="s">
        <v>41</v>
      </c>
      <c r="AI3" s="13" t="s">
        <v>42</v>
      </c>
      <c r="AJ3" s="13" t="s">
        <v>43</v>
      </c>
      <c r="AK3" s="13" t="s">
        <v>44</v>
      </c>
      <c r="AL3" s="14" t="s">
        <v>45</v>
      </c>
      <c r="AM3" s="15" t="s">
        <v>46</v>
      </c>
      <c r="AN3" s="15" t="s">
        <v>47</v>
      </c>
      <c r="AO3" s="15" t="s">
        <v>48</v>
      </c>
      <c r="AP3" s="15" t="s">
        <v>49</v>
      </c>
      <c r="AQ3" s="16" t="s">
        <v>1</v>
      </c>
      <c r="AR3" s="16" t="s">
        <v>2</v>
      </c>
      <c r="AS3" s="16" t="s">
        <v>3</v>
      </c>
      <c r="AT3" s="16" t="s">
        <v>4</v>
      </c>
      <c r="AU3" s="17" t="s">
        <v>50</v>
      </c>
    </row>
    <row r="4" spans="1:51" ht="37.5" customHeight="1" x14ac:dyDescent="0.35">
      <c r="A4" s="19" t="str">
        <f>CONCATENATE(TABLA_AVANCE_METAS[[#This Row],[ESTRUCTURA]],TABLA_AVANCE_METAS[[#This Row],['#]])</f>
        <v>A0021201030101031</v>
      </c>
      <c r="B4" s="20" t="s">
        <v>51</v>
      </c>
      <c r="C4" s="20" t="s">
        <v>52</v>
      </c>
      <c r="D4" s="21" t="s">
        <v>51</v>
      </c>
      <c r="E4" s="20" t="s">
        <v>53</v>
      </c>
      <c r="F4" s="20" t="s">
        <v>54</v>
      </c>
      <c r="G4" s="22" t="s">
        <v>55</v>
      </c>
      <c r="H4" s="20" t="s">
        <v>56</v>
      </c>
      <c r="I4" s="20" t="s">
        <v>57</v>
      </c>
      <c r="J4" s="20" t="s">
        <v>58</v>
      </c>
      <c r="K4" s="20" t="s">
        <v>59</v>
      </c>
      <c r="L4" s="21">
        <v>1</v>
      </c>
      <c r="M4" s="23" t="s">
        <v>60</v>
      </c>
      <c r="N4" s="22" t="s">
        <v>61</v>
      </c>
      <c r="O4" s="24">
        <v>6</v>
      </c>
      <c r="P4" s="24">
        <v>2</v>
      </c>
      <c r="Q4" s="28">
        <v>2</v>
      </c>
      <c r="R4" s="25">
        <f>IFERROR((TABLA_AVANCE_METAS[[#This Row],[AVANCE 1°. TRIM]]/TABLA_AVANCE_METAS[[#This Row],[PROGR. 1° TRIM]])*100,"0")</f>
        <v>100</v>
      </c>
      <c r="S4"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4" s="24">
        <v>1</v>
      </c>
      <c r="U4" s="28">
        <v>1</v>
      </c>
      <c r="V4" s="27">
        <f t="shared" ref="V4:V67" si="0">IFERROR((U4/T4)*100,"0")</f>
        <v>100</v>
      </c>
      <c r="W4" s="26" t="str">
        <f t="shared" ref="W4:W35" si="1">IF(AND(V4&gt;=0,V4&lt;=49.9999999999999),"CRÍTICO",IF(AND(V4&gt;=50,V4&lt;=69.9999999999999),"DEFICIENTE",IF(AND(V4&gt;=70,V4&lt;=89.9999999999999),"REGULAR",IF(AND(V4&gt;=90,V4&lt;=110.999999999999),"ADECUADO",IF(AND(V4&gt;=111,V4&lt;=999999),"SOBREPASADO","NO PROG.")))))</f>
        <v>ADECUADO</v>
      </c>
      <c r="X4" s="24">
        <v>2</v>
      </c>
      <c r="Y4" s="28">
        <v>0</v>
      </c>
      <c r="Z4" s="27">
        <v>0</v>
      </c>
      <c r="AA4" s="26" t="s">
        <v>62</v>
      </c>
      <c r="AB4" s="24">
        <v>1</v>
      </c>
      <c r="AC4" s="28">
        <v>0</v>
      </c>
      <c r="AD4" s="27">
        <f>IFERROR((TABLA_AVANCE_METAS[[#This Row],[AVANCE 4°. TRIM]]/TABLA_AVANCE_METAS[[#This Row],[PROGR. 4° TRIM]])*100,"0")</f>
        <v>0</v>
      </c>
      <c r="AE4"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4" s="30">
        <f t="array" ref="AF4">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3</v>
      </c>
      <c r="AG4" s="84">
        <f t="array" ref="AG4">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3</v>
      </c>
      <c r="AH4" s="27">
        <f>IFERROR((TABLA_AVANCE_METAS[[#This Row],[AVANCE ACUM. TRIM.]]/TABLA_AVANCE_METAS[[#This Row],[PROG. ACUM]])*100,"N/A")</f>
        <v>100</v>
      </c>
      <c r="AI4"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4" s="31">
        <f>TABLA_AVANCE_METAS[[#This Row],[AVANCE ACUM. TRIM.]]-TABLA_AVANCE_METAS[[#This Row],[PROG. ACUM]]</f>
        <v>0</v>
      </c>
      <c r="AK4" s="32">
        <f>IFERROR((TABLA_AVANCE_METAS[[#This Row],[DIFERENCIA ABSOLUTA SEMESTRAL]]/TABLA_AVANCE_METAS[[#This Row],[PROG. ACUM]])*100,"N/A")</f>
        <v>0</v>
      </c>
      <c r="AL4" s="84">
        <f>TABLA_AVANCE_METAS[[#This Row],[AVANCE 1°. TRIM]]+TABLA_AVANCE_METAS[[#This Row],[AVANCE 2°. TRIM]]+TABLA_AVANCE_METAS[[#This Row],[AVANCE 3°. TRIM]]+TABLA_AVANCE_METAS[[#This Row],[AVANCE 4°. TRIM]]</f>
        <v>3</v>
      </c>
      <c r="AM4" s="27">
        <f>IFERROR((TABLA_AVANCE_METAS[[#This Row],[AVANCE ACUM. ANUAL]]/TABLA_AVANCE_METAS[[#This Row],[PROGRAMADO ANUAL]])*100,"N/A")</f>
        <v>50</v>
      </c>
      <c r="AN4"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4" s="31">
        <f>TABLA_AVANCE_METAS[[#This Row],[AVANCE ACUM. ANUAL]]-TABLA_AVANCE_METAS[[#This Row],[PROGRAMADO ANUAL]]</f>
        <v>-3</v>
      </c>
      <c r="AP4" s="33">
        <f>IFERROR((TABLA_AVANCE_METAS[[#This Row],[DIFERENCIA ABSOLUTA ANUAL]]/TABLA_AVANCE_METAS[[#This Row],[PROGRAMADO ANUAL]])*100,"N/A")</f>
        <v>-50</v>
      </c>
      <c r="AQ4" s="34"/>
      <c r="AR4" s="35"/>
      <c r="AS4" s="36"/>
      <c r="AT4" s="36"/>
      <c r="AU4" s="37" t="b">
        <f>TABLA_AVANCE_METAS[[#This Row],[PROGRAMADO ANUAL]]=SUM(TABLA_AVANCE_METAS[[#This Row],[PROGR. 1° TRIM]],TABLA_AVANCE_METAS[[#This Row],[PROGR. 2° TRIM]],TABLA_AVANCE_METAS[[#This Row],[PROGR. 3° TRIM]],TABLA_AVANCE_METAS[[#This Row],[PROGR. 4° TRIM]])</f>
        <v>1</v>
      </c>
      <c r="AV4" s="38"/>
    </row>
    <row r="5" spans="1:51" ht="75" customHeight="1" x14ac:dyDescent="0.35">
      <c r="A5" s="19" t="str">
        <f>CONCATENATE(TABLA_AVANCE_METAS[[#This Row],[ESTRUCTURA]],TABLA_AVANCE_METAS[[#This Row],['#]])</f>
        <v>A0021201030101032</v>
      </c>
      <c r="B5" s="20" t="s">
        <v>51</v>
      </c>
      <c r="C5" s="20" t="s">
        <v>52</v>
      </c>
      <c r="D5" s="21" t="s">
        <v>51</v>
      </c>
      <c r="E5" s="20" t="s">
        <v>53</v>
      </c>
      <c r="F5" s="20" t="s">
        <v>54</v>
      </c>
      <c r="G5" s="22" t="s">
        <v>55</v>
      </c>
      <c r="H5" s="20" t="s">
        <v>56</v>
      </c>
      <c r="I5" s="20" t="s">
        <v>57</v>
      </c>
      <c r="J5" s="20" t="s">
        <v>58</v>
      </c>
      <c r="K5" s="20" t="s">
        <v>59</v>
      </c>
      <c r="L5" s="21">
        <v>2</v>
      </c>
      <c r="M5" s="23" t="s">
        <v>63</v>
      </c>
      <c r="N5" s="22" t="s">
        <v>64</v>
      </c>
      <c r="O5" s="24">
        <v>12</v>
      </c>
      <c r="P5" s="24">
        <v>3</v>
      </c>
      <c r="Q5" s="28">
        <v>3</v>
      </c>
      <c r="R5" s="25">
        <f>IFERROR((TABLA_AVANCE_METAS[[#This Row],[AVANCE 1°. TRIM]]/TABLA_AVANCE_METAS[[#This Row],[PROGR. 1° TRIM]])*100,"0")</f>
        <v>100</v>
      </c>
      <c r="S5"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5" s="24">
        <v>3</v>
      </c>
      <c r="U5" s="28">
        <v>3</v>
      </c>
      <c r="V5" s="27">
        <f t="shared" si="0"/>
        <v>100</v>
      </c>
      <c r="W5" s="26" t="str">
        <f t="shared" si="1"/>
        <v>ADECUADO</v>
      </c>
      <c r="X5" s="24">
        <v>3</v>
      </c>
      <c r="Y5" s="28">
        <v>0</v>
      </c>
      <c r="Z5" s="27">
        <v>0</v>
      </c>
      <c r="AA5" s="26" t="s">
        <v>62</v>
      </c>
      <c r="AB5" s="24">
        <v>3</v>
      </c>
      <c r="AC5" s="28">
        <v>0</v>
      </c>
      <c r="AD5" s="27">
        <f>IFERROR((TABLA_AVANCE_METAS[[#This Row],[AVANCE 4°. TRIM]]/TABLA_AVANCE_METAS[[#This Row],[PROGR. 4° TRIM]])*100,"0")</f>
        <v>0</v>
      </c>
      <c r="AE5"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5" s="30">
        <f t="array" ref="AF5">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6</v>
      </c>
      <c r="AG5" s="84">
        <f t="array" ref="AG5">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6</v>
      </c>
      <c r="AH5" s="27">
        <f>IFERROR((TABLA_AVANCE_METAS[[#This Row],[AVANCE ACUM. TRIM.]]/TABLA_AVANCE_METAS[[#This Row],[PROG. ACUM]])*100,"N/A")</f>
        <v>100</v>
      </c>
      <c r="AI5"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5" s="31">
        <f>TABLA_AVANCE_METAS[[#This Row],[AVANCE ACUM. TRIM.]]-TABLA_AVANCE_METAS[[#This Row],[PROG. ACUM]]</f>
        <v>0</v>
      </c>
      <c r="AK5" s="32">
        <f>IFERROR((TABLA_AVANCE_METAS[[#This Row],[DIFERENCIA ABSOLUTA SEMESTRAL]]/TABLA_AVANCE_METAS[[#This Row],[PROG. ACUM]])*100,"N/A")</f>
        <v>0</v>
      </c>
      <c r="AL5" s="84">
        <f>TABLA_AVANCE_METAS[[#This Row],[AVANCE 1°. TRIM]]+TABLA_AVANCE_METAS[[#This Row],[AVANCE 2°. TRIM]]+TABLA_AVANCE_METAS[[#This Row],[AVANCE 3°. TRIM]]+TABLA_AVANCE_METAS[[#This Row],[AVANCE 4°. TRIM]]</f>
        <v>6</v>
      </c>
      <c r="AM5" s="27">
        <f>IFERROR((TABLA_AVANCE_METAS[[#This Row],[AVANCE ACUM. ANUAL]]/TABLA_AVANCE_METAS[[#This Row],[PROGRAMADO ANUAL]])*100,"N/A")</f>
        <v>50</v>
      </c>
      <c r="AN5"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5" s="31">
        <f>TABLA_AVANCE_METAS[[#This Row],[AVANCE ACUM. ANUAL]]-TABLA_AVANCE_METAS[[#This Row],[PROGRAMADO ANUAL]]</f>
        <v>-6</v>
      </c>
      <c r="AP5" s="33">
        <f>IFERROR((TABLA_AVANCE_METAS[[#This Row],[DIFERENCIA ABSOLUTA ANUAL]]/TABLA_AVANCE_METAS[[#This Row],[PROGRAMADO ANUAL]])*100,"N/A")</f>
        <v>-50</v>
      </c>
      <c r="AQ5" s="34"/>
      <c r="AR5" s="35"/>
      <c r="AS5" s="36"/>
      <c r="AT5" s="36"/>
      <c r="AU5" s="37" t="b">
        <f>TABLA_AVANCE_METAS[[#This Row],[PROGRAMADO ANUAL]]=SUM(TABLA_AVANCE_METAS[[#This Row],[PROGR. 1° TRIM]],TABLA_AVANCE_METAS[[#This Row],[PROGR. 2° TRIM]],TABLA_AVANCE_METAS[[#This Row],[PROGR. 3° TRIM]],TABLA_AVANCE_METAS[[#This Row],[PROGR. 4° TRIM]])</f>
        <v>1</v>
      </c>
      <c r="AV5" s="38"/>
    </row>
    <row r="6" spans="1:51" ht="75" customHeight="1" x14ac:dyDescent="0.35">
      <c r="A6" s="19" t="str">
        <f>CONCATENATE(TABLA_AVANCE_METAS[[#This Row],[ESTRUCTURA]],TABLA_AVANCE_METAS[[#This Row],['#]])</f>
        <v>A0021201030101033</v>
      </c>
      <c r="B6" s="20" t="s">
        <v>51</v>
      </c>
      <c r="C6" s="20" t="s">
        <v>52</v>
      </c>
      <c r="D6" s="21" t="s">
        <v>51</v>
      </c>
      <c r="E6" s="20" t="s">
        <v>53</v>
      </c>
      <c r="F6" s="20" t="s">
        <v>54</v>
      </c>
      <c r="G6" s="22" t="s">
        <v>55</v>
      </c>
      <c r="H6" s="39" t="s">
        <v>56</v>
      </c>
      <c r="I6" s="20" t="s">
        <v>57</v>
      </c>
      <c r="J6" s="20" t="s">
        <v>58</v>
      </c>
      <c r="K6" s="20" t="s">
        <v>59</v>
      </c>
      <c r="L6" s="21">
        <v>3</v>
      </c>
      <c r="M6" s="23" t="s">
        <v>65</v>
      </c>
      <c r="N6" s="22" t="s">
        <v>66</v>
      </c>
      <c r="O6" s="24">
        <v>12</v>
      </c>
      <c r="P6" s="24">
        <v>3</v>
      </c>
      <c r="Q6" s="28">
        <v>3</v>
      </c>
      <c r="R6" s="25">
        <f>IFERROR((TABLA_AVANCE_METAS[[#This Row],[AVANCE 1°. TRIM]]/TABLA_AVANCE_METAS[[#This Row],[PROGR. 1° TRIM]])*100,"0")</f>
        <v>100</v>
      </c>
      <c r="S6"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6" s="24">
        <v>3</v>
      </c>
      <c r="U6" s="28">
        <v>3</v>
      </c>
      <c r="V6" s="27">
        <f t="shared" si="0"/>
        <v>100</v>
      </c>
      <c r="W6" s="26" t="str">
        <f t="shared" si="1"/>
        <v>ADECUADO</v>
      </c>
      <c r="X6" s="24">
        <v>3</v>
      </c>
      <c r="Y6" s="28">
        <v>0</v>
      </c>
      <c r="Z6" s="27">
        <v>0</v>
      </c>
      <c r="AA6" s="26" t="s">
        <v>62</v>
      </c>
      <c r="AB6" s="24">
        <v>3</v>
      </c>
      <c r="AC6" s="28">
        <v>0</v>
      </c>
      <c r="AD6" s="27">
        <f>IFERROR((TABLA_AVANCE_METAS[[#This Row],[AVANCE 4°. TRIM]]/TABLA_AVANCE_METAS[[#This Row],[PROGR. 4° TRIM]])*100,"0")</f>
        <v>0</v>
      </c>
      <c r="AE6"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6" s="30">
        <f t="array" ref="AF6">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6</v>
      </c>
      <c r="AG6" s="84">
        <f t="array" ref="AG6">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6</v>
      </c>
      <c r="AH6" s="27">
        <f>IFERROR((TABLA_AVANCE_METAS[[#This Row],[AVANCE ACUM. TRIM.]]/TABLA_AVANCE_METAS[[#This Row],[PROG. ACUM]])*100,"N/A")</f>
        <v>100</v>
      </c>
      <c r="AI6"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6" s="31">
        <f>TABLA_AVANCE_METAS[[#This Row],[AVANCE ACUM. TRIM.]]-TABLA_AVANCE_METAS[[#This Row],[PROG. ACUM]]</f>
        <v>0</v>
      </c>
      <c r="AK6" s="32">
        <f>IFERROR((TABLA_AVANCE_METAS[[#This Row],[DIFERENCIA ABSOLUTA SEMESTRAL]]/TABLA_AVANCE_METAS[[#This Row],[PROG. ACUM]])*100,"N/A")</f>
        <v>0</v>
      </c>
      <c r="AL6" s="84">
        <f>TABLA_AVANCE_METAS[[#This Row],[AVANCE 1°. TRIM]]+TABLA_AVANCE_METAS[[#This Row],[AVANCE 2°. TRIM]]+TABLA_AVANCE_METAS[[#This Row],[AVANCE 3°. TRIM]]+TABLA_AVANCE_METAS[[#This Row],[AVANCE 4°. TRIM]]</f>
        <v>6</v>
      </c>
      <c r="AM6" s="27">
        <f>IFERROR((TABLA_AVANCE_METAS[[#This Row],[AVANCE ACUM. ANUAL]]/TABLA_AVANCE_METAS[[#This Row],[PROGRAMADO ANUAL]])*100,"N/A")</f>
        <v>50</v>
      </c>
      <c r="AN6"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6" s="31">
        <f>TABLA_AVANCE_METAS[[#This Row],[AVANCE ACUM. ANUAL]]-TABLA_AVANCE_METAS[[#This Row],[PROGRAMADO ANUAL]]</f>
        <v>-6</v>
      </c>
      <c r="AP6" s="33">
        <f>IFERROR((TABLA_AVANCE_METAS[[#This Row],[DIFERENCIA ABSOLUTA ANUAL]]/TABLA_AVANCE_METAS[[#This Row],[PROGRAMADO ANUAL]])*100,"N/A")</f>
        <v>-50</v>
      </c>
      <c r="AQ6" s="34"/>
      <c r="AR6" s="35"/>
      <c r="AS6" s="36"/>
      <c r="AT6" s="36"/>
      <c r="AU6" s="37" t="b">
        <f>TABLA_AVANCE_METAS[[#This Row],[PROGRAMADO ANUAL]]=SUM(TABLA_AVANCE_METAS[[#This Row],[PROGR. 1° TRIM]],TABLA_AVANCE_METAS[[#This Row],[PROGR. 2° TRIM]],TABLA_AVANCE_METAS[[#This Row],[PROGR. 3° TRIM]],TABLA_AVANCE_METAS[[#This Row],[PROGR. 4° TRIM]])</f>
        <v>1</v>
      </c>
      <c r="AV6" s="38"/>
    </row>
    <row r="7" spans="1:51" ht="75" customHeight="1" x14ac:dyDescent="0.35">
      <c r="A7" s="19" t="str">
        <f>CONCATENATE(TABLA_AVANCE_METAS[[#This Row],[ESTRUCTURA]],TABLA_AVANCE_METAS[[#This Row],['#]])</f>
        <v>A0021201030101034</v>
      </c>
      <c r="B7" s="20" t="s">
        <v>51</v>
      </c>
      <c r="C7" s="20" t="s">
        <v>52</v>
      </c>
      <c r="D7" s="21" t="s">
        <v>51</v>
      </c>
      <c r="E7" s="20" t="s">
        <v>53</v>
      </c>
      <c r="F7" s="20" t="s">
        <v>54</v>
      </c>
      <c r="G7" s="22" t="s">
        <v>55</v>
      </c>
      <c r="H7" s="20" t="s">
        <v>56</v>
      </c>
      <c r="I7" s="20" t="s">
        <v>57</v>
      </c>
      <c r="J7" s="20" t="s">
        <v>58</v>
      </c>
      <c r="K7" s="20" t="s">
        <v>59</v>
      </c>
      <c r="L7" s="21">
        <v>4</v>
      </c>
      <c r="M7" s="23" t="s">
        <v>67</v>
      </c>
      <c r="N7" s="22" t="s">
        <v>61</v>
      </c>
      <c r="O7" s="24">
        <v>8</v>
      </c>
      <c r="P7" s="24">
        <v>2</v>
      </c>
      <c r="Q7" s="28">
        <v>1</v>
      </c>
      <c r="R7" s="25">
        <f>IFERROR((TABLA_AVANCE_METAS[[#This Row],[AVANCE 1°. TRIM]]/TABLA_AVANCE_METAS[[#This Row],[PROGR. 1° TRIM]])*100,"0")</f>
        <v>50</v>
      </c>
      <c r="S7"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DEFICIENTE</v>
      </c>
      <c r="T7" s="24">
        <v>2</v>
      </c>
      <c r="U7" s="28">
        <v>3</v>
      </c>
      <c r="V7" s="27">
        <f t="shared" si="0"/>
        <v>150</v>
      </c>
      <c r="W7" s="26" t="str">
        <f t="shared" si="1"/>
        <v>SOBREPASADO</v>
      </c>
      <c r="X7" s="24">
        <v>2</v>
      </c>
      <c r="Y7" s="28">
        <v>0</v>
      </c>
      <c r="Z7" s="27">
        <v>0</v>
      </c>
      <c r="AA7" s="26" t="s">
        <v>62</v>
      </c>
      <c r="AB7" s="24">
        <v>2</v>
      </c>
      <c r="AC7" s="28">
        <v>0</v>
      </c>
      <c r="AD7" s="27">
        <f>IFERROR((TABLA_AVANCE_METAS[[#This Row],[AVANCE 4°. TRIM]]/TABLA_AVANCE_METAS[[#This Row],[PROGR. 4° TRIM]])*100,"0")</f>
        <v>0</v>
      </c>
      <c r="AE7"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7" s="30">
        <f t="array" ref="AF7">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4</v>
      </c>
      <c r="AG7" s="84">
        <f t="array" ref="AG7">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4</v>
      </c>
      <c r="AH7" s="27">
        <f>IFERROR((TABLA_AVANCE_METAS[[#This Row],[AVANCE ACUM. TRIM.]]/TABLA_AVANCE_METAS[[#This Row],[PROG. ACUM]])*100,"N/A")</f>
        <v>100</v>
      </c>
      <c r="AI7"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7" s="31">
        <f>TABLA_AVANCE_METAS[[#This Row],[AVANCE ACUM. TRIM.]]-TABLA_AVANCE_METAS[[#This Row],[PROG. ACUM]]</f>
        <v>0</v>
      </c>
      <c r="AK7" s="32">
        <f>IFERROR((TABLA_AVANCE_METAS[[#This Row],[DIFERENCIA ABSOLUTA SEMESTRAL]]/TABLA_AVANCE_METAS[[#This Row],[PROG. ACUM]])*100,"N/A")</f>
        <v>0</v>
      </c>
      <c r="AL7" s="84">
        <f>TABLA_AVANCE_METAS[[#This Row],[AVANCE 1°. TRIM]]+TABLA_AVANCE_METAS[[#This Row],[AVANCE 2°. TRIM]]+TABLA_AVANCE_METAS[[#This Row],[AVANCE 3°. TRIM]]+TABLA_AVANCE_METAS[[#This Row],[AVANCE 4°. TRIM]]</f>
        <v>4</v>
      </c>
      <c r="AM7" s="27">
        <f>IFERROR((TABLA_AVANCE_METAS[[#This Row],[AVANCE ACUM. ANUAL]]/TABLA_AVANCE_METAS[[#This Row],[PROGRAMADO ANUAL]])*100,"N/A")</f>
        <v>50</v>
      </c>
      <c r="AN7"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7" s="31">
        <f>TABLA_AVANCE_METAS[[#This Row],[AVANCE ACUM. ANUAL]]-TABLA_AVANCE_METAS[[#This Row],[PROGRAMADO ANUAL]]</f>
        <v>-4</v>
      </c>
      <c r="AP7" s="33">
        <f>IFERROR((TABLA_AVANCE_METAS[[#This Row],[DIFERENCIA ABSOLUTA ANUAL]]/TABLA_AVANCE_METAS[[#This Row],[PROGRAMADO ANUAL]])*100,"N/A")</f>
        <v>-50</v>
      </c>
      <c r="AQ7" s="34" t="s">
        <v>68</v>
      </c>
      <c r="AR7" s="35"/>
      <c r="AS7" s="36"/>
      <c r="AT7" s="36"/>
      <c r="AU7" s="37" t="b">
        <f>TABLA_AVANCE_METAS[[#This Row],[PROGRAMADO ANUAL]]=SUM(TABLA_AVANCE_METAS[[#This Row],[PROGR. 1° TRIM]],TABLA_AVANCE_METAS[[#This Row],[PROGR. 2° TRIM]],TABLA_AVANCE_METAS[[#This Row],[PROGR. 3° TRIM]],TABLA_AVANCE_METAS[[#This Row],[PROGR. 4° TRIM]])</f>
        <v>1</v>
      </c>
      <c r="AV7" s="38"/>
    </row>
    <row r="8" spans="1:51" ht="75" customHeight="1" x14ac:dyDescent="0.35">
      <c r="A8" s="19" t="str">
        <f>CONCATENATE(TABLA_AVANCE_METAS[[#This Row],[ESTRUCTURA]],TABLA_AVANCE_METAS[[#This Row],['#]])</f>
        <v>A0021201030101035</v>
      </c>
      <c r="B8" s="20" t="s">
        <v>51</v>
      </c>
      <c r="C8" s="20" t="s">
        <v>52</v>
      </c>
      <c r="D8" s="21" t="s">
        <v>51</v>
      </c>
      <c r="E8" s="20" t="s">
        <v>53</v>
      </c>
      <c r="F8" s="20" t="s">
        <v>54</v>
      </c>
      <c r="G8" s="22" t="s">
        <v>55</v>
      </c>
      <c r="H8" s="20" t="s">
        <v>56</v>
      </c>
      <c r="I8" s="20" t="s">
        <v>57</v>
      </c>
      <c r="J8" s="20" t="s">
        <v>58</v>
      </c>
      <c r="K8" s="20" t="s">
        <v>59</v>
      </c>
      <c r="L8" s="21">
        <v>5</v>
      </c>
      <c r="M8" s="23" t="s">
        <v>69</v>
      </c>
      <c r="N8" s="22" t="s">
        <v>70</v>
      </c>
      <c r="O8" s="24">
        <v>1</v>
      </c>
      <c r="P8" s="24">
        <v>0</v>
      </c>
      <c r="Q8" s="28">
        <v>0</v>
      </c>
      <c r="R8" s="25" t="str">
        <f>IFERROR((TABLA_AVANCE_METAS[[#This Row],[AVANCE 1°. TRIM]]/TABLA_AVANCE_METAS[[#This Row],[PROGR. 1° TRIM]])*100,"0")</f>
        <v>0</v>
      </c>
      <c r="S8"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8" s="24">
        <v>1</v>
      </c>
      <c r="U8" s="28">
        <v>1</v>
      </c>
      <c r="V8" s="27">
        <f t="shared" si="0"/>
        <v>100</v>
      </c>
      <c r="W8" s="26" t="str">
        <f t="shared" si="1"/>
        <v>ADECUADO</v>
      </c>
      <c r="X8" s="24">
        <v>0</v>
      </c>
      <c r="Y8" s="28">
        <v>0</v>
      </c>
      <c r="Z8" s="27" t="s">
        <v>71</v>
      </c>
      <c r="AA8" s="26" t="s">
        <v>72</v>
      </c>
      <c r="AB8" s="24">
        <v>0</v>
      </c>
      <c r="AC8" s="28">
        <v>0</v>
      </c>
      <c r="AD8" s="27" t="str">
        <f>IFERROR((TABLA_AVANCE_METAS[[#This Row],[AVANCE 4°. TRIM]]/TABLA_AVANCE_METAS[[#This Row],[PROGR. 4° TRIM]])*100,"0")</f>
        <v>0</v>
      </c>
      <c r="AE8"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8" s="30">
        <f t="array" ref="AF8">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8" s="84">
        <f t="array" ref="AG8">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8" s="27">
        <f>IFERROR((TABLA_AVANCE_METAS[[#This Row],[AVANCE ACUM. TRIM.]]/TABLA_AVANCE_METAS[[#This Row],[PROG. ACUM]])*100,"N/A")</f>
        <v>100</v>
      </c>
      <c r="AI8"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8" s="31">
        <f>TABLA_AVANCE_METAS[[#This Row],[AVANCE ACUM. TRIM.]]-TABLA_AVANCE_METAS[[#This Row],[PROG. ACUM]]</f>
        <v>0</v>
      </c>
      <c r="AK8" s="32">
        <f>IFERROR((TABLA_AVANCE_METAS[[#This Row],[DIFERENCIA ABSOLUTA SEMESTRAL]]/TABLA_AVANCE_METAS[[#This Row],[PROG. ACUM]])*100,"N/A")</f>
        <v>0</v>
      </c>
      <c r="AL8" s="84">
        <f>TABLA_AVANCE_METAS[[#This Row],[AVANCE 1°. TRIM]]+TABLA_AVANCE_METAS[[#This Row],[AVANCE 2°. TRIM]]+TABLA_AVANCE_METAS[[#This Row],[AVANCE 3°. TRIM]]+TABLA_AVANCE_METAS[[#This Row],[AVANCE 4°. TRIM]]</f>
        <v>1</v>
      </c>
      <c r="AM8" s="27">
        <f>IFERROR((TABLA_AVANCE_METAS[[#This Row],[AVANCE ACUM. ANUAL]]/TABLA_AVANCE_METAS[[#This Row],[PROGRAMADO ANUAL]])*100,"N/A")</f>
        <v>100</v>
      </c>
      <c r="AN8"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8" s="31">
        <f>TABLA_AVANCE_METAS[[#This Row],[AVANCE ACUM. ANUAL]]-TABLA_AVANCE_METAS[[#This Row],[PROGRAMADO ANUAL]]</f>
        <v>0</v>
      </c>
      <c r="AP8" s="33">
        <f>IFERROR((TABLA_AVANCE_METAS[[#This Row],[DIFERENCIA ABSOLUTA ANUAL]]/TABLA_AVANCE_METAS[[#This Row],[PROGRAMADO ANUAL]])*100,"N/A")</f>
        <v>0</v>
      </c>
      <c r="AQ8" s="34"/>
      <c r="AR8" s="35"/>
      <c r="AS8" s="36"/>
      <c r="AT8" s="36"/>
      <c r="AU8" s="37" t="b">
        <f>TABLA_AVANCE_METAS[[#This Row],[PROGRAMADO ANUAL]]=SUM(TABLA_AVANCE_METAS[[#This Row],[PROGR. 1° TRIM]],TABLA_AVANCE_METAS[[#This Row],[PROGR. 2° TRIM]],TABLA_AVANCE_METAS[[#This Row],[PROGR. 3° TRIM]],TABLA_AVANCE_METAS[[#This Row],[PROGR. 4° TRIM]])</f>
        <v>1</v>
      </c>
      <c r="AV8" s="38"/>
    </row>
    <row r="9" spans="1:51" ht="75" hidden="1" customHeight="1" x14ac:dyDescent="0.35">
      <c r="A9" s="19" t="str">
        <f>CONCATENATE(TABLA_AVANCE_METAS[[#This Row],[ESTRUCTURA]],TABLA_AVANCE_METAS[[#This Row],['#]])</f>
        <v>A0121501030101011</v>
      </c>
      <c r="B9" s="20" t="s">
        <v>73</v>
      </c>
      <c r="C9" s="20" t="s">
        <v>74</v>
      </c>
      <c r="D9" s="21" t="s">
        <v>75</v>
      </c>
      <c r="E9" s="20" t="s">
        <v>76</v>
      </c>
      <c r="F9" s="20" t="s">
        <v>77</v>
      </c>
      <c r="G9" s="22" t="s">
        <v>78</v>
      </c>
      <c r="H9" s="20" t="s">
        <v>56</v>
      </c>
      <c r="I9" s="20" t="s">
        <v>57</v>
      </c>
      <c r="J9" s="20" t="s">
        <v>79</v>
      </c>
      <c r="K9" s="20" t="s">
        <v>80</v>
      </c>
      <c r="L9" s="21">
        <v>1</v>
      </c>
      <c r="M9" s="23" t="s">
        <v>81</v>
      </c>
      <c r="N9" s="22" t="s">
        <v>82</v>
      </c>
      <c r="O9" s="24">
        <v>12</v>
      </c>
      <c r="P9" s="24">
        <v>3</v>
      </c>
      <c r="Q9" s="28">
        <v>3</v>
      </c>
      <c r="R9" s="25">
        <f>IFERROR((TABLA_AVANCE_METAS[[#This Row],[AVANCE 1°. TRIM]]/TABLA_AVANCE_METAS[[#This Row],[PROGR. 1° TRIM]])*100,"0")</f>
        <v>100</v>
      </c>
      <c r="S9"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9" s="24">
        <v>3</v>
      </c>
      <c r="U9" s="28">
        <v>3</v>
      </c>
      <c r="V9" s="27">
        <f t="shared" si="0"/>
        <v>100</v>
      </c>
      <c r="W9" s="26" t="str">
        <f t="shared" si="1"/>
        <v>ADECUADO</v>
      </c>
      <c r="X9" s="24">
        <v>3</v>
      </c>
      <c r="Y9" s="28">
        <v>0</v>
      </c>
      <c r="Z9" s="27">
        <v>0</v>
      </c>
      <c r="AA9" s="26" t="s">
        <v>62</v>
      </c>
      <c r="AB9" s="24">
        <v>3</v>
      </c>
      <c r="AC9" s="28">
        <v>0</v>
      </c>
      <c r="AD9" s="27">
        <f>IFERROR((TABLA_AVANCE_METAS[[#This Row],[AVANCE 4°. TRIM]]/TABLA_AVANCE_METAS[[#This Row],[PROGR. 4° TRIM]])*100,"0")</f>
        <v>0</v>
      </c>
      <c r="AE9"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9" s="30">
        <f t="array" ref="AF9">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6</v>
      </c>
      <c r="AG9" s="84">
        <f t="array" ref="AG9">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6</v>
      </c>
      <c r="AH9" s="27">
        <f>IFERROR((TABLA_AVANCE_METAS[[#This Row],[AVANCE ACUM. TRIM.]]/TABLA_AVANCE_METAS[[#This Row],[PROG. ACUM]])*100,"N/A")</f>
        <v>100</v>
      </c>
      <c r="AI9"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9" s="31">
        <f>TABLA_AVANCE_METAS[[#This Row],[AVANCE ACUM. TRIM.]]-TABLA_AVANCE_METAS[[#This Row],[PROG. ACUM]]</f>
        <v>0</v>
      </c>
      <c r="AK9" s="32">
        <f>IFERROR((TABLA_AVANCE_METAS[[#This Row],[DIFERENCIA ABSOLUTA SEMESTRAL]]/TABLA_AVANCE_METAS[[#This Row],[PROG. ACUM]])*100,"N/A")</f>
        <v>0</v>
      </c>
      <c r="AL9" s="84">
        <f>TABLA_AVANCE_METAS[[#This Row],[AVANCE 1°. TRIM]]+TABLA_AVANCE_METAS[[#This Row],[AVANCE 2°. TRIM]]+TABLA_AVANCE_METAS[[#This Row],[AVANCE 3°. TRIM]]+TABLA_AVANCE_METAS[[#This Row],[AVANCE 4°. TRIM]]</f>
        <v>6</v>
      </c>
      <c r="AM9" s="27">
        <f>IFERROR((TABLA_AVANCE_METAS[[#This Row],[AVANCE ACUM. ANUAL]]/TABLA_AVANCE_METAS[[#This Row],[PROGRAMADO ANUAL]])*100,"N/A")</f>
        <v>50</v>
      </c>
      <c r="AN9"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9" s="31">
        <f>TABLA_AVANCE_METAS[[#This Row],[AVANCE ACUM. ANUAL]]-TABLA_AVANCE_METAS[[#This Row],[PROGRAMADO ANUAL]]</f>
        <v>-6</v>
      </c>
      <c r="AP9" s="33">
        <f>IFERROR((TABLA_AVANCE_METAS[[#This Row],[DIFERENCIA ABSOLUTA ANUAL]]/TABLA_AVANCE_METAS[[#This Row],[PROGRAMADO ANUAL]])*100,"N/A")</f>
        <v>-50</v>
      </c>
      <c r="AQ9" s="34"/>
      <c r="AR9" s="35"/>
      <c r="AS9" s="36"/>
      <c r="AT9" s="36"/>
      <c r="AU9" s="37" t="b">
        <f>TABLA_AVANCE_METAS[[#This Row],[PROGRAMADO ANUAL]]=SUM(TABLA_AVANCE_METAS[[#This Row],[PROGR. 1° TRIM]],TABLA_AVANCE_METAS[[#This Row],[PROGR. 2° TRIM]],TABLA_AVANCE_METAS[[#This Row],[PROGR. 3° TRIM]],TABLA_AVANCE_METAS[[#This Row],[PROGR. 4° TRIM]])</f>
        <v>1</v>
      </c>
      <c r="AV9" s="38"/>
    </row>
    <row r="10" spans="1:51" ht="75" hidden="1" customHeight="1" x14ac:dyDescent="0.35">
      <c r="A10" s="19" t="str">
        <f>CONCATENATE(TABLA_AVANCE_METAS[[#This Row],[ESTRUCTURA]],TABLA_AVANCE_METAS[[#This Row],['#]])</f>
        <v>A0121501030101012</v>
      </c>
      <c r="B10" s="20" t="s">
        <v>73</v>
      </c>
      <c r="C10" s="20" t="s">
        <v>74</v>
      </c>
      <c r="D10" s="21" t="s">
        <v>75</v>
      </c>
      <c r="E10" s="20" t="s">
        <v>76</v>
      </c>
      <c r="F10" s="20" t="s">
        <v>77</v>
      </c>
      <c r="G10" s="22" t="s">
        <v>78</v>
      </c>
      <c r="H10" s="20" t="s">
        <v>56</v>
      </c>
      <c r="I10" s="20" t="s">
        <v>57</v>
      </c>
      <c r="J10" s="20" t="s">
        <v>79</v>
      </c>
      <c r="K10" s="20" t="s">
        <v>80</v>
      </c>
      <c r="L10" s="21">
        <v>2</v>
      </c>
      <c r="M10" s="23" t="s">
        <v>83</v>
      </c>
      <c r="N10" s="22" t="s">
        <v>84</v>
      </c>
      <c r="O10" s="24">
        <v>8</v>
      </c>
      <c r="P10" s="24">
        <v>2</v>
      </c>
      <c r="Q10" s="28">
        <v>2</v>
      </c>
      <c r="R10" s="25">
        <f>IFERROR((TABLA_AVANCE_METAS[[#This Row],[AVANCE 1°. TRIM]]/TABLA_AVANCE_METAS[[#This Row],[PROGR. 1° TRIM]])*100,"0")</f>
        <v>100</v>
      </c>
      <c r="S10"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0" s="24">
        <v>2</v>
      </c>
      <c r="U10" s="28">
        <v>2</v>
      </c>
      <c r="V10" s="27">
        <f t="shared" si="0"/>
        <v>100</v>
      </c>
      <c r="W10" s="26" t="str">
        <f t="shared" si="1"/>
        <v>ADECUADO</v>
      </c>
      <c r="X10" s="24">
        <v>2</v>
      </c>
      <c r="Y10" s="28">
        <v>0</v>
      </c>
      <c r="Z10" s="27">
        <v>0</v>
      </c>
      <c r="AA10" s="26" t="s">
        <v>62</v>
      </c>
      <c r="AB10" s="24">
        <v>2</v>
      </c>
      <c r="AC10" s="28">
        <v>0</v>
      </c>
      <c r="AD10" s="27">
        <f>IFERROR((TABLA_AVANCE_METAS[[#This Row],[AVANCE 4°. TRIM]]/TABLA_AVANCE_METAS[[#This Row],[PROGR. 4° TRIM]])*100,"0")</f>
        <v>0</v>
      </c>
      <c r="AE10"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0" s="30">
        <f t="array" ref="AF10">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4</v>
      </c>
      <c r="AG10" s="84">
        <f t="array" ref="AG10">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4</v>
      </c>
      <c r="AH10" s="27">
        <f>IFERROR((TABLA_AVANCE_METAS[[#This Row],[AVANCE ACUM. TRIM.]]/TABLA_AVANCE_METAS[[#This Row],[PROG. ACUM]])*100,"N/A")</f>
        <v>100</v>
      </c>
      <c r="AI10"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0" s="31">
        <f>TABLA_AVANCE_METAS[[#This Row],[AVANCE ACUM. TRIM.]]-TABLA_AVANCE_METAS[[#This Row],[PROG. ACUM]]</f>
        <v>0</v>
      </c>
      <c r="AK10" s="32">
        <f>IFERROR((TABLA_AVANCE_METAS[[#This Row],[DIFERENCIA ABSOLUTA SEMESTRAL]]/TABLA_AVANCE_METAS[[#This Row],[PROG. ACUM]])*100,"N/A")</f>
        <v>0</v>
      </c>
      <c r="AL10" s="84">
        <f>TABLA_AVANCE_METAS[[#This Row],[AVANCE 1°. TRIM]]+TABLA_AVANCE_METAS[[#This Row],[AVANCE 2°. TRIM]]+TABLA_AVANCE_METAS[[#This Row],[AVANCE 3°. TRIM]]+TABLA_AVANCE_METAS[[#This Row],[AVANCE 4°. TRIM]]</f>
        <v>4</v>
      </c>
      <c r="AM10" s="27">
        <f>IFERROR((TABLA_AVANCE_METAS[[#This Row],[AVANCE ACUM. ANUAL]]/TABLA_AVANCE_METAS[[#This Row],[PROGRAMADO ANUAL]])*100,"N/A")</f>
        <v>50</v>
      </c>
      <c r="AN10"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0" s="31">
        <f>TABLA_AVANCE_METAS[[#This Row],[AVANCE ACUM. ANUAL]]-TABLA_AVANCE_METAS[[#This Row],[PROGRAMADO ANUAL]]</f>
        <v>-4</v>
      </c>
      <c r="AP10" s="33">
        <f>IFERROR((TABLA_AVANCE_METAS[[#This Row],[DIFERENCIA ABSOLUTA ANUAL]]/TABLA_AVANCE_METAS[[#This Row],[PROGRAMADO ANUAL]])*100,"N/A")</f>
        <v>-50</v>
      </c>
      <c r="AQ10" s="34"/>
      <c r="AR10" s="35"/>
      <c r="AS10" s="36"/>
      <c r="AT10" s="36"/>
      <c r="AU10" s="37" t="b">
        <f>TABLA_AVANCE_METAS[[#This Row],[PROGRAMADO ANUAL]]=SUM(TABLA_AVANCE_METAS[[#This Row],[PROGR. 1° TRIM]],TABLA_AVANCE_METAS[[#This Row],[PROGR. 2° TRIM]],TABLA_AVANCE_METAS[[#This Row],[PROGR. 3° TRIM]],TABLA_AVANCE_METAS[[#This Row],[PROGR. 4° TRIM]])</f>
        <v>1</v>
      </c>
      <c r="AV10" s="38"/>
    </row>
    <row r="11" spans="1:51" ht="75" hidden="1" customHeight="1" x14ac:dyDescent="0.35">
      <c r="A11" s="19" t="str">
        <f>CONCATENATE(TABLA_AVANCE_METAS[[#This Row],[ESTRUCTURA]],TABLA_AVANCE_METAS[[#This Row],['#]])</f>
        <v>A0121501030101013</v>
      </c>
      <c r="B11" s="20" t="s">
        <v>73</v>
      </c>
      <c r="C11" s="40" t="s">
        <v>74</v>
      </c>
      <c r="D11" s="41" t="s">
        <v>75</v>
      </c>
      <c r="E11" s="20" t="s">
        <v>76</v>
      </c>
      <c r="F11" s="40" t="s">
        <v>77</v>
      </c>
      <c r="G11" s="42" t="s">
        <v>78</v>
      </c>
      <c r="H11" s="40" t="s">
        <v>56</v>
      </c>
      <c r="I11" s="40" t="s">
        <v>57</v>
      </c>
      <c r="J11" s="40" t="s">
        <v>79</v>
      </c>
      <c r="K11" s="40" t="s">
        <v>80</v>
      </c>
      <c r="L11" s="41">
        <v>3</v>
      </c>
      <c r="M11" s="43" t="s">
        <v>85</v>
      </c>
      <c r="N11" s="42" t="s">
        <v>86</v>
      </c>
      <c r="O11" s="24">
        <v>16</v>
      </c>
      <c r="P11" s="24">
        <v>4</v>
      </c>
      <c r="Q11" s="28">
        <v>4</v>
      </c>
      <c r="R11" s="25">
        <f>IFERROR((TABLA_AVANCE_METAS[[#This Row],[AVANCE 1°. TRIM]]/TABLA_AVANCE_METAS[[#This Row],[PROGR. 1° TRIM]])*100,"0")</f>
        <v>100</v>
      </c>
      <c r="S11"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1" s="24">
        <v>4</v>
      </c>
      <c r="U11" s="28">
        <v>4</v>
      </c>
      <c r="V11" s="27">
        <f t="shared" si="0"/>
        <v>100</v>
      </c>
      <c r="W11" s="26" t="str">
        <f t="shared" si="1"/>
        <v>ADECUADO</v>
      </c>
      <c r="X11" s="24">
        <v>4</v>
      </c>
      <c r="Y11" s="28">
        <v>0</v>
      </c>
      <c r="Z11" s="27">
        <v>0</v>
      </c>
      <c r="AA11" s="26" t="s">
        <v>62</v>
      </c>
      <c r="AB11" s="24">
        <v>4</v>
      </c>
      <c r="AC11" s="28">
        <v>0</v>
      </c>
      <c r="AD11" s="27">
        <f>IFERROR((TABLA_AVANCE_METAS[[#This Row],[AVANCE 4°. TRIM]]/TABLA_AVANCE_METAS[[#This Row],[PROGR. 4° TRIM]])*100,"0")</f>
        <v>0</v>
      </c>
      <c r="AE11"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1" s="30">
        <f t="array" ref="AF11">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8</v>
      </c>
      <c r="AG11" s="84">
        <f t="array" ref="AG11">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8</v>
      </c>
      <c r="AH11" s="27">
        <f>IFERROR((TABLA_AVANCE_METAS[[#This Row],[AVANCE ACUM. TRIM.]]/TABLA_AVANCE_METAS[[#This Row],[PROG. ACUM]])*100,"N/A")</f>
        <v>100</v>
      </c>
      <c r="AI11"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1" s="31">
        <f>TABLA_AVANCE_METAS[[#This Row],[AVANCE ACUM. TRIM.]]-TABLA_AVANCE_METAS[[#This Row],[PROG. ACUM]]</f>
        <v>0</v>
      </c>
      <c r="AK11" s="32">
        <f>IFERROR((TABLA_AVANCE_METAS[[#This Row],[DIFERENCIA ABSOLUTA SEMESTRAL]]/TABLA_AVANCE_METAS[[#This Row],[PROG. ACUM]])*100,"N/A")</f>
        <v>0</v>
      </c>
      <c r="AL11" s="84">
        <f>TABLA_AVANCE_METAS[[#This Row],[AVANCE 1°. TRIM]]+TABLA_AVANCE_METAS[[#This Row],[AVANCE 2°. TRIM]]+TABLA_AVANCE_METAS[[#This Row],[AVANCE 3°. TRIM]]+TABLA_AVANCE_METAS[[#This Row],[AVANCE 4°. TRIM]]</f>
        <v>8</v>
      </c>
      <c r="AM11" s="27">
        <f>IFERROR((TABLA_AVANCE_METAS[[#This Row],[AVANCE ACUM. ANUAL]]/TABLA_AVANCE_METAS[[#This Row],[PROGRAMADO ANUAL]])*100,"N/A")</f>
        <v>50</v>
      </c>
      <c r="AN11"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1" s="31">
        <f>TABLA_AVANCE_METAS[[#This Row],[AVANCE ACUM. ANUAL]]-TABLA_AVANCE_METAS[[#This Row],[PROGRAMADO ANUAL]]</f>
        <v>-8</v>
      </c>
      <c r="AP11" s="33">
        <f>IFERROR((TABLA_AVANCE_METAS[[#This Row],[DIFERENCIA ABSOLUTA ANUAL]]/TABLA_AVANCE_METAS[[#This Row],[PROGRAMADO ANUAL]])*100,"N/A")</f>
        <v>-50</v>
      </c>
      <c r="AQ11" s="34"/>
      <c r="AR11" s="35"/>
      <c r="AS11" s="36"/>
      <c r="AT11" s="36"/>
      <c r="AU11" s="37" t="b">
        <f>TABLA_AVANCE_METAS[[#This Row],[PROGRAMADO ANUAL]]=SUM(TABLA_AVANCE_METAS[[#This Row],[PROGR. 1° TRIM]],TABLA_AVANCE_METAS[[#This Row],[PROGR. 2° TRIM]],TABLA_AVANCE_METAS[[#This Row],[PROGR. 3° TRIM]],TABLA_AVANCE_METAS[[#This Row],[PROGR. 4° TRIM]])</f>
        <v>1</v>
      </c>
      <c r="AV11" s="38"/>
    </row>
    <row r="12" spans="1:51" ht="123" customHeight="1" x14ac:dyDescent="0.35">
      <c r="A12" s="19" t="str">
        <f>CONCATENATE(TABLA_AVANCE_METAS[[#This Row],[ESTRUCTURA]],TABLA_AVANCE_METAS[[#This Row],['#]])</f>
        <v>A0023101080401011</v>
      </c>
      <c r="B12" s="20" t="s">
        <v>87</v>
      </c>
      <c r="C12" s="20" t="s">
        <v>52</v>
      </c>
      <c r="D12" s="21" t="s">
        <v>51</v>
      </c>
      <c r="E12" s="20" t="s">
        <v>88</v>
      </c>
      <c r="F12" s="20" t="s">
        <v>89</v>
      </c>
      <c r="G12" s="22" t="s">
        <v>90</v>
      </c>
      <c r="H12" s="20" t="s">
        <v>91</v>
      </c>
      <c r="I12" s="20" t="s">
        <v>92</v>
      </c>
      <c r="J12" s="20" t="s">
        <v>93</v>
      </c>
      <c r="K12" s="20" t="s">
        <v>94</v>
      </c>
      <c r="L12" s="21">
        <v>1</v>
      </c>
      <c r="M12" s="23" t="s">
        <v>95</v>
      </c>
      <c r="N12" s="22" t="s">
        <v>96</v>
      </c>
      <c r="O12" s="24">
        <v>220</v>
      </c>
      <c r="P12" s="24">
        <v>55</v>
      </c>
      <c r="Q12" s="28">
        <v>56</v>
      </c>
      <c r="R12" s="25">
        <f>IFERROR((TABLA_AVANCE_METAS[[#This Row],[AVANCE 1°. TRIM]]/TABLA_AVANCE_METAS[[#This Row],[PROGR. 1° TRIM]])*100,"0")</f>
        <v>101.81818181818181</v>
      </c>
      <c r="S12"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2" s="24">
        <v>55</v>
      </c>
      <c r="U12" s="28">
        <v>53</v>
      </c>
      <c r="V12" s="27">
        <f t="shared" si="0"/>
        <v>96.36363636363636</v>
      </c>
      <c r="W12" s="26" t="str">
        <f t="shared" si="1"/>
        <v>ADECUADO</v>
      </c>
      <c r="X12" s="24">
        <v>55</v>
      </c>
      <c r="Y12" s="28">
        <v>0</v>
      </c>
      <c r="Z12" s="27">
        <v>0</v>
      </c>
      <c r="AA12" s="26" t="s">
        <v>62</v>
      </c>
      <c r="AB12" s="24">
        <v>55</v>
      </c>
      <c r="AC12" s="28">
        <v>0</v>
      </c>
      <c r="AD12" s="27">
        <f>IFERROR((TABLA_AVANCE_METAS[[#This Row],[AVANCE 4°. TRIM]]/TABLA_AVANCE_METAS[[#This Row],[PROGR. 4° TRIM]])*100,"0")</f>
        <v>0</v>
      </c>
      <c r="AE12"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2" s="30">
        <f t="array" ref="AF12">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110</v>
      </c>
      <c r="AG12" s="84">
        <f t="array" ref="AG12">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109</v>
      </c>
      <c r="AH12" s="27">
        <f>IFERROR((TABLA_AVANCE_METAS[[#This Row],[AVANCE ACUM. TRIM.]]/TABLA_AVANCE_METAS[[#This Row],[PROG. ACUM]])*100,"N/A")</f>
        <v>99.090909090909093</v>
      </c>
      <c r="AI12"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2" s="31">
        <f>TABLA_AVANCE_METAS[[#This Row],[AVANCE ACUM. TRIM.]]-TABLA_AVANCE_METAS[[#This Row],[PROG. ACUM]]</f>
        <v>-1</v>
      </c>
      <c r="AK12" s="32">
        <f>IFERROR((TABLA_AVANCE_METAS[[#This Row],[DIFERENCIA ABSOLUTA SEMESTRAL]]/TABLA_AVANCE_METAS[[#This Row],[PROG. ACUM]])*100,"N/A")</f>
        <v>-0.90909090909090906</v>
      </c>
      <c r="AL12" s="84">
        <f>TABLA_AVANCE_METAS[[#This Row],[AVANCE 1°. TRIM]]+TABLA_AVANCE_METAS[[#This Row],[AVANCE 2°. TRIM]]+TABLA_AVANCE_METAS[[#This Row],[AVANCE 3°. TRIM]]+TABLA_AVANCE_METAS[[#This Row],[AVANCE 4°. TRIM]]</f>
        <v>109</v>
      </c>
      <c r="AM12" s="27">
        <f>IFERROR((TABLA_AVANCE_METAS[[#This Row],[AVANCE ACUM. ANUAL]]/TABLA_AVANCE_METAS[[#This Row],[PROGRAMADO ANUAL]])*100,"N/A")</f>
        <v>49.545454545454547</v>
      </c>
      <c r="AN12"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12" s="31">
        <f>TABLA_AVANCE_METAS[[#This Row],[AVANCE ACUM. ANUAL]]-TABLA_AVANCE_METAS[[#This Row],[PROGRAMADO ANUAL]]</f>
        <v>-111</v>
      </c>
      <c r="AP12" s="33">
        <f>IFERROR((TABLA_AVANCE_METAS[[#This Row],[DIFERENCIA ABSOLUTA ANUAL]]/TABLA_AVANCE_METAS[[#This Row],[PROGRAMADO ANUAL]])*100,"N/A")</f>
        <v>-50.454545454545453</v>
      </c>
      <c r="AQ12" s="34"/>
      <c r="AR12" s="35"/>
      <c r="AS12" s="36"/>
      <c r="AT12" s="36"/>
      <c r="AU12" s="37" t="b">
        <f>TABLA_AVANCE_METAS[[#This Row],[PROGRAMADO ANUAL]]=SUM(TABLA_AVANCE_METAS[[#This Row],[PROGR. 1° TRIM]],TABLA_AVANCE_METAS[[#This Row],[PROGR. 2° TRIM]],TABLA_AVANCE_METAS[[#This Row],[PROGR. 3° TRIM]],TABLA_AVANCE_METAS[[#This Row],[PROGR. 4° TRIM]])</f>
        <v>1</v>
      </c>
      <c r="AV12" s="38"/>
    </row>
    <row r="13" spans="1:51" ht="75" customHeight="1" x14ac:dyDescent="0.35">
      <c r="A13" s="19" t="str">
        <f>CONCATENATE(TABLA_AVANCE_METAS[[#This Row],[ESTRUCTURA]],TABLA_AVANCE_METAS[[#This Row],['#]])</f>
        <v>A0023101080401012</v>
      </c>
      <c r="B13" s="20" t="s">
        <v>87</v>
      </c>
      <c r="C13" s="20" t="s">
        <v>52</v>
      </c>
      <c r="D13" s="21" t="s">
        <v>51</v>
      </c>
      <c r="E13" s="20" t="s">
        <v>88</v>
      </c>
      <c r="F13" s="20" t="s">
        <v>89</v>
      </c>
      <c r="G13" s="22" t="s">
        <v>90</v>
      </c>
      <c r="H13" s="20" t="s">
        <v>91</v>
      </c>
      <c r="I13" s="20" t="s">
        <v>92</v>
      </c>
      <c r="J13" s="20" t="s">
        <v>93</v>
      </c>
      <c r="K13" s="20" t="s">
        <v>94</v>
      </c>
      <c r="L13" s="21">
        <v>2</v>
      </c>
      <c r="M13" s="23" t="s">
        <v>97</v>
      </c>
      <c r="N13" s="22" t="s">
        <v>98</v>
      </c>
      <c r="O13" s="24">
        <v>4</v>
      </c>
      <c r="P13" s="24">
        <v>1</v>
      </c>
      <c r="Q13" s="28">
        <v>1</v>
      </c>
      <c r="R13" s="25">
        <f>IFERROR((TABLA_AVANCE_METAS[[#This Row],[AVANCE 1°. TRIM]]/TABLA_AVANCE_METAS[[#This Row],[PROGR. 1° TRIM]])*100,"0")</f>
        <v>100</v>
      </c>
      <c r="S13"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3" s="24">
        <v>1</v>
      </c>
      <c r="U13" s="28">
        <v>1</v>
      </c>
      <c r="V13" s="27">
        <f t="shared" si="0"/>
        <v>100</v>
      </c>
      <c r="W13" s="26" t="str">
        <f t="shared" si="1"/>
        <v>ADECUADO</v>
      </c>
      <c r="X13" s="24">
        <v>1</v>
      </c>
      <c r="Y13" s="28">
        <v>0</v>
      </c>
      <c r="Z13" s="27">
        <v>0</v>
      </c>
      <c r="AA13" s="26" t="s">
        <v>62</v>
      </c>
      <c r="AB13" s="24">
        <v>1</v>
      </c>
      <c r="AC13" s="28">
        <v>0</v>
      </c>
      <c r="AD13" s="27">
        <f>IFERROR((TABLA_AVANCE_METAS[[#This Row],[AVANCE 4°. TRIM]]/TABLA_AVANCE_METAS[[#This Row],[PROGR. 4° TRIM]])*100,"0")</f>
        <v>0</v>
      </c>
      <c r="AE13"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3" s="30">
        <f t="array" ref="AF13">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13" s="84">
        <f t="array" ref="AG13">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13" s="27">
        <f>IFERROR((TABLA_AVANCE_METAS[[#This Row],[AVANCE ACUM. TRIM.]]/TABLA_AVANCE_METAS[[#This Row],[PROG. ACUM]])*100,"N/A")</f>
        <v>100</v>
      </c>
      <c r="AI13"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3" s="31">
        <f>TABLA_AVANCE_METAS[[#This Row],[AVANCE ACUM. TRIM.]]-TABLA_AVANCE_METAS[[#This Row],[PROG. ACUM]]</f>
        <v>0</v>
      </c>
      <c r="AK13" s="32">
        <f>IFERROR((TABLA_AVANCE_METAS[[#This Row],[DIFERENCIA ABSOLUTA SEMESTRAL]]/TABLA_AVANCE_METAS[[#This Row],[PROG. ACUM]])*100,"N/A")</f>
        <v>0</v>
      </c>
      <c r="AL13" s="84">
        <f>TABLA_AVANCE_METAS[[#This Row],[AVANCE 1°. TRIM]]+TABLA_AVANCE_METAS[[#This Row],[AVANCE 2°. TRIM]]+TABLA_AVANCE_METAS[[#This Row],[AVANCE 3°. TRIM]]+TABLA_AVANCE_METAS[[#This Row],[AVANCE 4°. TRIM]]</f>
        <v>2</v>
      </c>
      <c r="AM13" s="27">
        <f>IFERROR((TABLA_AVANCE_METAS[[#This Row],[AVANCE ACUM. ANUAL]]/TABLA_AVANCE_METAS[[#This Row],[PROGRAMADO ANUAL]])*100,"N/A")</f>
        <v>50</v>
      </c>
      <c r="AN13"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3" s="31">
        <f>TABLA_AVANCE_METAS[[#This Row],[AVANCE ACUM. ANUAL]]-TABLA_AVANCE_METAS[[#This Row],[PROGRAMADO ANUAL]]</f>
        <v>-2</v>
      </c>
      <c r="AP13" s="33">
        <f>IFERROR((TABLA_AVANCE_METAS[[#This Row],[DIFERENCIA ABSOLUTA ANUAL]]/TABLA_AVANCE_METAS[[#This Row],[PROGRAMADO ANUAL]])*100,"N/A")</f>
        <v>-50</v>
      </c>
      <c r="AQ13" s="34"/>
      <c r="AR13" s="35"/>
      <c r="AS13" s="36"/>
      <c r="AT13" s="36"/>
      <c r="AU13" s="37" t="b">
        <f>TABLA_AVANCE_METAS[[#This Row],[PROGRAMADO ANUAL]]=SUM(TABLA_AVANCE_METAS[[#This Row],[PROGR. 1° TRIM]],TABLA_AVANCE_METAS[[#This Row],[PROGR. 2° TRIM]],TABLA_AVANCE_METAS[[#This Row],[PROGR. 3° TRIM]],TABLA_AVANCE_METAS[[#This Row],[PROGR. 4° TRIM]])</f>
        <v>1</v>
      </c>
      <c r="AV13" s="38"/>
    </row>
    <row r="14" spans="1:51" ht="75" customHeight="1" x14ac:dyDescent="0.35">
      <c r="A14" s="19" t="str">
        <f>CONCATENATE(TABLA_AVANCE_METAS[[#This Row],[ESTRUCTURA]],TABLA_AVANCE_METAS[[#This Row],['#]])</f>
        <v>A0023101080401013</v>
      </c>
      <c r="B14" s="20" t="s">
        <v>87</v>
      </c>
      <c r="C14" s="20" t="s">
        <v>52</v>
      </c>
      <c r="D14" s="21" t="s">
        <v>51</v>
      </c>
      <c r="E14" s="20" t="s">
        <v>88</v>
      </c>
      <c r="F14" s="20" t="s">
        <v>89</v>
      </c>
      <c r="G14" s="22" t="s">
        <v>90</v>
      </c>
      <c r="H14" s="20" t="s">
        <v>91</v>
      </c>
      <c r="I14" s="20" t="s">
        <v>92</v>
      </c>
      <c r="J14" s="20" t="s">
        <v>93</v>
      </c>
      <c r="K14" s="20" t="s">
        <v>94</v>
      </c>
      <c r="L14" s="21">
        <v>3</v>
      </c>
      <c r="M14" s="23" t="s">
        <v>99</v>
      </c>
      <c r="N14" s="22" t="s">
        <v>100</v>
      </c>
      <c r="O14" s="24">
        <v>2</v>
      </c>
      <c r="P14" s="24">
        <v>0</v>
      </c>
      <c r="Q14" s="28">
        <v>0</v>
      </c>
      <c r="R14" s="25" t="str">
        <f>IFERROR((TABLA_AVANCE_METAS[[#This Row],[AVANCE 1°. TRIM]]/TABLA_AVANCE_METAS[[#This Row],[PROGR. 1° TRIM]])*100,"0")</f>
        <v>0</v>
      </c>
      <c r="S14"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14" s="24">
        <v>1</v>
      </c>
      <c r="U14" s="28">
        <v>1</v>
      </c>
      <c r="V14" s="27">
        <f t="shared" si="0"/>
        <v>100</v>
      </c>
      <c r="W14" s="26" t="str">
        <f t="shared" si="1"/>
        <v>ADECUADO</v>
      </c>
      <c r="X14" s="24">
        <v>0</v>
      </c>
      <c r="Y14" s="28">
        <v>0</v>
      </c>
      <c r="Z14" s="27" t="s">
        <v>71</v>
      </c>
      <c r="AA14" s="26" t="s">
        <v>72</v>
      </c>
      <c r="AB14" s="24">
        <v>1</v>
      </c>
      <c r="AC14" s="28">
        <v>0</v>
      </c>
      <c r="AD14" s="27">
        <f>IFERROR((TABLA_AVANCE_METAS[[#This Row],[AVANCE 4°. TRIM]]/TABLA_AVANCE_METAS[[#This Row],[PROGR. 4° TRIM]])*100,"0")</f>
        <v>0</v>
      </c>
      <c r="AE14"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4" s="30">
        <f t="array" ref="AF14">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14" s="84">
        <f t="array" ref="AG14">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14" s="27">
        <f>IFERROR((TABLA_AVANCE_METAS[[#This Row],[AVANCE ACUM. TRIM.]]/TABLA_AVANCE_METAS[[#This Row],[PROG. ACUM]])*100,"N/A")</f>
        <v>100</v>
      </c>
      <c r="AI14"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4" s="31">
        <f>TABLA_AVANCE_METAS[[#This Row],[AVANCE ACUM. TRIM.]]-TABLA_AVANCE_METAS[[#This Row],[PROG. ACUM]]</f>
        <v>0</v>
      </c>
      <c r="AK14" s="32">
        <f>IFERROR((TABLA_AVANCE_METAS[[#This Row],[DIFERENCIA ABSOLUTA SEMESTRAL]]/TABLA_AVANCE_METAS[[#This Row],[PROG. ACUM]])*100,"N/A")</f>
        <v>0</v>
      </c>
      <c r="AL14" s="84">
        <f>TABLA_AVANCE_METAS[[#This Row],[AVANCE 1°. TRIM]]+TABLA_AVANCE_METAS[[#This Row],[AVANCE 2°. TRIM]]+TABLA_AVANCE_METAS[[#This Row],[AVANCE 3°. TRIM]]+TABLA_AVANCE_METAS[[#This Row],[AVANCE 4°. TRIM]]</f>
        <v>1</v>
      </c>
      <c r="AM14" s="27">
        <f>IFERROR((TABLA_AVANCE_METAS[[#This Row],[AVANCE ACUM. ANUAL]]/TABLA_AVANCE_METAS[[#This Row],[PROGRAMADO ANUAL]])*100,"N/A")</f>
        <v>50</v>
      </c>
      <c r="AN14"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4" s="31">
        <f>TABLA_AVANCE_METAS[[#This Row],[AVANCE ACUM. ANUAL]]-TABLA_AVANCE_METAS[[#This Row],[PROGRAMADO ANUAL]]</f>
        <v>-1</v>
      </c>
      <c r="AP14" s="33">
        <f>IFERROR((TABLA_AVANCE_METAS[[#This Row],[DIFERENCIA ABSOLUTA ANUAL]]/TABLA_AVANCE_METAS[[#This Row],[PROGRAMADO ANUAL]])*100,"N/A")</f>
        <v>-50</v>
      </c>
      <c r="AQ14" s="34"/>
      <c r="AR14" s="35"/>
      <c r="AS14" s="36"/>
      <c r="AT14" s="36"/>
      <c r="AU14" s="37" t="b">
        <f>TABLA_AVANCE_METAS[[#This Row],[PROGRAMADO ANUAL]]=SUM(TABLA_AVANCE_METAS[[#This Row],[PROGR. 1° TRIM]],TABLA_AVANCE_METAS[[#This Row],[PROGR. 2° TRIM]],TABLA_AVANCE_METAS[[#This Row],[PROGR. 3° TRIM]],TABLA_AVANCE_METAS[[#This Row],[PROGR. 4° TRIM]])</f>
        <v>1</v>
      </c>
      <c r="AV14" s="38"/>
    </row>
    <row r="15" spans="1:51" s="46" customFormat="1" ht="75" customHeight="1" x14ac:dyDescent="0.35">
      <c r="A15" s="19" t="str">
        <f>CONCATENATE(TABLA_AVANCE_METAS[[#This Row],[ESTRUCTURA]],TABLA_AVANCE_METAS[[#This Row],['#]])</f>
        <v>A0023101080401014</v>
      </c>
      <c r="B15" s="20" t="s">
        <v>87</v>
      </c>
      <c r="C15" s="20" t="s">
        <v>52</v>
      </c>
      <c r="D15" s="21" t="s">
        <v>51</v>
      </c>
      <c r="E15" s="20" t="s">
        <v>88</v>
      </c>
      <c r="F15" s="20" t="s">
        <v>89</v>
      </c>
      <c r="G15" s="22" t="s">
        <v>90</v>
      </c>
      <c r="H15" s="20" t="s">
        <v>91</v>
      </c>
      <c r="I15" s="20" t="s">
        <v>92</v>
      </c>
      <c r="J15" s="20" t="s">
        <v>93</v>
      </c>
      <c r="K15" s="20" t="s">
        <v>94</v>
      </c>
      <c r="L15" s="21">
        <v>4</v>
      </c>
      <c r="M15" s="23" t="s">
        <v>101</v>
      </c>
      <c r="N15" s="22" t="s">
        <v>102</v>
      </c>
      <c r="O15" s="24">
        <v>40</v>
      </c>
      <c r="P15" s="24">
        <v>10</v>
      </c>
      <c r="Q15" s="28">
        <v>4</v>
      </c>
      <c r="R15" s="25">
        <f>IFERROR((TABLA_AVANCE_METAS[[#This Row],[AVANCE 1°. TRIM]]/TABLA_AVANCE_METAS[[#This Row],[PROGR. 1° TRIM]])*100,"0")</f>
        <v>40</v>
      </c>
      <c r="S15"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CRÍTICO</v>
      </c>
      <c r="T15" s="24">
        <v>10</v>
      </c>
      <c r="U15" s="28">
        <v>5</v>
      </c>
      <c r="V15" s="27">
        <f t="shared" si="0"/>
        <v>50</v>
      </c>
      <c r="W15" s="26" t="str">
        <f t="shared" si="1"/>
        <v>DEFICIENTE</v>
      </c>
      <c r="X15" s="24">
        <v>10</v>
      </c>
      <c r="Y15" s="28">
        <v>0</v>
      </c>
      <c r="Z15" s="27">
        <v>0</v>
      </c>
      <c r="AA15" s="26" t="s">
        <v>62</v>
      </c>
      <c r="AB15" s="24">
        <v>10</v>
      </c>
      <c r="AC15" s="28">
        <v>0</v>
      </c>
      <c r="AD15" s="27">
        <f>IFERROR((TABLA_AVANCE_METAS[[#This Row],[AVANCE 4°. TRIM]]/TABLA_AVANCE_METAS[[#This Row],[PROGR. 4° TRIM]])*100,"0")</f>
        <v>0</v>
      </c>
      <c r="AE15"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5" s="30">
        <f t="array" ref="AF15">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20</v>
      </c>
      <c r="AG15" s="84">
        <f t="array" ref="AG15">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9</v>
      </c>
      <c r="AH15" s="27">
        <f>IFERROR((TABLA_AVANCE_METAS[[#This Row],[AVANCE ACUM. TRIM.]]/TABLA_AVANCE_METAS[[#This Row],[PROG. ACUM]])*100,"N/A")</f>
        <v>45</v>
      </c>
      <c r="AI15"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CRÍTICO</v>
      </c>
      <c r="AJ15" s="31">
        <f>TABLA_AVANCE_METAS[[#This Row],[AVANCE ACUM. TRIM.]]-TABLA_AVANCE_METAS[[#This Row],[PROG. ACUM]]</f>
        <v>-11</v>
      </c>
      <c r="AK15" s="32">
        <f>IFERROR((TABLA_AVANCE_METAS[[#This Row],[DIFERENCIA ABSOLUTA SEMESTRAL]]/TABLA_AVANCE_METAS[[#This Row],[PROG. ACUM]])*100,"N/A")</f>
        <v>-55.000000000000007</v>
      </c>
      <c r="AL15" s="84">
        <f>TABLA_AVANCE_METAS[[#This Row],[AVANCE 1°. TRIM]]+TABLA_AVANCE_METAS[[#This Row],[AVANCE 2°. TRIM]]+TABLA_AVANCE_METAS[[#This Row],[AVANCE 3°. TRIM]]+TABLA_AVANCE_METAS[[#This Row],[AVANCE 4°. TRIM]]</f>
        <v>9</v>
      </c>
      <c r="AM15" s="27">
        <f>IFERROR((TABLA_AVANCE_METAS[[#This Row],[AVANCE ACUM. ANUAL]]/TABLA_AVANCE_METAS[[#This Row],[PROGRAMADO ANUAL]])*100,"N/A")</f>
        <v>22.5</v>
      </c>
      <c r="AN15"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15" s="31">
        <f>TABLA_AVANCE_METAS[[#This Row],[AVANCE ACUM. ANUAL]]-TABLA_AVANCE_METAS[[#This Row],[PROGRAMADO ANUAL]]</f>
        <v>-31</v>
      </c>
      <c r="AP15" s="33">
        <f>IFERROR((TABLA_AVANCE_METAS[[#This Row],[DIFERENCIA ABSOLUTA ANUAL]]/TABLA_AVANCE_METAS[[#This Row],[PROGRAMADO ANUAL]])*100,"N/A")</f>
        <v>-77.5</v>
      </c>
      <c r="AQ15" s="34" t="s">
        <v>103</v>
      </c>
      <c r="AR15" s="35"/>
      <c r="AS15" s="36"/>
      <c r="AT15" s="36"/>
      <c r="AU15" s="37" t="b">
        <f>TABLA_AVANCE_METAS[[#This Row],[PROGRAMADO ANUAL]]=SUM(TABLA_AVANCE_METAS[[#This Row],[PROGR. 1° TRIM]],TABLA_AVANCE_METAS[[#This Row],[PROGR. 2° TRIM]],TABLA_AVANCE_METAS[[#This Row],[PROGR. 3° TRIM]],TABLA_AVANCE_METAS[[#This Row],[PROGR. 4° TRIM]])</f>
        <v>1</v>
      </c>
      <c r="AV15" s="44"/>
      <c r="AW15" s="45"/>
      <c r="AY15" s="1"/>
    </row>
    <row r="16" spans="1:51" s="46" customFormat="1" ht="75" hidden="1" customHeight="1" x14ac:dyDescent="0.35">
      <c r="A16" s="19" t="str">
        <f>CONCATENATE(TABLA_AVANCE_METAS[[#This Row],[ESTRUCTURA]],TABLA_AVANCE_METAS[[#This Row],['#]])</f>
        <v>A0123401080301031</v>
      </c>
      <c r="B16" s="20" t="s">
        <v>104</v>
      </c>
      <c r="C16" s="20" t="s">
        <v>74</v>
      </c>
      <c r="D16" s="21" t="s">
        <v>75</v>
      </c>
      <c r="E16" s="20" t="s">
        <v>105</v>
      </c>
      <c r="F16" s="20" t="s">
        <v>106</v>
      </c>
      <c r="G16" s="22" t="s">
        <v>107</v>
      </c>
      <c r="H16" s="20" t="s">
        <v>108</v>
      </c>
      <c r="I16" s="20" t="s">
        <v>109</v>
      </c>
      <c r="J16" s="20" t="s">
        <v>110</v>
      </c>
      <c r="K16" s="20" t="s">
        <v>111</v>
      </c>
      <c r="L16" s="21">
        <v>1</v>
      </c>
      <c r="M16" s="23" t="s">
        <v>112</v>
      </c>
      <c r="N16" s="22" t="s">
        <v>113</v>
      </c>
      <c r="O16" s="24">
        <v>12</v>
      </c>
      <c r="P16" s="24">
        <v>3</v>
      </c>
      <c r="Q16" s="28">
        <v>3</v>
      </c>
      <c r="R16" s="25">
        <f>IFERROR((TABLA_AVANCE_METAS[[#This Row],[AVANCE 1°. TRIM]]/TABLA_AVANCE_METAS[[#This Row],[PROGR. 1° TRIM]])*100,"0")</f>
        <v>100</v>
      </c>
      <c r="S16"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6" s="24">
        <v>3</v>
      </c>
      <c r="U16" s="28">
        <v>3</v>
      </c>
      <c r="V16" s="27">
        <f t="shared" si="0"/>
        <v>100</v>
      </c>
      <c r="W16" s="26" t="str">
        <f t="shared" si="1"/>
        <v>ADECUADO</v>
      </c>
      <c r="X16" s="24">
        <v>3</v>
      </c>
      <c r="Y16" s="28">
        <v>0</v>
      </c>
      <c r="Z16" s="27">
        <v>0</v>
      </c>
      <c r="AA16" s="26" t="s">
        <v>62</v>
      </c>
      <c r="AB16" s="24">
        <v>3</v>
      </c>
      <c r="AC16" s="28">
        <v>0</v>
      </c>
      <c r="AD16" s="27">
        <f>IFERROR((TABLA_AVANCE_METAS[[#This Row],[AVANCE 4°. TRIM]]/TABLA_AVANCE_METAS[[#This Row],[PROGR. 4° TRIM]])*100,"0")</f>
        <v>0</v>
      </c>
      <c r="AE16"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6" s="30">
        <f t="array" ref="AF16">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6</v>
      </c>
      <c r="AG16" s="84">
        <f t="array" ref="AG16">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6</v>
      </c>
      <c r="AH16" s="27">
        <f>IFERROR((TABLA_AVANCE_METAS[[#This Row],[AVANCE ACUM. TRIM.]]/TABLA_AVANCE_METAS[[#This Row],[PROG. ACUM]])*100,"N/A")</f>
        <v>100</v>
      </c>
      <c r="AI16"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6" s="31">
        <f>TABLA_AVANCE_METAS[[#This Row],[AVANCE ACUM. TRIM.]]-TABLA_AVANCE_METAS[[#This Row],[PROG. ACUM]]</f>
        <v>0</v>
      </c>
      <c r="AK16" s="32">
        <f>IFERROR((TABLA_AVANCE_METAS[[#This Row],[DIFERENCIA ABSOLUTA SEMESTRAL]]/TABLA_AVANCE_METAS[[#This Row],[PROG. ACUM]])*100,"N/A")</f>
        <v>0</v>
      </c>
      <c r="AL16" s="84">
        <f>TABLA_AVANCE_METAS[[#This Row],[AVANCE 1°. TRIM]]+TABLA_AVANCE_METAS[[#This Row],[AVANCE 2°. TRIM]]+TABLA_AVANCE_METAS[[#This Row],[AVANCE 3°. TRIM]]+TABLA_AVANCE_METAS[[#This Row],[AVANCE 4°. TRIM]]</f>
        <v>6</v>
      </c>
      <c r="AM16" s="27">
        <f>IFERROR((TABLA_AVANCE_METAS[[#This Row],[AVANCE ACUM. ANUAL]]/TABLA_AVANCE_METAS[[#This Row],[PROGRAMADO ANUAL]])*100,"N/A")</f>
        <v>50</v>
      </c>
      <c r="AN16"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6" s="31">
        <f>TABLA_AVANCE_METAS[[#This Row],[AVANCE ACUM. ANUAL]]-TABLA_AVANCE_METAS[[#This Row],[PROGRAMADO ANUAL]]</f>
        <v>-6</v>
      </c>
      <c r="AP16" s="33">
        <f>IFERROR((TABLA_AVANCE_METAS[[#This Row],[DIFERENCIA ABSOLUTA ANUAL]]/TABLA_AVANCE_METAS[[#This Row],[PROGRAMADO ANUAL]])*100,"N/A")</f>
        <v>-50</v>
      </c>
      <c r="AQ16" s="34"/>
      <c r="AR16" s="35"/>
      <c r="AS16" s="36"/>
      <c r="AT16" s="36"/>
      <c r="AU16" s="37" t="b">
        <f>TABLA_AVANCE_METAS[[#This Row],[PROGRAMADO ANUAL]]=SUM(TABLA_AVANCE_METAS[[#This Row],[PROGR. 1° TRIM]],TABLA_AVANCE_METAS[[#This Row],[PROGR. 2° TRIM]],TABLA_AVANCE_METAS[[#This Row],[PROGR. 3° TRIM]],TABLA_AVANCE_METAS[[#This Row],[PROGR. 4° TRIM]])</f>
        <v>1</v>
      </c>
      <c r="AV16" s="44"/>
      <c r="AY16" s="1"/>
    </row>
    <row r="17" spans="1:51" s="46" customFormat="1" ht="75" hidden="1" customHeight="1" x14ac:dyDescent="0.35">
      <c r="A17" s="19" t="str">
        <f>CONCATENATE(TABLA_AVANCE_METAS[[#This Row],[ESTRUCTURA]],TABLA_AVANCE_METAS[[#This Row],['#]])</f>
        <v>A0123401080301032</v>
      </c>
      <c r="B17" s="20" t="s">
        <v>104</v>
      </c>
      <c r="C17" s="20" t="s">
        <v>74</v>
      </c>
      <c r="D17" s="21" t="s">
        <v>75</v>
      </c>
      <c r="E17" s="20" t="s">
        <v>105</v>
      </c>
      <c r="F17" s="20" t="s">
        <v>106</v>
      </c>
      <c r="G17" s="22" t="s">
        <v>107</v>
      </c>
      <c r="H17" s="20" t="s">
        <v>108</v>
      </c>
      <c r="I17" s="20" t="s">
        <v>109</v>
      </c>
      <c r="J17" s="20" t="s">
        <v>110</v>
      </c>
      <c r="K17" s="20" t="s">
        <v>111</v>
      </c>
      <c r="L17" s="21">
        <v>2</v>
      </c>
      <c r="M17" s="23" t="s">
        <v>114</v>
      </c>
      <c r="N17" s="22" t="s">
        <v>115</v>
      </c>
      <c r="O17" s="24">
        <v>1</v>
      </c>
      <c r="P17" s="24">
        <v>1</v>
      </c>
      <c r="Q17" s="28">
        <v>1</v>
      </c>
      <c r="R17" s="25">
        <f>IFERROR((TABLA_AVANCE_METAS[[#This Row],[AVANCE 1°. TRIM]]/TABLA_AVANCE_METAS[[#This Row],[PROGR. 1° TRIM]])*100,"0")</f>
        <v>100</v>
      </c>
      <c r="S17"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7" s="24">
        <v>0</v>
      </c>
      <c r="U17" s="28">
        <v>0</v>
      </c>
      <c r="V17" s="27" t="str">
        <f t="shared" si="0"/>
        <v>0</v>
      </c>
      <c r="W17" s="26" t="str">
        <f t="shared" si="1"/>
        <v>NO PROG.</v>
      </c>
      <c r="X17" s="24">
        <v>0</v>
      </c>
      <c r="Y17" s="28">
        <v>0</v>
      </c>
      <c r="Z17" s="27" t="s">
        <v>71</v>
      </c>
      <c r="AA17" s="26" t="s">
        <v>72</v>
      </c>
      <c r="AB17" s="24">
        <v>0</v>
      </c>
      <c r="AC17" s="28">
        <v>0</v>
      </c>
      <c r="AD17" s="27" t="str">
        <f>IFERROR((TABLA_AVANCE_METAS[[#This Row],[AVANCE 4°. TRIM]]/TABLA_AVANCE_METAS[[#This Row],[PROGR. 4° TRIM]])*100,"0")</f>
        <v>0</v>
      </c>
      <c r="AE17"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7" s="30">
        <f t="array" ref="AF17">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17" s="84">
        <f t="array" ref="AG17">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17" s="27">
        <f>IFERROR((TABLA_AVANCE_METAS[[#This Row],[AVANCE ACUM. TRIM.]]/TABLA_AVANCE_METAS[[#This Row],[PROG. ACUM]])*100,"N/A")</f>
        <v>100</v>
      </c>
      <c r="AI17"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7" s="31">
        <f>TABLA_AVANCE_METAS[[#This Row],[AVANCE ACUM. TRIM.]]-TABLA_AVANCE_METAS[[#This Row],[PROG. ACUM]]</f>
        <v>0</v>
      </c>
      <c r="AK17" s="32">
        <f>IFERROR((TABLA_AVANCE_METAS[[#This Row],[DIFERENCIA ABSOLUTA SEMESTRAL]]/TABLA_AVANCE_METAS[[#This Row],[PROG. ACUM]])*100,"N/A")</f>
        <v>0</v>
      </c>
      <c r="AL17" s="84">
        <f>TABLA_AVANCE_METAS[[#This Row],[AVANCE 1°. TRIM]]+TABLA_AVANCE_METAS[[#This Row],[AVANCE 2°. TRIM]]+TABLA_AVANCE_METAS[[#This Row],[AVANCE 3°. TRIM]]+TABLA_AVANCE_METAS[[#This Row],[AVANCE 4°. TRIM]]</f>
        <v>1</v>
      </c>
      <c r="AM17" s="27">
        <f>IFERROR((TABLA_AVANCE_METAS[[#This Row],[AVANCE ACUM. ANUAL]]/TABLA_AVANCE_METAS[[#This Row],[PROGRAMADO ANUAL]])*100,"N/A")</f>
        <v>100</v>
      </c>
      <c r="AN17"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17" s="31">
        <f>TABLA_AVANCE_METAS[[#This Row],[AVANCE ACUM. ANUAL]]-TABLA_AVANCE_METAS[[#This Row],[PROGRAMADO ANUAL]]</f>
        <v>0</v>
      </c>
      <c r="AP17" s="33">
        <f>IFERROR((TABLA_AVANCE_METAS[[#This Row],[DIFERENCIA ABSOLUTA ANUAL]]/TABLA_AVANCE_METAS[[#This Row],[PROGRAMADO ANUAL]])*100,"N/A")</f>
        <v>0</v>
      </c>
      <c r="AQ17" s="34"/>
      <c r="AR17" s="35"/>
      <c r="AS17" s="36"/>
      <c r="AT17" s="36"/>
      <c r="AU17" s="37" t="b">
        <f>TABLA_AVANCE_METAS[[#This Row],[PROGRAMADO ANUAL]]=SUM(TABLA_AVANCE_METAS[[#This Row],[PROGR. 1° TRIM]],TABLA_AVANCE_METAS[[#This Row],[PROGR. 2° TRIM]],TABLA_AVANCE_METAS[[#This Row],[PROGR. 3° TRIM]],TABLA_AVANCE_METAS[[#This Row],[PROGR. 4° TRIM]])</f>
        <v>1</v>
      </c>
      <c r="AV17" s="44"/>
      <c r="AY17" s="1"/>
    </row>
    <row r="18" spans="1:51" s="46" customFormat="1" ht="75" hidden="1" customHeight="1" x14ac:dyDescent="0.35">
      <c r="A18" s="19" t="str">
        <f>CONCATENATE(TABLA_AVANCE_METAS[[#This Row],[ESTRUCTURA]],TABLA_AVANCE_METAS[[#This Row],['#]])</f>
        <v>A0123401080301033</v>
      </c>
      <c r="B18" s="20" t="s">
        <v>104</v>
      </c>
      <c r="C18" s="20" t="s">
        <v>74</v>
      </c>
      <c r="D18" s="21" t="s">
        <v>75</v>
      </c>
      <c r="E18" s="20" t="s">
        <v>105</v>
      </c>
      <c r="F18" s="20" t="s">
        <v>106</v>
      </c>
      <c r="G18" s="22" t="s">
        <v>107</v>
      </c>
      <c r="H18" s="20" t="s">
        <v>108</v>
      </c>
      <c r="I18" s="20" t="s">
        <v>109</v>
      </c>
      <c r="J18" s="20" t="s">
        <v>110</v>
      </c>
      <c r="K18" s="20" t="s">
        <v>111</v>
      </c>
      <c r="L18" s="21">
        <v>3</v>
      </c>
      <c r="M18" s="23" t="s">
        <v>116</v>
      </c>
      <c r="N18" s="22" t="s">
        <v>117</v>
      </c>
      <c r="O18" s="24">
        <v>12</v>
      </c>
      <c r="P18" s="24">
        <v>3</v>
      </c>
      <c r="Q18" s="28">
        <v>3</v>
      </c>
      <c r="R18" s="25">
        <f>IFERROR((TABLA_AVANCE_METAS[[#This Row],[AVANCE 1°. TRIM]]/TABLA_AVANCE_METAS[[#This Row],[PROGR. 1° TRIM]])*100,"0")</f>
        <v>100</v>
      </c>
      <c r="S18"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8" s="24">
        <v>3</v>
      </c>
      <c r="U18" s="28">
        <v>3</v>
      </c>
      <c r="V18" s="27">
        <f t="shared" si="0"/>
        <v>100</v>
      </c>
      <c r="W18" s="26" t="str">
        <f t="shared" si="1"/>
        <v>ADECUADO</v>
      </c>
      <c r="X18" s="24">
        <v>3</v>
      </c>
      <c r="Y18" s="28">
        <v>0</v>
      </c>
      <c r="Z18" s="27">
        <v>0</v>
      </c>
      <c r="AA18" s="26" t="s">
        <v>62</v>
      </c>
      <c r="AB18" s="24">
        <v>3</v>
      </c>
      <c r="AC18" s="28">
        <v>0</v>
      </c>
      <c r="AD18" s="27">
        <f>IFERROR((TABLA_AVANCE_METAS[[#This Row],[AVANCE 4°. TRIM]]/TABLA_AVANCE_METAS[[#This Row],[PROGR. 4° TRIM]])*100,"0")</f>
        <v>0</v>
      </c>
      <c r="AE18"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8" s="30">
        <f t="array" ref="AF18">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6</v>
      </c>
      <c r="AG18" s="84">
        <f t="array" ref="AG18">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6</v>
      </c>
      <c r="AH18" s="27">
        <f>IFERROR((TABLA_AVANCE_METAS[[#This Row],[AVANCE ACUM. TRIM.]]/TABLA_AVANCE_METAS[[#This Row],[PROG. ACUM]])*100,"N/A")</f>
        <v>100</v>
      </c>
      <c r="AI18"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8" s="31">
        <f>TABLA_AVANCE_METAS[[#This Row],[AVANCE ACUM. TRIM.]]-TABLA_AVANCE_METAS[[#This Row],[PROG. ACUM]]</f>
        <v>0</v>
      </c>
      <c r="AK18" s="32">
        <f>IFERROR((TABLA_AVANCE_METAS[[#This Row],[DIFERENCIA ABSOLUTA SEMESTRAL]]/TABLA_AVANCE_METAS[[#This Row],[PROG. ACUM]])*100,"N/A")</f>
        <v>0</v>
      </c>
      <c r="AL18" s="84">
        <f>TABLA_AVANCE_METAS[[#This Row],[AVANCE 1°. TRIM]]+TABLA_AVANCE_METAS[[#This Row],[AVANCE 2°. TRIM]]+TABLA_AVANCE_METAS[[#This Row],[AVANCE 3°. TRIM]]+TABLA_AVANCE_METAS[[#This Row],[AVANCE 4°. TRIM]]</f>
        <v>6</v>
      </c>
      <c r="AM18" s="27">
        <f>IFERROR((TABLA_AVANCE_METAS[[#This Row],[AVANCE ACUM. ANUAL]]/TABLA_AVANCE_METAS[[#This Row],[PROGRAMADO ANUAL]])*100,"N/A")</f>
        <v>50</v>
      </c>
      <c r="AN18"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8" s="31">
        <f>TABLA_AVANCE_METAS[[#This Row],[AVANCE ACUM. ANUAL]]-TABLA_AVANCE_METAS[[#This Row],[PROGRAMADO ANUAL]]</f>
        <v>-6</v>
      </c>
      <c r="AP18" s="33">
        <f>IFERROR((TABLA_AVANCE_METAS[[#This Row],[DIFERENCIA ABSOLUTA ANUAL]]/TABLA_AVANCE_METAS[[#This Row],[PROGRAMADO ANUAL]])*100,"N/A")</f>
        <v>-50</v>
      </c>
      <c r="AQ18" s="34"/>
      <c r="AR18" s="35"/>
      <c r="AS18" s="36"/>
      <c r="AT18" s="36"/>
      <c r="AU18" s="37" t="b">
        <f>TABLA_AVANCE_METAS[[#This Row],[PROGRAMADO ANUAL]]=SUM(TABLA_AVANCE_METAS[[#This Row],[PROGR. 1° TRIM]],TABLA_AVANCE_METAS[[#This Row],[PROGR. 2° TRIM]],TABLA_AVANCE_METAS[[#This Row],[PROGR. 3° TRIM]],TABLA_AVANCE_METAS[[#This Row],[PROGR. 4° TRIM]])</f>
        <v>1</v>
      </c>
      <c r="AV18" s="44"/>
      <c r="AY18" s="1"/>
    </row>
    <row r="19" spans="1:51" s="46" customFormat="1" ht="75" hidden="1" customHeight="1" x14ac:dyDescent="0.35">
      <c r="A19" s="19" t="str">
        <f>CONCATENATE(TABLA_AVANCE_METAS[[#This Row],[ESTRUCTURA]],TABLA_AVANCE_METAS[[#This Row],['#]])</f>
        <v>A0123401080301034</v>
      </c>
      <c r="B19" s="20" t="s">
        <v>104</v>
      </c>
      <c r="C19" s="20" t="s">
        <v>74</v>
      </c>
      <c r="D19" s="21" t="s">
        <v>75</v>
      </c>
      <c r="E19" s="20" t="s">
        <v>105</v>
      </c>
      <c r="F19" s="20" t="s">
        <v>106</v>
      </c>
      <c r="G19" s="22" t="s">
        <v>107</v>
      </c>
      <c r="H19" s="20" t="s">
        <v>108</v>
      </c>
      <c r="I19" s="20" t="s">
        <v>109</v>
      </c>
      <c r="J19" s="20" t="s">
        <v>110</v>
      </c>
      <c r="K19" s="20" t="s">
        <v>111</v>
      </c>
      <c r="L19" s="21">
        <v>4</v>
      </c>
      <c r="M19" s="23" t="s">
        <v>118</v>
      </c>
      <c r="N19" s="22" t="s">
        <v>119</v>
      </c>
      <c r="O19" s="24">
        <v>40</v>
      </c>
      <c r="P19" s="24">
        <v>10</v>
      </c>
      <c r="Q19" s="28">
        <v>10</v>
      </c>
      <c r="R19" s="25">
        <f>IFERROR((TABLA_AVANCE_METAS[[#This Row],[AVANCE 1°. TRIM]]/TABLA_AVANCE_METAS[[#This Row],[PROGR. 1° TRIM]])*100,"0")</f>
        <v>100</v>
      </c>
      <c r="S19"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9" s="24">
        <v>10</v>
      </c>
      <c r="U19" s="28">
        <v>10</v>
      </c>
      <c r="V19" s="27">
        <f t="shared" si="0"/>
        <v>100</v>
      </c>
      <c r="W19" s="26" t="str">
        <f t="shared" si="1"/>
        <v>ADECUADO</v>
      </c>
      <c r="X19" s="24">
        <v>10</v>
      </c>
      <c r="Y19" s="28">
        <v>0</v>
      </c>
      <c r="Z19" s="27">
        <v>0</v>
      </c>
      <c r="AA19" s="26" t="s">
        <v>62</v>
      </c>
      <c r="AB19" s="24">
        <v>10</v>
      </c>
      <c r="AC19" s="28">
        <v>0</v>
      </c>
      <c r="AD19" s="27">
        <f>IFERROR((TABLA_AVANCE_METAS[[#This Row],[AVANCE 4°. TRIM]]/TABLA_AVANCE_METAS[[#This Row],[PROGR. 4° TRIM]])*100,"0")</f>
        <v>0</v>
      </c>
      <c r="AE19"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9" s="30">
        <f t="array" ref="AF19">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20</v>
      </c>
      <c r="AG19" s="84">
        <f t="array" ref="AG19">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20</v>
      </c>
      <c r="AH19" s="27">
        <f>IFERROR((TABLA_AVANCE_METAS[[#This Row],[AVANCE ACUM. TRIM.]]/TABLA_AVANCE_METAS[[#This Row],[PROG. ACUM]])*100,"N/A")</f>
        <v>100</v>
      </c>
      <c r="AI19"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9" s="31">
        <f>TABLA_AVANCE_METAS[[#This Row],[AVANCE ACUM. TRIM.]]-TABLA_AVANCE_METAS[[#This Row],[PROG. ACUM]]</f>
        <v>0</v>
      </c>
      <c r="AK19" s="32">
        <f>IFERROR((TABLA_AVANCE_METAS[[#This Row],[DIFERENCIA ABSOLUTA SEMESTRAL]]/TABLA_AVANCE_METAS[[#This Row],[PROG. ACUM]])*100,"N/A")</f>
        <v>0</v>
      </c>
      <c r="AL19" s="84">
        <f>TABLA_AVANCE_METAS[[#This Row],[AVANCE 1°. TRIM]]+TABLA_AVANCE_METAS[[#This Row],[AVANCE 2°. TRIM]]+TABLA_AVANCE_METAS[[#This Row],[AVANCE 3°. TRIM]]+TABLA_AVANCE_METAS[[#This Row],[AVANCE 4°. TRIM]]</f>
        <v>20</v>
      </c>
      <c r="AM19" s="27">
        <f>IFERROR((TABLA_AVANCE_METAS[[#This Row],[AVANCE ACUM. ANUAL]]/TABLA_AVANCE_METAS[[#This Row],[PROGRAMADO ANUAL]])*100,"N/A")</f>
        <v>50</v>
      </c>
      <c r="AN19"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9" s="31">
        <f>TABLA_AVANCE_METAS[[#This Row],[AVANCE ACUM. ANUAL]]-TABLA_AVANCE_METAS[[#This Row],[PROGRAMADO ANUAL]]</f>
        <v>-20</v>
      </c>
      <c r="AP19" s="33">
        <f>IFERROR((TABLA_AVANCE_METAS[[#This Row],[DIFERENCIA ABSOLUTA ANUAL]]/TABLA_AVANCE_METAS[[#This Row],[PROGRAMADO ANUAL]])*100,"N/A")</f>
        <v>-50</v>
      </c>
      <c r="AQ19" s="34"/>
      <c r="AR19" s="35"/>
      <c r="AS19" s="36"/>
      <c r="AT19" s="36"/>
      <c r="AU19" s="37" t="b">
        <f>TABLA_AVANCE_METAS[[#This Row],[PROGRAMADO ANUAL]]=SUM(TABLA_AVANCE_METAS[[#This Row],[PROGR. 1° TRIM]],TABLA_AVANCE_METAS[[#This Row],[PROGR. 2° TRIM]],TABLA_AVANCE_METAS[[#This Row],[PROGR. 3° TRIM]],TABLA_AVANCE_METAS[[#This Row],[PROGR. 4° TRIM]])</f>
        <v>1</v>
      </c>
      <c r="AV19" s="44"/>
      <c r="AY19" s="1"/>
    </row>
    <row r="20" spans="1:51" s="46" customFormat="1" ht="75" hidden="1" customHeight="1" x14ac:dyDescent="0.35">
      <c r="A20" s="19" t="str">
        <f>CONCATENATE(TABLA_AVANCE_METAS[[#This Row],[ESTRUCTURA]],TABLA_AVANCE_METAS[[#This Row],['#]])</f>
        <v>A0123401080301035</v>
      </c>
      <c r="B20" s="20" t="s">
        <v>104</v>
      </c>
      <c r="C20" s="20" t="s">
        <v>74</v>
      </c>
      <c r="D20" s="21" t="s">
        <v>75</v>
      </c>
      <c r="E20" s="20" t="s">
        <v>105</v>
      </c>
      <c r="F20" s="20" t="s">
        <v>106</v>
      </c>
      <c r="G20" s="22" t="s">
        <v>107</v>
      </c>
      <c r="H20" s="20" t="s">
        <v>108</v>
      </c>
      <c r="I20" s="20" t="s">
        <v>109</v>
      </c>
      <c r="J20" s="20" t="s">
        <v>110</v>
      </c>
      <c r="K20" s="20" t="s">
        <v>111</v>
      </c>
      <c r="L20" s="21">
        <v>5</v>
      </c>
      <c r="M20" s="23" t="s">
        <v>120</v>
      </c>
      <c r="N20" s="22" t="s">
        <v>121</v>
      </c>
      <c r="O20" s="24">
        <v>80</v>
      </c>
      <c r="P20" s="24">
        <v>20</v>
      </c>
      <c r="Q20" s="28">
        <v>20</v>
      </c>
      <c r="R20" s="25">
        <f>IFERROR((TABLA_AVANCE_METAS[[#This Row],[AVANCE 1°. TRIM]]/TABLA_AVANCE_METAS[[#This Row],[PROGR. 1° TRIM]])*100,"0")</f>
        <v>100</v>
      </c>
      <c r="S20"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0" s="24">
        <v>20</v>
      </c>
      <c r="U20" s="28">
        <v>20</v>
      </c>
      <c r="V20" s="27">
        <f t="shared" si="0"/>
        <v>100</v>
      </c>
      <c r="W20" s="26" t="str">
        <f t="shared" si="1"/>
        <v>ADECUADO</v>
      </c>
      <c r="X20" s="24">
        <v>20</v>
      </c>
      <c r="Y20" s="28">
        <v>0</v>
      </c>
      <c r="Z20" s="27">
        <v>0</v>
      </c>
      <c r="AA20" s="26" t="s">
        <v>62</v>
      </c>
      <c r="AB20" s="24">
        <v>20</v>
      </c>
      <c r="AC20" s="28">
        <v>0</v>
      </c>
      <c r="AD20" s="27">
        <f>IFERROR((TABLA_AVANCE_METAS[[#This Row],[AVANCE 4°. TRIM]]/TABLA_AVANCE_METAS[[#This Row],[PROGR. 4° TRIM]])*100,"0")</f>
        <v>0</v>
      </c>
      <c r="AE20"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0" s="30">
        <f t="array" ref="AF20">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40</v>
      </c>
      <c r="AG20" s="84">
        <f t="array" ref="AG20">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40</v>
      </c>
      <c r="AH20" s="27">
        <f>IFERROR((TABLA_AVANCE_METAS[[#This Row],[AVANCE ACUM. TRIM.]]/TABLA_AVANCE_METAS[[#This Row],[PROG. ACUM]])*100,"N/A")</f>
        <v>100</v>
      </c>
      <c r="AI20"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0" s="31">
        <f>TABLA_AVANCE_METAS[[#This Row],[AVANCE ACUM. TRIM.]]-TABLA_AVANCE_METAS[[#This Row],[PROG. ACUM]]</f>
        <v>0</v>
      </c>
      <c r="AK20" s="32">
        <f>IFERROR((TABLA_AVANCE_METAS[[#This Row],[DIFERENCIA ABSOLUTA SEMESTRAL]]/TABLA_AVANCE_METAS[[#This Row],[PROG. ACUM]])*100,"N/A")</f>
        <v>0</v>
      </c>
      <c r="AL20" s="84">
        <f>TABLA_AVANCE_METAS[[#This Row],[AVANCE 1°. TRIM]]+TABLA_AVANCE_METAS[[#This Row],[AVANCE 2°. TRIM]]+TABLA_AVANCE_METAS[[#This Row],[AVANCE 3°. TRIM]]+TABLA_AVANCE_METAS[[#This Row],[AVANCE 4°. TRIM]]</f>
        <v>40</v>
      </c>
      <c r="AM20" s="27">
        <f>IFERROR((TABLA_AVANCE_METAS[[#This Row],[AVANCE ACUM. ANUAL]]/TABLA_AVANCE_METAS[[#This Row],[PROGRAMADO ANUAL]])*100,"N/A")</f>
        <v>50</v>
      </c>
      <c r="AN20"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20" s="31">
        <f>TABLA_AVANCE_METAS[[#This Row],[AVANCE ACUM. ANUAL]]-TABLA_AVANCE_METAS[[#This Row],[PROGRAMADO ANUAL]]</f>
        <v>-40</v>
      </c>
      <c r="AP20" s="33">
        <f>IFERROR((TABLA_AVANCE_METAS[[#This Row],[DIFERENCIA ABSOLUTA ANUAL]]/TABLA_AVANCE_METAS[[#This Row],[PROGRAMADO ANUAL]])*100,"N/A")</f>
        <v>-50</v>
      </c>
      <c r="AQ20" s="34"/>
      <c r="AR20" s="35"/>
      <c r="AS20" s="36"/>
      <c r="AT20" s="36"/>
      <c r="AU20" s="37" t="b">
        <f>TABLA_AVANCE_METAS[[#This Row],[PROGRAMADO ANUAL]]=SUM(TABLA_AVANCE_METAS[[#This Row],[PROGR. 1° TRIM]],TABLA_AVANCE_METAS[[#This Row],[PROGR. 2° TRIM]],TABLA_AVANCE_METAS[[#This Row],[PROGR. 3° TRIM]],TABLA_AVANCE_METAS[[#This Row],[PROGR. 4° TRIM]])</f>
        <v>1</v>
      </c>
      <c r="AV20" s="44"/>
      <c r="AY20" s="1"/>
    </row>
    <row r="21" spans="1:51" s="46" customFormat="1" ht="75" hidden="1" customHeight="1" x14ac:dyDescent="0.35">
      <c r="A21" s="19" t="str">
        <f>CONCATENATE(TABLA_AVANCE_METAS[[#This Row],[ESTRUCTURA]],TABLA_AVANCE_METAS[[#This Row],['#]])</f>
        <v>A0123401080301036</v>
      </c>
      <c r="B21" s="20" t="s">
        <v>104</v>
      </c>
      <c r="C21" s="20" t="s">
        <v>74</v>
      </c>
      <c r="D21" s="21" t="s">
        <v>75</v>
      </c>
      <c r="E21" s="20" t="s">
        <v>105</v>
      </c>
      <c r="F21" s="20" t="s">
        <v>106</v>
      </c>
      <c r="G21" s="22" t="s">
        <v>107</v>
      </c>
      <c r="H21" s="20" t="s">
        <v>108</v>
      </c>
      <c r="I21" s="20" t="s">
        <v>109</v>
      </c>
      <c r="J21" s="20" t="s">
        <v>110</v>
      </c>
      <c r="K21" s="20" t="s">
        <v>111</v>
      </c>
      <c r="L21" s="21">
        <v>6</v>
      </c>
      <c r="M21" s="23" t="s">
        <v>122</v>
      </c>
      <c r="N21" s="22" t="s">
        <v>123</v>
      </c>
      <c r="O21" s="24">
        <v>560</v>
      </c>
      <c r="P21" s="24">
        <v>140</v>
      </c>
      <c r="Q21" s="28">
        <v>141</v>
      </c>
      <c r="R21" s="25">
        <f>IFERROR((TABLA_AVANCE_METAS[[#This Row],[AVANCE 1°. TRIM]]/TABLA_AVANCE_METAS[[#This Row],[PROGR. 1° TRIM]])*100,"0")</f>
        <v>100.71428571428571</v>
      </c>
      <c r="S21"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1" s="24">
        <v>140</v>
      </c>
      <c r="U21" s="28">
        <v>142</v>
      </c>
      <c r="V21" s="27">
        <f t="shared" si="0"/>
        <v>101.42857142857142</v>
      </c>
      <c r="W21" s="26" t="str">
        <f t="shared" si="1"/>
        <v>ADECUADO</v>
      </c>
      <c r="X21" s="24">
        <v>140</v>
      </c>
      <c r="Y21" s="28">
        <v>0</v>
      </c>
      <c r="Z21" s="27">
        <v>0</v>
      </c>
      <c r="AA21" s="26" t="s">
        <v>62</v>
      </c>
      <c r="AB21" s="24">
        <v>140</v>
      </c>
      <c r="AC21" s="28">
        <v>0</v>
      </c>
      <c r="AD21" s="27">
        <f>IFERROR((TABLA_AVANCE_METAS[[#This Row],[AVANCE 4°. TRIM]]/TABLA_AVANCE_METAS[[#This Row],[PROGR. 4° TRIM]])*100,"0")</f>
        <v>0</v>
      </c>
      <c r="AE21"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1" s="30">
        <f t="array" ref="AF21">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280</v>
      </c>
      <c r="AG21" s="84">
        <f t="array" ref="AG21">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283</v>
      </c>
      <c r="AH21" s="27">
        <f>IFERROR((TABLA_AVANCE_METAS[[#This Row],[AVANCE ACUM. TRIM.]]/TABLA_AVANCE_METAS[[#This Row],[PROG. ACUM]])*100,"N/A")</f>
        <v>101.07142857142857</v>
      </c>
      <c r="AI21"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1" s="31">
        <f>TABLA_AVANCE_METAS[[#This Row],[AVANCE ACUM. TRIM.]]-TABLA_AVANCE_METAS[[#This Row],[PROG. ACUM]]</f>
        <v>3</v>
      </c>
      <c r="AK21" s="32">
        <f>IFERROR((TABLA_AVANCE_METAS[[#This Row],[DIFERENCIA ABSOLUTA SEMESTRAL]]/TABLA_AVANCE_METAS[[#This Row],[PROG. ACUM]])*100,"N/A")</f>
        <v>1.0714285714285714</v>
      </c>
      <c r="AL21" s="84">
        <f>TABLA_AVANCE_METAS[[#This Row],[AVANCE 1°. TRIM]]+TABLA_AVANCE_METAS[[#This Row],[AVANCE 2°. TRIM]]+TABLA_AVANCE_METAS[[#This Row],[AVANCE 3°. TRIM]]+TABLA_AVANCE_METAS[[#This Row],[AVANCE 4°. TRIM]]</f>
        <v>283</v>
      </c>
      <c r="AM21" s="27">
        <f>IFERROR((TABLA_AVANCE_METAS[[#This Row],[AVANCE ACUM. ANUAL]]/TABLA_AVANCE_METAS[[#This Row],[PROGRAMADO ANUAL]])*100,"N/A")</f>
        <v>50.535714285714285</v>
      </c>
      <c r="AN21"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21" s="31">
        <f>TABLA_AVANCE_METAS[[#This Row],[AVANCE ACUM. ANUAL]]-TABLA_AVANCE_METAS[[#This Row],[PROGRAMADO ANUAL]]</f>
        <v>-277</v>
      </c>
      <c r="AP21" s="33">
        <f>IFERROR((TABLA_AVANCE_METAS[[#This Row],[DIFERENCIA ABSOLUTA ANUAL]]/TABLA_AVANCE_METAS[[#This Row],[PROGRAMADO ANUAL]])*100,"N/A")</f>
        <v>-49.464285714285715</v>
      </c>
      <c r="AQ21" s="34"/>
      <c r="AR21" s="35"/>
      <c r="AS21" s="36"/>
      <c r="AT21" s="36"/>
      <c r="AU21" s="37" t="b">
        <f>TABLA_AVANCE_METAS[[#This Row],[PROGRAMADO ANUAL]]=SUM(TABLA_AVANCE_METAS[[#This Row],[PROGR. 1° TRIM]],TABLA_AVANCE_METAS[[#This Row],[PROGR. 2° TRIM]],TABLA_AVANCE_METAS[[#This Row],[PROGR. 3° TRIM]],TABLA_AVANCE_METAS[[#This Row],[PROGR. 4° TRIM]])</f>
        <v>1</v>
      </c>
      <c r="AV21" s="44"/>
      <c r="AY21" s="1"/>
    </row>
    <row r="22" spans="1:51" s="46" customFormat="1" ht="75" hidden="1" customHeight="1" x14ac:dyDescent="0.35">
      <c r="A22" s="19" t="str">
        <f>CONCATENATE(TABLA_AVANCE_METAS[[#This Row],[ESTRUCTURA]],TABLA_AVANCE_METAS[[#This Row],['#]])</f>
        <v>A0123401080301037</v>
      </c>
      <c r="B22" s="20" t="s">
        <v>104</v>
      </c>
      <c r="C22" s="20" t="s">
        <v>74</v>
      </c>
      <c r="D22" s="21" t="s">
        <v>75</v>
      </c>
      <c r="E22" s="20" t="s">
        <v>105</v>
      </c>
      <c r="F22" s="20" t="s">
        <v>106</v>
      </c>
      <c r="G22" s="22" t="s">
        <v>107</v>
      </c>
      <c r="H22" s="20" t="s">
        <v>108</v>
      </c>
      <c r="I22" s="20" t="s">
        <v>109</v>
      </c>
      <c r="J22" s="20" t="s">
        <v>110</v>
      </c>
      <c r="K22" s="20" t="s">
        <v>111</v>
      </c>
      <c r="L22" s="21">
        <v>7</v>
      </c>
      <c r="M22" s="23" t="s">
        <v>124</v>
      </c>
      <c r="N22" s="22" t="s">
        <v>125</v>
      </c>
      <c r="O22" s="24">
        <v>80</v>
      </c>
      <c r="P22" s="24">
        <v>20</v>
      </c>
      <c r="Q22" s="28">
        <v>20</v>
      </c>
      <c r="R22" s="25">
        <f>IFERROR((TABLA_AVANCE_METAS[[#This Row],[AVANCE 1°. TRIM]]/TABLA_AVANCE_METAS[[#This Row],[PROGR. 1° TRIM]])*100,"0")</f>
        <v>100</v>
      </c>
      <c r="S22"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2" s="24">
        <v>20</v>
      </c>
      <c r="U22" s="28">
        <v>20</v>
      </c>
      <c r="V22" s="27">
        <f t="shared" si="0"/>
        <v>100</v>
      </c>
      <c r="W22" s="26" t="str">
        <f t="shared" si="1"/>
        <v>ADECUADO</v>
      </c>
      <c r="X22" s="24">
        <v>20</v>
      </c>
      <c r="Y22" s="28">
        <v>0</v>
      </c>
      <c r="Z22" s="27">
        <v>0</v>
      </c>
      <c r="AA22" s="26" t="s">
        <v>62</v>
      </c>
      <c r="AB22" s="24">
        <v>20</v>
      </c>
      <c r="AC22" s="28">
        <v>0</v>
      </c>
      <c r="AD22" s="27">
        <f>IFERROR((TABLA_AVANCE_METAS[[#This Row],[AVANCE 4°. TRIM]]/TABLA_AVANCE_METAS[[#This Row],[PROGR. 4° TRIM]])*100,"0")</f>
        <v>0</v>
      </c>
      <c r="AE22"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2" s="30">
        <f t="array" ref="AF22">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40</v>
      </c>
      <c r="AG22" s="84">
        <f t="array" ref="AG22">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40</v>
      </c>
      <c r="AH22" s="27">
        <f>IFERROR((TABLA_AVANCE_METAS[[#This Row],[AVANCE ACUM. TRIM.]]/TABLA_AVANCE_METAS[[#This Row],[PROG. ACUM]])*100,"N/A")</f>
        <v>100</v>
      </c>
      <c r="AI22"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2" s="31">
        <f>TABLA_AVANCE_METAS[[#This Row],[AVANCE ACUM. TRIM.]]-TABLA_AVANCE_METAS[[#This Row],[PROG. ACUM]]</f>
        <v>0</v>
      </c>
      <c r="AK22" s="32">
        <f>IFERROR((TABLA_AVANCE_METAS[[#This Row],[DIFERENCIA ABSOLUTA SEMESTRAL]]/TABLA_AVANCE_METAS[[#This Row],[PROG. ACUM]])*100,"N/A")</f>
        <v>0</v>
      </c>
      <c r="AL22" s="84">
        <f>TABLA_AVANCE_METAS[[#This Row],[AVANCE 1°. TRIM]]+TABLA_AVANCE_METAS[[#This Row],[AVANCE 2°. TRIM]]+TABLA_AVANCE_METAS[[#This Row],[AVANCE 3°. TRIM]]+TABLA_AVANCE_METAS[[#This Row],[AVANCE 4°. TRIM]]</f>
        <v>40</v>
      </c>
      <c r="AM22" s="27">
        <f>IFERROR((TABLA_AVANCE_METAS[[#This Row],[AVANCE ACUM. ANUAL]]/TABLA_AVANCE_METAS[[#This Row],[PROGRAMADO ANUAL]])*100,"N/A")</f>
        <v>50</v>
      </c>
      <c r="AN22"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22" s="31">
        <f>TABLA_AVANCE_METAS[[#This Row],[AVANCE ACUM. ANUAL]]-TABLA_AVANCE_METAS[[#This Row],[PROGRAMADO ANUAL]]</f>
        <v>-40</v>
      </c>
      <c r="AP22" s="33">
        <f>IFERROR((TABLA_AVANCE_METAS[[#This Row],[DIFERENCIA ABSOLUTA ANUAL]]/TABLA_AVANCE_METAS[[#This Row],[PROGRAMADO ANUAL]])*100,"N/A")</f>
        <v>-50</v>
      </c>
      <c r="AQ22" s="34"/>
      <c r="AR22" s="35"/>
      <c r="AS22" s="36"/>
      <c r="AT22" s="36"/>
      <c r="AU22" s="37" t="b">
        <f>TABLA_AVANCE_METAS[[#This Row],[PROGRAMADO ANUAL]]=SUM(TABLA_AVANCE_METAS[[#This Row],[PROGR. 1° TRIM]],TABLA_AVANCE_METAS[[#This Row],[PROGR. 2° TRIM]],TABLA_AVANCE_METAS[[#This Row],[PROGR. 3° TRIM]],TABLA_AVANCE_METAS[[#This Row],[PROGR. 4° TRIM]])</f>
        <v>1</v>
      </c>
      <c r="AV22" s="44"/>
      <c r="AY22" s="1"/>
    </row>
    <row r="23" spans="1:51" s="46" customFormat="1" ht="75" hidden="1" customHeight="1" x14ac:dyDescent="0.35">
      <c r="A23" s="19" t="str">
        <f>CONCATENATE(TABLA_AVANCE_METAS[[#This Row],[ESTRUCTURA]],TABLA_AVANCE_METAS[[#This Row],['#]])</f>
        <v>A0123401080301038</v>
      </c>
      <c r="B23" s="20" t="s">
        <v>104</v>
      </c>
      <c r="C23" s="47" t="s">
        <v>74</v>
      </c>
      <c r="D23" s="48" t="s">
        <v>75</v>
      </c>
      <c r="E23" s="20" t="s">
        <v>105</v>
      </c>
      <c r="F23" s="47" t="s">
        <v>106</v>
      </c>
      <c r="G23" s="22" t="s">
        <v>107</v>
      </c>
      <c r="H23" s="47" t="s">
        <v>108</v>
      </c>
      <c r="I23" s="47" t="s">
        <v>109</v>
      </c>
      <c r="J23" s="47" t="s">
        <v>110</v>
      </c>
      <c r="K23" s="47" t="s">
        <v>111</v>
      </c>
      <c r="L23" s="21">
        <v>8</v>
      </c>
      <c r="M23" s="43" t="s">
        <v>126</v>
      </c>
      <c r="N23" s="22" t="s">
        <v>127</v>
      </c>
      <c r="O23" s="24">
        <v>4</v>
      </c>
      <c r="P23" s="24">
        <v>1</v>
      </c>
      <c r="Q23" s="28">
        <v>1</v>
      </c>
      <c r="R23" s="25">
        <f>IFERROR((TABLA_AVANCE_METAS[[#This Row],[AVANCE 1°. TRIM]]/TABLA_AVANCE_METAS[[#This Row],[PROGR. 1° TRIM]])*100,"0")</f>
        <v>100</v>
      </c>
      <c r="S23"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3" s="24">
        <v>1</v>
      </c>
      <c r="U23" s="28">
        <v>1</v>
      </c>
      <c r="V23" s="27">
        <f t="shared" si="0"/>
        <v>100</v>
      </c>
      <c r="W23" s="26" t="str">
        <f t="shared" si="1"/>
        <v>ADECUADO</v>
      </c>
      <c r="X23" s="24">
        <v>1</v>
      </c>
      <c r="Y23" s="28">
        <v>0</v>
      </c>
      <c r="Z23" s="27">
        <v>0</v>
      </c>
      <c r="AA23" s="26" t="s">
        <v>62</v>
      </c>
      <c r="AB23" s="24">
        <v>1</v>
      </c>
      <c r="AC23" s="28">
        <v>0</v>
      </c>
      <c r="AD23" s="27">
        <f>IFERROR((TABLA_AVANCE_METAS[[#This Row],[AVANCE 4°. TRIM]]/TABLA_AVANCE_METAS[[#This Row],[PROGR. 4° TRIM]])*100,"0")</f>
        <v>0</v>
      </c>
      <c r="AE23"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3" s="30">
        <f t="array" ref="AF23">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23" s="84">
        <f t="array" ref="AG23">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23" s="27">
        <f>IFERROR((TABLA_AVANCE_METAS[[#This Row],[AVANCE ACUM. TRIM.]]/TABLA_AVANCE_METAS[[#This Row],[PROG. ACUM]])*100,"N/A")</f>
        <v>100</v>
      </c>
      <c r="AI23"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3" s="31">
        <f>TABLA_AVANCE_METAS[[#This Row],[AVANCE ACUM. TRIM.]]-TABLA_AVANCE_METAS[[#This Row],[PROG. ACUM]]</f>
        <v>0</v>
      </c>
      <c r="AK23" s="32">
        <f>IFERROR((TABLA_AVANCE_METAS[[#This Row],[DIFERENCIA ABSOLUTA SEMESTRAL]]/TABLA_AVANCE_METAS[[#This Row],[PROG. ACUM]])*100,"N/A")</f>
        <v>0</v>
      </c>
      <c r="AL23" s="84">
        <f>TABLA_AVANCE_METAS[[#This Row],[AVANCE 1°. TRIM]]+TABLA_AVANCE_METAS[[#This Row],[AVANCE 2°. TRIM]]+TABLA_AVANCE_METAS[[#This Row],[AVANCE 3°. TRIM]]+TABLA_AVANCE_METAS[[#This Row],[AVANCE 4°. TRIM]]</f>
        <v>2</v>
      </c>
      <c r="AM23" s="27">
        <f>IFERROR((TABLA_AVANCE_METAS[[#This Row],[AVANCE ACUM. ANUAL]]/TABLA_AVANCE_METAS[[#This Row],[PROGRAMADO ANUAL]])*100,"N/A")</f>
        <v>50</v>
      </c>
      <c r="AN23"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23" s="31">
        <f>TABLA_AVANCE_METAS[[#This Row],[AVANCE ACUM. ANUAL]]-TABLA_AVANCE_METAS[[#This Row],[PROGRAMADO ANUAL]]</f>
        <v>-2</v>
      </c>
      <c r="AP23" s="33">
        <f>IFERROR((TABLA_AVANCE_METAS[[#This Row],[DIFERENCIA ABSOLUTA ANUAL]]/TABLA_AVANCE_METAS[[#This Row],[PROGRAMADO ANUAL]])*100,"N/A")</f>
        <v>-50</v>
      </c>
      <c r="AQ23" s="34"/>
      <c r="AR23" s="35"/>
      <c r="AS23" s="36"/>
      <c r="AT23" s="36"/>
      <c r="AU23" s="37" t="b">
        <f>TABLA_AVANCE_METAS[[#This Row],[PROGRAMADO ANUAL]]=SUM(TABLA_AVANCE_METAS[[#This Row],[PROGR. 1° TRIM]],TABLA_AVANCE_METAS[[#This Row],[PROGR. 2° TRIM]],TABLA_AVANCE_METAS[[#This Row],[PROGR. 3° TRIM]],TABLA_AVANCE_METAS[[#This Row],[PROGR. 4° TRIM]])</f>
        <v>1</v>
      </c>
      <c r="AV23" s="44"/>
      <c r="AY23" s="1"/>
    </row>
    <row r="24" spans="1:51" s="46" customFormat="1" ht="75" hidden="1" customHeight="1" x14ac:dyDescent="0.35">
      <c r="A24" s="19" t="str">
        <f>CONCATENATE(TABLA_AVANCE_METAS[[#This Row],[ESTRUCTURA]],TABLA_AVANCE_METAS[[#This Row],['#]])</f>
        <v>A0123401080301039</v>
      </c>
      <c r="B24" s="20" t="s">
        <v>104</v>
      </c>
      <c r="C24" s="20" t="s">
        <v>74</v>
      </c>
      <c r="D24" s="21" t="s">
        <v>75</v>
      </c>
      <c r="E24" s="20" t="s">
        <v>105</v>
      </c>
      <c r="F24" s="20" t="s">
        <v>106</v>
      </c>
      <c r="G24" s="22" t="s">
        <v>107</v>
      </c>
      <c r="H24" s="20" t="s">
        <v>108</v>
      </c>
      <c r="I24" s="20" t="s">
        <v>109</v>
      </c>
      <c r="J24" s="20" t="s">
        <v>110</v>
      </c>
      <c r="K24" s="20" t="s">
        <v>111</v>
      </c>
      <c r="L24" s="21">
        <v>9</v>
      </c>
      <c r="M24" s="23" t="s">
        <v>128</v>
      </c>
      <c r="N24" s="22" t="s">
        <v>84</v>
      </c>
      <c r="O24" s="24">
        <v>2</v>
      </c>
      <c r="P24" s="24">
        <v>0</v>
      </c>
      <c r="Q24" s="28">
        <v>0</v>
      </c>
      <c r="R24" s="25" t="str">
        <f>IFERROR((TABLA_AVANCE_METAS[[#This Row],[AVANCE 1°. TRIM]]/TABLA_AVANCE_METAS[[#This Row],[PROGR. 1° TRIM]])*100,"0")</f>
        <v>0</v>
      </c>
      <c r="S24"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24" s="24">
        <v>1</v>
      </c>
      <c r="U24" s="28">
        <v>1</v>
      </c>
      <c r="V24" s="27">
        <f t="shared" si="0"/>
        <v>100</v>
      </c>
      <c r="W24" s="26" t="str">
        <f t="shared" si="1"/>
        <v>ADECUADO</v>
      </c>
      <c r="X24" s="24">
        <v>0</v>
      </c>
      <c r="Y24" s="28">
        <v>0</v>
      </c>
      <c r="Z24" s="27" t="s">
        <v>71</v>
      </c>
      <c r="AA24" s="26" t="s">
        <v>72</v>
      </c>
      <c r="AB24" s="24">
        <v>1</v>
      </c>
      <c r="AC24" s="28">
        <v>0</v>
      </c>
      <c r="AD24" s="27">
        <f>IFERROR((TABLA_AVANCE_METAS[[#This Row],[AVANCE 4°. TRIM]]/TABLA_AVANCE_METAS[[#This Row],[PROGR. 4° TRIM]])*100,"0")</f>
        <v>0</v>
      </c>
      <c r="AE24"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4" s="30">
        <f t="array" ref="AF24">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24" s="84">
        <f t="array" ref="AG24">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24" s="27">
        <f>IFERROR((TABLA_AVANCE_METAS[[#This Row],[AVANCE ACUM. TRIM.]]/TABLA_AVANCE_METAS[[#This Row],[PROG. ACUM]])*100,"N/A")</f>
        <v>100</v>
      </c>
      <c r="AI24"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4" s="31">
        <f>TABLA_AVANCE_METAS[[#This Row],[AVANCE ACUM. TRIM.]]-TABLA_AVANCE_METAS[[#This Row],[PROG. ACUM]]</f>
        <v>0</v>
      </c>
      <c r="AK24" s="32">
        <f>IFERROR((TABLA_AVANCE_METAS[[#This Row],[DIFERENCIA ABSOLUTA SEMESTRAL]]/TABLA_AVANCE_METAS[[#This Row],[PROG. ACUM]])*100,"N/A")</f>
        <v>0</v>
      </c>
      <c r="AL24" s="84">
        <f>TABLA_AVANCE_METAS[[#This Row],[AVANCE 1°. TRIM]]+TABLA_AVANCE_METAS[[#This Row],[AVANCE 2°. TRIM]]+TABLA_AVANCE_METAS[[#This Row],[AVANCE 3°. TRIM]]+TABLA_AVANCE_METAS[[#This Row],[AVANCE 4°. TRIM]]</f>
        <v>1</v>
      </c>
      <c r="AM24" s="27">
        <f>IFERROR((TABLA_AVANCE_METAS[[#This Row],[AVANCE ACUM. ANUAL]]/TABLA_AVANCE_METAS[[#This Row],[PROGRAMADO ANUAL]])*100,"N/A")</f>
        <v>50</v>
      </c>
      <c r="AN24"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24" s="31">
        <f>TABLA_AVANCE_METAS[[#This Row],[AVANCE ACUM. ANUAL]]-TABLA_AVANCE_METAS[[#This Row],[PROGRAMADO ANUAL]]</f>
        <v>-1</v>
      </c>
      <c r="AP24" s="33">
        <f>IFERROR((TABLA_AVANCE_METAS[[#This Row],[DIFERENCIA ABSOLUTA ANUAL]]/TABLA_AVANCE_METAS[[#This Row],[PROGRAMADO ANUAL]])*100,"N/A")</f>
        <v>-50</v>
      </c>
      <c r="AQ24" s="34"/>
      <c r="AR24" s="35"/>
      <c r="AS24" s="36"/>
      <c r="AT24" s="36"/>
      <c r="AU24" s="37" t="b">
        <f>TABLA_AVANCE_METAS[[#This Row],[PROGRAMADO ANUAL]]=SUM(TABLA_AVANCE_METAS[[#This Row],[PROGR. 1° TRIM]],TABLA_AVANCE_METAS[[#This Row],[PROGR. 2° TRIM]],TABLA_AVANCE_METAS[[#This Row],[PROGR. 3° TRIM]],TABLA_AVANCE_METAS[[#This Row],[PROGR. 4° TRIM]])</f>
        <v>1</v>
      </c>
      <c r="AV24" s="44"/>
      <c r="AY24" s="1"/>
    </row>
    <row r="25" spans="1:51" s="46" customFormat="1" ht="75" hidden="1" customHeight="1" x14ac:dyDescent="0.35">
      <c r="A25" s="19" t="str">
        <f>CONCATENATE(TABLA_AVANCE_METAS[[#This Row],[ESTRUCTURA]],TABLA_AVANCE_METAS[[#This Row],['#]])</f>
        <v>A01234010803010310</v>
      </c>
      <c r="B25" s="20" t="s">
        <v>104</v>
      </c>
      <c r="C25" s="20" t="s">
        <v>74</v>
      </c>
      <c r="D25" s="21" t="s">
        <v>75</v>
      </c>
      <c r="E25" s="20" t="s">
        <v>105</v>
      </c>
      <c r="F25" s="20" t="s">
        <v>106</v>
      </c>
      <c r="G25" s="22" t="s">
        <v>107</v>
      </c>
      <c r="H25" s="20" t="s">
        <v>108</v>
      </c>
      <c r="I25" s="20" t="s">
        <v>109</v>
      </c>
      <c r="J25" s="20" t="s">
        <v>110</v>
      </c>
      <c r="K25" s="20" t="s">
        <v>111</v>
      </c>
      <c r="L25" s="21">
        <v>10</v>
      </c>
      <c r="M25" s="23" t="s">
        <v>129</v>
      </c>
      <c r="N25" s="22" t="s">
        <v>130</v>
      </c>
      <c r="O25" s="24">
        <v>5</v>
      </c>
      <c r="P25" s="24">
        <v>1</v>
      </c>
      <c r="Q25" s="28">
        <v>1</v>
      </c>
      <c r="R25" s="25">
        <f>IFERROR((TABLA_AVANCE_METAS[[#This Row],[AVANCE 1°. TRIM]]/TABLA_AVANCE_METAS[[#This Row],[PROGR. 1° TRIM]])*100,"0")</f>
        <v>100</v>
      </c>
      <c r="S25"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5" s="24">
        <v>1</v>
      </c>
      <c r="U25" s="28">
        <v>1</v>
      </c>
      <c r="V25" s="27">
        <f t="shared" si="0"/>
        <v>100</v>
      </c>
      <c r="W25" s="26" t="str">
        <f t="shared" si="1"/>
        <v>ADECUADO</v>
      </c>
      <c r="X25" s="24">
        <v>2</v>
      </c>
      <c r="Y25" s="28">
        <v>0</v>
      </c>
      <c r="Z25" s="27">
        <v>0</v>
      </c>
      <c r="AA25" s="26" t="s">
        <v>62</v>
      </c>
      <c r="AB25" s="24">
        <v>1</v>
      </c>
      <c r="AC25" s="28">
        <v>0</v>
      </c>
      <c r="AD25" s="27">
        <f>IFERROR((TABLA_AVANCE_METAS[[#This Row],[AVANCE 4°. TRIM]]/TABLA_AVANCE_METAS[[#This Row],[PROGR. 4° TRIM]])*100,"0")</f>
        <v>0</v>
      </c>
      <c r="AE25"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5" s="30">
        <f t="array" ref="AF25">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25" s="84">
        <f t="array" ref="AG25">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25" s="27">
        <f>IFERROR((TABLA_AVANCE_METAS[[#This Row],[AVANCE ACUM. TRIM.]]/TABLA_AVANCE_METAS[[#This Row],[PROG. ACUM]])*100,"N/A")</f>
        <v>100</v>
      </c>
      <c r="AI25"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5" s="31">
        <f>TABLA_AVANCE_METAS[[#This Row],[AVANCE ACUM. TRIM.]]-TABLA_AVANCE_METAS[[#This Row],[PROG. ACUM]]</f>
        <v>0</v>
      </c>
      <c r="AK25" s="32">
        <f>IFERROR((TABLA_AVANCE_METAS[[#This Row],[DIFERENCIA ABSOLUTA SEMESTRAL]]/TABLA_AVANCE_METAS[[#This Row],[PROG. ACUM]])*100,"N/A")</f>
        <v>0</v>
      </c>
      <c r="AL25" s="84">
        <f>TABLA_AVANCE_METAS[[#This Row],[AVANCE 1°. TRIM]]+TABLA_AVANCE_METAS[[#This Row],[AVANCE 2°. TRIM]]+TABLA_AVANCE_METAS[[#This Row],[AVANCE 3°. TRIM]]+TABLA_AVANCE_METAS[[#This Row],[AVANCE 4°. TRIM]]</f>
        <v>2</v>
      </c>
      <c r="AM25" s="27">
        <f>IFERROR((TABLA_AVANCE_METAS[[#This Row],[AVANCE ACUM. ANUAL]]/TABLA_AVANCE_METAS[[#This Row],[PROGRAMADO ANUAL]])*100,"N/A")</f>
        <v>40</v>
      </c>
      <c r="AN25"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25" s="31">
        <f>TABLA_AVANCE_METAS[[#This Row],[AVANCE ACUM. ANUAL]]-TABLA_AVANCE_METAS[[#This Row],[PROGRAMADO ANUAL]]</f>
        <v>-3</v>
      </c>
      <c r="AP25" s="33">
        <f>IFERROR((TABLA_AVANCE_METAS[[#This Row],[DIFERENCIA ABSOLUTA ANUAL]]/TABLA_AVANCE_METAS[[#This Row],[PROGRAMADO ANUAL]])*100,"N/A")</f>
        <v>-60</v>
      </c>
      <c r="AQ25" s="34"/>
      <c r="AR25" s="35"/>
      <c r="AS25" s="36"/>
      <c r="AT25" s="36"/>
      <c r="AU25" s="37" t="b">
        <f>TABLA_AVANCE_METAS[[#This Row],[PROGRAMADO ANUAL]]=SUM(TABLA_AVANCE_METAS[[#This Row],[PROGR. 1° TRIM]],TABLA_AVANCE_METAS[[#This Row],[PROGR. 2° TRIM]],TABLA_AVANCE_METAS[[#This Row],[PROGR. 3° TRIM]],TABLA_AVANCE_METAS[[#This Row],[PROGR. 4° TRIM]])</f>
        <v>1</v>
      </c>
      <c r="AV25" s="44"/>
      <c r="AY25" s="1"/>
    </row>
    <row r="26" spans="1:51" ht="75" hidden="1" customHeight="1" x14ac:dyDescent="0.35">
      <c r="A26" s="19" t="str">
        <f>CONCATENATE(TABLA_AVANCE_METAS[[#This Row],[ESTRUCTURA]],TABLA_AVANCE_METAS[[#This Row],['#]])</f>
        <v>A0121501030101031</v>
      </c>
      <c r="B26" s="20" t="s">
        <v>131</v>
      </c>
      <c r="C26" s="20" t="s">
        <v>74</v>
      </c>
      <c r="D26" s="21" t="s">
        <v>75</v>
      </c>
      <c r="E26" s="20" t="s">
        <v>76</v>
      </c>
      <c r="F26" s="20" t="s">
        <v>77</v>
      </c>
      <c r="G26" s="22" t="s">
        <v>132</v>
      </c>
      <c r="H26" s="20" t="s">
        <v>56</v>
      </c>
      <c r="I26" s="20" t="s">
        <v>57</v>
      </c>
      <c r="J26" s="20" t="s">
        <v>58</v>
      </c>
      <c r="K26" s="20" t="s">
        <v>59</v>
      </c>
      <c r="L26" s="21">
        <v>1</v>
      </c>
      <c r="M26" s="23" t="s">
        <v>133</v>
      </c>
      <c r="N26" s="22" t="s">
        <v>84</v>
      </c>
      <c r="O26" s="24">
        <v>12</v>
      </c>
      <c r="P26" s="24">
        <v>3</v>
      </c>
      <c r="Q26" s="28">
        <v>3</v>
      </c>
      <c r="R26" s="25">
        <f>IFERROR((TABLA_AVANCE_METAS[[#This Row],[AVANCE 1°. TRIM]]/TABLA_AVANCE_METAS[[#This Row],[PROGR. 1° TRIM]])*100,"0")</f>
        <v>100</v>
      </c>
      <c r="S26"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6" s="24">
        <v>3</v>
      </c>
      <c r="U26" s="28">
        <v>3</v>
      </c>
      <c r="V26" s="27">
        <f t="shared" si="0"/>
        <v>100</v>
      </c>
      <c r="W26" s="26" t="str">
        <f t="shared" si="1"/>
        <v>ADECUADO</v>
      </c>
      <c r="X26" s="24">
        <v>3</v>
      </c>
      <c r="Y26" s="28">
        <v>0</v>
      </c>
      <c r="Z26" s="27">
        <v>0</v>
      </c>
      <c r="AA26" s="26" t="s">
        <v>62</v>
      </c>
      <c r="AB26" s="24">
        <v>3</v>
      </c>
      <c r="AC26" s="28">
        <v>0</v>
      </c>
      <c r="AD26" s="27">
        <f>IFERROR((TABLA_AVANCE_METAS[[#This Row],[AVANCE 4°. TRIM]]/TABLA_AVANCE_METAS[[#This Row],[PROGR. 4° TRIM]])*100,"0")</f>
        <v>0</v>
      </c>
      <c r="AE26"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6" s="30">
        <f t="array" ref="AF26">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6</v>
      </c>
      <c r="AG26" s="84">
        <f t="array" ref="AG26">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6</v>
      </c>
      <c r="AH26" s="27">
        <f>IFERROR((TABLA_AVANCE_METAS[[#This Row],[AVANCE ACUM. TRIM.]]/TABLA_AVANCE_METAS[[#This Row],[PROG. ACUM]])*100,"N/A")</f>
        <v>100</v>
      </c>
      <c r="AI26"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6" s="31">
        <f>TABLA_AVANCE_METAS[[#This Row],[AVANCE ACUM. TRIM.]]-TABLA_AVANCE_METAS[[#This Row],[PROG. ACUM]]</f>
        <v>0</v>
      </c>
      <c r="AK26" s="32">
        <f>IFERROR((TABLA_AVANCE_METAS[[#This Row],[DIFERENCIA ABSOLUTA SEMESTRAL]]/TABLA_AVANCE_METAS[[#This Row],[PROG. ACUM]])*100,"N/A")</f>
        <v>0</v>
      </c>
      <c r="AL26" s="84">
        <f>TABLA_AVANCE_METAS[[#This Row],[AVANCE 1°. TRIM]]+TABLA_AVANCE_METAS[[#This Row],[AVANCE 2°. TRIM]]+TABLA_AVANCE_METAS[[#This Row],[AVANCE 3°. TRIM]]+TABLA_AVANCE_METAS[[#This Row],[AVANCE 4°. TRIM]]</f>
        <v>6</v>
      </c>
      <c r="AM26" s="27">
        <f>IFERROR((TABLA_AVANCE_METAS[[#This Row],[AVANCE ACUM. ANUAL]]/TABLA_AVANCE_METAS[[#This Row],[PROGRAMADO ANUAL]])*100,"N/A")</f>
        <v>50</v>
      </c>
      <c r="AN26"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26" s="31">
        <f>TABLA_AVANCE_METAS[[#This Row],[AVANCE ACUM. ANUAL]]-TABLA_AVANCE_METAS[[#This Row],[PROGRAMADO ANUAL]]</f>
        <v>-6</v>
      </c>
      <c r="AP26" s="33">
        <f>IFERROR((TABLA_AVANCE_METAS[[#This Row],[DIFERENCIA ABSOLUTA ANUAL]]/TABLA_AVANCE_METAS[[#This Row],[PROGRAMADO ANUAL]])*100,"N/A")</f>
        <v>-50</v>
      </c>
      <c r="AQ26" s="34"/>
      <c r="AR26" s="35"/>
      <c r="AS26" s="36"/>
      <c r="AT26" s="36"/>
      <c r="AU26" s="37" t="b">
        <f>TABLA_AVANCE_METAS[[#This Row],[PROGRAMADO ANUAL]]=SUM(TABLA_AVANCE_METAS[[#This Row],[PROGR. 1° TRIM]],TABLA_AVANCE_METAS[[#This Row],[PROGR. 2° TRIM]],TABLA_AVANCE_METAS[[#This Row],[PROGR. 3° TRIM]],TABLA_AVANCE_METAS[[#This Row],[PROGR. 4° TRIM]])</f>
        <v>1</v>
      </c>
      <c r="AV26" s="44"/>
    </row>
    <row r="27" spans="1:51" ht="75" hidden="1" customHeight="1" x14ac:dyDescent="0.35">
      <c r="A27" s="19" t="str">
        <f>CONCATENATE(TABLA_AVANCE_METAS[[#This Row],[ESTRUCTURA]],TABLA_AVANCE_METAS[[#This Row],['#]])</f>
        <v>A0121501030101032</v>
      </c>
      <c r="B27" s="20" t="s">
        <v>131</v>
      </c>
      <c r="C27" s="21" t="s">
        <v>74</v>
      </c>
      <c r="D27" s="20" t="s">
        <v>75</v>
      </c>
      <c r="E27" s="20" t="s">
        <v>76</v>
      </c>
      <c r="F27" s="20" t="s">
        <v>77</v>
      </c>
      <c r="G27" s="22" t="s">
        <v>132</v>
      </c>
      <c r="H27" s="20" t="s">
        <v>56</v>
      </c>
      <c r="I27" s="20" t="s">
        <v>57</v>
      </c>
      <c r="J27" s="20" t="s">
        <v>58</v>
      </c>
      <c r="K27" s="20" t="s">
        <v>59</v>
      </c>
      <c r="L27" s="21">
        <v>2</v>
      </c>
      <c r="M27" s="23" t="s">
        <v>134</v>
      </c>
      <c r="N27" s="22" t="s">
        <v>123</v>
      </c>
      <c r="O27" s="24">
        <v>12</v>
      </c>
      <c r="P27" s="24">
        <v>3</v>
      </c>
      <c r="Q27" s="28">
        <v>3</v>
      </c>
      <c r="R27" s="25">
        <f>IFERROR((TABLA_AVANCE_METAS[[#This Row],[AVANCE 1°. TRIM]]/TABLA_AVANCE_METAS[[#This Row],[PROGR. 1° TRIM]])*100,"0")</f>
        <v>100</v>
      </c>
      <c r="S27"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7" s="24">
        <v>3</v>
      </c>
      <c r="U27" s="28">
        <v>3</v>
      </c>
      <c r="V27" s="27">
        <f t="shared" si="0"/>
        <v>100</v>
      </c>
      <c r="W27" s="26" t="str">
        <f t="shared" si="1"/>
        <v>ADECUADO</v>
      </c>
      <c r="X27" s="24">
        <v>3</v>
      </c>
      <c r="Y27" s="28">
        <v>0</v>
      </c>
      <c r="Z27" s="27">
        <v>0</v>
      </c>
      <c r="AA27" s="26" t="s">
        <v>62</v>
      </c>
      <c r="AB27" s="24">
        <v>3</v>
      </c>
      <c r="AC27" s="28">
        <v>0</v>
      </c>
      <c r="AD27" s="27">
        <f>IFERROR((TABLA_AVANCE_METAS[[#This Row],[AVANCE 4°. TRIM]]/TABLA_AVANCE_METAS[[#This Row],[PROGR. 4° TRIM]])*100,"0")</f>
        <v>0</v>
      </c>
      <c r="AE27"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7" s="30">
        <f t="array" ref="AF27">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6</v>
      </c>
      <c r="AG27" s="84">
        <f t="array" ref="AG27">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6</v>
      </c>
      <c r="AH27" s="27">
        <f>IFERROR((TABLA_AVANCE_METAS[[#This Row],[AVANCE ACUM. TRIM.]]/TABLA_AVANCE_METAS[[#This Row],[PROG. ACUM]])*100,"N/A")</f>
        <v>100</v>
      </c>
      <c r="AI27"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7" s="31">
        <f>TABLA_AVANCE_METAS[[#This Row],[AVANCE ACUM. TRIM.]]-TABLA_AVANCE_METAS[[#This Row],[PROG. ACUM]]</f>
        <v>0</v>
      </c>
      <c r="AK27" s="32">
        <f>IFERROR((TABLA_AVANCE_METAS[[#This Row],[DIFERENCIA ABSOLUTA SEMESTRAL]]/TABLA_AVANCE_METAS[[#This Row],[PROG. ACUM]])*100,"N/A")</f>
        <v>0</v>
      </c>
      <c r="AL27" s="84">
        <f>TABLA_AVANCE_METAS[[#This Row],[AVANCE 1°. TRIM]]+TABLA_AVANCE_METAS[[#This Row],[AVANCE 2°. TRIM]]+TABLA_AVANCE_METAS[[#This Row],[AVANCE 3°. TRIM]]+TABLA_AVANCE_METAS[[#This Row],[AVANCE 4°. TRIM]]</f>
        <v>6</v>
      </c>
      <c r="AM27" s="27">
        <f>IFERROR((TABLA_AVANCE_METAS[[#This Row],[AVANCE ACUM. ANUAL]]/TABLA_AVANCE_METAS[[#This Row],[PROGRAMADO ANUAL]])*100,"N/A")</f>
        <v>50</v>
      </c>
      <c r="AN27"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27" s="31">
        <f>TABLA_AVANCE_METAS[[#This Row],[AVANCE ACUM. ANUAL]]-TABLA_AVANCE_METAS[[#This Row],[PROGRAMADO ANUAL]]</f>
        <v>-6</v>
      </c>
      <c r="AP27" s="33">
        <f>IFERROR((TABLA_AVANCE_METAS[[#This Row],[DIFERENCIA ABSOLUTA ANUAL]]/TABLA_AVANCE_METAS[[#This Row],[PROGRAMADO ANUAL]])*100,"N/A")</f>
        <v>-50</v>
      </c>
      <c r="AQ27" s="34"/>
      <c r="AR27" s="35"/>
      <c r="AS27" s="36"/>
      <c r="AT27" s="36"/>
      <c r="AU27" s="37" t="b">
        <f>TABLA_AVANCE_METAS[[#This Row],[PROGRAMADO ANUAL]]=SUM(TABLA_AVANCE_METAS[[#This Row],[PROGR. 1° TRIM]],TABLA_AVANCE_METAS[[#This Row],[PROGR. 2° TRIM]],TABLA_AVANCE_METAS[[#This Row],[PROGR. 3° TRIM]],TABLA_AVANCE_METAS[[#This Row],[PROGR. 4° TRIM]])</f>
        <v>1</v>
      </c>
      <c r="AV27" s="38"/>
    </row>
    <row r="28" spans="1:51" ht="75" hidden="1" customHeight="1" x14ac:dyDescent="0.35">
      <c r="A28" s="19" t="str">
        <f>CONCATENATE(TABLA_AVANCE_METAS[[#This Row],[ESTRUCTURA]],TABLA_AVANCE_METAS[[#This Row],['#]])</f>
        <v>A0121401050206061</v>
      </c>
      <c r="B28" s="20" t="s">
        <v>135</v>
      </c>
      <c r="C28" s="21" t="s">
        <v>74</v>
      </c>
      <c r="D28" s="20" t="s">
        <v>75</v>
      </c>
      <c r="E28" s="20" t="s">
        <v>136</v>
      </c>
      <c r="F28" s="20" t="s">
        <v>137</v>
      </c>
      <c r="G28" s="22" t="s">
        <v>138</v>
      </c>
      <c r="H28" s="20" t="s">
        <v>139</v>
      </c>
      <c r="I28" s="20" t="s">
        <v>140</v>
      </c>
      <c r="J28" s="20" t="s">
        <v>141</v>
      </c>
      <c r="K28" s="20" t="s">
        <v>142</v>
      </c>
      <c r="L28" s="21">
        <v>1</v>
      </c>
      <c r="M28" s="23" t="s">
        <v>143</v>
      </c>
      <c r="N28" s="22" t="s">
        <v>144</v>
      </c>
      <c r="O28" s="24">
        <v>2</v>
      </c>
      <c r="P28" s="24">
        <v>0</v>
      </c>
      <c r="Q28" s="28">
        <v>0</v>
      </c>
      <c r="R28" s="25" t="str">
        <f>IFERROR((TABLA_AVANCE_METAS[[#This Row],[AVANCE 1°. TRIM]]/TABLA_AVANCE_METAS[[#This Row],[PROGR. 1° TRIM]])*100,"0")</f>
        <v>0</v>
      </c>
      <c r="S28"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28" s="24">
        <v>1</v>
      </c>
      <c r="U28" s="28">
        <v>1</v>
      </c>
      <c r="V28" s="27">
        <f t="shared" si="0"/>
        <v>100</v>
      </c>
      <c r="W28" s="26" t="str">
        <f t="shared" si="1"/>
        <v>ADECUADO</v>
      </c>
      <c r="X28" s="24">
        <v>0</v>
      </c>
      <c r="Y28" s="28">
        <v>0</v>
      </c>
      <c r="Z28" s="27" t="s">
        <v>71</v>
      </c>
      <c r="AA28" s="26" t="s">
        <v>72</v>
      </c>
      <c r="AB28" s="24">
        <v>1</v>
      </c>
      <c r="AC28" s="28">
        <v>0</v>
      </c>
      <c r="AD28" s="27">
        <f>IFERROR((TABLA_AVANCE_METAS[[#This Row],[AVANCE 4°. TRIM]]/TABLA_AVANCE_METAS[[#This Row],[PROGR. 4° TRIM]])*100,"0")</f>
        <v>0</v>
      </c>
      <c r="AE28"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8" s="30">
        <f t="array" ref="AF28">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28" s="84">
        <f t="array" ref="AG28">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28" s="27">
        <f>IFERROR((TABLA_AVANCE_METAS[[#This Row],[AVANCE ACUM. TRIM.]]/TABLA_AVANCE_METAS[[#This Row],[PROG. ACUM]])*100,"N/A")</f>
        <v>100</v>
      </c>
      <c r="AI28"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8" s="31">
        <f>TABLA_AVANCE_METAS[[#This Row],[AVANCE ACUM. TRIM.]]-TABLA_AVANCE_METAS[[#This Row],[PROG. ACUM]]</f>
        <v>0</v>
      </c>
      <c r="AK28" s="32">
        <f>IFERROR((TABLA_AVANCE_METAS[[#This Row],[DIFERENCIA ABSOLUTA SEMESTRAL]]/TABLA_AVANCE_METAS[[#This Row],[PROG. ACUM]])*100,"N/A")</f>
        <v>0</v>
      </c>
      <c r="AL28" s="84">
        <f>TABLA_AVANCE_METAS[[#This Row],[AVANCE 1°. TRIM]]+TABLA_AVANCE_METAS[[#This Row],[AVANCE 2°. TRIM]]+TABLA_AVANCE_METAS[[#This Row],[AVANCE 3°. TRIM]]+TABLA_AVANCE_METAS[[#This Row],[AVANCE 4°. TRIM]]</f>
        <v>1</v>
      </c>
      <c r="AM28" s="27">
        <f>IFERROR((TABLA_AVANCE_METAS[[#This Row],[AVANCE ACUM. ANUAL]]/TABLA_AVANCE_METAS[[#This Row],[PROGRAMADO ANUAL]])*100,"N/A")</f>
        <v>50</v>
      </c>
      <c r="AN28"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28" s="31">
        <f>TABLA_AVANCE_METAS[[#This Row],[AVANCE ACUM. ANUAL]]-TABLA_AVANCE_METAS[[#This Row],[PROGRAMADO ANUAL]]</f>
        <v>-1</v>
      </c>
      <c r="AP28" s="33">
        <f>IFERROR((TABLA_AVANCE_METAS[[#This Row],[DIFERENCIA ABSOLUTA ANUAL]]/TABLA_AVANCE_METAS[[#This Row],[PROGRAMADO ANUAL]])*100,"N/A")</f>
        <v>-50</v>
      </c>
      <c r="AQ28" s="34"/>
      <c r="AR28" s="35"/>
      <c r="AS28" s="36"/>
      <c r="AT28" s="36"/>
      <c r="AU28" s="37" t="b">
        <f>TABLA_AVANCE_METAS[[#This Row],[PROGRAMADO ANUAL]]=SUM(TABLA_AVANCE_METAS[[#This Row],[PROGR. 1° TRIM]],TABLA_AVANCE_METAS[[#This Row],[PROGR. 2° TRIM]],TABLA_AVANCE_METAS[[#This Row],[PROGR. 3° TRIM]],TABLA_AVANCE_METAS[[#This Row],[PROGR. 4° TRIM]])</f>
        <v>1</v>
      </c>
      <c r="AV28" s="38"/>
    </row>
    <row r="29" spans="1:51" ht="75" hidden="1" customHeight="1" x14ac:dyDescent="0.35">
      <c r="A29" s="19" t="str">
        <f>CONCATENATE(TABLA_AVANCE_METAS[[#This Row],[ESTRUCTURA]],TABLA_AVANCE_METAS[[#This Row],['#]])</f>
        <v>A0121401050206062</v>
      </c>
      <c r="B29" s="20" t="s">
        <v>135</v>
      </c>
      <c r="C29" s="21" t="s">
        <v>74</v>
      </c>
      <c r="D29" s="20" t="s">
        <v>75</v>
      </c>
      <c r="E29" s="20" t="s">
        <v>136</v>
      </c>
      <c r="F29" s="20" t="s">
        <v>137</v>
      </c>
      <c r="G29" s="22" t="s">
        <v>138</v>
      </c>
      <c r="H29" s="20" t="s">
        <v>139</v>
      </c>
      <c r="I29" s="20" t="s">
        <v>140</v>
      </c>
      <c r="J29" s="20" t="s">
        <v>141</v>
      </c>
      <c r="K29" s="20" t="s">
        <v>142</v>
      </c>
      <c r="L29" s="21">
        <v>2</v>
      </c>
      <c r="M29" s="23" t="s">
        <v>145</v>
      </c>
      <c r="N29" s="22" t="s">
        <v>146</v>
      </c>
      <c r="O29" s="24">
        <v>4</v>
      </c>
      <c r="P29" s="24">
        <v>1</v>
      </c>
      <c r="Q29" s="28">
        <v>1</v>
      </c>
      <c r="R29" s="25">
        <f>IFERROR((TABLA_AVANCE_METAS[[#This Row],[AVANCE 1°. TRIM]]/TABLA_AVANCE_METAS[[#This Row],[PROGR. 1° TRIM]])*100,"0")</f>
        <v>100</v>
      </c>
      <c r="S29"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9" s="24">
        <v>1</v>
      </c>
      <c r="U29" s="28">
        <v>1</v>
      </c>
      <c r="V29" s="27">
        <f t="shared" si="0"/>
        <v>100</v>
      </c>
      <c r="W29" s="26" t="str">
        <f t="shared" si="1"/>
        <v>ADECUADO</v>
      </c>
      <c r="X29" s="24">
        <v>1</v>
      </c>
      <c r="Y29" s="28">
        <v>0</v>
      </c>
      <c r="Z29" s="27">
        <v>0</v>
      </c>
      <c r="AA29" s="26" t="s">
        <v>62</v>
      </c>
      <c r="AB29" s="24">
        <v>1</v>
      </c>
      <c r="AC29" s="28">
        <v>0</v>
      </c>
      <c r="AD29" s="27">
        <f>IFERROR((TABLA_AVANCE_METAS[[#This Row],[AVANCE 4°. TRIM]]/TABLA_AVANCE_METAS[[#This Row],[PROGR. 4° TRIM]])*100,"0")</f>
        <v>0</v>
      </c>
      <c r="AE29"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9" s="30">
        <f t="array" ref="AF29">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29" s="84">
        <f t="array" ref="AG29">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29" s="27">
        <f>IFERROR((TABLA_AVANCE_METAS[[#This Row],[AVANCE ACUM. TRIM.]]/TABLA_AVANCE_METAS[[#This Row],[PROG. ACUM]])*100,"N/A")</f>
        <v>100</v>
      </c>
      <c r="AI29"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9" s="31">
        <f>TABLA_AVANCE_METAS[[#This Row],[AVANCE ACUM. TRIM.]]-TABLA_AVANCE_METAS[[#This Row],[PROG. ACUM]]</f>
        <v>0</v>
      </c>
      <c r="AK29" s="32">
        <f>IFERROR((TABLA_AVANCE_METAS[[#This Row],[DIFERENCIA ABSOLUTA SEMESTRAL]]/TABLA_AVANCE_METAS[[#This Row],[PROG. ACUM]])*100,"N/A")</f>
        <v>0</v>
      </c>
      <c r="AL29" s="84">
        <f>TABLA_AVANCE_METAS[[#This Row],[AVANCE 1°. TRIM]]+TABLA_AVANCE_METAS[[#This Row],[AVANCE 2°. TRIM]]+TABLA_AVANCE_METAS[[#This Row],[AVANCE 3°. TRIM]]+TABLA_AVANCE_METAS[[#This Row],[AVANCE 4°. TRIM]]</f>
        <v>2</v>
      </c>
      <c r="AM29" s="27">
        <f>IFERROR((TABLA_AVANCE_METAS[[#This Row],[AVANCE ACUM. ANUAL]]/TABLA_AVANCE_METAS[[#This Row],[PROGRAMADO ANUAL]])*100,"N/A")</f>
        <v>50</v>
      </c>
      <c r="AN29"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29" s="31">
        <f>TABLA_AVANCE_METAS[[#This Row],[AVANCE ACUM. ANUAL]]-TABLA_AVANCE_METAS[[#This Row],[PROGRAMADO ANUAL]]</f>
        <v>-2</v>
      </c>
      <c r="AP29" s="33">
        <f>IFERROR((TABLA_AVANCE_METAS[[#This Row],[DIFERENCIA ABSOLUTA ANUAL]]/TABLA_AVANCE_METAS[[#This Row],[PROGRAMADO ANUAL]])*100,"N/A")</f>
        <v>-50</v>
      </c>
      <c r="AQ29" s="34"/>
      <c r="AR29" s="35"/>
      <c r="AS29" s="36"/>
      <c r="AT29" s="36"/>
      <c r="AU29" s="37" t="b">
        <f>TABLA_AVANCE_METAS[[#This Row],[PROGRAMADO ANUAL]]=SUM(TABLA_AVANCE_METAS[[#This Row],[PROGR. 1° TRIM]],TABLA_AVANCE_METAS[[#This Row],[PROGR. 2° TRIM]],TABLA_AVANCE_METAS[[#This Row],[PROGR. 3° TRIM]],TABLA_AVANCE_METAS[[#This Row],[PROGR. 4° TRIM]])</f>
        <v>1</v>
      </c>
      <c r="AV29" s="38"/>
    </row>
    <row r="30" spans="1:51" ht="75" hidden="1" customHeight="1" x14ac:dyDescent="0.35">
      <c r="A30" s="19" t="str">
        <f>CONCATENATE(TABLA_AVANCE_METAS[[#This Row],[ESTRUCTURA]],TABLA_AVANCE_METAS[[#This Row],['#]])</f>
        <v>A0121401050206063</v>
      </c>
      <c r="B30" s="20" t="s">
        <v>135</v>
      </c>
      <c r="C30" s="21" t="s">
        <v>74</v>
      </c>
      <c r="D30" s="20" t="s">
        <v>75</v>
      </c>
      <c r="E30" s="20" t="s">
        <v>136</v>
      </c>
      <c r="F30" s="20" t="s">
        <v>137</v>
      </c>
      <c r="G30" s="22" t="s">
        <v>138</v>
      </c>
      <c r="H30" s="20" t="s">
        <v>139</v>
      </c>
      <c r="I30" s="20" t="s">
        <v>140</v>
      </c>
      <c r="J30" s="20" t="s">
        <v>141</v>
      </c>
      <c r="K30" s="20" t="s">
        <v>142</v>
      </c>
      <c r="L30" s="21">
        <v>3</v>
      </c>
      <c r="M30" s="23" t="s">
        <v>147</v>
      </c>
      <c r="N30" s="22" t="s">
        <v>148</v>
      </c>
      <c r="O30" s="24">
        <v>6</v>
      </c>
      <c r="P30" s="24">
        <v>1</v>
      </c>
      <c r="Q30" s="28">
        <v>1</v>
      </c>
      <c r="R30" s="25">
        <f>IFERROR((TABLA_AVANCE_METAS[[#This Row],[AVANCE 1°. TRIM]]/TABLA_AVANCE_METAS[[#This Row],[PROGR. 1° TRIM]])*100,"0")</f>
        <v>100</v>
      </c>
      <c r="S30"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30" s="24">
        <v>2</v>
      </c>
      <c r="U30" s="28">
        <v>2</v>
      </c>
      <c r="V30" s="27">
        <f t="shared" si="0"/>
        <v>100</v>
      </c>
      <c r="W30" s="26" t="str">
        <f t="shared" si="1"/>
        <v>ADECUADO</v>
      </c>
      <c r="X30" s="24">
        <v>1</v>
      </c>
      <c r="Y30" s="28">
        <v>0</v>
      </c>
      <c r="Z30" s="27">
        <v>0</v>
      </c>
      <c r="AA30" s="26" t="s">
        <v>62</v>
      </c>
      <c r="AB30" s="24">
        <v>2</v>
      </c>
      <c r="AC30" s="28">
        <v>0</v>
      </c>
      <c r="AD30" s="27">
        <f>IFERROR((TABLA_AVANCE_METAS[[#This Row],[AVANCE 4°. TRIM]]/TABLA_AVANCE_METAS[[#This Row],[PROGR. 4° TRIM]])*100,"0")</f>
        <v>0</v>
      </c>
      <c r="AE30"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30" s="30">
        <f t="array" ref="AF30">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3</v>
      </c>
      <c r="AG30" s="84">
        <f t="array" ref="AG30">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3</v>
      </c>
      <c r="AH30" s="27">
        <f>IFERROR((TABLA_AVANCE_METAS[[#This Row],[AVANCE ACUM. TRIM.]]/TABLA_AVANCE_METAS[[#This Row],[PROG. ACUM]])*100,"N/A")</f>
        <v>100</v>
      </c>
      <c r="AI30"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30" s="31">
        <f>TABLA_AVANCE_METAS[[#This Row],[AVANCE ACUM. TRIM.]]-TABLA_AVANCE_METAS[[#This Row],[PROG. ACUM]]</f>
        <v>0</v>
      </c>
      <c r="AK30" s="32">
        <f>IFERROR((TABLA_AVANCE_METAS[[#This Row],[DIFERENCIA ABSOLUTA SEMESTRAL]]/TABLA_AVANCE_METAS[[#This Row],[PROG. ACUM]])*100,"N/A")</f>
        <v>0</v>
      </c>
      <c r="AL30" s="84">
        <f>TABLA_AVANCE_METAS[[#This Row],[AVANCE 1°. TRIM]]+TABLA_AVANCE_METAS[[#This Row],[AVANCE 2°. TRIM]]+TABLA_AVANCE_METAS[[#This Row],[AVANCE 3°. TRIM]]+TABLA_AVANCE_METAS[[#This Row],[AVANCE 4°. TRIM]]</f>
        <v>3</v>
      </c>
      <c r="AM30" s="27">
        <f>IFERROR((TABLA_AVANCE_METAS[[#This Row],[AVANCE ACUM. ANUAL]]/TABLA_AVANCE_METAS[[#This Row],[PROGRAMADO ANUAL]])*100,"N/A")</f>
        <v>50</v>
      </c>
      <c r="AN30"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30" s="31">
        <f>TABLA_AVANCE_METAS[[#This Row],[AVANCE ACUM. ANUAL]]-TABLA_AVANCE_METAS[[#This Row],[PROGRAMADO ANUAL]]</f>
        <v>-3</v>
      </c>
      <c r="AP30" s="33">
        <f>IFERROR((TABLA_AVANCE_METAS[[#This Row],[DIFERENCIA ABSOLUTA ANUAL]]/TABLA_AVANCE_METAS[[#This Row],[PROGRAMADO ANUAL]])*100,"N/A")</f>
        <v>-50</v>
      </c>
      <c r="AQ30" s="34"/>
      <c r="AR30" s="35"/>
      <c r="AS30" s="36"/>
      <c r="AT30" s="36"/>
      <c r="AU30" s="37" t="b">
        <f>TABLA_AVANCE_METAS[[#This Row],[PROGRAMADO ANUAL]]=SUM(TABLA_AVANCE_METAS[[#This Row],[PROGR. 1° TRIM]],TABLA_AVANCE_METAS[[#This Row],[PROGR. 2° TRIM]],TABLA_AVANCE_METAS[[#This Row],[PROGR. 3° TRIM]],TABLA_AVANCE_METAS[[#This Row],[PROGR. 4° TRIM]])</f>
        <v>1</v>
      </c>
      <c r="AV30" s="38"/>
    </row>
    <row r="31" spans="1:51" ht="75" hidden="1" customHeight="1" x14ac:dyDescent="0.35">
      <c r="A31" s="19" t="str">
        <f>CONCATENATE(TABLA_AVANCE_METAS[[#This Row],[ESTRUCTURA]],TABLA_AVANCE_METAS[[#This Row],['#]])</f>
        <v>A0121401050206064</v>
      </c>
      <c r="B31" s="20" t="s">
        <v>135</v>
      </c>
      <c r="C31" s="21" t="s">
        <v>74</v>
      </c>
      <c r="D31" s="20" t="s">
        <v>75</v>
      </c>
      <c r="E31" s="20" t="s">
        <v>136</v>
      </c>
      <c r="F31" s="20" t="s">
        <v>137</v>
      </c>
      <c r="G31" s="22" t="s">
        <v>138</v>
      </c>
      <c r="H31" s="20" t="s">
        <v>139</v>
      </c>
      <c r="I31" s="20" t="s">
        <v>140</v>
      </c>
      <c r="J31" s="20" t="s">
        <v>141</v>
      </c>
      <c r="K31" s="20" t="s">
        <v>142</v>
      </c>
      <c r="L31" s="21">
        <v>4</v>
      </c>
      <c r="M31" s="23" t="s">
        <v>149</v>
      </c>
      <c r="N31" s="22" t="s">
        <v>150</v>
      </c>
      <c r="O31" s="24">
        <v>1</v>
      </c>
      <c r="P31" s="24">
        <v>0</v>
      </c>
      <c r="Q31" s="28">
        <v>0</v>
      </c>
      <c r="R31" s="25" t="str">
        <f>IFERROR((TABLA_AVANCE_METAS[[#This Row],[AVANCE 1°. TRIM]]/TABLA_AVANCE_METAS[[#This Row],[PROGR. 1° TRIM]])*100,"0")</f>
        <v>0</v>
      </c>
      <c r="S31"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31" s="24">
        <v>1</v>
      </c>
      <c r="U31" s="28">
        <v>1</v>
      </c>
      <c r="V31" s="27">
        <f t="shared" si="0"/>
        <v>100</v>
      </c>
      <c r="W31" s="26" t="str">
        <f t="shared" si="1"/>
        <v>ADECUADO</v>
      </c>
      <c r="X31" s="24">
        <v>0</v>
      </c>
      <c r="Y31" s="28">
        <v>0</v>
      </c>
      <c r="Z31" s="27" t="s">
        <v>71</v>
      </c>
      <c r="AA31" s="26" t="s">
        <v>72</v>
      </c>
      <c r="AB31" s="24">
        <v>0</v>
      </c>
      <c r="AC31" s="28">
        <v>0</v>
      </c>
      <c r="AD31" s="27" t="str">
        <f>IFERROR((TABLA_AVANCE_METAS[[#This Row],[AVANCE 4°. TRIM]]/TABLA_AVANCE_METAS[[#This Row],[PROGR. 4° TRIM]])*100,"0")</f>
        <v>0</v>
      </c>
      <c r="AE31"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31" s="30">
        <f t="array" ref="AF31">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31" s="84">
        <f t="array" ref="AG31">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31" s="27">
        <f>IFERROR((TABLA_AVANCE_METAS[[#This Row],[AVANCE ACUM. TRIM.]]/TABLA_AVANCE_METAS[[#This Row],[PROG. ACUM]])*100,"N/A")</f>
        <v>100</v>
      </c>
      <c r="AI31"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31" s="31">
        <f>TABLA_AVANCE_METAS[[#This Row],[AVANCE ACUM. TRIM.]]-TABLA_AVANCE_METAS[[#This Row],[PROG. ACUM]]</f>
        <v>0</v>
      </c>
      <c r="AK31" s="32">
        <f>IFERROR((TABLA_AVANCE_METAS[[#This Row],[DIFERENCIA ABSOLUTA SEMESTRAL]]/TABLA_AVANCE_METAS[[#This Row],[PROG. ACUM]])*100,"N/A")</f>
        <v>0</v>
      </c>
      <c r="AL31" s="84">
        <f>TABLA_AVANCE_METAS[[#This Row],[AVANCE 1°. TRIM]]+TABLA_AVANCE_METAS[[#This Row],[AVANCE 2°. TRIM]]+TABLA_AVANCE_METAS[[#This Row],[AVANCE 3°. TRIM]]+TABLA_AVANCE_METAS[[#This Row],[AVANCE 4°. TRIM]]</f>
        <v>1</v>
      </c>
      <c r="AM31" s="27">
        <f>IFERROR((TABLA_AVANCE_METAS[[#This Row],[AVANCE ACUM. ANUAL]]/TABLA_AVANCE_METAS[[#This Row],[PROGRAMADO ANUAL]])*100,"N/A")</f>
        <v>100</v>
      </c>
      <c r="AN31"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31" s="31">
        <f>TABLA_AVANCE_METAS[[#This Row],[AVANCE ACUM. ANUAL]]-TABLA_AVANCE_METAS[[#This Row],[PROGRAMADO ANUAL]]</f>
        <v>0</v>
      </c>
      <c r="AP31" s="33">
        <f>IFERROR((TABLA_AVANCE_METAS[[#This Row],[DIFERENCIA ABSOLUTA ANUAL]]/TABLA_AVANCE_METAS[[#This Row],[PROGRAMADO ANUAL]])*100,"N/A")</f>
        <v>0</v>
      </c>
      <c r="AQ31" s="34"/>
      <c r="AR31" s="35"/>
      <c r="AS31" s="36"/>
      <c r="AT31" s="36"/>
      <c r="AU31" s="37" t="b">
        <f>TABLA_AVANCE_METAS[[#This Row],[PROGRAMADO ANUAL]]=SUM(TABLA_AVANCE_METAS[[#This Row],[PROGR. 1° TRIM]],TABLA_AVANCE_METAS[[#This Row],[PROGR. 2° TRIM]],TABLA_AVANCE_METAS[[#This Row],[PROGR. 3° TRIM]],TABLA_AVANCE_METAS[[#This Row],[PROGR. 4° TRIM]])</f>
        <v>1</v>
      </c>
      <c r="AV31" s="38"/>
    </row>
    <row r="32" spans="1:51" ht="75" hidden="1" customHeight="1" x14ac:dyDescent="0.35">
      <c r="A32" s="19" t="str">
        <f>CONCATENATE(TABLA_AVANCE_METAS[[#This Row],[ESTRUCTURA]],TABLA_AVANCE_METAS[[#This Row],['#]])</f>
        <v>A0123101050206061</v>
      </c>
      <c r="B32" s="20" t="s">
        <v>151</v>
      </c>
      <c r="C32" s="21" t="s">
        <v>74</v>
      </c>
      <c r="D32" s="20" t="s">
        <v>75</v>
      </c>
      <c r="E32" s="20" t="s">
        <v>88</v>
      </c>
      <c r="F32" s="20" t="s">
        <v>89</v>
      </c>
      <c r="G32" s="22" t="s">
        <v>152</v>
      </c>
      <c r="H32" s="20" t="s">
        <v>139</v>
      </c>
      <c r="I32" s="20" t="s">
        <v>140</v>
      </c>
      <c r="J32" s="20" t="s">
        <v>141</v>
      </c>
      <c r="K32" s="20" t="s">
        <v>142</v>
      </c>
      <c r="L32" s="21">
        <v>1</v>
      </c>
      <c r="M32" s="23" t="s">
        <v>153</v>
      </c>
      <c r="N32" s="22" t="s">
        <v>154</v>
      </c>
      <c r="O32" s="24">
        <v>1</v>
      </c>
      <c r="P32" s="24">
        <v>1</v>
      </c>
      <c r="Q32" s="28">
        <v>1</v>
      </c>
      <c r="R32" s="25">
        <f>IFERROR((TABLA_AVANCE_METAS[[#This Row],[AVANCE 1°. TRIM]]/TABLA_AVANCE_METAS[[#This Row],[PROGR. 1° TRIM]])*100,"0")</f>
        <v>100</v>
      </c>
      <c r="S32"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32" s="24">
        <v>0</v>
      </c>
      <c r="U32" s="28">
        <v>0</v>
      </c>
      <c r="V32" s="27" t="str">
        <f t="shared" si="0"/>
        <v>0</v>
      </c>
      <c r="W32" s="26" t="str">
        <f t="shared" si="1"/>
        <v>NO PROG.</v>
      </c>
      <c r="X32" s="24">
        <v>0</v>
      </c>
      <c r="Y32" s="28">
        <v>0</v>
      </c>
      <c r="Z32" s="27" t="s">
        <v>71</v>
      </c>
      <c r="AA32" s="26" t="s">
        <v>72</v>
      </c>
      <c r="AB32" s="24">
        <v>0</v>
      </c>
      <c r="AC32" s="28">
        <v>0</v>
      </c>
      <c r="AD32" s="27" t="str">
        <f>IFERROR((TABLA_AVANCE_METAS[[#This Row],[AVANCE 4°. TRIM]]/TABLA_AVANCE_METAS[[#This Row],[PROGR. 4° TRIM]])*100,"0")</f>
        <v>0</v>
      </c>
      <c r="AE32"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32" s="30">
        <f t="array" ref="AF32">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32" s="84">
        <f t="array" ref="AG32">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32" s="27">
        <f>IFERROR((TABLA_AVANCE_METAS[[#This Row],[AVANCE ACUM. TRIM.]]/TABLA_AVANCE_METAS[[#This Row],[PROG. ACUM]])*100,"N/A")</f>
        <v>100</v>
      </c>
      <c r="AI32"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32" s="31">
        <f>TABLA_AVANCE_METAS[[#This Row],[AVANCE ACUM. TRIM.]]-TABLA_AVANCE_METAS[[#This Row],[PROG. ACUM]]</f>
        <v>0</v>
      </c>
      <c r="AK32" s="32">
        <f>IFERROR((TABLA_AVANCE_METAS[[#This Row],[DIFERENCIA ABSOLUTA SEMESTRAL]]/TABLA_AVANCE_METAS[[#This Row],[PROG. ACUM]])*100,"N/A")</f>
        <v>0</v>
      </c>
      <c r="AL32" s="84">
        <f>TABLA_AVANCE_METAS[[#This Row],[AVANCE 1°. TRIM]]+TABLA_AVANCE_METAS[[#This Row],[AVANCE 2°. TRIM]]+TABLA_AVANCE_METAS[[#This Row],[AVANCE 3°. TRIM]]+TABLA_AVANCE_METAS[[#This Row],[AVANCE 4°. TRIM]]</f>
        <v>1</v>
      </c>
      <c r="AM32" s="27">
        <f>IFERROR((TABLA_AVANCE_METAS[[#This Row],[AVANCE ACUM. ANUAL]]/TABLA_AVANCE_METAS[[#This Row],[PROGRAMADO ANUAL]])*100,"N/A")</f>
        <v>100</v>
      </c>
      <c r="AN32"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32" s="31">
        <f>TABLA_AVANCE_METAS[[#This Row],[AVANCE ACUM. ANUAL]]-TABLA_AVANCE_METAS[[#This Row],[PROGRAMADO ANUAL]]</f>
        <v>0</v>
      </c>
      <c r="AP32" s="33">
        <f>IFERROR((TABLA_AVANCE_METAS[[#This Row],[DIFERENCIA ABSOLUTA ANUAL]]/TABLA_AVANCE_METAS[[#This Row],[PROGRAMADO ANUAL]])*100,"N/A")</f>
        <v>0</v>
      </c>
      <c r="AQ32" s="34"/>
      <c r="AR32" s="35"/>
      <c r="AS32" s="36"/>
      <c r="AT32" s="36"/>
      <c r="AU32" s="37" t="b">
        <f>TABLA_AVANCE_METAS[[#This Row],[PROGRAMADO ANUAL]]=SUM(TABLA_AVANCE_METAS[[#This Row],[PROGR. 1° TRIM]],TABLA_AVANCE_METAS[[#This Row],[PROGR. 2° TRIM]],TABLA_AVANCE_METAS[[#This Row],[PROGR. 3° TRIM]],TABLA_AVANCE_METAS[[#This Row],[PROGR. 4° TRIM]])</f>
        <v>1</v>
      </c>
      <c r="AV32" s="38"/>
    </row>
    <row r="33" spans="1:48" ht="75" hidden="1" customHeight="1" x14ac:dyDescent="0.35">
      <c r="A33" s="19" t="str">
        <f>CONCATENATE(TABLA_AVANCE_METAS[[#This Row],[ESTRUCTURA]],TABLA_AVANCE_METAS[[#This Row],['#]])</f>
        <v>A0123101050206062</v>
      </c>
      <c r="B33" s="20" t="s">
        <v>151</v>
      </c>
      <c r="C33" s="21" t="s">
        <v>74</v>
      </c>
      <c r="D33" s="20" t="s">
        <v>75</v>
      </c>
      <c r="E33" s="20" t="s">
        <v>88</v>
      </c>
      <c r="F33" s="20" t="s">
        <v>89</v>
      </c>
      <c r="G33" s="22" t="s">
        <v>152</v>
      </c>
      <c r="H33" s="20" t="s">
        <v>139</v>
      </c>
      <c r="I33" s="20" t="s">
        <v>140</v>
      </c>
      <c r="J33" s="20" t="s">
        <v>141</v>
      </c>
      <c r="K33" s="20" t="s">
        <v>142</v>
      </c>
      <c r="L33" s="21">
        <v>2</v>
      </c>
      <c r="M33" s="23" t="s">
        <v>155</v>
      </c>
      <c r="N33" s="22" t="s">
        <v>156</v>
      </c>
      <c r="O33" s="24">
        <v>20</v>
      </c>
      <c r="P33" s="24">
        <v>5</v>
      </c>
      <c r="Q33" s="28">
        <v>5</v>
      </c>
      <c r="R33" s="25">
        <f>IFERROR((TABLA_AVANCE_METAS[[#This Row],[AVANCE 1°. TRIM]]/TABLA_AVANCE_METAS[[#This Row],[PROGR. 1° TRIM]])*100,"0")</f>
        <v>100</v>
      </c>
      <c r="S33"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33" s="24">
        <v>5</v>
      </c>
      <c r="U33" s="28">
        <v>5</v>
      </c>
      <c r="V33" s="27">
        <f t="shared" si="0"/>
        <v>100</v>
      </c>
      <c r="W33" s="26" t="str">
        <f t="shared" si="1"/>
        <v>ADECUADO</v>
      </c>
      <c r="X33" s="24">
        <v>5</v>
      </c>
      <c r="Y33" s="28">
        <v>0</v>
      </c>
      <c r="Z33" s="27">
        <v>0</v>
      </c>
      <c r="AA33" s="26" t="s">
        <v>62</v>
      </c>
      <c r="AB33" s="24">
        <v>5</v>
      </c>
      <c r="AC33" s="28">
        <v>0</v>
      </c>
      <c r="AD33" s="27">
        <f>IFERROR((TABLA_AVANCE_METAS[[#This Row],[AVANCE 4°. TRIM]]/TABLA_AVANCE_METAS[[#This Row],[PROGR. 4° TRIM]])*100,"0")</f>
        <v>0</v>
      </c>
      <c r="AE33"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33" s="30">
        <f t="array" ref="AF33">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10</v>
      </c>
      <c r="AG33" s="84">
        <f t="array" ref="AG33">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10</v>
      </c>
      <c r="AH33" s="27">
        <f>IFERROR((TABLA_AVANCE_METAS[[#This Row],[AVANCE ACUM. TRIM.]]/TABLA_AVANCE_METAS[[#This Row],[PROG. ACUM]])*100,"N/A")</f>
        <v>100</v>
      </c>
      <c r="AI33"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33" s="31">
        <f>TABLA_AVANCE_METAS[[#This Row],[AVANCE ACUM. TRIM.]]-TABLA_AVANCE_METAS[[#This Row],[PROG. ACUM]]</f>
        <v>0</v>
      </c>
      <c r="AK33" s="32">
        <f>IFERROR((TABLA_AVANCE_METAS[[#This Row],[DIFERENCIA ABSOLUTA SEMESTRAL]]/TABLA_AVANCE_METAS[[#This Row],[PROG. ACUM]])*100,"N/A")</f>
        <v>0</v>
      </c>
      <c r="AL33" s="84">
        <f>TABLA_AVANCE_METAS[[#This Row],[AVANCE 1°. TRIM]]+TABLA_AVANCE_METAS[[#This Row],[AVANCE 2°. TRIM]]+TABLA_AVANCE_METAS[[#This Row],[AVANCE 3°. TRIM]]+TABLA_AVANCE_METAS[[#This Row],[AVANCE 4°. TRIM]]</f>
        <v>10</v>
      </c>
      <c r="AM33" s="27">
        <f>IFERROR((TABLA_AVANCE_METAS[[#This Row],[AVANCE ACUM. ANUAL]]/TABLA_AVANCE_METAS[[#This Row],[PROGRAMADO ANUAL]])*100,"N/A")</f>
        <v>50</v>
      </c>
      <c r="AN33"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33" s="31">
        <f>TABLA_AVANCE_METAS[[#This Row],[AVANCE ACUM. ANUAL]]-TABLA_AVANCE_METAS[[#This Row],[PROGRAMADO ANUAL]]</f>
        <v>-10</v>
      </c>
      <c r="AP33" s="33">
        <f>IFERROR((TABLA_AVANCE_METAS[[#This Row],[DIFERENCIA ABSOLUTA ANUAL]]/TABLA_AVANCE_METAS[[#This Row],[PROGRAMADO ANUAL]])*100,"N/A")</f>
        <v>-50</v>
      </c>
      <c r="AQ33" s="34"/>
      <c r="AR33" s="35"/>
      <c r="AS33" s="36"/>
      <c r="AT33" s="36"/>
      <c r="AU33" s="37" t="b">
        <f>TABLA_AVANCE_METAS[[#This Row],[PROGRAMADO ANUAL]]=SUM(TABLA_AVANCE_METAS[[#This Row],[PROGR. 1° TRIM]],TABLA_AVANCE_METAS[[#This Row],[PROGR. 2° TRIM]],TABLA_AVANCE_METAS[[#This Row],[PROGR. 3° TRIM]],TABLA_AVANCE_METAS[[#This Row],[PROGR. 4° TRIM]])</f>
        <v>1</v>
      </c>
      <c r="AV33" s="38"/>
    </row>
    <row r="34" spans="1:48" ht="75" hidden="1" customHeight="1" x14ac:dyDescent="0.35">
      <c r="A34" s="19" t="str">
        <f>CONCATENATE(TABLA_AVANCE_METAS[[#This Row],[ESTRUCTURA]],TABLA_AVANCE_METAS[[#This Row],['#]])</f>
        <v>A0122901050206081</v>
      </c>
      <c r="B34" s="20" t="s">
        <v>157</v>
      </c>
      <c r="C34" s="21" t="s">
        <v>74</v>
      </c>
      <c r="D34" s="20" t="s">
        <v>75</v>
      </c>
      <c r="E34" s="20" t="s">
        <v>158</v>
      </c>
      <c r="F34" s="20" t="s">
        <v>159</v>
      </c>
      <c r="G34" s="22" t="s">
        <v>160</v>
      </c>
      <c r="H34" s="20" t="s">
        <v>139</v>
      </c>
      <c r="I34" s="20" t="s">
        <v>140</v>
      </c>
      <c r="J34" s="20" t="s">
        <v>161</v>
      </c>
      <c r="K34" s="20" t="s">
        <v>162</v>
      </c>
      <c r="L34" s="21">
        <v>1</v>
      </c>
      <c r="M34" s="23" t="s">
        <v>163</v>
      </c>
      <c r="N34" s="22" t="s">
        <v>154</v>
      </c>
      <c r="O34" s="24">
        <v>2</v>
      </c>
      <c r="P34" s="24">
        <v>0</v>
      </c>
      <c r="Q34" s="28">
        <v>0</v>
      </c>
      <c r="R34" s="25" t="str">
        <f>IFERROR((TABLA_AVANCE_METAS[[#This Row],[AVANCE 1°. TRIM]]/TABLA_AVANCE_METAS[[#This Row],[PROGR. 1° TRIM]])*100,"0")</f>
        <v>0</v>
      </c>
      <c r="S34"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34" s="24">
        <v>1</v>
      </c>
      <c r="U34" s="28">
        <v>1</v>
      </c>
      <c r="V34" s="27">
        <f t="shared" si="0"/>
        <v>100</v>
      </c>
      <c r="W34" s="26" t="str">
        <f t="shared" si="1"/>
        <v>ADECUADO</v>
      </c>
      <c r="X34" s="24">
        <v>0</v>
      </c>
      <c r="Y34" s="28">
        <v>0</v>
      </c>
      <c r="Z34" s="27" t="s">
        <v>71</v>
      </c>
      <c r="AA34" s="26" t="s">
        <v>72</v>
      </c>
      <c r="AB34" s="24">
        <v>1</v>
      </c>
      <c r="AC34" s="28">
        <v>0</v>
      </c>
      <c r="AD34" s="27">
        <f>IFERROR((TABLA_AVANCE_METAS[[#This Row],[AVANCE 4°. TRIM]]/TABLA_AVANCE_METAS[[#This Row],[PROGR. 4° TRIM]])*100,"0")</f>
        <v>0</v>
      </c>
      <c r="AE34"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34" s="30">
        <f t="array" ref="AF34">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34" s="84">
        <f t="array" ref="AG34">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34" s="27">
        <f>IFERROR((TABLA_AVANCE_METAS[[#This Row],[AVANCE ACUM. TRIM.]]/TABLA_AVANCE_METAS[[#This Row],[PROG. ACUM]])*100,"N/A")</f>
        <v>100</v>
      </c>
      <c r="AI34"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34" s="31">
        <f>TABLA_AVANCE_METAS[[#This Row],[AVANCE ACUM. TRIM.]]-TABLA_AVANCE_METAS[[#This Row],[PROG. ACUM]]</f>
        <v>0</v>
      </c>
      <c r="AK34" s="32">
        <f>IFERROR((TABLA_AVANCE_METAS[[#This Row],[DIFERENCIA ABSOLUTA SEMESTRAL]]/TABLA_AVANCE_METAS[[#This Row],[PROG. ACUM]])*100,"N/A")</f>
        <v>0</v>
      </c>
      <c r="AL34" s="84">
        <f>TABLA_AVANCE_METAS[[#This Row],[AVANCE 1°. TRIM]]+TABLA_AVANCE_METAS[[#This Row],[AVANCE 2°. TRIM]]+TABLA_AVANCE_METAS[[#This Row],[AVANCE 3°. TRIM]]+TABLA_AVANCE_METAS[[#This Row],[AVANCE 4°. TRIM]]</f>
        <v>1</v>
      </c>
      <c r="AM34" s="27">
        <f>IFERROR((TABLA_AVANCE_METAS[[#This Row],[AVANCE ACUM. ANUAL]]/TABLA_AVANCE_METAS[[#This Row],[PROGRAMADO ANUAL]])*100,"N/A")</f>
        <v>50</v>
      </c>
      <c r="AN34"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34" s="31">
        <f>TABLA_AVANCE_METAS[[#This Row],[AVANCE ACUM. ANUAL]]-TABLA_AVANCE_METAS[[#This Row],[PROGRAMADO ANUAL]]</f>
        <v>-1</v>
      </c>
      <c r="AP34" s="33">
        <f>IFERROR((TABLA_AVANCE_METAS[[#This Row],[DIFERENCIA ABSOLUTA ANUAL]]/TABLA_AVANCE_METAS[[#This Row],[PROGRAMADO ANUAL]])*100,"N/A")</f>
        <v>-50</v>
      </c>
      <c r="AQ34" s="34"/>
      <c r="AR34" s="35"/>
      <c r="AS34" s="36"/>
      <c r="AT34" s="36"/>
      <c r="AU34" s="37" t="b">
        <f>TABLA_AVANCE_METAS[[#This Row],[PROGRAMADO ANUAL]]=SUM(TABLA_AVANCE_METAS[[#This Row],[PROGR. 1° TRIM]],TABLA_AVANCE_METAS[[#This Row],[PROGR. 2° TRIM]],TABLA_AVANCE_METAS[[#This Row],[PROGR. 3° TRIM]],TABLA_AVANCE_METAS[[#This Row],[PROGR. 4° TRIM]])</f>
        <v>1</v>
      </c>
      <c r="AV34" s="38"/>
    </row>
    <row r="35" spans="1:48" ht="75" hidden="1" customHeight="1" x14ac:dyDescent="0.35">
      <c r="A35" s="19" t="str">
        <f>CONCATENATE(TABLA_AVANCE_METAS[[#This Row],[ESTRUCTURA]],TABLA_AVANCE_METAS[[#This Row],['#]])</f>
        <v>A0122901050206082</v>
      </c>
      <c r="B35" s="20" t="s">
        <v>157</v>
      </c>
      <c r="C35" s="21" t="s">
        <v>74</v>
      </c>
      <c r="D35" s="20" t="s">
        <v>75</v>
      </c>
      <c r="E35" s="20" t="s">
        <v>158</v>
      </c>
      <c r="F35" s="20" t="s">
        <v>159</v>
      </c>
      <c r="G35" s="22" t="s">
        <v>160</v>
      </c>
      <c r="H35" s="20" t="s">
        <v>139</v>
      </c>
      <c r="I35" s="20" t="s">
        <v>140</v>
      </c>
      <c r="J35" s="20" t="s">
        <v>161</v>
      </c>
      <c r="K35" s="20" t="s">
        <v>162</v>
      </c>
      <c r="L35" s="21">
        <v>2</v>
      </c>
      <c r="M35" s="23" t="s">
        <v>164</v>
      </c>
      <c r="N35" s="22" t="s">
        <v>165</v>
      </c>
      <c r="O35" s="24">
        <v>26</v>
      </c>
      <c r="P35" s="24">
        <v>26</v>
      </c>
      <c r="Q35" s="28">
        <v>26</v>
      </c>
      <c r="R35" s="25">
        <f>IFERROR((TABLA_AVANCE_METAS[[#This Row],[AVANCE 1°. TRIM]]/TABLA_AVANCE_METAS[[#This Row],[PROGR. 1° TRIM]])*100,"0")</f>
        <v>100</v>
      </c>
      <c r="S35"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35" s="24">
        <v>0</v>
      </c>
      <c r="U35" s="28">
        <v>0</v>
      </c>
      <c r="V35" s="27" t="str">
        <f t="shared" si="0"/>
        <v>0</v>
      </c>
      <c r="W35" s="26" t="str">
        <f t="shared" si="1"/>
        <v>NO PROG.</v>
      </c>
      <c r="X35" s="24">
        <v>0</v>
      </c>
      <c r="Y35" s="28">
        <v>0</v>
      </c>
      <c r="Z35" s="27" t="s">
        <v>71</v>
      </c>
      <c r="AA35" s="26" t="s">
        <v>72</v>
      </c>
      <c r="AB35" s="24">
        <v>0</v>
      </c>
      <c r="AC35" s="28">
        <v>0</v>
      </c>
      <c r="AD35" s="27" t="str">
        <f>IFERROR((TABLA_AVANCE_METAS[[#This Row],[AVANCE 4°. TRIM]]/TABLA_AVANCE_METAS[[#This Row],[PROGR. 4° TRIM]])*100,"0")</f>
        <v>0</v>
      </c>
      <c r="AE35"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35" s="30">
        <f t="array" ref="AF35">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26</v>
      </c>
      <c r="AG35" s="84">
        <f t="array" ref="AG35">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26</v>
      </c>
      <c r="AH35" s="27">
        <f>IFERROR((TABLA_AVANCE_METAS[[#This Row],[AVANCE ACUM. TRIM.]]/TABLA_AVANCE_METAS[[#This Row],[PROG. ACUM]])*100,"N/A")</f>
        <v>100</v>
      </c>
      <c r="AI35"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35" s="31">
        <f>TABLA_AVANCE_METAS[[#This Row],[AVANCE ACUM. TRIM.]]-TABLA_AVANCE_METAS[[#This Row],[PROG. ACUM]]</f>
        <v>0</v>
      </c>
      <c r="AK35" s="32">
        <f>IFERROR((TABLA_AVANCE_METAS[[#This Row],[DIFERENCIA ABSOLUTA SEMESTRAL]]/TABLA_AVANCE_METAS[[#This Row],[PROG. ACUM]])*100,"N/A")</f>
        <v>0</v>
      </c>
      <c r="AL35" s="84">
        <f>TABLA_AVANCE_METAS[[#This Row],[AVANCE 1°. TRIM]]+TABLA_AVANCE_METAS[[#This Row],[AVANCE 2°. TRIM]]+TABLA_AVANCE_METAS[[#This Row],[AVANCE 3°. TRIM]]+TABLA_AVANCE_METAS[[#This Row],[AVANCE 4°. TRIM]]</f>
        <v>26</v>
      </c>
      <c r="AM35" s="27">
        <f>IFERROR((TABLA_AVANCE_METAS[[#This Row],[AVANCE ACUM. ANUAL]]/TABLA_AVANCE_METAS[[#This Row],[PROGRAMADO ANUAL]])*100,"N/A")</f>
        <v>100</v>
      </c>
      <c r="AN35"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35" s="31">
        <f>TABLA_AVANCE_METAS[[#This Row],[AVANCE ACUM. ANUAL]]-TABLA_AVANCE_METAS[[#This Row],[PROGRAMADO ANUAL]]</f>
        <v>0</v>
      </c>
      <c r="AP35" s="33">
        <f>IFERROR((TABLA_AVANCE_METAS[[#This Row],[DIFERENCIA ABSOLUTA ANUAL]]/TABLA_AVANCE_METAS[[#This Row],[PROGRAMADO ANUAL]])*100,"N/A")</f>
        <v>0</v>
      </c>
      <c r="AQ35" s="34"/>
      <c r="AR35" s="35"/>
      <c r="AS35" s="36"/>
      <c r="AT35" s="36"/>
      <c r="AU35" s="37" t="b">
        <f>TABLA_AVANCE_METAS[[#This Row],[PROGRAMADO ANUAL]]=SUM(TABLA_AVANCE_METAS[[#This Row],[PROGR. 1° TRIM]],TABLA_AVANCE_METAS[[#This Row],[PROGR. 2° TRIM]],TABLA_AVANCE_METAS[[#This Row],[PROGR. 3° TRIM]],TABLA_AVANCE_METAS[[#This Row],[PROGR. 4° TRIM]])</f>
        <v>1</v>
      </c>
      <c r="AV35" s="38"/>
    </row>
    <row r="36" spans="1:48" ht="75" hidden="1" customHeight="1" x14ac:dyDescent="0.35">
      <c r="A36" s="19" t="str">
        <f>CONCATENATE(TABLA_AVANCE_METAS[[#This Row],[ESTRUCTURA]],TABLA_AVANCE_METAS[[#This Row],['#]])</f>
        <v>A0122901050206083</v>
      </c>
      <c r="B36" s="20" t="s">
        <v>157</v>
      </c>
      <c r="C36" s="21" t="s">
        <v>74</v>
      </c>
      <c r="D36" s="20" t="s">
        <v>75</v>
      </c>
      <c r="E36" s="20" t="s">
        <v>158</v>
      </c>
      <c r="F36" s="20" t="s">
        <v>159</v>
      </c>
      <c r="G36" s="22" t="s">
        <v>160</v>
      </c>
      <c r="H36" s="20" t="s">
        <v>139</v>
      </c>
      <c r="I36" s="20" t="s">
        <v>140</v>
      </c>
      <c r="J36" s="20" t="s">
        <v>161</v>
      </c>
      <c r="K36" s="20" t="s">
        <v>162</v>
      </c>
      <c r="L36" s="21">
        <v>3</v>
      </c>
      <c r="M36" s="23" t="s">
        <v>166</v>
      </c>
      <c r="N36" s="22" t="s">
        <v>167</v>
      </c>
      <c r="O36" s="24">
        <v>1</v>
      </c>
      <c r="P36" s="24">
        <v>1</v>
      </c>
      <c r="Q36" s="28">
        <v>1</v>
      </c>
      <c r="R36" s="25">
        <f>IFERROR((TABLA_AVANCE_METAS[[#This Row],[AVANCE 1°. TRIM]]/TABLA_AVANCE_METAS[[#This Row],[PROGR. 1° TRIM]])*100,"0")</f>
        <v>100</v>
      </c>
      <c r="S36"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36" s="24">
        <v>0</v>
      </c>
      <c r="U36" s="28">
        <v>0</v>
      </c>
      <c r="V36" s="27" t="str">
        <f t="shared" si="0"/>
        <v>0</v>
      </c>
      <c r="W36" s="26" t="str">
        <f t="shared" ref="W36:W67" si="2">IF(AND(V36&gt;=0,V36&lt;=49.9999999999999),"CRÍTICO",IF(AND(V36&gt;=50,V36&lt;=69.9999999999999),"DEFICIENTE",IF(AND(V36&gt;=70,V36&lt;=89.9999999999999),"REGULAR",IF(AND(V36&gt;=90,V36&lt;=110.999999999999),"ADECUADO",IF(AND(V36&gt;=111,V36&lt;=999999),"SOBREPASADO","NO PROG.")))))</f>
        <v>NO PROG.</v>
      </c>
      <c r="X36" s="24">
        <v>0</v>
      </c>
      <c r="Y36" s="28">
        <v>0</v>
      </c>
      <c r="Z36" s="27" t="s">
        <v>71</v>
      </c>
      <c r="AA36" s="26" t="s">
        <v>72</v>
      </c>
      <c r="AB36" s="24">
        <v>0</v>
      </c>
      <c r="AC36" s="28">
        <v>0</v>
      </c>
      <c r="AD36" s="27" t="str">
        <f>IFERROR((TABLA_AVANCE_METAS[[#This Row],[AVANCE 4°. TRIM]]/TABLA_AVANCE_METAS[[#This Row],[PROGR. 4° TRIM]])*100,"0")</f>
        <v>0</v>
      </c>
      <c r="AE36"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36" s="30">
        <f t="array" ref="AF36">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36" s="84">
        <f t="array" ref="AG36">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36" s="27">
        <f>IFERROR((TABLA_AVANCE_METAS[[#This Row],[AVANCE ACUM. TRIM.]]/TABLA_AVANCE_METAS[[#This Row],[PROG. ACUM]])*100,"N/A")</f>
        <v>100</v>
      </c>
      <c r="AI36"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36" s="31">
        <f>TABLA_AVANCE_METAS[[#This Row],[AVANCE ACUM. TRIM.]]-TABLA_AVANCE_METAS[[#This Row],[PROG. ACUM]]</f>
        <v>0</v>
      </c>
      <c r="AK36" s="32">
        <f>IFERROR((TABLA_AVANCE_METAS[[#This Row],[DIFERENCIA ABSOLUTA SEMESTRAL]]/TABLA_AVANCE_METAS[[#This Row],[PROG. ACUM]])*100,"N/A")</f>
        <v>0</v>
      </c>
      <c r="AL36" s="84">
        <f>TABLA_AVANCE_METAS[[#This Row],[AVANCE 1°. TRIM]]+TABLA_AVANCE_METAS[[#This Row],[AVANCE 2°. TRIM]]+TABLA_AVANCE_METAS[[#This Row],[AVANCE 3°. TRIM]]+TABLA_AVANCE_METAS[[#This Row],[AVANCE 4°. TRIM]]</f>
        <v>1</v>
      </c>
      <c r="AM36" s="27">
        <f>IFERROR((TABLA_AVANCE_METAS[[#This Row],[AVANCE ACUM. ANUAL]]/TABLA_AVANCE_METAS[[#This Row],[PROGRAMADO ANUAL]])*100,"N/A")</f>
        <v>100</v>
      </c>
      <c r="AN36"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36" s="31">
        <f>TABLA_AVANCE_METAS[[#This Row],[AVANCE ACUM. ANUAL]]-TABLA_AVANCE_METAS[[#This Row],[PROGRAMADO ANUAL]]</f>
        <v>0</v>
      </c>
      <c r="AP36" s="33">
        <f>IFERROR((TABLA_AVANCE_METAS[[#This Row],[DIFERENCIA ABSOLUTA ANUAL]]/TABLA_AVANCE_METAS[[#This Row],[PROGRAMADO ANUAL]])*100,"N/A")</f>
        <v>0</v>
      </c>
      <c r="AQ36" s="34"/>
      <c r="AR36" s="35"/>
      <c r="AS36" s="36"/>
      <c r="AT36" s="36"/>
      <c r="AU36" s="37" t="b">
        <f>TABLA_AVANCE_METAS[[#This Row],[PROGRAMADO ANUAL]]=SUM(TABLA_AVANCE_METAS[[#This Row],[PROGR. 1° TRIM]],TABLA_AVANCE_METAS[[#This Row],[PROGR. 2° TRIM]],TABLA_AVANCE_METAS[[#This Row],[PROGR. 3° TRIM]],TABLA_AVANCE_METAS[[#This Row],[PROGR. 4° TRIM]])</f>
        <v>1</v>
      </c>
      <c r="AV36" s="38"/>
    </row>
    <row r="37" spans="1:48" ht="75" hidden="1" customHeight="1" x14ac:dyDescent="0.35">
      <c r="A37" s="19" t="str">
        <f>CONCATENATE(TABLA_AVANCE_METAS[[#This Row],[ESTRUCTURA]],TABLA_AVANCE_METAS[[#This Row],['#]])</f>
        <v>A0122901080501031</v>
      </c>
      <c r="B37" s="20" t="s">
        <v>157</v>
      </c>
      <c r="C37" s="21" t="s">
        <v>74</v>
      </c>
      <c r="D37" s="20" t="s">
        <v>75</v>
      </c>
      <c r="E37" s="20" t="s">
        <v>158</v>
      </c>
      <c r="F37" s="20" t="s">
        <v>159</v>
      </c>
      <c r="G37" s="22" t="s">
        <v>168</v>
      </c>
      <c r="H37" s="20" t="s">
        <v>169</v>
      </c>
      <c r="I37" s="20" t="s">
        <v>170</v>
      </c>
      <c r="J37" s="20" t="s">
        <v>171</v>
      </c>
      <c r="K37" s="20" t="s">
        <v>172</v>
      </c>
      <c r="L37" s="21">
        <v>1</v>
      </c>
      <c r="M37" s="23" t="s">
        <v>173</v>
      </c>
      <c r="N37" s="22" t="s">
        <v>150</v>
      </c>
      <c r="O37" s="24">
        <v>1</v>
      </c>
      <c r="P37" s="24">
        <v>0</v>
      </c>
      <c r="Q37" s="28">
        <v>0</v>
      </c>
      <c r="R37" s="25" t="str">
        <f>IFERROR((TABLA_AVANCE_METAS[[#This Row],[AVANCE 1°. TRIM]]/TABLA_AVANCE_METAS[[#This Row],[PROGR. 1° TRIM]])*100,"0")</f>
        <v>0</v>
      </c>
      <c r="S37"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37" s="24">
        <v>0</v>
      </c>
      <c r="U37" s="28">
        <v>0</v>
      </c>
      <c r="V37" s="27" t="str">
        <f t="shared" si="0"/>
        <v>0</v>
      </c>
      <c r="W37" s="26" t="str">
        <f t="shared" si="2"/>
        <v>NO PROG.</v>
      </c>
      <c r="X37" s="24">
        <v>1</v>
      </c>
      <c r="Y37" s="28">
        <v>0</v>
      </c>
      <c r="Z37" s="27">
        <v>0</v>
      </c>
      <c r="AA37" s="26" t="s">
        <v>62</v>
      </c>
      <c r="AB37" s="24">
        <v>0</v>
      </c>
      <c r="AC37" s="28">
        <v>0</v>
      </c>
      <c r="AD37" s="27" t="str">
        <f>IFERROR((TABLA_AVANCE_METAS[[#This Row],[AVANCE 4°. TRIM]]/TABLA_AVANCE_METAS[[#This Row],[PROGR. 4° TRIM]])*100,"0")</f>
        <v>0</v>
      </c>
      <c r="AE37"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37" s="30">
        <f t="array" ref="AF37">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37" s="84">
        <f t="array" ref="AG37">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37" s="27" t="str">
        <f>IFERROR((TABLA_AVANCE_METAS[[#This Row],[AVANCE ACUM. TRIM.]]/TABLA_AVANCE_METAS[[#This Row],[PROG. ACUM]])*100,"N/A")</f>
        <v>N/A</v>
      </c>
      <c r="AI37"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37" s="31">
        <f>TABLA_AVANCE_METAS[[#This Row],[AVANCE ACUM. TRIM.]]-TABLA_AVANCE_METAS[[#This Row],[PROG. ACUM]]</f>
        <v>0</v>
      </c>
      <c r="AK37" s="32" t="str">
        <f>IFERROR((TABLA_AVANCE_METAS[[#This Row],[DIFERENCIA ABSOLUTA SEMESTRAL]]/TABLA_AVANCE_METAS[[#This Row],[PROG. ACUM]])*100,"N/A")</f>
        <v>N/A</v>
      </c>
      <c r="AL37" s="84">
        <f>TABLA_AVANCE_METAS[[#This Row],[AVANCE 1°. TRIM]]+TABLA_AVANCE_METAS[[#This Row],[AVANCE 2°. TRIM]]+TABLA_AVANCE_METAS[[#This Row],[AVANCE 3°. TRIM]]+TABLA_AVANCE_METAS[[#This Row],[AVANCE 4°. TRIM]]</f>
        <v>0</v>
      </c>
      <c r="AM37" s="27">
        <f>IFERROR((TABLA_AVANCE_METAS[[#This Row],[AVANCE ACUM. ANUAL]]/TABLA_AVANCE_METAS[[#This Row],[PROGRAMADO ANUAL]])*100,"N/A")</f>
        <v>0</v>
      </c>
      <c r="AN37"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37" s="31">
        <f>TABLA_AVANCE_METAS[[#This Row],[AVANCE ACUM. ANUAL]]-TABLA_AVANCE_METAS[[#This Row],[PROGRAMADO ANUAL]]</f>
        <v>-1</v>
      </c>
      <c r="AP37" s="33">
        <f>IFERROR((TABLA_AVANCE_METAS[[#This Row],[DIFERENCIA ABSOLUTA ANUAL]]/TABLA_AVANCE_METAS[[#This Row],[PROGRAMADO ANUAL]])*100,"N/A")</f>
        <v>-100</v>
      </c>
      <c r="AQ37" s="34"/>
      <c r="AR37" s="35"/>
      <c r="AS37" s="36"/>
      <c r="AT37" s="36"/>
      <c r="AU37" s="37" t="b">
        <f>TABLA_AVANCE_METAS[[#This Row],[PROGRAMADO ANUAL]]=SUM(TABLA_AVANCE_METAS[[#This Row],[PROGR. 1° TRIM]],TABLA_AVANCE_METAS[[#This Row],[PROGR. 2° TRIM]],TABLA_AVANCE_METAS[[#This Row],[PROGR. 3° TRIM]],TABLA_AVANCE_METAS[[#This Row],[PROGR. 4° TRIM]])</f>
        <v>1</v>
      </c>
      <c r="AV37" s="38"/>
    </row>
    <row r="38" spans="1:48" ht="75" hidden="1" customHeight="1" x14ac:dyDescent="0.35">
      <c r="A38" s="19" t="str">
        <f>CONCATENATE(TABLA_AVANCE_METAS[[#This Row],[ESTRUCTURA]],TABLA_AVANCE_METAS[[#This Row],['#]])</f>
        <v>A0122901080501032</v>
      </c>
      <c r="B38" s="20" t="s">
        <v>157</v>
      </c>
      <c r="C38" s="21" t="s">
        <v>74</v>
      </c>
      <c r="D38" s="20" t="s">
        <v>75</v>
      </c>
      <c r="E38" s="20" t="s">
        <v>158</v>
      </c>
      <c r="F38" s="20" t="s">
        <v>159</v>
      </c>
      <c r="G38" s="22" t="s">
        <v>168</v>
      </c>
      <c r="H38" s="20" t="s">
        <v>169</v>
      </c>
      <c r="I38" s="20" t="s">
        <v>170</v>
      </c>
      <c r="J38" s="20" t="s">
        <v>171</v>
      </c>
      <c r="K38" s="20" t="s">
        <v>172</v>
      </c>
      <c r="L38" s="21">
        <v>2</v>
      </c>
      <c r="M38" s="23" t="s">
        <v>174</v>
      </c>
      <c r="N38" s="22" t="s">
        <v>123</v>
      </c>
      <c r="O38" s="24">
        <v>4</v>
      </c>
      <c r="P38" s="24">
        <v>1</v>
      </c>
      <c r="Q38" s="28">
        <v>1</v>
      </c>
      <c r="R38" s="25">
        <f>IFERROR((TABLA_AVANCE_METAS[[#This Row],[AVANCE 1°. TRIM]]/TABLA_AVANCE_METAS[[#This Row],[PROGR. 1° TRIM]])*100,"0")</f>
        <v>100</v>
      </c>
      <c r="S38"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38" s="24">
        <v>1</v>
      </c>
      <c r="U38" s="28">
        <v>1</v>
      </c>
      <c r="V38" s="27">
        <f t="shared" si="0"/>
        <v>100</v>
      </c>
      <c r="W38" s="26" t="str">
        <f t="shared" si="2"/>
        <v>ADECUADO</v>
      </c>
      <c r="X38" s="24">
        <v>1</v>
      </c>
      <c r="Y38" s="28">
        <v>0</v>
      </c>
      <c r="Z38" s="27">
        <v>0</v>
      </c>
      <c r="AA38" s="26" t="s">
        <v>62</v>
      </c>
      <c r="AB38" s="24">
        <v>1</v>
      </c>
      <c r="AC38" s="28">
        <v>0</v>
      </c>
      <c r="AD38" s="27">
        <f>IFERROR((TABLA_AVANCE_METAS[[#This Row],[AVANCE 4°. TRIM]]/TABLA_AVANCE_METAS[[#This Row],[PROGR. 4° TRIM]])*100,"0")</f>
        <v>0</v>
      </c>
      <c r="AE38"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38" s="30">
        <f t="array" ref="AF38">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38" s="84">
        <f t="array" ref="AG38">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38" s="27">
        <f>IFERROR((TABLA_AVANCE_METAS[[#This Row],[AVANCE ACUM. TRIM.]]/TABLA_AVANCE_METAS[[#This Row],[PROG. ACUM]])*100,"N/A")</f>
        <v>100</v>
      </c>
      <c r="AI38"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38" s="31">
        <f>TABLA_AVANCE_METAS[[#This Row],[AVANCE ACUM. TRIM.]]-TABLA_AVANCE_METAS[[#This Row],[PROG. ACUM]]</f>
        <v>0</v>
      </c>
      <c r="AK38" s="32">
        <f>IFERROR((TABLA_AVANCE_METAS[[#This Row],[DIFERENCIA ABSOLUTA SEMESTRAL]]/TABLA_AVANCE_METAS[[#This Row],[PROG. ACUM]])*100,"N/A")</f>
        <v>0</v>
      </c>
      <c r="AL38" s="84">
        <f>TABLA_AVANCE_METAS[[#This Row],[AVANCE 1°. TRIM]]+TABLA_AVANCE_METAS[[#This Row],[AVANCE 2°. TRIM]]+TABLA_AVANCE_METAS[[#This Row],[AVANCE 3°. TRIM]]+TABLA_AVANCE_METAS[[#This Row],[AVANCE 4°. TRIM]]</f>
        <v>2</v>
      </c>
      <c r="AM38" s="27">
        <f>IFERROR((TABLA_AVANCE_METAS[[#This Row],[AVANCE ACUM. ANUAL]]/TABLA_AVANCE_METAS[[#This Row],[PROGRAMADO ANUAL]])*100,"N/A")</f>
        <v>50</v>
      </c>
      <c r="AN38"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38" s="31">
        <f>TABLA_AVANCE_METAS[[#This Row],[AVANCE ACUM. ANUAL]]-TABLA_AVANCE_METAS[[#This Row],[PROGRAMADO ANUAL]]</f>
        <v>-2</v>
      </c>
      <c r="AP38" s="33">
        <f>IFERROR((TABLA_AVANCE_METAS[[#This Row],[DIFERENCIA ABSOLUTA ANUAL]]/TABLA_AVANCE_METAS[[#This Row],[PROGRAMADO ANUAL]])*100,"N/A")</f>
        <v>-50</v>
      </c>
      <c r="AQ38" s="34"/>
      <c r="AR38" s="35"/>
      <c r="AS38" s="36"/>
      <c r="AT38" s="36"/>
      <c r="AU38" s="37" t="b">
        <f>TABLA_AVANCE_METAS[[#This Row],[PROGRAMADO ANUAL]]=SUM(TABLA_AVANCE_METAS[[#This Row],[PROGR. 1° TRIM]],TABLA_AVANCE_METAS[[#This Row],[PROGR. 2° TRIM]],TABLA_AVANCE_METAS[[#This Row],[PROGR. 3° TRIM]],TABLA_AVANCE_METAS[[#This Row],[PROGR. 4° TRIM]])</f>
        <v>1</v>
      </c>
      <c r="AV38" s="38"/>
    </row>
    <row r="39" spans="1:48" ht="75" hidden="1" customHeight="1" x14ac:dyDescent="0.35">
      <c r="A39" s="19" t="str">
        <f>CONCATENATE(TABLA_AVANCE_METAS[[#This Row],[ESTRUCTURA]],TABLA_AVANCE_METAS[[#This Row],['#]])</f>
        <v>A0123402020301081</v>
      </c>
      <c r="B39" s="20" t="s">
        <v>104</v>
      </c>
      <c r="C39" s="21" t="s">
        <v>74</v>
      </c>
      <c r="D39" s="20" t="s">
        <v>75</v>
      </c>
      <c r="E39" s="20" t="s">
        <v>105</v>
      </c>
      <c r="F39" s="20" t="s">
        <v>106</v>
      </c>
      <c r="G39" s="22" t="s">
        <v>175</v>
      </c>
      <c r="H39" s="20" t="s">
        <v>176</v>
      </c>
      <c r="I39" s="20" t="s">
        <v>177</v>
      </c>
      <c r="J39" s="20" t="s">
        <v>178</v>
      </c>
      <c r="K39" s="20" t="s">
        <v>179</v>
      </c>
      <c r="L39" s="21">
        <v>1</v>
      </c>
      <c r="M39" s="23" t="s">
        <v>180</v>
      </c>
      <c r="N39" s="22" t="s">
        <v>181</v>
      </c>
      <c r="O39" s="24">
        <v>180</v>
      </c>
      <c r="P39" s="24">
        <v>45</v>
      </c>
      <c r="Q39" s="28">
        <v>45</v>
      </c>
      <c r="R39" s="25">
        <f>IFERROR((TABLA_AVANCE_METAS[[#This Row],[AVANCE 1°. TRIM]]/TABLA_AVANCE_METAS[[#This Row],[PROGR. 1° TRIM]])*100,"0")</f>
        <v>100</v>
      </c>
      <c r="S39"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39" s="24">
        <v>45</v>
      </c>
      <c r="U39" s="28">
        <v>45</v>
      </c>
      <c r="V39" s="27">
        <f t="shared" si="0"/>
        <v>100</v>
      </c>
      <c r="W39" s="26" t="str">
        <f t="shared" si="2"/>
        <v>ADECUADO</v>
      </c>
      <c r="X39" s="24">
        <v>45</v>
      </c>
      <c r="Y39" s="28">
        <v>0</v>
      </c>
      <c r="Z39" s="27">
        <v>0</v>
      </c>
      <c r="AA39" s="26" t="s">
        <v>62</v>
      </c>
      <c r="AB39" s="24">
        <v>45</v>
      </c>
      <c r="AC39" s="28">
        <v>0</v>
      </c>
      <c r="AD39" s="27">
        <f>IFERROR((TABLA_AVANCE_METAS[[#This Row],[AVANCE 4°. TRIM]]/TABLA_AVANCE_METAS[[#This Row],[PROGR. 4° TRIM]])*100,"0")</f>
        <v>0</v>
      </c>
      <c r="AE39"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39" s="30">
        <f t="array" ref="AF39">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90</v>
      </c>
      <c r="AG39" s="84">
        <f t="array" ref="AG39">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90</v>
      </c>
      <c r="AH39" s="27">
        <f>IFERROR((TABLA_AVANCE_METAS[[#This Row],[AVANCE ACUM. TRIM.]]/TABLA_AVANCE_METAS[[#This Row],[PROG. ACUM]])*100,"N/A")</f>
        <v>100</v>
      </c>
      <c r="AI39"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39" s="31">
        <f>TABLA_AVANCE_METAS[[#This Row],[AVANCE ACUM. TRIM.]]-TABLA_AVANCE_METAS[[#This Row],[PROG. ACUM]]</f>
        <v>0</v>
      </c>
      <c r="AK39" s="32">
        <f>IFERROR((TABLA_AVANCE_METAS[[#This Row],[DIFERENCIA ABSOLUTA SEMESTRAL]]/TABLA_AVANCE_METAS[[#This Row],[PROG. ACUM]])*100,"N/A")</f>
        <v>0</v>
      </c>
      <c r="AL39" s="84">
        <f>TABLA_AVANCE_METAS[[#This Row],[AVANCE 1°. TRIM]]+TABLA_AVANCE_METAS[[#This Row],[AVANCE 2°. TRIM]]+TABLA_AVANCE_METAS[[#This Row],[AVANCE 3°. TRIM]]+TABLA_AVANCE_METAS[[#This Row],[AVANCE 4°. TRIM]]</f>
        <v>90</v>
      </c>
      <c r="AM39" s="27">
        <f>IFERROR((TABLA_AVANCE_METAS[[#This Row],[AVANCE ACUM. ANUAL]]/TABLA_AVANCE_METAS[[#This Row],[PROGRAMADO ANUAL]])*100,"N/A")</f>
        <v>50</v>
      </c>
      <c r="AN39"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39" s="31">
        <f>TABLA_AVANCE_METAS[[#This Row],[AVANCE ACUM. ANUAL]]-TABLA_AVANCE_METAS[[#This Row],[PROGRAMADO ANUAL]]</f>
        <v>-90</v>
      </c>
      <c r="AP39" s="33">
        <f>IFERROR((TABLA_AVANCE_METAS[[#This Row],[DIFERENCIA ABSOLUTA ANUAL]]/TABLA_AVANCE_METAS[[#This Row],[PROGRAMADO ANUAL]])*100,"N/A")</f>
        <v>-50</v>
      </c>
      <c r="AQ39" s="34" t="s">
        <v>182</v>
      </c>
      <c r="AR39" s="35"/>
      <c r="AS39" s="36"/>
      <c r="AT39" s="36"/>
      <c r="AU39" s="37" t="b">
        <f>TABLA_AVANCE_METAS[[#This Row],[PROGRAMADO ANUAL]]=SUM(TABLA_AVANCE_METAS[[#This Row],[PROGR. 1° TRIM]],TABLA_AVANCE_METAS[[#This Row],[PROGR. 2° TRIM]],TABLA_AVANCE_METAS[[#This Row],[PROGR. 3° TRIM]],TABLA_AVANCE_METAS[[#This Row],[PROGR. 4° TRIM]])</f>
        <v>1</v>
      </c>
      <c r="AV39" s="38"/>
    </row>
    <row r="40" spans="1:48" ht="75" hidden="1" customHeight="1" x14ac:dyDescent="0.35">
      <c r="A40" s="19" t="str">
        <f>CONCATENATE(TABLA_AVANCE_METAS[[#This Row],[ESTRUCTURA]],TABLA_AVANCE_METAS[[#This Row],['#]])</f>
        <v>A0123402020301082</v>
      </c>
      <c r="B40" s="20" t="s">
        <v>104</v>
      </c>
      <c r="C40" s="21" t="s">
        <v>74</v>
      </c>
      <c r="D40" s="20" t="s">
        <v>75</v>
      </c>
      <c r="E40" s="20" t="s">
        <v>105</v>
      </c>
      <c r="F40" s="20" t="s">
        <v>106</v>
      </c>
      <c r="G40" s="22" t="s">
        <v>175</v>
      </c>
      <c r="H40" s="20" t="s">
        <v>176</v>
      </c>
      <c r="I40" s="20" t="s">
        <v>177</v>
      </c>
      <c r="J40" s="20" t="s">
        <v>178</v>
      </c>
      <c r="K40" s="20" t="s">
        <v>179</v>
      </c>
      <c r="L40" s="21">
        <v>2</v>
      </c>
      <c r="M40" s="23" t="s">
        <v>183</v>
      </c>
      <c r="N40" s="22" t="s">
        <v>184</v>
      </c>
      <c r="O40" s="24">
        <v>12000</v>
      </c>
      <c r="P40" s="24">
        <v>3000</v>
      </c>
      <c r="Q40" s="28">
        <v>3281</v>
      </c>
      <c r="R40" s="25">
        <f>IFERROR((TABLA_AVANCE_METAS[[#This Row],[AVANCE 1°. TRIM]]/TABLA_AVANCE_METAS[[#This Row],[PROGR. 1° TRIM]])*100,"0")</f>
        <v>109.36666666666666</v>
      </c>
      <c r="S40"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40" s="24">
        <v>3000</v>
      </c>
      <c r="U40" s="28">
        <v>3288</v>
      </c>
      <c r="V40" s="27">
        <f t="shared" si="0"/>
        <v>109.60000000000001</v>
      </c>
      <c r="W40" s="26" t="str">
        <f t="shared" si="2"/>
        <v>ADECUADO</v>
      </c>
      <c r="X40" s="24">
        <v>3000</v>
      </c>
      <c r="Y40" s="28">
        <v>0</v>
      </c>
      <c r="Z40" s="27">
        <v>0</v>
      </c>
      <c r="AA40" s="26" t="s">
        <v>62</v>
      </c>
      <c r="AB40" s="24">
        <v>3000</v>
      </c>
      <c r="AC40" s="28">
        <v>0</v>
      </c>
      <c r="AD40" s="27">
        <f>IFERROR((TABLA_AVANCE_METAS[[#This Row],[AVANCE 4°. TRIM]]/TABLA_AVANCE_METAS[[#This Row],[PROGR. 4° TRIM]])*100,"0")</f>
        <v>0</v>
      </c>
      <c r="AE40"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40" s="30">
        <f t="array" ref="AF40">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6000</v>
      </c>
      <c r="AG40" s="84">
        <f t="array" ref="AG40">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6569</v>
      </c>
      <c r="AH40" s="27">
        <f>IFERROR((TABLA_AVANCE_METAS[[#This Row],[AVANCE ACUM. TRIM.]]/TABLA_AVANCE_METAS[[#This Row],[PROG. ACUM]])*100,"N/A")</f>
        <v>109.48333333333333</v>
      </c>
      <c r="AI40"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40" s="31">
        <f>TABLA_AVANCE_METAS[[#This Row],[AVANCE ACUM. TRIM.]]-TABLA_AVANCE_METAS[[#This Row],[PROG. ACUM]]</f>
        <v>569</v>
      </c>
      <c r="AK40" s="32">
        <f>IFERROR((TABLA_AVANCE_METAS[[#This Row],[DIFERENCIA ABSOLUTA SEMESTRAL]]/TABLA_AVANCE_METAS[[#This Row],[PROG. ACUM]])*100,"N/A")</f>
        <v>9.4833333333333343</v>
      </c>
      <c r="AL40" s="84">
        <f>TABLA_AVANCE_METAS[[#This Row],[AVANCE 1°. TRIM]]+TABLA_AVANCE_METAS[[#This Row],[AVANCE 2°. TRIM]]+TABLA_AVANCE_METAS[[#This Row],[AVANCE 3°. TRIM]]+TABLA_AVANCE_METAS[[#This Row],[AVANCE 4°. TRIM]]</f>
        <v>6569</v>
      </c>
      <c r="AM40" s="27">
        <f>IFERROR((TABLA_AVANCE_METAS[[#This Row],[AVANCE ACUM. ANUAL]]/TABLA_AVANCE_METAS[[#This Row],[PROGRAMADO ANUAL]])*100,"N/A")</f>
        <v>54.741666666666667</v>
      </c>
      <c r="AN40"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40" s="31">
        <f>TABLA_AVANCE_METAS[[#This Row],[AVANCE ACUM. ANUAL]]-TABLA_AVANCE_METAS[[#This Row],[PROGRAMADO ANUAL]]</f>
        <v>-5431</v>
      </c>
      <c r="AP40" s="33">
        <f>IFERROR((TABLA_AVANCE_METAS[[#This Row],[DIFERENCIA ABSOLUTA ANUAL]]/TABLA_AVANCE_METAS[[#This Row],[PROGRAMADO ANUAL]])*100,"N/A")</f>
        <v>-45.258333333333333</v>
      </c>
      <c r="AQ40" s="34" t="s">
        <v>185</v>
      </c>
      <c r="AR40" s="35"/>
      <c r="AS40" s="36"/>
      <c r="AT40" s="36"/>
      <c r="AU40" s="37" t="b">
        <f>TABLA_AVANCE_METAS[[#This Row],[PROGRAMADO ANUAL]]=SUM(TABLA_AVANCE_METAS[[#This Row],[PROGR. 1° TRIM]],TABLA_AVANCE_METAS[[#This Row],[PROGR. 2° TRIM]],TABLA_AVANCE_METAS[[#This Row],[PROGR. 3° TRIM]],TABLA_AVANCE_METAS[[#This Row],[PROGR. 4° TRIM]])</f>
        <v>1</v>
      </c>
      <c r="AV40" s="38"/>
    </row>
    <row r="41" spans="1:48" ht="75" hidden="1" customHeight="1" x14ac:dyDescent="0.35">
      <c r="A41" s="19" t="str">
        <f>CONCATENATE(TABLA_AVANCE_METAS[[#This Row],[ESTRUCTURA]],TABLA_AVANCE_METAS[[#This Row],['#]])</f>
        <v>A0121201050205021</v>
      </c>
      <c r="B41" s="20" t="s">
        <v>75</v>
      </c>
      <c r="C41" s="21" t="s">
        <v>74</v>
      </c>
      <c r="D41" s="20" t="s">
        <v>75</v>
      </c>
      <c r="E41" s="20" t="s">
        <v>53</v>
      </c>
      <c r="F41" s="20" t="s">
        <v>54</v>
      </c>
      <c r="G41" s="22" t="s">
        <v>186</v>
      </c>
      <c r="H41" s="20" t="s">
        <v>187</v>
      </c>
      <c r="I41" s="20" t="s">
        <v>188</v>
      </c>
      <c r="J41" s="20" t="s">
        <v>189</v>
      </c>
      <c r="K41" s="20" t="s">
        <v>190</v>
      </c>
      <c r="L41" s="21">
        <v>1</v>
      </c>
      <c r="M41" s="23" t="s">
        <v>191</v>
      </c>
      <c r="N41" s="22" t="s">
        <v>70</v>
      </c>
      <c r="O41" s="24">
        <v>12</v>
      </c>
      <c r="P41" s="24">
        <v>3</v>
      </c>
      <c r="Q41" s="28">
        <v>3</v>
      </c>
      <c r="R41" s="25">
        <f>IFERROR((TABLA_AVANCE_METAS[[#This Row],[AVANCE 1°. TRIM]]/TABLA_AVANCE_METAS[[#This Row],[PROGR. 1° TRIM]])*100,"0")</f>
        <v>100</v>
      </c>
      <c r="S41"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41" s="24">
        <v>3</v>
      </c>
      <c r="U41" s="28">
        <v>3</v>
      </c>
      <c r="V41" s="27">
        <f t="shared" si="0"/>
        <v>100</v>
      </c>
      <c r="W41" s="26" t="str">
        <f t="shared" si="2"/>
        <v>ADECUADO</v>
      </c>
      <c r="X41" s="24">
        <v>3</v>
      </c>
      <c r="Y41" s="28">
        <v>0</v>
      </c>
      <c r="Z41" s="27">
        <v>0</v>
      </c>
      <c r="AA41" s="26" t="s">
        <v>62</v>
      </c>
      <c r="AB41" s="24">
        <v>3</v>
      </c>
      <c r="AC41" s="28">
        <v>0</v>
      </c>
      <c r="AD41" s="27">
        <f>IFERROR((TABLA_AVANCE_METAS[[#This Row],[AVANCE 4°. TRIM]]/TABLA_AVANCE_METAS[[#This Row],[PROGR. 4° TRIM]])*100,"0")</f>
        <v>0</v>
      </c>
      <c r="AE41"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41" s="30">
        <f t="array" ref="AF41">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6</v>
      </c>
      <c r="AG41" s="84">
        <f t="array" ref="AG41">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6</v>
      </c>
      <c r="AH41" s="27">
        <f>IFERROR((TABLA_AVANCE_METAS[[#This Row],[AVANCE ACUM. TRIM.]]/TABLA_AVANCE_METAS[[#This Row],[PROG. ACUM]])*100,"N/A")</f>
        <v>100</v>
      </c>
      <c r="AI41"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41" s="31">
        <f>TABLA_AVANCE_METAS[[#This Row],[AVANCE ACUM. TRIM.]]-TABLA_AVANCE_METAS[[#This Row],[PROG. ACUM]]</f>
        <v>0</v>
      </c>
      <c r="AK41" s="32">
        <f>IFERROR((TABLA_AVANCE_METAS[[#This Row],[DIFERENCIA ABSOLUTA SEMESTRAL]]/TABLA_AVANCE_METAS[[#This Row],[PROG. ACUM]])*100,"N/A")</f>
        <v>0</v>
      </c>
      <c r="AL41" s="84">
        <f>TABLA_AVANCE_METAS[[#This Row],[AVANCE 1°. TRIM]]+TABLA_AVANCE_METAS[[#This Row],[AVANCE 2°. TRIM]]+TABLA_AVANCE_METAS[[#This Row],[AVANCE 3°. TRIM]]+TABLA_AVANCE_METAS[[#This Row],[AVANCE 4°. TRIM]]</f>
        <v>6</v>
      </c>
      <c r="AM41" s="27">
        <f>IFERROR((TABLA_AVANCE_METAS[[#This Row],[AVANCE ACUM. ANUAL]]/TABLA_AVANCE_METAS[[#This Row],[PROGRAMADO ANUAL]])*100,"N/A")</f>
        <v>50</v>
      </c>
      <c r="AN41"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41" s="31">
        <f>TABLA_AVANCE_METAS[[#This Row],[AVANCE ACUM. ANUAL]]-TABLA_AVANCE_METAS[[#This Row],[PROGRAMADO ANUAL]]</f>
        <v>-6</v>
      </c>
      <c r="AP41" s="33">
        <f>IFERROR((TABLA_AVANCE_METAS[[#This Row],[DIFERENCIA ABSOLUTA ANUAL]]/TABLA_AVANCE_METAS[[#This Row],[PROGRAMADO ANUAL]])*100,"N/A")</f>
        <v>-50</v>
      </c>
      <c r="AQ41" s="34"/>
      <c r="AR41" s="35"/>
      <c r="AS41" s="36"/>
      <c r="AT41" s="36"/>
      <c r="AU41" s="37" t="b">
        <f>TABLA_AVANCE_METAS[[#This Row],[PROGRAMADO ANUAL]]=SUM(TABLA_AVANCE_METAS[[#This Row],[PROGR. 1° TRIM]],TABLA_AVANCE_METAS[[#This Row],[PROGR. 2° TRIM]],TABLA_AVANCE_METAS[[#This Row],[PROGR. 3° TRIM]],TABLA_AVANCE_METAS[[#This Row],[PROGR. 4° TRIM]])</f>
        <v>1</v>
      </c>
      <c r="AV41" s="38"/>
    </row>
    <row r="42" spans="1:48" ht="75" hidden="1" customHeight="1" x14ac:dyDescent="0.35">
      <c r="A42" s="19" t="str">
        <f>CONCATENATE(TABLA_AVANCE_METAS[[#This Row],[ESTRUCTURA]],TABLA_AVANCE_METAS[[#This Row],['#]])</f>
        <v>A0121201050205022</v>
      </c>
      <c r="B42" s="20" t="s">
        <v>75</v>
      </c>
      <c r="C42" s="21" t="s">
        <v>74</v>
      </c>
      <c r="D42" s="20" t="s">
        <v>75</v>
      </c>
      <c r="E42" s="20" t="s">
        <v>53</v>
      </c>
      <c r="F42" s="20" t="s">
        <v>54</v>
      </c>
      <c r="G42" s="22" t="s">
        <v>186</v>
      </c>
      <c r="H42" s="20" t="s">
        <v>187</v>
      </c>
      <c r="I42" s="20" t="s">
        <v>188</v>
      </c>
      <c r="J42" s="20" t="s">
        <v>189</v>
      </c>
      <c r="K42" s="20" t="s">
        <v>190</v>
      </c>
      <c r="L42" s="21">
        <v>2</v>
      </c>
      <c r="M42" s="23" t="s">
        <v>192</v>
      </c>
      <c r="N42" s="22" t="s">
        <v>193</v>
      </c>
      <c r="O42" s="24">
        <v>12</v>
      </c>
      <c r="P42" s="24">
        <v>3</v>
      </c>
      <c r="Q42" s="28">
        <v>3</v>
      </c>
      <c r="R42" s="25">
        <f>IFERROR((TABLA_AVANCE_METAS[[#This Row],[AVANCE 1°. TRIM]]/TABLA_AVANCE_METAS[[#This Row],[PROGR. 1° TRIM]])*100,"0")</f>
        <v>100</v>
      </c>
      <c r="S42"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42" s="24">
        <v>3</v>
      </c>
      <c r="U42" s="28">
        <v>3</v>
      </c>
      <c r="V42" s="27">
        <f t="shared" si="0"/>
        <v>100</v>
      </c>
      <c r="W42" s="26" t="str">
        <f t="shared" si="2"/>
        <v>ADECUADO</v>
      </c>
      <c r="X42" s="24">
        <v>3</v>
      </c>
      <c r="Y42" s="28">
        <v>0</v>
      </c>
      <c r="Z42" s="27">
        <v>0</v>
      </c>
      <c r="AA42" s="26" t="s">
        <v>62</v>
      </c>
      <c r="AB42" s="24">
        <v>3</v>
      </c>
      <c r="AC42" s="28">
        <v>0</v>
      </c>
      <c r="AD42" s="27">
        <f>IFERROR((TABLA_AVANCE_METAS[[#This Row],[AVANCE 4°. TRIM]]/TABLA_AVANCE_METAS[[#This Row],[PROGR. 4° TRIM]])*100,"0")</f>
        <v>0</v>
      </c>
      <c r="AE42"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42" s="30">
        <f t="array" ref="AF42">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6</v>
      </c>
      <c r="AG42" s="84">
        <f t="array" ref="AG42">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6</v>
      </c>
      <c r="AH42" s="27">
        <f>IFERROR((TABLA_AVANCE_METAS[[#This Row],[AVANCE ACUM. TRIM.]]/TABLA_AVANCE_METAS[[#This Row],[PROG. ACUM]])*100,"N/A")</f>
        <v>100</v>
      </c>
      <c r="AI42"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42" s="31">
        <f>TABLA_AVANCE_METAS[[#This Row],[AVANCE ACUM. TRIM.]]-TABLA_AVANCE_METAS[[#This Row],[PROG. ACUM]]</f>
        <v>0</v>
      </c>
      <c r="AK42" s="32">
        <f>IFERROR((TABLA_AVANCE_METAS[[#This Row],[DIFERENCIA ABSOLUTA SEMESTRAL]]/TABLA_AVANCE_METAS[[#This Row],[PROG. ACUM]])*100,"N/A")</f>
        <v>0</v>
      </c>
      <c r="AL42" s="84">
        <f>TABLA_AVANCE_METAS[[#This Row],[AVANCE 1°. TRIM]]+TABLA_AVANCE_METAS[[#This Row],[AVANCE 2°. TRIM]]+TABLA_AVANCE_METAS[[#This Row],[AVANCE 3°. TRIM]]+TABLA_AVANCE_METAS[[#This Row],[AVANCE 4°. TRIM]]</f>
        <v>6</v>
      </c>
      <c r="AM42" s="27">
        <f>IFERROR((TABLA_AVANCE_METAS[[#This Row],[AVANCE ACUM. ANUAL]]/TABLA_AVANCE_METAS[[#This Row],[PROGRAMADO ANUAL]])*100,"N/A")</f>
        <v>50</v>
      </c>
      <c r="AN42"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42" s="31">
        <f>TABLA_AVANCE_METAS[[#This Row],[AVANCE ACUM. ANUAL]]-TABLA_AVANCE_METAS[[#This Row],[PROGRAMADO ANUAL]]</f>
        <v>-6</v>
      </c>
      <c r="AP42" s="33">
        <f>IFERROR((TABLA_AVANCE_METAS[[#This Row],[DIFERENCIA ABSOLUTA ANUAL]]/TABLA_AVANCE_METAS[[#This Row],[PROGRAMADO ANUAL]])*100,"N/A")</f>
        <v>-50</v>
      </c>
      <c r="AQ42" s="34"/>
      <c r="AR42" s="35"/>
      <c r="AS42" s="36"/>
      <c r="AT42" s="36"/>
      <c r="AU42" s="37" t="b">
        <f>TABLA_AVANCE_METAS[[#This Row],[PROGRAMADO ANUAL]]=SUM(TABLA_AVANCE_METAS[[#This Row],[PROGR. 1° TRIM]],TABLA_AVANCE_METAS[[#This Row],[PROGR. 2° TRIM]],TABLA_AVANCE_METAS[[#This Row],[PROGR. 3° TRIM]],TABLA_AVANCE_METAS[[#This Row],[PROGR. 4° TRIM]])</f>
        <v>1</v>
      </c>
      <c r="AV42" s="38"/>
    </row>
    <row r="43" spans="1:48" s="50" customFormat="1" ht="75" hidden="1" customHeight="1" x14ac:dyDescent="0.35">
      <c r="A43" s="19" t="str">
        <f>CONCATENATE(TABLA_AVANCE_METAS[[#This Row],[ESTRUCTURA]],TABLA_AVANCE_METAS[[#This Row],['#]])</f>
        <v>A0121201050205023</v>
      </c>
      <c r="B43" s="20" t="s">
        <v>75</v>
      </c>
      <c r="C43" s="21" t="s">
        <v>74</v>
      </c>
      <c r="D43" s="20" t="s">
        <v>75</v>
      </c>
      <c r="E43" s="20" t="s">
        <v>53</v>
      </c>
      <c r="F43" s="20" t="s">
        <v>54</v>
      </c>
      <c r="G43" s="22" t="s">
        <v>186</v>
      </c>
      <c r="H43" s="20" t="s">
        <v>187</v>
      </c>
      <c r="I43" s="20" t="s">
        <v>188</v>
      </c>
      <c r="J43" s="20" t="s">
        <v>189</v>
      </c>
      <c r="K43" s="20" t="s">
        <v>190</v>
      </c>
      <c r="L43" s="21">
        <v>3</v>
      </c>
      <c r="M43" s="23" t="s">
        <v>194</v>
      </c>
      <c r="N43" s="22" t="s">
        <v>84</v>
      </c>
      <c r="O43" s="24">
        <v>1</v>
      </c>
      <c r="P43" s="24">
        <v>0</v>
      </c>
      <c r="Q43" s="28">
        <v>0</v>
      </c>
      <c r="R43" s="25" t="str">
        <f>IFERROR((TABLA_AVANCE_METAS[[#This Row],[AVANCE 1°. TRIM]]/TABLA_AVANCE_METAS[[#This Row],[PROGR. 1° TRIM]])*100,"0")</f>
        <v>0</v>
      </c>
      <c r="S43"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43" s="24">
        <v>0</v>
      </c>
      <c r="U43" s="28">
        <v>0</v>
      </c>
      <c r="V43" s="27" t="str">
        <f t="shared" si="0"/>
        <v>0</v>
      </c>
      <c r="W43" s="26" t="str">
        <f t="shared" si="2"/>
        <v>NO PROG.</v>
      </c>
      <c r="X43" s="24">
        <v>0</v>
      </c>
      <c r="Y43" s="28">
        <v>0</v>
      </c>
      <c r="Z43" s="27" t="s">
        <v>71</v>
      </c>
      <c r="AA43" s="26" t="s">
        <v>72</v>
      </c>
      <c r="AB43" s="24">
        <v>1</v>
      </c>
      <c r="AC43" s="28">
        <v>0</v>
      </c>
      <c r="AD43" s="27">
        <f>IFERROR((TABLA_AVANCE_METAS[[#This Row],[AVANCE 4°. TRIM]]/TABLA_AVANCE_METAS[[#This Row],[PROGR. 4° TRIM]])*100,"0")</f>
        <v>0</v>
      </c>
      <c r="AE43"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43" s="30">
        <f t="array" ref="AF43">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43" s="84">
        <f t="array" ref="AG43">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43" s="27" t="str">
        <f>IFERROR((TABLA_AVANCE_METAS[[#This Row],[AVANCE ACUM. TRIM.]]/TABLA_AVANCE_METAS[[#This Row],[PROG. ACUM]])*100,"N/A")</f>
        <v>N/A</v>
      </c>
      <c r="AI43"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43" s="31">
        <f>TABLA_AVANCE_METAS[[#This Row],[AVANCE ACUM. TRIM.]]-TABLA_AVANCE_METAS[[#This Row],[PROG. ACUM]]</f>
        <v>0</v>
      </c>
      <c r="AK43" s="32" t="str">
        <f>IFERROR((TABLA_AVANCE_METAS[[#This Row],[DIFERENCIA ABSOLUTA SEMESTRAL]]/TABLA_AVANCE_METAS[[#This Row],[PROG. ACUM]])*100,"N/A")</f>
        <v>N/A</v>
      </c>
      <c r="AL43" s="84">
        <f>TABLA_AVANCE_METAS[[#This Row],[AVANCE 1°. TRIM]]+TABLA_AVANCE_METAS[[#This Row],[AVANCE 2°. TRIM]]+TABLA_AVANCE_METAS[[#This Row],[AVANCE 3°. TRIM]]+TABLA_AVANCE_METAS[[#This Row],[AVANCE 4°. TRIM]]</f>
        <v>0</v>
      </c>
      <c r="AM43" s="27">
        <f>IFERROR((TABLA_AVANCE_METAS[[#This Row],[AVANCE ACUM. ANUAL]]/TABLA_AVANCE_METAS[[#This Row],[PROGRAMADO ANUAL]])*100,"N/A")</f>
        <v>0</v>
      </c>
      <c r="AN43"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43" s="31">
        <f>TABLA_AVANCE_METAS[[#This Row],[AVANCE ACUM. ANUAL]]-TABLA_AVANCE_METAS[[#This Row],[PROGRAMADO ANUAL]]</f>
        <v>-1</v>
      </c>
      <c r="AP43" s="33">
        <f>IFERROR((TABLA_AVANCE_METAS[[#This Row],[DIFERENCIA ABSOLUTA ANUAL]]/TABLA_AVANCE_METAS[[#This Row],[PROGRAMADO ANUAL]])*100,"N/A")</f>
        <v>-100</v>
      </c>
      <c r="AQ43" s="34"/>
      <c r="AR43" s="35"/>
      <c r="AS43" s="36"/>
      <c r="AT43" s="36"/>
      <c r="AU43" s="37" t="b">
        <f>TABLA_AVANCE_METAS[[#This Row],[PROGRAMADO ANUAL]]=SUM(TABLA_AVANCE_METAS[[#This Row],[PROGR. 1° TRIM]],TABLA_AVANCE_METAS[[#This Row],[PROGR. 2° TRIM]],TABLA_AVANCE_METAS[[#This Row],[PROGR. 3° TRIM]],TABLA_AVANCE_METAS[[#This Row],[PROGR. 4° TRIM]])</f>
        <v>1</v>
      </c>
      <c r="AV43" s="49"/>
    </row>
    <row r="44" spans="1:48" ht="75" hidden="1" customHeight="1" x14ac:dyDescent="0.35">
      <c r="A44" s="19" t="str">
        <f>CONCATENATE(TABLA_AVANCE_METAS[[#This Row],[ESTRUCTURA]],TABLA_AVANCE_METAS[[#This Row],['#]])</f>
        <v>A0123001050205081</v>
      </c>
      <c r="B44" s="20" t="s">
        <v>195</v>
      </c>
      <c r="C44" s="21" t="s">
        <v>74</v>
      </c>
      <c r="D44" s="20" t="s">
        <v>75</v>
      </c>
      <c r="E44" s="20" t="s">
        <v>196</v>
      </c>
      <c r="F44" s="20" t="s">
        <v>197</v>
      </c>
      <c r="G44" s="22" t="s">
        <v>198</v>
      </c>
      <c r="H44" s="20" t="s">
        <v>187</v>
      </c>
      <c r="I44" s="20" t="s">
        <v>188</v>
      </c>
      <c r="J44" s="20" t="s">
        <v>199</v>
      </c>
      <c r="K44" s="20" t="s">
        <v>200</v>
      </c>
      <c r="L44" s="21">
        <v>1</v>
      </c>
      <c r="M44" s="23" t="s">
        <v>201</v>
      </c>
      <c r="N44" s="22" t="s">
        <v>100</v>
      </c>
      <c r="O44" s="24">
        <v>1</v>
      </c>
      <c r="P44" s="24">
        <v>0</v>
      </c>
      <c r="Q44" s="28">
        <v>0</v>
      </c>
      <c r="R44" s="25" t="str">
        <f>IFERROR((TABLA_AVANCE_METAS[[#This Row],[AVANCE 1°. TRIM]]/TABLA_AVANCE_METAS[[#This Row],[PROGR. 1° TRIM]])*100,"0")</f>
        <v>0</v>
      </c>
      <c r="S44"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44" s="24">
        <v>0</v>
      </c>
      <c r="U44" s="28">
        <v>0</v>
      </c>
      <c r="V44" s="27" t="str">
        <f t="shared" si="0"/>
        <v>0</v>
      </c>
      <c r="W44" s="26" t="str">
        <f t="shared" si="2"/>
        <v>NO PROG.</v>
      </c>
      <c r="X44" s="24">
        <v>1</v>
      </c>
      <c r="Y44" s="28">
        <v>0</v>
      </c>
      <c r="Z44" s="27">
        <v>0</v>
      </c>
      <c r="AA44" s="26" t="s">
        <v>62</v>
      </c>
      <c r="AB44" s="24">
        <v>0</v>
      </c>
      <c r="AC44" s="28">
        <v>0</v>
      </c>
      <c r="AD44" s="27" t="str">
        <f>IFERROR((TABLA_AVANCE_METAS[[#This Row],[AVANCE 4°. TRIM]]/TABLA_AVANCE_METAS[[#This Row],[PROGR. 4° TRIM]])*100,"0")</f>
        <v>0</v>
      </c>
      <c r="AE44"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44" s="30">
        <f t="array" ref="AF44">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44" s="84">
        <f t="array" ref="AG44">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44" s="27" t="str">
        <f>IFERROR((TABLA_AVANCE_METAS[[#This Row],[AVANCE ACUM. TRIM.]]/TABLA_AVANCE_METAS[[#This Row],[PROG. ACUM]])*100,"N/A")</f>
        <v>N/A</v>
      </c>
      <c r="AI44"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44" s="31">
        <f>TABLA_AVANCE_METAS[[#This Row],[AVANCE ACUM. TRIM.]]-TABLA_AVANCE_METAS[[#This Row],[PROG. ACUM]]</f>
        <v>0</v>
      </c>
      <c r="AK44" s="32" t="str">
        <f>IFERROR((TABLA_AVANCE_METAS[[#This Row],[DIFERENCIA ABSOLUTA SEMESTRAL]]/TABLA_AVANCE_METAS[[#This Row],[PROG. ACUM]])*100,"N/A")</f>
        <v>N/A</v>
      </c>
      <c r="AL44" s="84">
        <f>TABLA_AVANCE_METAS[[#This Row],[AVANCE 1°. TRIM]]+TABLA_AVANCE_METAS[[#This Row],[AVANCE 2°. TRIM]]+TABLA_AVANCE_METAS[[#This Row],[AVANCE 3°. TRIM]]+TABLA_AVANCE_METAS[[#This Row],[AVANCE 4°. TRIM]]</f>
        <v>0</v>
      </c>
      <c r="AM44" s="27">
        <f>IFERROR((TABLA_AVANCE_METAS[[#This Row],[AVANCE ACUM. ANUAL]]/TABLA_AVANCE_METAS[[#This Row],[PROGRAMADO ANUAL]])*100,"N/A")</f>
        <v>0</v>
      </c>
      <c r="AN44"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44" s="31">
        <f>TABLA_AVANCE_METAS[[#This Row],[AVANCE ACUM. ANUAL]]-TABLA_AVANCE_METAS[[#This Row],[PROGRAMADO ANUAL]]</f>
        <v>-1</v>
      </c>
      <c r="AP44" s="33">
        <f>IFERROR((TABLA_AVANCE_METAS[[#This Row],[DIFERENCIA ABSOLUTA ANUAL]]/TABLA_AVANCE_METAS[[#This Row],[PROGRAMADO ANUAL]])*100,"N/A")</f>
        <v>-100</v>
      </c>
      <c r="AQ44" s="34"/>
      <c r="AR44" s="35"/>
      <c r="AS44" s="36"/>
      <c r="AT44" s="36"/>
      <c r="AU44" s="37" t="b">
        <f>TABLA_AVANCE_METAS[[#This Row],[PROGRAMADO ANUAL]]=SUM(TABLA_AVANCE_METAS[[#This Row],[PROGR. 1° TRIM]],TABLA_AVANCE_METAS[[#This Row],[PROGR. 2° TRIM]],TABLA_AVANCE_METAS[[#This Row],[PROGR. 3° TRIM]],TABLA_AVANCE_METAS[[#This Row],[PROGR. 4° TRIM]])</f>
        <v>1</v>
      </c>
      <c r="AV44" s="38"/>
    </row>
    <row r="45" spans="1:48" ht="75" hidden="1" customHeight="1" x14ac:dyDescent="0.35">
      <c r="A45" s="19" t="str">
        <f>CONCATENATE(TABLA_AVANCE_METAS[[#This Row],[ESTRUCTURA]],TABLA_AVANCE_METAS[[#This Row],['#]])</f>
        <v>A0123001050205082</v>
      </c>
      <c r="B45" s="20" t="s">
        <v>195</v>
      </c>
      <c r="C45" s="21" t="s">
        <v>74</v>
      </c>
      <c r="D45" s="21" t="s">
        <v>75</v>
      </c>
      <c r="E45" s="20" t="s">
        <v>196</v>
      </c>
      <c r="F45" s="20" t="s">
        <v>197</v>
      </c>
      <c r="G45" s="22" t="s">
        <v>198</v>
      </c>
      <c r="H45" s="20" t="s">
        <v>187</v>
      </c>
      <c r="I45" s="20" t="s">
        <v>188</v>
      </c>
      <c r="J45" s="20" t="s">
        <v>199</v>
      </c>
      <c r="K45" s="20" t="s">
        <v>200</v>
      </c>
      <c r="L45" s="21">
        <v>2</v>
      </c>
      <c r="M45" s="23" t="s">
        <v>202</v>
      </c>
      <c r="N45" s="22" t="s">
        <v>203</v>
      </c>
      <c r="O45" s="24">
        <v>1</v>
      </c>
      <c r="P45" s="24">
        <v>0</v>
      </c>
      <c r="Q45" s="28">
        <v>0</v>
      </c>
      <c r="R45" s="25" t="str">
        <f>IFERROR((TABLA_AVANCE_METAS[[#This Row],[AVANCE 1°. TRIM]]/TABLA_AVANCE_METAS[[#This Row],[PROGR. 1° TRIM]])*100,"0")</f>
        <v>0</v>
      </c>
      <c r="S45"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45" s="24">
        <v>0</v>
      </c>
      <c r="U45" s="28">
        <v>0</v>
      </c>
      <c r="V45" s="27" t="str">
        <f t="shared" si="0"/>
        <v>0</v>
      </c>
      <c r="W45" s="26" t="str">
        <f t="shared" si="2"/>
        <v>NO PROG.</v>
      </c>
      <c r="X45" s="24">
        <v>0</v>
      </c>
      <c r="Y45" s="28">
        <v>0</v>
      </c>
      <c r="Z45" s="27" t="s">
        <v>71</v>
      </c>
      <c r="AA45" s="26" t="s">
        <v>72</v>
      </c>
      <c r="AB45" s="24">
        <v>1</v>
      </c>
      <c r="AC45" s="28">
        <v>0</v>
      </c>
      <c r="AD45" s="27">
        <f>IFERROR((TABLA_AVANCE_METAS[[#This Row],[AVANCE 4°. TRIM]]/TABLA_AVANCE_METAS[[#This Row],[PROGR. 4° TRIM]])*100,"0")</f>
        <v>0</v>
      </c>
      <c r="AE45"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45" s="30">
        <f t="array" ref="AF45">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45" s="84">
        <f t="array" ref="AG45">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45" s="27" t="str">
        <f>IFERROR((TABLA_AVANCE_METAS[[#This Row],[AVANCE ACUM. TRIM.]]/TABLA_AVANCE_METAS[[#This Row],[PROG. ACUM]])*100,"N/A")</f>
        <v>N/A</v>
      </c>
      <c r="AI45"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45" s="31">
        <f>TABLA_AVANCE_METAS[[#This Row],[AVANCE ACUM. TRIM.]]-TABLA_AVANCE_METAS[[#This Row],[PROG. ACUM]]</f>
        <v>0</v>
      </c>
      <c r="AK45" s="32" t="str">
        <f>IFERROR((TABLA_AVANCE_METAS[[#This Row],[DIFERENCIA ABSOLUTA SEMESTRAL]]/TABLA_AVANCE_METAS[[#This Row],[PROG. ACUM]])*100,"N/A")</f>
        <v>N/A</v>
      </c>
      <c r="AL45" s="84">
        <f>TABLA_AVANCE_METAS[[#This Row],[AVANCE 1°. TRIM]]+TABLA_AVANCE_METAS[[#This Row],[AVANCE 2°. TRIM]]+TABLA_AVANCE_METAS[[#This Row],[AVANCE 3°. TRIM]]+TABLA_AVANCE_METAS[[#This Row],[AVANCE 4°. TRIM]]</f>
        <v>0</v>
      </c>
      <c r="AM45" s="27">
        <f>IFERROR((TABLA_AVANCE_METAS[[#This Row],[AVANCE ACUM. ANUAL]]/TABLA_AVANCE_METAS[[#This Row],[PROGRAMADO ANUAL]])*100,"N/A")</f>
        <v>0</v>
      </c>
      <c r="AN45"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45" s="31">
        <f>TABLA_AVANCE_METAS[[#This Row],[AVANCE ACUM. ANUAL]]-TABLA_AVANCE_METAS[[#This Row],[PROGRAMADO ANUAL]]</f>
        <v>-1</v>
      </c>
      <c r="AP45" s="33">
        <f>IFERROR((TABLA_AVANCE_METAS[[#This Row],[DIFERENCIA ABSOLUTA ANUAL]]/TABLA_AVANCE_METAS[[#This Row],[PROGRAMADO ANUAL]])*100,"N/A")</f>
        <v>-100</v>
      </c>
      <c r="AQ45" s="34"/>
      <c r="AR45" s="35"/>
      <c r="AS45" s="36"/>
      <c r="AT45" s="36"/>
      <c r="AU45" s="37" t="b">
        <f>TABLA_AVANCE_METAS[[#This Row],[PROGRAMADO ANUAL]]=SUM(TABLA_AVANCE_METAS[[#This Row],[PROGR. 1° TRIM]],TABLA_AVANCE_METAS[[#This Row],[PROGR. 2° TRIM]],TABLA_AVANCE_METAS[[#This Row],[PROGR. 3° TRIM]],TABLA_AVANCE_METAS[[#This Row],[PROGR. 4° TRIM]])</f>
        <v>1</v>
      </c>
      <c r="AV45" s="38"/>
    </row>
    <row r="46" spans="1:48" ht="75" hidden="1" customHeight="1" x14ac:dyDescent="0.35">
      <c r="A46" s="19" t="str">
        <f>CONCATENATE(TABLA_AVANCE_METAS[[#This Row],[ESTRUCTURA]],TABLA_AVANCE_METAS[[#This Row],['#]])</f>
        <v>A0123001050205083</v>
      </c>
      <c r="B46" s="20" t="s">
        <v>195</v>
      </c>
      <c r="C46" s="21" t="s">
        <v>74</v>
      </c>
      <c r="D46" s="21" t="s">
        <v>75</v>
      </c>
      <c r="E46" s="20" t="s">
        <v>196</v>
      </c>
      <c r="F46" s="20" t="s">
        <v>197</v>
      </c>
      <c r="G46" s="22" t="s">
        <v>198</v>
      </c>
      <c r="H46" s="20" t="s">
        <v>187</v>
      </c>
      <c r="I46" s="20" t="s">
        <v>188</v>
      </c>
      <c r="J46" s="20" t="s">
        <v>199</v>
      </c>
      <c r="K46" s="20" t="s">
        <v>200</v>
      </c>
      <c r="L46" s="21">
        <v>3</v>
      </c>
      <c r="M46" s="23" t="s">
        <v>204</v>
      </c>
      <c r="N46" s="22" t="s">
        <v>205</v>
      </c>
      <c r="O46" s="24">
        <v>1</v>
      </c>
      <c r="P46" s="24">
        <v>0</v>
      </c>
      <c r="Q46" s="28">
        <v>0</v>
      </c>
      <c r="R46" s="25" t="str">
        <f>IFERROR((TABLA_AVANCE_METAS[[#This Row],[AVANCE 1°. TRIM]]/TABLA_AVANCE_METAS[[#This Row],[PROGR. 1° TRIM]])*100,"0")</f>
        <v>0</v>
      </c>
      <c r="S46"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46" s="24">
        <v>0</v>
      </c>
      <c r="U46" s="28">
        <v>0</v>
      </c>
      <c r="V46" s="27" t="str">
        <f t="shared" si="0"/>
        <v>0</v>
      </c>
      <c r="W46" s="26" t="str">
        <f t="shared" si="2"/>
        <v>NO PROG.</v>
      </c>
      <c r="X46" s="24">
        <v>0</v>
      </c>
      <c r="Y46" s="28">
        <v>0</v>
      </c>
      <c r="Z46" s="27" t="s">
        <v>71</v>
      </c>
      <c r="AA46" s="26" t="s">
        <v>72</v>
      </c>
      <c r="AB46" s="24">
        <v>1</v>
      </c>
      <c r="AC46" s="28">
        <v>0</v>
      </c>
      <c r="AD46" s="27">
        <f>IFERROR((TABLA_AVANCE_METAS[[#This Row],[AVANCE 4°. TRIM]]/TABLA_AVANCE_METAS[[#This Row],[PROGR. 4° TRIM]])*100,"0")</f>
        <v>0</v>
      </c>
      <c r="AE46"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46" s="30">
        <f t="array" ref="AF46">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46" s="84">
        <f t="array" ref="AG46">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46" s="27" t="str">
        <f>IFERROR((TABLA_AVANCE_METAS[[#This Row],[AVANCE ACUM. TRIM.]]/TABLA_AVANCE_METAS[[#This Row],[PROG. ACUM]])*100,"N/A")</f>
        <v>N/A</v>
      </c>
      <c r="AI46"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46" s="31">
        <f>TABLA_AVANCE_METAS[[#This Row],[AVANCE ACUM. TRIM.]]-TABLA_AVANCE_METAS[[#This Row],[PROG. ACUM]]</f>
        <v>0</v>
      </c>
      <c r="AK46" s="32" t="str">
        <f>IFERROR((TABLA_AVANCE_METAS[[#This Row],[DIFERENCIA ABSOLUTA SEMESTRAL]]/TABLA_AVANCE_METAS[[#This Row],[PROG. ACUM]])*100,"N/A")</f>
        <v>N/A</v>
      </c>
      <c r="AL46" s="84">
        <f>TABLA_AVANCE_METAS[[#This Row],[AVANCE 1°. TRIM]]+TABLA_AVANCE_METAS[[#This Row],[AVANCE 2°. TRIM]]+TABLA_AVANCE_METAS[[#This Row],[AVANCE 3°. TRIM]]+TABLA_AVANCE_METAS[[#This Row],[AVANCE 4°. TRIM]]</f>
        <v>0</v>
      </c>
      <c r="AM46" s="27">
        <f>IFERROR((TABLA_AVANCE_METAS[[#This Row],[AVANCE ACUM. ANUAL]]/TABLA_AVANCE_METAS[[#This Row],[PROGRAMADO ANUAL]])*100,"N/A")</f>
        <v>0</v>
      </c>
      <c r="AN46"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46" s="31">
        <f>TABLA_AVANCE_METAS[[#This Row],[AVANCE ACUM. ANUAL]]-TABLA_AVANCE_METAS[[#This Row],[PROGRAMADO ANUAL]]</f>
        <v>-1</v>
      </c>
      <c r="AP46" s="33">
        <f>IFERROR((TABLA_AVANCE_METAS[[#This Row],[DIFERENCIA ABSOLUTA ANUAL]]/TABLA_AVANCE_METAS[[#This Row],[PROGRAMADO ANUAL]])*100,"N/A")</f>
        <v>-100</v>
      </c>
      <c r="AQ46" s="34"/>
      <c r="AR46" s="35"/>
      <c r="AS46" s="36"/>
      <c r="AT46" s="36"/>
      <c r="AU46" s="37" t="b">
        <f>TABLA_AVANCE_METAS[[#This Row],[PROGRAMADO ANUAL]]=SUM(TABLA_AVANCE_METAS[[#This Row],[PROGR. 1° TRIM]],TABLA_AVANCE_METAS[[#This Row],[PROGR. 2° TRIM]],TABLA_AVANCE_METAS[[#This Row],[PROGR. 3° TRIM]],TABLA_AVANCE_METAS[[#This Row],[PROGR. 4° TRIM]])</f>
        <v>1</v>
      </c>
      <c r="AV46" s="38"/>
    </row>
    <row r="47" spans="1:48" ht="75" hidden="1" customHeight="1" x14ac:dyDescent="0.35">
      <c r="A47" s="19" t="str">
        <f>CONCATENATE(TABLA_AVANCE_METAS[[#This Row],[ESTRUCTURA]],TABLA_AVANCE_METAS[[#This Row],['#]])</f>
        <v>A0123001050205084</v>
      </c>
      <c r="B47" s="20" t="s">
        <v>195</v>
      </c>
      <c r="C47" s="21" t="s">
        <v>74</v>
      </c>
      <c r="D47" s="21" t="s">
        <v>75</v>
      </c>
      <c r="E47" s="20" t="s">
        <v>196</v>
      </c>
      <c r="F47" s="20" t="s">
        <v>197</v>
      </c>
      <c r="G47" s="22" t="s">
        <v>198</v>
      </c>
      <c r="H47" s="20" t="s">
        <v>187</v>
      </c>
      <c r="I47" s="20" t="s">
        <v>188</v>
      </c>
      <c r="J47" s="22" t="s">
        <v>199</v>
      </c>
      <c r="K47" s="22" t="s">
        <v>200</v>
      </c>
      <c r="L47" s="21">
        <v>4</v>
      </c>
      <c r="M47" s="23" t="s">
        <v>206</v>
      </c>
      <c r="N47" s="22" t="s">
        <v>203</v>
      </c>
      <c r="O47" s="24">
        <v>1</v>
      </c>
      <c r="P47" s="24">
        <v>1</v>
      </c>
      <c r="Q47" s="28">
        <v>1</v>
      </c>
      <c r="R47" s="25">
        <f>IFERROR((TABLA_AVANCE_METAS[[#This Row],[AVANCE 1°. TRIM]]/TABLA_AVANCE_METAS[[#This Row],[PROGR. 1° TRIM]])*100,"0")</f>
        <v>100</v>
      </c>
      <c r="S47"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47" s="24">
        <v>0</v>
      </c>
      <c r="U47" s="28">
        <v>0</v>
      </c>
      <c r="V47" s="27" t="str">
        <f t="shared" si="0"/>
        <v>0</v>
      </c>
      <c r="W47" s="26" t="str">
        <f t="shared" si="2"/>
        <v>NO PROG.</v>
      </c>
      <c r="X47" s="24">
        <v>0</v>
      </c>
      <c r="Y47" s="28">
        <v>0</v>
      </c>
      <c r="Z47" s="27" t="s">
        <v>71</v>
      </c>
      <c r="AA47" s="26" t="s">
        <v>72</v>
      </c>
      <c r="AB47" s="24">
        <v>0</v>
      </c>
      <c r="AC47" s="28">
        <v>0</v>
      </c>
      <c r="AD47" s="27" t="str">
        <f>IFERROR((TABLA_AVANCE_METAS[[#This Row],[AVANCE 4°. TRIM]]/TABLA_AVANCE_METAS[[#This Row],[PROGR. 4° TRIM]])*100,"0")</f>
        <v>0</v>
      </c>
      <c r="AE47"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47" s="30">
        <f t="array" ref="AF47">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47" s="84">
        <f t="array" ref="AG47">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47" s="27">
        <f>IFERROR((TABLA_AVANCE_METAS[[#This Row],[AVANCE ACUM. TRIM.]]/TABLA_AVANCE_METAS[[#This Row],[PROG. ACUM]])*100,"N/A")</f>
        <v>100</v>
      </c>
      <c r="AI47"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47" s="31">
        <f>TABLA_AVANCE_METAS[[#This Row],[AVANCE ACUM. TRIM.]]-TABLA_AVANCE_METAS[[#This Row],[PROG. ACUM]]</f>
        <v>0</v>
      </c>
      <c r="AK47" s="32">
        <f>IFERROR((TABLA_AVANCE_METAS[[#This Row],[DIFERENCIA ABSOLUTA SEMESTRAL]]/TABLA_AVANCE_METAS[[#This Row],[PROG. ACUM]])*100,"N/A")</f>
        <v>0</v>
      </c>
      <c r="AL47" s="84">
        <f>TABLA_AVANCE_METAS[[#This Row],[AVANCE 1°. TRIM]]+TABLA_AVANCE_METAS[[#This Row],[AVANCE 2°. TRIM]]+TABLA_AVANCE_METAS[[#This Row],[AVANCE 3°. TRIM]]+TABLA_AVANCE_METAS[[#This Row],[AVANCE 4°. TRIM]]</f>
        <v>1</v>
      </c>
      <c r="AM47" s="27">
        <f>IFERROR((TABLA_AVANCE_METAS[[#This Row],[AVANCE ACUM. ANUAL]]/TABLA_AVANCE_METAS[[#This Row],[PROGRAMADO ANUAL]])*100,"N/A")</f>
        <v>100</v>
      </c>
      <c r="AN47"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47" s="31">
        <f>TABLA_AVANCE_METAS[[#This Row],[AVANCE ACUM. ANUAL]]-TABLA_AVANCE_METAS[[#This Row],[PROGRAMADO ANUAL]]</f>
        <v>0</v>
      </c>
      <c r="AP47" s="33">
        <f>IFERROR((TABLA_AVANCE_METAS[[#This Row],[DIFERENCIA ABSOLUTA ANUAL]]/TABLA_AVANCE_METAS[[#This Row],[PROGRAMADO ANUAL]])*100,"N/A")</f>
        <v>0</v>
      </c>
      <c r="AQ47" s="34"/>
      <c r="AR47" s="35"/>
      <c r="AS47" s="36"/>
      <c r="AT47" s="36"/>
      <c r="AU47" s="37" t="b">
        <f>TABLA_AVANCE_METAS[[#This Row],[PROGRAMADO ANUAL]]=SUM(TABLA_AVANCE_METAS[[#This Row],[PROGR. 1° TRIM]],TABLA_AVANCE_METAS[[#This Row],[PROGR. 2° TRIM]],TABLA_AVANCE_METAS[[#This Row],[PROGR. 3° TRIM]],TABLA_AVANCE_METAS[[#This Row],[PROGR. 4° TRIM]])</f>
        <v>1</v>
      </c>
      <c r="AV47" s="38"/>
    </row>
    <row r="48" spans="1:48" ht="75" hidden="1" customHeight="1" x14ac:dyDescent="0.35">
      <c r="A48" s="19" t="str">
        <f>CONCATENATE(TABLA_AVANCE_METAS[[#This Row],[ESTRUCTURA]],TABLA_AVANCE_METAS[[#This Row],['#]])</f>
        <v>A0123001050205085</v>
      </c>
      <c r="B48" s="20" t="s">
        <v>195</v>
      </c>
      <c r="C48" s="21" t="s">
        <v>74</v>
      </c>
      <c r="D48" s="21" t="s">
        <v>75</v>
      </c>
      <c r="E48" s="20" t="s">
        <v>196</v>
      </c>
      <c r="F48" s="20" t="s">
        <v>197</v>
      </c>
      <c r="G48" s="22" t="s">
        <v>198</v>
      </c>
      <c r="H48" s="20" t="s">
        <v>187</v>
      </c>
      <c r="I48" s="20" t="s">
        <v>188</v>
      </c>
      <c r="J48" s="22" t="s">
        <v>199</v>
      </c>
      <c r="K48" s="22" t="s">
        <v>200</v>
      </c>
      <c r="L48" s="21">
        <v>5</v>
      </c>
      <c r="M48" s="23" t="s">
        <v>207</v>
      </c>
      <c r="N48" s="22" t="s">
        <v>205</v>
      </c>
      <c r="O48" s="24">
        <v>4</v>
      </c>
      <c r="P48" s="24">
        <v>1</v>
      </c>
      <c r="Q48" s="28">
        <v>1</v>
      </c>
      <c r="R48" s="25">
        <f>IFERROR((TABLA_AVANCE_METAS[[#This Row],[AVANCE 1°. TRIM]]/TABLA_AVANCE_METAS[[#This Row],[PROGR. 1° TRIM]])*100,"0")</f>
        <v>100</v>
      </c>
      <c r="S48"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48" s="24">
        <v>1</v>
      </c>
      <c r="U48" s="28">
        <v>1</v>
      </c>
      <c r="V48" s="27">
        <f t="shared" si="0"/>
        <v>100</v>
      </c>
      <c r="W48" s="26" t="str">
        <f t="shared" si="2"/>
        <v>ADECUADO</v>
      </c>
      <c r="X48" s="24">
        <v>1</v>
      </c>
      <c r="Y48" s="28">
        <v>0</v>
      </c>
      <c r="Z48" s="27">
        <v>0</v>
      </c>
      <c r="AA48" s="26" t="s">
        <v>62</v>
      </c>
      <c r="AB48" s="24">
        <v>1</v>
      </c>
      <c r="AC48" s="28">
        <v>0</v>
      </c>
      <c r="AD48" s="27">
        <f>IFERROR((TABLA_AVANCE_METAS[[#This Row],[AVANCE 4°. TRIM]]/TABLA_AVANCE_METAS[[#This Row],[PROGR. 4° TRIM]])*100,"0")</f>
        <v>0</v>
      </c>
      <c r="AE48"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48" s="30">
        <f t="array" ref="AF48">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48" s="84">
        <f t="array" ref="AG48">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48" s="27">
        <f>IFERROR((TABLA_AVANCE_METAS[[#This Row],[AVANCE ACUM. TRIM.]]/TABLA_AVANCE_METAS[[#This Row],[PROG. ACUM]])*100,"N/A")</f>
        <v>100</v>
      </c>
      <c r="AI48"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48" s="31">
        <f>TABLA_AVANCE_METAS[[#This Row],[AVANCE ACUM. TRIM.]]-TABLA_AVANCE_METAS[[#This Row],[PROG. ACUM]]</f>
        <v>0</v>
      </c>
      <c r="AK48" s="32">
        <f>IFERROR((TABLA_AVANCE_METAS[[#This Row],[DIFERENCIA ABSOLUTA SEMESTRAL]]/TABLA_AVANCE_METAS[[#This Row],[PROG. ACUM]])*100,"N/A")</f>
        <v>0</v>
      </c>
      <c r="AL48" s="84">
        <f>TABLA_AVANCE_METAS[[#This Row],[AVANCE 1°. TRIM]]+TABLA_AVANCE_METAS[[#This Row],[AVANCE 2°. TRIM]]+TABLA_AVANCE_METAS[[#This Row],[AVANCE 3°. TRIM]]+TABLA_AVANCE_METAS[[#This Row],[AVANCE 4°. TRIM]]</f>
        <v>2</v>
      </c>
      <c r="AM48" s="27">
        <f>IFERROR((TABLA_AVANCE_METAS[[#This Row],[AVANCE ACUM. ANUAL]]/TABLA_AVANCE_METAS[[#This Row],[PROGRAMADO ANUAL]])*100,"N/A")</f>
        <v>50</v>
      </c>
      <c r="AN48"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48" s="31">
        <f>TABLA_AVANCE_METAS[[#This Row],[AVANCE ACUM. ANUAL]]-TABLA_AVANCE_METAS[[#This Row],[PROGRAMADO ANUAL]]</f>
        <v>-2</v>
      </c>
      <c r="AP48" s="33">
        <f>IFERROR((TABLA_AVANCE_METAS[[#This Row],[DIFERENCIA ABSOLUTA ANUAL]]/TABLA_AVANCE_METAS[[#This Row],[PROGRAMADO ANUAL]])*100,"N/A")</f>
        <v>-50</v>
      </c>
      <c r="AQ48" s="34"/>
      <c r="AR48" s="35"/>
      <c r="AS48" s="36"/>
      <c r="AT48" s="36"/>
      <c r="AU48" s="37" t="b">
        <f>TABLA_AVANCE_METAS[[#This Row],[PROGRAMADO ANUAL]]=SUM(TABLA_AVANCE_METAS[[#This Row],[PROGR. 1° TRIM]],TABLA_AVANCE_METAS[[#This Row],[PROGR. 2° TRIM]],TABLA_AVANCE_METAS[[#This Row],[PROGR. 3° TRIM]],TABLA_AVANCE_METAS[[#This Row],[PROGR. 4° TRIM]])</f>
        <v>1</v>
      </c>
      <c r="AV48" s="38"/>
    </row>
    <row r="49" spans="1:48" ht="75" hidden="1" customHeight="1" x14ac:dyDescent="0.35">
      <c r="A49" s="19" t="str">
        <f>CONCATENATE(TABLA_AVANCE_METAS[[#This Row],[ESTRUCTURA]],TABLA_AVANCE_METAS[[#This Row],['#]])</f>
        <v>A0123001050205086</v>
      </c>
      <c r="B49" s="20" t="s">
        <v>195</v>
      </c>
      <c r="C49" s="21" t="s">
        <v>74</v>
      </c>
      <c r="D49" s="21" t="s">
        <v>75</v>
      </c>
      <c r="E49" s="20" t="s">
        <v>196</v>
      </c>
      <c r="F49" s="20" t="s">
        <v>197</v>
      </c>
      <c r="G49" s="22" t="s">
        <v>198</v>
      </c>
      <c r="H49" s="20" t="s">
        <v>187</v>
      </c>
      <c r="I49" s="20" t="s">
        <v>188</v>
      </c>
      <c r="J49" s="22" t="s">
        <v>199</v>
      </c>
      <c r="K49" s="22" t="s">
        <v>200</v>
      </c>
      <c r="L49" s="21">
        <v>6</v>
      </c>
      <c r="M49" s="23" t="s">
        <v>208</v>
      </c>
      <c r="N49" s="22" t="s">
        <v>209</v>
      </c>
      <c r="O49" s="24">
        <v>1</v>
      </c>
      <c r="P49" s="24">
        <v>0</v>
      </c>
      <c r="Q49" s="28">
        <v>0</v>
      </c>
      <c r="R49" s="25" t="str">
        <f>IFERROR((TABLA_AVANCE_METAS[[#This Row],[AVANCE 1°. TRIM]]/TABLA_AVANCE_METAS[[#This Row],[PROGR. 1° TRIM]])*100,"0")</f>
        <v>0</v>
      </c>
      <c r="S49"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49" s="24">
        <v>1</v>
      </c>
      <c r="U49" s="28">
        <v>1</v>
      </c>
      <c r="V49" s="27">
        <f t="shared" si="0"/>
        <v>100</v>
      </c>
      <c r="W49" s="26" t="str">
        <f t="shared" si="2"/>
        <v>ADECUADO</v>
      </c>
      <c r="X49" s="24">
        <v>0</v>
      </c>
      <c r="Y49" s="28">
        <v>0</v>
      </c>
      <c r="Z49" s="27" t="s">
        <v>71</v>
      </c>
      <c r="AA49" s="26" t="s">
        <v>72</v>
      </c>
      <c r="AB49" s="24">
        <v>0</v>
      </c>
      <c r="AC49" s="28">
        <v>0</v>
      </c>
      <c r="AD49" s="27" t="str">
        <f>IFERROR((TABLA_AVANCE_METAS[[#This Row],[AVANCE 4°. TRIM]]/TABLA_AVANCE_METAS[[#This Row],[PROGR. 4° TRIM]])*100,"0")</f>
        <v>0</v>
      </c>
      <c r="AE49"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49" s="30">
        <f t="array" ref="AF49">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49" s="84">
        <f t="array" ref="AG49">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49" s="27">
        <f>IFERROR((TABLA_AVANCE_METAS[[#This Row],[AVANCE ACUM. TRIM.]]/TABLA_AVANCE_METAS[[#This Row],[PROG. ACUM]])*100,"N/A")</f>
        <v>100</v>
      </c>
      <c r="AI49"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49" s="31">
        <f>TABLA_AVANCE_METAS[[#This Row],[AVANCE ACUM. TRIM.]]-TABLA_AVANCE_METAS[[#This Row],[PROG. ACUM]]</f>
        <v>0</v>
      </c>
      <c r="AK49" s="32">
        <f>IFERROR((TABLA_AVANCE_METAS[[#This Row],[DIFERENCIA ABSOLUTA SEMESTRAL]]/TABLA_AVANCE_METAS[[#This Row],[PROG. ACUM]])*100,"N/A")</f>
        <v>0</v>
      </c>
      <c r="AL49" s="84">
        <f>TABLA_AVANCE_METAS[[#This Row],[AVANCE 1°. TRIM]]+TABLA_AVANCE_METAS[[#This Row],[AVANCE 2°. TRIM]]+TABLA_AVANCE_METAS[[#This Row],[AVANCE 3°. TRIM]]+TABLA_AVANCE_METAS[[#This Row],[AVANCE 4°. TRIM]]</f>
        <v>1</v>
      </c>
      <c r="AM49" s="27">
        <f>IFERROR((TABLA_AVANCE_METAS[[#This Row],[AVANCE ACUM. ANUAL]]/TABLA_AVANCE_METAS[[#This Row],[PROGRAMADO ANUAL]])*100,"N/A")</f>
        <v>100</v>
      </c>
      <c r="AN49"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49" s="31">
        <f>TABLA_AVANCE_METAS[[#This Row],[AVANCE ACUM. ANUAL]]-TABLA_AVANCE_METAS[[#This Row],[PROGRAMADO ANUAL]]</f>
        <v>0</v>
      </c>
      <c r="AP49" s="33">
        <f>IFERROR((TABLA_AVANCE_METAS[[#This Row],[DIFERENCIA ABSOLUTA ANUAL]]/TABLA_AVANCE_METAS[[#This Row],[PROGRAMADO ANUAL]])*100,"N/A")</f>
        <v>0</v>
      </c>
      <c r="AQ49" s="34"/>
      <c r="AR49" s="35"/>
      <c r="AS49" s="36"/>
      <c r="AT49" s="36"/>
      <c r="AU49" s="37" t="b">
        <f>TABLA_AVANCE_METAS[[#This Row],[PROGRAMADO ANUAL]]=SUM(TABLA_AVANCE_METAS[[#This Row],[PROGR. 1° TRIM]],TABLA_AVANCE_METAS[[#This Row],[PROGR. 2° TRIM]],TABLA_AVANCE_METAS[[#This Row],[PROGR. 3° TRIM]],TABLA_AVANCE_METAS[[#This Row],[PROGR. 4° TRIM]])</f>
        <v>1</v>
      </c>
      <c r="AV49" s="38"/>
    </row>
    <row r="50" spans="1:48" ht="75" hidden="1" customHeight="1" x14ac:dyDescent="0.35">
      <c r="A50" s="19" t="str">
        <f>CONCATENATE(TABLA_AVANCE_METAS[[#This Row],[ESTRUCTURA]],TABLA_AVANCE_METAS[[#This Row],['#]])</f>
        <v>A0123001050205087</v>
      </c>
      <c r="B50" s="20" t="s">
        <v>195</v>
      </c>
      <c r="C50" s="21" t="s">
        <v>74</v>
      </c>
      <c r="D50" s="21" t="s">
        <v>75</v>
      </c>
      <c r="E50" s="20" t="s">
        <v>196</v>
      </c>
      <c r="F50" s="20" t="s">
        <v>197</v>
      </c>
      <c r="G50" s="22" t="s">
        <v>198</v>
      </c>
      <c r="H50" s="20" t="s">
        <v>187</v>
      </c>
      <c r="I50" s="20" t="s">
        <v>188</v>
      </c>
      <c r="J50" s="22" t="s">
        <v>199</v>
      </c>
      <c r="K50" s="22" t="s">
        <v>200</v>
      </c>
      <c r="L50" s="21">
        <v>7</v>
      </c>
      <c r="M50" s="23" t="s">
        <v>210</v>
      </c>
      <c r="N50" s="22" t="s">
        <v>205</v>
      </c>
      <c r="O50" s="24">
        <v>4</v>
      </c>
      <c r="P50" s="24">
        <v>1</v>
      </c>
      <c r="Q50" s="28">
        <v>1</v>
      </c>
      <c r="R50" s="25">
        <f>IFERROR((TABLA_AVANCE_METAS[[#This Row],[AVANCE 1°. TRIM]]/TABLA_AVANCE_METAS[[#This Row],[PROGR. 1° TRIM]])*100,"0")</f>
        <v>100</v>
      </c>
      <c r="S50"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50" s="24">
        <v>1</v>
      </c>
      <c r="U50" s="28">
        <v>1</v>
      </c>
      <c r="V50" s="27">
        <f t="shared" si="0"/>
        <v>100</v>
      </c>
      <c r="W50" s="26" t="str">
        <f t="shared" si="2"/>
        <v>ADECUADO</v>
      </c>
      <c r="X50" s="24">
        <v>1</v>
      </c>
      <c r="Y50" s="28">
        <v>0</v>
      </c>
      <c r="Z50" s="27">
        <v>0</v>
      </c>
      <c r="AA50" s="26" t="s">
        <v>62</v>
      </c>
      <c r="AB50" s="24">
        <v>1</v>
      </c>
      <c r="AC50" s="28">
        <v>0</v>
      </c>
      <c r="AD50" s="27">
        <f>IFERROR((TABLA_AVANCE_METAS[[#This Row],[AVANCE 4°. TRIM]]/TABLA_AVANCE_METAS[[#This Row],[PROGR. 4° TRIM]])*100,"0")</f>
        <v>0</v>
      </c>
      <c r="AE50"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50" s="30">
        <f t="array" ref="AF50">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50" s="84">
        <f t="array" ref="AG50">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50" s="27">
        <f>IFERROR((TABLA_AVANCE_METAS[[#This Row],[AVANCE ACUM. TRIM.]]/TABLA_AVANCE_METAS[[#This Row],[PROG. ACUM]])*100,"N/A")</f>
        <v>100</v>
      </c>
      <c r="AI50"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50" s="31">
        <f>TABLA_AVANCE_METAS[[#This Row],[AVANCE ACUM. TRIM.]]-TABLA_AVANCE_METAS[[#This Row],[PROG. ACUM]]</f>
        <v>0</v>
      </c>
      <c r="AK50" s="32">
        <f>IFERROR((TABLA_AVANCE_METAS[[#This Row],[DIFERENCIA ABSOLUTA SEMESTRAL]]/TABLA_AVANCE_METAS[[#This Row],[PROG. ACUM]])*100,"N/A")</f>
        <v>0</v>
      </c>
      <c r="AL50" s="84">
        <f>TABLA_AVANCE_METAS[[#This Row],[AVANCE 1°. TRIM]]+TABLA_AVANCE_METAS[[#This Row],[AVANCE 2°. TRIM]]+TABLA_AVANCE_METAS[[#This Row],[AVANCE 3°. TRIM]]+TABLA_AVANCE_METAS[[#This Row],[AVANCE 4°. TRIM]]</f>
        <v>2</v>
      </c>
      <c r="AM50" s="27">
        <f>IFERROR((TABLA_AVANCE_METAS[[#This Row],[AVANCE ACUM. ANUAL]]/TABLA_AVANCE_METAS[[#This Row],[PROGRAMADO ANUAL]])*100,"N/A")</f>
        <v>50</v>
      </c>
      <c r="AN50"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50" s="31">
        <f>TABLA_AVANCE_METAS[[#This Row],[AVANCE ACUM. ANUAL]]-TABLA_AVANCE_METAS[[#This Row],[PROGRAMADO ANUAL]]</f>
        <v>-2</v>
      </c>
      <c r="AP50" s="33">
        <f>IFERROR((TABLA_AVANCE_METAS[[#This Row],[DIFERENCIA ABSOLUTA ANUAL]]/TABLA_AVANCE_METAS[[#This Row],[PROGRAMADO ANUAL]])*100,"N/A")</f>
        <v>-50</v>
      </c>
      <c r="AQ50" s="34"/>
      <c r="AR50" s="35"/>
      <c r="AS50" s="36"/>
      <c r="AT50" s="36"/>
      <c r="AU50" s="37" t="b">
        <f>TABLA_AVANCE_METAS[[#This Row],[PROGRAMADO ANUAL]]=SUM(TABLA_AVANCE_METAS[[#This Row],[PROGR. 1° TRIM]],TABLA_AVANCE_METAS[[#This Row],[PROGR. 2° TRIM]],TABLA_AVANCE_METAS[[#This Row],[PROGR. 3° TRIM]],TABLA_AVANCE_METAS[[#This Row],[PROGR. 4° TRIM]])</f>
        <v>1</v>
      </c>
      <c r="AV50" s="38"/>
    </row>
    <row r="51" spans="1:48" ht="75" hidden="1" customHeight="1" x14ac:dyDescent="0.35">
      <c r="A51" s="19" t="str">
        <f>CONCATENATE(TABLA_AVANCE_METAS[[#This Row],[ESTRUCTURA]],TABLA_AVANCE_METAS[[#This Row],['#]])</f>
        <v>A0123001050205088</v>
      </c>
      <c r="B51" s="20" t="s">
        <v>195</v>
      </c>
      <c r="C51" s="21" t="s">
        <v>74</v>
      </c>
      <c r="D51" s="21" t="s">
        <v>75</v>
      </c>
      <c r="E51" s="20" t="s">
        <v>196</v>
      </c>
      <c r="F51" s="20" t="s">
        <v>197</v>
      </c>
      <c r="G51" s="22" t="s">
        <v>198</v>
      </c>
      <c r="H51" s="20" t="s">
        <v>187</v>
      </c>
      <c r="I51" s="20" t="s">
        <v>188</v>
      </c>
      <c r="J51" s="22" t="s">
        <v>199</v>
      </c>
      <c r="K51" s="22" t="s">
        <v>200</v>
      </c>
      <c r="L51" s="21">
        <v>8</v>
      </c>
      <c r="M51" s="23" t="s">
        <v>211</v>
      </c>
      <c r="N51" s="22" t="s">
        <v>205</v>
      </c>
      <c r="O51" s="24">
        <v>1</v>
      </c>
      <c r="P51" s="24">
        <v>0</v>
      </c>
      <c r="Q51" s="28">
        <v>0</v>
      </c>
      <c r="R51" s="25" t="str">
        <f>IFERROR((TABLA_AVANCE_METAS[[#This Row],[AVANCE 1°. TRIM]]/TABLA_AVANCE_METAS[[#This Row],[PROGR. 1° TRIM]])*100,"0")</f>
        <v>0</v>
      </c>
      <c r="S51"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51" s="24">
        <v>0</v>
      </c>
      <c r="U51" s="28">
        <v>0</v>
      </c>
      <c r="V51" s="27" t="str">
        <f t="shared" si="0"/>
        <v>0</v>
      </c>
      <c r="W51" s="26" t="str">
        <f t="shared" si="2"/>
        <v>NO PROG.</v>
      </c>
      <c r="X51" s="24">
        <v>0</v>
      </c>
      <c r="Y51" s="28">
        <v>0</v>
      </c>
      <c r="Z51" s="27" t="s">
        <v>71</v>
      </c>
      <c r="AA51" s="26" t="s">
        <v>72</v>
      </c>
      <c r="AB51" s="24">
        <v>1</v>
      </c>
      <c r="AC51" s="28">
        <v>0</v>
      </c>
      <c r="AD51" s="27">
        <f>IFERROR((TABLA_AVANCE_METAS[[#This Row],[AVANCE 4°. TRIM]]/TABLA_AVANCE_METAS[[#This Row],[PROGR. 4° TRIM]])*100,"0")</f>
        <v>0</v>
      </c>
      <c r="AE51"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51" s="30">
        <f t="array" ref="AF51">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51" s="84">
        <f t="array" ref="AG51">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51" s="27" t="str">
        <f>IFERROR((TABLA_AVANCE_METAS[[#This Row],[AVANCE ACUM. TRIM.]]/TABLA_AVANCE_METAS[[#This Row],[PROG. ACUM]])*100,"N/A")</f>
        <v>N/A</v>
      </c>
      <c r="AI51"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51" s="31">
        <f>TABLA_AVANCE_METAS[[#This Row],[AVANCE ACUM. TRIM.]]-TABLA_AVANCE_METAS[[#This Row],[PROG. ACUM]]</f>
        <v>0</v>
      </c>
      <c r="AK51" s="32" t="str">
        <f>IFERROR((TABLA_AVANCE_METAS[[#This Row],[DIFERENCIA ABSOLUTA SEMESTRAL]]/TABLA_AVANCE_METAS[[#This Row],[PROG. ACUM]])*100,"N/A")</f>
        <v>N/A</v>
      </c>
      <c r="AL51" s="84">
        <f>TABLA_AVANCE_METAS[[#This Row],[AVANCE 1°. TRIM]]+TABLA_AVANCE_METAS[[#This Row],[AVANCE 2°. TRIM]]+TABLA_AVANCE_METAS[[#This Row],[AVANCE 3°. TRIM]]+TABLA_AVANCE_METAS[[#This Row],[AVANCE 4°. TRIM]]</f>
        <v>0</v>
      </c>
      <c r="AM51" s="27">
        <f>IFERROR((TABLA_AVANCE_METAS[[#This Row],[AVANCE ACUM. ANUAL]]/TABLA_AVANCE_METAS[[#This Row],[PROGRAMADO ANUAL]])*100,"N/A")</f>
        <v>0</v>
      </c>
      <c r="AN51"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51" s="31">
        <f>TABLA_AVANCE_METAS[[#This Row],[AVANCE ACUM. ANUAL]]-TABLA_AVANCE_METAS[[#This Row],[PROGRAMADO ANUAL]]</f>
        <v>-1</v>
      </c>
      <c r="AP51" s="33">
        <f>IFERROR((TABLA_AVANCE_METAS[[#This Row],[DIFERENCIA ABSOLUTA ANUAL]]/TABLA_AVANCE_METAS[[#This Row],[PROGRAMADO ANUAL]])*100,"N/A")</f>
        <v>-100</v>
      </c>
      <c r="AQ51" s="34"/>
      <c r="AR51" s="35"/>
      <c r="AS51" s="36"/>
      <c r="AT51" s="36"/>
      <c r="AU51" s="37" t="b">
        <f>TABLA_AVANCE_METAS[[#This Row],[PROGRAMADO ANUAL]]=SUM(TABLA_AVANCE_METAS[[#This Row],[PROGR. 1° TRIM]],TABLA_AVANCE_METAS[[#This Row],[PROGR. 2° TRIM]],TABLA_AVANCE_METAS[[#This Row],[PROGR. 3° TRIM]],TABLA_AVANCE_METAS[[#This Row],[PROGR. 4° TRIM]])</f>
        <v>1</v>
      </c>
      <c r="AV51" s="38"/>
    </row>
    <row r="52" spans="1:48" ht="75" hidden="1" customHeight="1" x14ac:dyDescent="0.35">
      <c r="A52" s="19" t="str">
        <f>CONCATENATE(TABLA_AVANCE_METAS[[#This Row],[ESTRUCTURA]],TABLA_AVANCE_METAS[[#This Row],['#]])</f>
        <v>B0021201050206011</v>
      </c>
      <c r="B52" s="20" t="s">
        <v>212</v>
      </c>
      <c r="C52" s="21" t="s">
        <v>213</v>
      </c>
      <c r="D52" s="21" t="s">
        <v>214</v>
      </c>
      <c r="E52" s="20" t="s">
        <v>53</v>
      </c>
      <c r="F52" s="20" t="s">
        <v>54</v>
      </c>
      <c r="G52" s="22" t="s">
        <v>215</v>
      </c>
      <c r="H52" s="20" t="s">
        <v>139</v>
      </c>
      <c r="I52" s="20" t="s">
        <v>140</v>
      </c>
      <c r="J52" s="22" t="s">
        <v>216</v>
      </c>
      <c r="K52" s="22" t="s">
        <v>217</v>
      </c>
      <c r="L52" s="21">
        <v>1</v>
      </c>
      <c r="M52" s="23" t="s">
        <v>218</v>
      </c>
      <c r="N52" s="22" t="s">
        <v>219</v>
      </c>
      <c r="O52" s="24">
        <v>200</v>
      </c>
      <c r="P52" s="24">
        <v>50</v>
      </c>
      <c r="Q52" s="28">
        <v>45</v>
      </c>
      <c r="R52" s="25">
        <f>IFERROR((TABLA_AVANCE_METAS[[#This Row],[AVANCE 1°. TRIM]]/TABLA_AVANCE_METAS[[#This Row],[PROGR. 1° TRIM]])*100,"0")</f>
        <v>90</v>
      </c>
      <c r="S52"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52" s="24">
        <v>50</v>
      </c>
      <c r="U52" s="28">
        <v>51</v>
      </c>
      <c r="V52" s="27">
        <f t="shared" si="0"/>
        <v>102</v>
      </c>
      <c r="W52" s="26" t="str">
        <f t="shared" si="2"/>
        <v>ADECUADO</v>
      </c>
      <c r="X52" s="24">
        <v>50</v>
      </c>
      <c r="Y52" s="28">
        <v>0</v>
      </c>
      <c r="Z52" s="27">
        <v>0</v>
      </c>
      <c r="AA52" s="26" t="s">
        <v>62</v>
      </c>
      <c r="AB52" s="24">
        <v>50</v>
      </c>
      <c r="AC52" s="28">
        <v>0</v>
      </c>
      <c r="AD52" s="27">
        <f>IFERROR((TABLA_AVANCE_METAS[[#This Row],[AVANCE 4°. TRIM]]/TABLA_AVANCE_METAS[[#This Row],[PROGR. 4° TRIM]])*100,"0")</f>
        <v>0</v>
      </c>
      <c r="AE52"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52" s="30">
        <f t="array" ref="AF52">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100</v>
      </c>
      <c r="AG52" s="84">
        <f t="array" ref="AG52">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96</v>
      </c>
      <c r="AH52" s="27">
        <f>IFERROR((TABLA_AVANCE_METAS[[#This Row],[AVANCE ACUM. TRIM.]]/TABLA_AVANCE_METAS[[#This Row],[PROG. ACUM]])*100,"N/A")</f>
        <v>96</v>
      </c>
      <c r="AI52"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52" s="31">
        <f>TABLA_AVANCE_METAS[[#This Row],[AVANCE ACUM. TRIM.]]-TABLA_AVANCE_METAS[[#This Row],[PROG. ACUM]]</f>
        <v>-4</v>
      </c>
      <c r="AK52" s="32">
        <f>IFERROR((TABLA_AVANCE_METAS[[#This Row],[DIFERENCIA ABSOLUTA SEMESTRAL]]/TABLA_AVANCE_METAS[[#This Row],[PROG. ACUM]])*100,"N/A")</f>
        <v>-4</v>
      </c>
      <c r="AL52" s="84">
        <f>TABLA_AVANCE_METAS[[#This Row],[AVANCE 1°. TRIM]]+TABLA_AVANCE_METAS[[#This Row],[AVANCE 2°. TRIM]]+TABLA_AVANCE_METAS[[#This Row],[AVANCE 3°. TRIM]]+TABLA_AVANCE_METAS[[#This Row],[AVANCE 4°. TRIM]]</f>
        <v>96</v>
      </c>
      <c r="AM52" s="27">
        <f>IFERROR((TABLA_AVANCE_METAS[[#This Row],[AVANCE ACUM. ANUAL]]/TABLA_AVANCE_METAS[[#This Row],[PROGRAMADO ANUAL]])*100,"N/A")</f>
        <v>48</v>
      </c>
      <c r="AN52"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52" s="31">
        <f>TABLA_AVANCE_METAS[[#This Row],[AVANCE ACUM. ANUAL]]-TABLA_AVANCE_METAS[[#This Row],[PROGRAMADO ANUAL]]</f>
        <v>-104</v>
      </c>
      <c r="AP52" s="33">
        <f>IFERROR((TABLA_AVANCE_METAS[[#This Row],[DIFERENCIA ABSOLUTA ANUAL]]/TABLA_AVANCE_METAS[[#This Row],[PROGRAMADO ANUAL]])*100,"N/A")</f>
        <v>-52</v>
      </c>
      <c r="AQ52" s="34"/>
      <c r="AR52" s="35"/>
      <c r="AS52" s="36"/>
      <c r="AT52" s="36"/>
      <c r="AU52" s="37" t="b">
        <f>TABLA_AVANCE_METAS[[#This Row],[PROGRAMADO ANUAL]]=SUM(TABLA_AVANCE_METAS[[#This Row],[PROGR. 1° TRIM]],TABLA_AVANCE_METAS[[#This Row],[PROGR. 2° TRIM]],TABLA_AVANCE_METAS[[#This Row],[PROGR. 3° TRIM]],TABLA_AVANCE_METAS[[#This Row],[PROGR. 4° TRIM]])</f>
        <v>1</v>
      </c>
      <c r="AV52" s="38"/>
    </row>
    <row r="53" spans="1:48" ht="75" hidden="1" customHeight="1" x14ac:dyDescent="0.35">
      <c r="A53" s="19" t="str">
        <f>CONCATENATE(TABLA_AVANCE_METAS[[#This Row],[ESTRUCTURA]],TABLA_AVANCE_METAS[[#This Row],['#]])</f>
        <v>B0021201050206012</v>
      </c>
      <c r="B53" s="20" t="s">
        <v>212</v>
      </c>
      <c r="C53" s="21" t="s">
        <v>213</v>
      </c>
      <c r="D53" s="21" t="s">
        <v>214</v>
      </c>
      <c r="E53" s="20" t="s">
        <v>53</v>
      </c>
      <c r="F53" s="20" t="s">
        <v>54</v>
      </c>
      <c r="G53" s="22" t="s">
        <v>215</v>
      </c>
      <c r="H53" s="20" t="s">
        <v>139</v>
      </c>
      <c r="I53" s="20" t="s">
        <v>140</v>
      </c>
      <c r="J53" s="20" t="s">
        <v>216</v>
      </c>
      <c r="K53" s="20" t="s">
        <v>217</v>
      </c>
      <c r="L53" s="21">
        <v>2</v>
      </c>
      <c r="M53" s="23" t="s">
        <v>220</v>
      </c>
      <c r="N53" s="22" t="s">
        <v>221</v>
      </c>
      <c r="O53" s="24">
        <v>6</v>
      </c>
      <c r="P53" s="24">
        <v>2</v>
      </c>
      <c r="Q53" s="28">
        <v>2</v>
      </c>
      <c r="R53" s="25">
        <f>IFERROR((TABLA_AVANCE_METAS[[#This Row],[AVANCE 1°. TRIM]]/TABLA_AVANCE_METAS[[#This Row],[PROGR. 1° TRIM]])*100,"0")</f>
        <v>100</v>
      </c>
      <c r="S53"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53" s="24">
        <v>1</v>
      </c>
      <c r="U53" s="28">
        <v>1</v>
      </c>
      <c r="V53" s="27">
        <f t="shared" si="0"/>
        <v>100</v>
      </c>
      <c r="W53" s="26" t="str">
        <f t="shared" si="2"/>
        <v>ADECUADO</v>
      </c>
      <c r="X53" s="24">
        <v>2</v>
      </c>
      <c r="Y53" s="28">
        <v>0</v>
      </c>
      <c r="Z53" s="27">
        <v>0</v>
      </c>
      <c r="AA53" s="26" t="s">
        <v>62</v>
      </c>
      <c r="AB53" s="24">
        <v>1</v>
      </c>
      <c r="AC53" s="28">
        <v>0</v>
      </c>
      <c r="AD53" s="27">
        <f>IFERROR((TABLA_AVANCE_METAS[[#This Row],[AVANCE 4°. TRIM]]/TABLA_AVANCE_METAS[[#This Row],[PROGR. 4° TRIM]])*100,"0")</f>
        <v>0</v>
      </c>
      <c r="AE53"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53" s="30">
        <f t="array" ref="AF53">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3</v>
      </c>
      <c r="AG53" s="84">
        <f t="array" ref="AG53">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3</v>
      </c>
      <c r="AH53" s="27">
        <f>IFERROR((TABLA_AVANCE_METAS[[#This Row],[AVANCE ACUM. TRIM.]]/TABLA_AVANCE_METAS[[#This Row],[PROG. ACUM]])*100,"N/A")</f>
        <v>100</v>
      </c>
      <c r="AI53"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53" s="31">
        <f>TABLA_AVANCE_METAS[[#This Row],[AVANCE ACUM. TRIM.]]-TABLA_AVANCE_METAS[[#This Row],[PROG. ACUM]]</f>
        <v>0</v>
      </c>
      <c r="AK53" s="32">
        <f>IFERROR((TABLA_AVANCE_METAS[[#This Row],[DIFERENCIA ABSOLUTA SEMESTRAL]]/TABLA_AVANCE_METAS[[#This Row],[PROG. ACUM]])*100,"N/A")</f>
        <v>0</v>
      </c>
      <c r="AL53" s="84">
        <f>TABLA_AVANCE_METAS[[#This Row],[AVANCE 1°. TRIM]]+TABLA_AVANCE_METAS[[#This Row],[AVANCE 2°. TRIM]]+TABLA_AVANCE_METAS[[#This Row],[AVANCE 3°. TRIM]]+TABLA_AVANCE_METAS[[#This Row],[AVANCE 4°. TRIM]]</f>
        <v>3</v>
      </c>
      <c r="AM53" s="27">
        <f>IFERROR((TABLA_AVANCE_METAS[[#This Row],[AVANCE ACUM. ANUAL]]/TABLA_AVANCE_METAS[[#This Row],[PROGRAMADO ANUAL]])*100,"N/A")</f>
        <v>50</v>
      </c>
      <c r="AN53"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53" s="31">
        <f>TABLA_AVANCE_METAS[[#This Row],[AVANCE ACUM. ANUAL]]-TABLA_AVANCE_METAS[[#This Row],[PROGRAMADO ANUAL]]</f>
        <v>-3</v>
      </c>
      <c r="AP53" s="33">
        <f>IFERROR((TABLA_AVANCE_METAS[[#This Row],[DIFERENCIA ABSOLUTA ANUAL]]/TABLA_AVANCE_METAS[[#This Row],[PROGRAMADO ANUAL]])*100,"N/A")</f>
        <v>-50</v>
      </c>
      <c r="AQ53" s="34"/>
      <c r="AR53" s="35"/>
      <c r="AS53" s="36"/>
      <c r="AT53" s="36"/>
      <c r="AU53" s="37" t="b">
        <f>TABLA_AVANCE_METAS[[#This Row],[PROGRAMADO ANUAL]]=SUM(TABLA_AVANCE_METAS[[#This Row],[PROGR. 1° TRIM]],TABLA_AVANCE_METAS[[#This Row],[PROGR. 2° TRIM]],TABLA_AVANCE_METAS[[#This Row],[PROGR. 3° TRIM]],TABLA_AVANCE_METAS[[#This Row],[PROGR. 4° TRIM]])</f>
        <v>1</v>
      </c>
      <c r="AV53" s="38"/>
    </row>
    <row r="54" spans="1:48" ht="75" hidden="1" customHeight="1" x14ac:dyDescent="0.35">
      <c r="A54" s="19" t="str">
        <f>CONCATENATE(TABLA_AVANCE_METAS[[#This Row],[ESTRUCTURA]],TABLA_AVANCE_METAS[[#This Row],['#]])</f>
        <v>B0021201050206013</v>
      </c>
      <c r="B54" s="20" t="s">
        <v>212</v>
      </c>
      <c r="C54" s="21" t="s">
        <v>213</v>
      </c>
      <c r="D54" s="21" t="s">
        <v>214</v>
      </c>
      <c r="E54" s="20" t="s">
        <v>53</v>
      </c>
      <c r="F54" s="20" t="s">
        <v>54</v>
      </c>
      <c r="G54" s="22" t="s">
        <v>215</v>
      </c>
      <c r="H54" s="20" t="s">
        <v>139</v>
      </c>
      <c r="I54" s="20" t="s">
        <v>140</v>
      </c>
      <c r="J54" s="20" t="s">
        <v>216</v>
      </c>
      <c r="K54" s="20" t="s">
        <v>217</v>
      </c>
      <c r="L54" s="21">
        <v>3</v>
      </c>
      <c r="M54" s="23" t="s">
        <v>222</v>
      </c>
      <c r="N54" s="22" t="s">
        <v>123</v>
      </c>
      <c r="O54" s="24">
        <v>8</v>
      </c>
      <c r="P54" s="24">
        <v>2</v>
      </c>
      <c r="Q54" s="28">
        <v>2</v>
      </c>
      <c r="R54" s="25">
        <f>IFERROR((TABLA_AVANCE_METAS[[#This Row],[AVANCE 1°. TRIM]]/TABLA_AVANCE_METAS[[#This Row],[PROGR. 1° TRIM]])*100,"0")</f>
        <v>100</v>
      </c>
      <c r="S54"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54" s="24">
        <v>2</v>
      </c>
      <c r="U54" s="28">
        <v>2</v>
      </c>
      <c r="V54" s="27">
        <f t="shared" si="0"/>
        <v>100</v>
      </c>
      <c r="W54" s="26" t="str">
        <f t="shared" si="2"/>
        <v>ADECUADO</v>
      </c>
      <c r="X54" s="24">
        <v>2</v>
      </c>
      <c r="Y54" s="28">
        <v>0</v>
      </c>
      <c r="Z54" s="27">
        <v>0</v>
      </c>
      <c r="AA54" s="26" t="s">
        <v>62</v>
      </c>
      <c r="AB54" s="24">
        <v>2</v>
      </c>
      <c r="AC54" s="28">
        <v>0</v>
      </c>
      <c r="AD54" s="27">
        <f>IFERROR((TABLA_AVANCE_METAS[[#This Row],[AVANCE 4°. TRIM]]/TABLA_AVANCE_METAS[[#This Row],[PROGR. 4° TRIM]])*100,"0")</f>
        <v>0</v>
      </c>
      <c r="AE54"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54" s="30">
        <f t="array" ref="AF54">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4</v>
      </c>
      <c r="AG54" s="84">
        <f t="array" ref="AG54">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4</v>
      </c>
      <c r="AH54" s="27">
        <f>IFERROR((TABLA_AVANCE_METAS[[#This Row],[AVANCE ACUM. TRIM.]]/TABLA_AVANCE_METAS[[#This Row],[PROG. ACUM]])*100,"N/A")</f>
        <v>100</v>
      </c>
      <c r="AI54"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54" s="31">
        <f>TABLA_AVANCE_METAS[[#This Row],[AVANCE ACUM. TRIM.]]-TABLA_AVANCE_METAS[[#This Row],[PROG. ACUM]]</f>
        <v>0</v>
      </c>
      <c r="AK54" s="32">
        <f>IFERROR((TABLA_AVANCE_METAS[[#This Row],[DIFERENCIA ABSOLUTA SEMESTRAL]]/TABLA_AVANCE_METAS[[#This Row],[PROG. ACUM]])*100,"N/A")</f>
        <v>0</v>
      </c>
      <c r="AL54" s="84">
        <f>TABLA_AVANCE_METAS[[#This Row],[AVANCE 1°. TRIM]]+TABLA_AVANCE_METAS[[#This Row],[AVANCE 2°. TRIM]]+TABLA_AVANCE_METAS[[#This Row],[AVANCE 3°. TRIM]]+TABLA_AVANCE_METAS[[#This Row],[AVANCE 4°. TRIM]]</f>
        <v>4</v>
      </c>
      <c r="AM54" s="27">
        <f>IFERROR((TABLA_AVANCE_METAS[[#This Row],[AVANCE ACUM. ANUAL]]/TABLA_AVANCE_METAS[[#This Row],[PROGRAMADO ANUAL]])*100,"N/A")</f>
        <v>50</v>
      </c>
      <c r="AN54"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54" s="31">
        <f>TABLA_AVANCE_METAS[[#This Row],[AVANCE ACUM. ANUAL]]-TABLA_AVANCE_METAS[[#This Row],[PROGRAMADO ANUAL]]</f>
        <v>-4</v>
      </c>
      <c r="AP54" s="33">
        <f>IFERROR((TABLA_AVANCE_METAS[[#This Row],[DIFERENCIA ABSOLUTA ANUAL]]/TABLA_AVANCE_METAS[[#This Row],[PROGRAMADO ANUAL]])*100,"N/A")</f>
        <v>-50</v>
      </c>
      <c r="AQ54" s="34"/>
      <c r="AR54" s="35"/>
      <c r="AS54" s="36"/>
      <c r="AT54" s="36"/>
      <c r="AU54" s="37" t="b">
        <f>TABLA_AVANCE_METAS[[#This Row],[PROGRAMADO ANUAL]]=SUM(TABLA_AVANCE_METAS[[#This Row],[PROGR. 1° TRIM]],TABLA_AVANCE_METAS[[#This Row],[PROGR. 2° TRIM]],TABLA_AVANCE_METAS[[#This Row],[PROGR. 3° TRIM]],TABLA_AVANCE_METAS[[#This Row],[PROGR. 4° TRIM]])</f>
        <v>1</v>
      </c>
      <c r="AV54" s="38"/>
    </row>
    <row r="55" spans="1:48" ht="75" hidden="1" customHeight="1" x14ac:dyDescent="0.35">
      <c r="A55" s="19" t="str">
        <f>CONCATENATE(TABLA_AVANCE_METAS[[#This Row],[ESTRUCTURA]],TABLA_AVANCE_METAS[[#This Row],['#]])</f>
        <v>B0021001050206031</v>
      </c>
      <c r="B55" s="20" t="s">
        <v>223</v>
      </c>
      <c r="C55" s="21" t="s">
        <v>213</v>
      </c>
      <c r="D55" s="21" t="s">
        <v>214</v>
      </c>
      <c r="E55" s="20" t="s">
        <v>224</v>
      </c>
      <c r="F55" s="20" t="s">
        <v>225</v>
      </c>
      <c r="G55" s="22" t="s">
        <v>226</v>
      </c>
      <c r="H55" s="20" t="s">
        <v>139</v>
      </c>
      <c r="I55" s="20" t="s">
        <v>140</v>
      </c>
      <c r="J55" s="20" t="s">
        <v>227</v>
      </c>
      <c r="K55" s="20" t="s">
        <v>228</v>
      </c>
      <c r="L55" s="21">
        <v>1</v>
      </c>
      <c r="M55" s="23" t="s">
        <v>229</v>
      </c>
      <c r="N55" s="22" t="s">
        <v>230</v>
      </c>
      <c r="O55" s="24">
        <v>12</v>
      </c>
      <c r="P55" s="24">
        <v>3</v>
      </c>
      <c r="Q55" s="28">
        <v>3</v>
      </c>
      <c r="R55" s="25">
        <f>IFERROR((TABLA_AVANCE_METAS[[#This Row],[AVANCE 1°. TRIM]]/TABLA_AVANCE_METAS[[#This Row],[PROGR. 1° TRIM]])*100,"0")</f>
        <v>100</v>
      </c>
      <c r="S55"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55" s="24">
        <v>3</v>
      </c>
      <c r="U55" s="28">
        <v>0</v>
      </c>
      <c r="V55" s="27">
        <f t="shared" si="0"/>
        <v>0</v>
      </c>
      <c r="W55" s="26" t="str">
        <f t="shared" si="2"/>
        <v>CRÍTICO</v>
      </c>
      <c r="X55" s="24">
        <v>3</v>
      </c>
      <c r="Y55" s="28">
        <v>0</v>
      </c>
      <c r="Z55" s="27">
        <v>0</v>
      </c>
      <c r="AA55" s="26" t="s">
        <v>62</v>
      </c>
      <c r="AB55" s="24">
        <v>3</v>
      </c>
      <c r="AC55" s="28">
        <v>0</v>
      </c>
      <c r="AD55" s="27">
        <f>IFERROR((TABLA_AVANCE_METAS[[#This Row],[AVANCE 4°. TRIM]]/TABLA_AVANCE_METAS[[#This Row],[PROGR. 4° TRIM]])*100,"0")</f>
        <v>0</v>
      </c>
      <c r="AE55"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55" s="30">
        <f t="array" ref="AF55">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6</v>
      </c>
      <c r="AG55" s="84">
        <f t="array" ref="AG55">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3</v>
      </c>
      <c r="AH55" s="27">
        <f>IFERROR((TABLA_AVANCE_METAS[[#This Row],[AVANCE ACUM. TRIM.]]/TABLA_AVANCE_METAS[[#This Row],[PROG. ACUM]])*100,"N/A")</f>
        <v>50</v>
      </c>
      <c r="AI55"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DEFICIENTE</v>
      </c>
      <c r="AJ55" s="31">
        <f>TABLA_AVANCE_METAS[[#This Row],[AVANCE ACUM. TRIM.]]-TABLA_AVANCE_METAS[[#This Row],[PROG. ACUM]]</f>
        <v>-3</v>
      </c>
      <c r="AK55" s="32">
        <f>IFERROR((TABLA_AVANCE_METAS[[#This Row],[DIFERENCIA ABSOLUTA SEMESTRAL]]/TABLA_AVANCE_METAS[[#This Row],[PROG. ACUM]])*100,"N/A")</f>
        <v>-50</v>
      </c>
      <c r="AL55" s="84">
        <f>TABLA_AVANCE_METAS[[#This Row],[AVANCE 1°. TRIM]]+TABLA_AVANCE_METAS[[#This Row],[AVANCE 2°. TRIM]]+TABLA_AVANCE_METAS[[#This Row],[AVANCE 3°. TRIM]]+TABLA_AVANCE_METAS[[#This Row],[AVANCE 4°. TRIM]]</f>
        <v>3</v>
      </c>
      <c r="AM55" s="27">
        <f>IFERROR((TABLA_AVANCE_METAS[[#This Row],[AVANCE ACUM. ANUAL]]/TABLA_AVANCE_METAS[[#This Row],[PROGRAMADO ANUAL]])*100,"N/A")</f>
        <v>25</v>
      </c>
      <c r="AN55"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55" s="31">
        <f>TABLA_AVANCE_METAS[[#This Row],[AVANCE ACUM. ANUAL]]-TABLA_AVANCE_METAS[[#This Row],[PROGRAMADO ANUAL]]</f>
        <v>-9</v>
      </c>
      <c r="AP55" s="33">
        <f>IFERROR((TABLA_AVANCE_METAS[[#This Row],[DIFERENCIA ABSOLUTA ANUAL]]/TABLA_AVANCE_METAS[[#This Row],[PROGRAMADO ANUAL]])*100,"N/A")</f>
        <v>-75</v>
      </c>
      <c r="AQ55" s="34" t="s">
        <v>231</v>
      </c>
      <c r="AR55" s="35"/>
      <c r="AS55" s="36"/>
      <c r="AT55" s="36"/>
      <c r="AU55" s="37" t="b">
        <f>TABLA_AVANCE_METAS[[#This Row],[PROGRAMADO ANUAL]]=SUM(TABLA_AVANCE_METAS[[#This Row],[PROGR. 1° TRIM]],TABLA_AVANCE_METAS[[#This Row],[PROGR. 2° TRIM]],TABLA_AVANCE_METAS[[#This Row],[PROGR. 3° TRIM]],TABLA_AVANCE_METAS[[#This Row],[PROGR. 4° TRIM]])</f>
        <v>1</v>
      </c>
      <c r="AV55" s="38"/>
    </row>
    <row r="56" spans="1:48" ht="75" hidden="1" customHeight="1" x14ac:dyDescent="0.35">
      <c r="A56" s="19" t="str">
        <f>CONCATENATE(TABLA_AVANCE_METAS[[#This Row],[ESTRUCTURA]],TABLA_AVANCE_METAS[[#This Row],['#]])</f>
        <v>B0021001050206032</v>
      </c>
      <c r="B56" s="20" t="s">
        <v>223</v>
      </c>
      <c r="C56" s="21" t="s">
        <v>213</v>
      </c>
      <c r="D56" s="21" t="s">
        <v>214</v>
      </c>
      <c r="E56" s="20" t="s">
        <v>224</v>
      </c>
      <c r="F56" s="20" t="s">
        <v>225</v>
      </c>
      <c r="G56" s="22" t="s">
        <v>226</v>
      </c>
      <c r="H56" s="20" t="s">
        <v>139</v>
      </c>
      <c r="I56" s="20" t="s">
        <v>140</v>
      </c>
      <c r="J56" s="20" t="s">
        <v>227</v>
      </c>
      <c r="K56" s="20" t="s">
        <v>228</v>
      </c>
      <c r="L56" s="21">
        <v>2</v>
      </c>
      <c r="M56" s="23" t="s">
        <v>232</v>
      </c>
      <c r="N56" s="22" t="s">
        <v>233</v>
      </c>
      <c r="O56" s="24">
        <v>2</v>
      </c>
      <c r="P56" s="24">
        <v>1</v>
      </c>
      <c r="Q56" s="28">
        <v>0</v>
      </c>
      <c r="R56" s="25">
        <f>IFERROR((TABLA_AVANCE_METAS[[#This Row],[AVANCE 1°. TRIM]]/TABLA_AVANCE_METAS[[#This Row],[PROGR. 1° TRIM]])*100,"0")</f>
        <v>0</v>
      </c>
      <c r="S56"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CRÍTICO</v>
      </c>
      <c r="T56" s="24">
        <v>0</v>
      </c>
      <c r="U56" s="28">
        <v>0</v>
      </c>
      <c r="V56" s="27" t="str">
        <f t="shared" si="0"/>
        <v>0</v>
      </c>
      <c r="W56" s="26" t="str">
        <f t="shared" si="2"/>
        <v>NO PROG.</v>
      </c>
      <c r="X56" s="24">
        <v>0</v>
      </c>
      <c r="Y56" s="28">
        <v>0</v>
      </c>
      <c r="Z56" s="27" t="s">
        <v>71</v>
      </c>
      <c r="AA56" s="26" t="s">
        <v>72</v>
      </c>
      <c r="AB56" s="24">
        <v>1</v>
      </c>
      <c r="AC56" s="28">
        <v>0</v>
      </c>
      <c r="AD56" s="27">
        <f>IFERROR((TABLA_AVANCE_METAS[[#This Row],[AVANCE 4°. TRIM]]/TABLA_AVANCE_METAS[[#This Row],[PROGR. 4° TRIM]])*100,"0")</f>
        <v>0</v>
      </c>
      <c r="AE56"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56" s="30">
        <f t="array" ref="AF56">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56" s="84">
        <f t="array" ref="AG56">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56" s="27">
        <f>IFERROR((TABLA_AVANCE_METAS[[#This Row],[AVANCE ACUM. TRIM.]]/TABLA_AVANCE_METAS[[#This Row],[PROG. ACUM]])*100,"N/A")</f>
        <v>0</v>
      </c>
      <c r="AI56"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CRÍTICO</v>
      </c>
      <c r="AJ56" s="31">
        <f>TABLA_AVANCE_METAS[[#This Row],[AVANCE ACUM. TRIM.]]-TABLA_AVANCE_METAS[[#This Row],[PROG. ACUM]]</f>
        <v>-1</v>
      </c>
      <c r="AK56" s="32">
        <f>IFERROR((TABLA_AVANCE_METAS[[#This Row],[DIFERENCIA ABSOLUTA SEMESTRAL]]/TABLA_AVANCE_METAS[[#This Row],[PROG. ACUM]])*100,"N/A")</f>
        <v>-100</v>
      </c>
      <c r="AL56" s="84">
        <f>TABLA_AVANCE_METAS[[#This Row],[AVANCE 1°. TRIM]]+TABLA_AVANCE_METAS[[#This Row],[AVANCE 2°. TRIM]]+TABLA_AVANCE_METAS[[#This Row],[AVANCE 3°. TRIM]]+TABLA_AVANCE_METAS[[#This Row],[AVANCE 4°. TRIM]]</f>
        <v>0</v>
      </c>
      <c r="AM56" s="27">
        <f>IFERROR((TABLA_AVANCE_METAS[[#This Row],[AVANCE ACUM. ANUAL]]/TABLA_AVANCE_METAS[[#This Row],[PROGRAMADO ANUAL]])*100,"N/A")</f>
        <v>0</v>
      </c>
      <c r="AN56"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56" s="31">
        <f>TABLA_AVANCE_METAS[[#This Row],[AVANCE ACUM. ANUAL]]-TABLA_AVANCE_METAS[[#This Row],[PROGRAMADO ANUAL]]</f>
        <v>-2</v>
      </c>
      <c r="AP56" s="33">
        <f>IFERROR((TABLA_AVANCE_METAS[[#This Row],[DIFERENCIA ABSOLUTA ANUAL]]/TABLA_AVANCE_METAS[[#This Row],[PROGRAMADO ANUAL]])*100,"N/A")</f>
        <v>-100</v>
      </c>
      <c r="AQ56" s="34" t="s">
        <v>234</v>
      </c>
      <c r="AR56" s="35"/>
      <c r="AS56" s="36"/>
      <c r="AT56" s="36"/>
      <c r="AU56" s="37" t="b">
        <f>TABLA_AVANCE_METAS[[#This Row],[PROGRAMADO ANUAL]]=SUM(TABLA_AVANCE_METAS[[#This Row],[PROGR. 1° TRIM]],TABLA_AVANCE_METAS[[#This Row],[PROGR. 2° TRIM]],TABLA_AVANCE_METAS[[#This Row],[PROGR. 3° TRIM]],TABLA_AVANCE_METAS[[#This Row],[PROGR. 4° TRIM]])</f>
        <v>1</v>
      </c>
      <c r="AV56" s="38"/>
    </row>
    <row r="57" spans="1:48" ht="75" hidden="1" customHeight="1" x14ac:dyDescent="0.35">
      <c r="A57" s="19" t="str">
        <f>CONCATENATE(TABLA_AVANCE_METAS[[#This Row],[ESTRUCTURA]],TABLA_AVANCE_METAS[[#This Row],['#]])</f>
        <v>B0021001050206033</v>
      </c>
      <c r="B57" s="20" t="s">
        <v>223</v>
      </c>
      <c r="C57" s="21" t="s">
        <v>213</v>
      </c>
      <c r="D57" s="21" t="s">
        <v>214</v>
      </c>
      <c r="E57" s="20" t="s">
        <v>224</v>
      </c>
      <c r="F57" s="20" t="s">
        <v>225</v>
      </c>
      <c r="G57" s="22" t="s">
        <v>226</v>
      </c>
      <c r="H57" s="20" t="s">
        <v>139</v>
      </c>
      <c r="I57" s="20" t="s">
        <v>140</v>
      </c>
      <c r="J57" s="20" t="s">
        <v>227</v>
      </c>
      <c r="K57" s="20" t="s">
        <v>228</v>
      </c>
      <c r="L57" s="21">
        <v>3</v>
      </c>
      <c r="M57" s="23" t="s">
        <v>235</v>
      </c>
      <c r="N57" s="22" t="s">
        <v>236</v>
      </c>
      <c r="O57" s="24">
        <v>12</v>
      </c>
      <c r="P57" s="24">
        <v>3</v>
      </c>
      <c r="Q57" s="28">
        <v>3</v>
      </c>
      <c r="R57" s="25">
        <f>IFERROR((TABLA_AVANCE_METAS[[#This Row],[AVANCE 1°. TRIM]]/TABLA_AVANCE_METAS[[#This Row],[PROGR. 1° TRIM]])*100,"0")</f>
        <v>100</v>
      </c>
      <c r="S57"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57" s="24">
        <v>3</v>
      </c>
      <c r="U57" s="28">
        <v>0</v>
      </c>
      <c r="V57" s="27">
        <f t="shared" si="0"/>
        <v>0</v>
      </c>
      <c r="W57" s="26" t="str">
        <f t="shared" si="2"/>
        <v>CRÍTICO</v>
      </c>
      <c r="X57" s="24">
        <v>3</v>
      </c>
      <c r="Y57" s="28">
        <v>0</v>
      </c>
      <c r="Z57" s="27">
        <v>0</v>
      </c>
      <c r="AA57" s="26" t="s">
        <v>62</v>
      </c>
      <c r="AB57" s="24">
        <v>3</v>
      </c>
      <c r="AC57" s="28">
        <v>0</v>
      </c>
      <c r="AD57" s="27">
        <f>IFERROR((TABLA_AVANCE_METAS[[#This Row],[AVANCE 4°. TRIM]]/TABLA_AVANCE_METAS[[#This Row],[PROGR. 4° TRIM]])*100,"0")</f>
        <v>0</v>
      </c>
      <c r="AE57"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57" s="30">
        <f t="array" ref="AF57">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6</v>
      </c>
      <c r="AG57" s="84">
        <f t="array" ref="AG57">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3</v>
      </c>
      <c r="AH57" s="27">
        <f>IFERROR((TABLA_AVANCE_METAS[[#This Row],[AVANCE ACUM. TRIM.]]/TABLA_AVANCE_METAS[[#This Row],[PROG. ACUM]])*100,"N/A")</f>
        <v>50</v>
      </c>
      <c r="AI57"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DEFICIENTE</v>
      </c>
      <c r="AJ57" s="31">
        <f>TABLA_AVANCE_METAS[[#This Row],[AVANCE ACUM. TRIM.]]-TABLA_AVANCE_METAS[[#This Row],[PROG. ACUM]]</f>
        <v>-3</v>
      </c>
      <c r="AK57" s="32">
        <f>IFERROR((TABLA_AVANCE_METAS[[#This Row],[DIFERENCIA ABSOLUTA SEMESTRAL]]/TABLA_AVANCE_METAS[[#This Row],[PROG. ACUM]])*100,"N/A")</f>
        <v>-50</v>
      </c>
      <c r="AL57" s="84">
        <f>TABLA_AVANCE_METAS[[#This Row],[AVANCE 1°. TRIM]]+TABLA_AVANCE_METAS[[#This Row],[AVANCE 2°. TRIM]]+TABLA_AVANCE_METAS[[#This Row],[AVANCE 3°. TRIM]]+TABLA_AVANCE_METAS[[#This Row],[AVANCE 4°. TRIM]]</f>
        <v>3</v>
      </c>
      <c r="AM57" s="27">
        <f>IFERROR((TABLA_AVANCE_METAS[[#This Row],[AVANCE ACUM. ANUAL]]/TABLA_AVANCE_METAS[[#This Row],[PROGRAMADO ANUAL]])*100,"N/A")</f>
        <v>25</v>
      </c>
      <c r="AN57"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57" s="31">
        <f>TABLA_AVANCE_METAS[[#This Row],[AVANCE ACUM. ANUAL]]-TABLA_AVANCE_METAS[[#This Row],[PROGRAMADO ANUAL]]</f>
        <v>-9</v>
      </c>
      <c r="AP57" s="33">
        <f>IFERROR((TABLA_AVANCE_METAS[[#This Row],[DIFERENCIA ABSOLUTA ANUAL]]/TABLA_AVANCE_METAS[[#This Row],[PROGRAMADO ANUAL]])*100,"N/A")</f>
        <v>-75</v>
      </c>
      <c r="AQ57" s="34" t="s">
        <v>237</v>
      </c>
      <c r="AR57" s="35"/>
      <c r="AS57" s="36"/>
      <c r="AT57" s="36"/>
      <c r="AU57" s="37" t="b">
        <f>TABLA_AVANCE_METAS[[#This Row],[PROGRAMADO ANUAL]]=SUM(TABLA_AVANCE_METAS[[#This Row],[PROGR. 1° TRIM]],TABLA_AVANCE_METAS[[#This Row],[PROGR. 2° TRIM]],TABLA_AVANCE_METAS[[#This Row],[PROGR. 3° TRIM]],TABLA_AVANCE_METAS[[#This Row],[PROGR. 4° TRIM]])</f>
        <v>1</v>
      </c>
      <c r="AV57" s="38"/>
    </row>
    <row r="58" spans="1:48" ht="75" hidden="1" customHeight="1" x14ac:dyDescent="0.35">
      <c r="A58" s="19" t="str">
        <f>CONCATENATE(TABLA_AVANCE_METAS[[#This Row],[ESTRUCTURA]],TABLA_AVANCE_METAS[[#This Row],['#]])</f>
        <v>B0021001050206034</v>
      </c>
      <c r="B58" s="20" t="s">
        <v>223</v>
      </c>
      <c r="C58" s="21" t="s">
        <v>213</v>
      </c>
      <c r="D58" s="21" t="s">
        <v>214</v>
      </c>
      <c r="E58" s="20" t="s">
        <v>224</v>
      </c>
      <c r="F58" s="20" t="s">
        <v>225</v>
      </c>
      <c r="G58" s="22" t="s">
        <v>226</v>
      </c>
      <c r="H58" s="20" t="s">
        <v>139</v>
      </c>
      <c r="I58" s="20" t="s">
        <v>140</v>
      </c>
      <c r="J58" s="20" t="s">
        <v>227</v>
      </c>
      <c r="K58" s="20" t="s">
        <v>228</v>
      </c>
      <c r="L58" s="21">
        <v>4</v>
      </c>
      <c r="M58" s="23" t="s">
        <v>238</v>
      </c>
      <c r="N58" s="22" t="s">
        <v>239</v>
      </c>
      <c r="O58" s="24">
        <v>1</v>
      </c>
      <c r="P58" s="24">
        <v>0</v>
      </c>
      <c r="Q58" s="28">
        <v>0</v>
      </c>
      <c r="R58" s="25" t="str">
        <f>IFERROR((TABLA_AVANCE_METAS[[#This Row],[AVANCE 1°. TRIM]]/TABLA_AVANCE_METAS[[#This Row],[PROGR. 1° TRIM]])*100,"0")</f>
        <v>0</v>
      </c>
      <c r="S58"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58" s="24">
        <v>0</v>
      </c>
      <c r="U58" s="28">
        <v>0</v>
      </c>
      <c r="V58" s="27" t="str">
        <f t="shared" si="0"/>
        <v>0</v>
      </c>
      <c r="W58" s="26" t="str">
        <f t="shared" si="2"/>
        <v>NO PROG.</v>
      </c>
      <c r="X58" s="24">
        <v>0</v>
      </c>
      <c r="Y58" s="28">
        <v>0</v>
      </c>
      <c r="Z58" s="27" t="s">
        <v>71</v>
      </c>
      <c r="AA58" s="26" t="s">
        <v>72</v>
      </c>
      <c r="AB58" s="24">
        <v>1</v>
      </c>
      <c r="AC58" s="28">
        <v>0</v>
      </c>
      <c r="AD58" s="27">
        <f>IFERROR((TABLA_AVANCE_METAS[[#This Row],[AVANCE 4°. TRIM]]/TABLA_AVANCE_METAS[[#This Row],[PROGR. 4° TRIM]])*100,"0")</f>
        <v>0</v>
      </c>
      <c r="AE58"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58" s="30">
        <f t="array" ref="AF58">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58" s="84">
        <f t="array" ref="AG58">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58" s="27" t="str">
        <f>IFERROR((TABLA_AVANCE_METAS[[#This Row],[AVANCE ACUM. TRIM.]]/TABLA_AVANCE_METAS[[#This Row],[PROG. ACUM]])*100,"N/A")</f>
        <v>N/A</v>
      </c>
      <c r="AI58"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58" s="31">
        <f>TABLA_AVANCE_METAS[[#This Row],[AVANCE ACUM. TRIM.]]-TABLA_AVANCE_METAS[[#This Row],[PROG. ACUM]]</f>
        <v>0</v>
      </c>
      <c r="AK58" s="32" t="str">
        <f>IFERROR((TABLA_AVANCE_METAS[[#This Row],[DIFERENCIA ABSOLUTA SEMESTRAL]]/TABLA_AVANCE_METAS[[#This Row],[PROG. ACUM]])*100,"N/A")</f>
        <v>N/A</v>
      </c>
      <c r="AL58" s="84">
        <f>TABLA_AVANCE_METAS[[#This Row],[AVANCE 1°. TRIM]]+TABLA_AVANCE_METAS[[#This Row],[AVANCE 2°. TRIM]]+TABLA_AVANCE_METAS[[#This Row],[AVANCE 3°. TRIM]]+TABLA_AVANCE_METAS[[#This Row],[AVANCE 4°. TRIM]]</f>
        <v>0</v>
      </c>
      <c r="AM58" s="27">
        <f>IFERROR((TABLA_AVANCE_METAS[[#This Row],[AVANCE ACUM. ANUAL]]/TABLA_AVANCE_METAS[[#This Row],[PROGRAMADO ANUAL]])*100,"N/A")</f>
        <v>0</v>
      </c>
      <c r="AN58"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58" s="31">
        <f>TABLA_AVANCE_METAS[[#This Row],[AVANCE ACUM. ANUAL]]-TABLA_AVANCE_METAS[[#This Row],[PROGRAMADO ANUAL]]</f>
        <v>-1</v>
      </c>
      <c r="AP58" s="33">
        <f>IFERROR((TABLA_AVANCE_METAS[[#This Row],[DIFERENCIA ABSOLUTA ANUAL]]/TABLA_AVANCE_METAS[[#This Row],[PROGRAMADO ANUAL]])*100,"N/A")</f>
        <v>-100</v>
      </c>
      <c r="AQ58" s="34" t="s">
        <v>240</v>
      </c>
      <c r="AR58" s="35"/>
      <c r="AS58" s="36"/>
      <c r="AT58" s="36"/>
      <c r="AU58" s="37" t="b">
        <f>TABLA_AVANCE_METAS[[#This Row],[PROGRAMADO ANUAL]]=SUM(TABLA_AVANCE_METAS[[#This Row],[PROGR. 1° TRIM]],TABLA_AVANCE_METAS[[#This Row],[PROGR. 2° TRIM]],TABLA_AVANCE_METAS[[#This Row],[PROGR. 3° TRIM]],TABLA_AVANCE_METAS[[#This Row],[PROGR. 4° TRIM]])</f>
        <v>1</v>
      </c>
      <c r="AV58" s="38"/>
    </row>
    <row r="59" spans="1:48" ht="75" hidden="1" customHeight="1" x14ac:dyDescent="0.35">
      <c r="A59" s="19" t="str">
        <f>CONCATENATE(TABLA_AVANCE_METAS[[#This Row],[ESTRUCTURA]],TABLA_AVANCE_METAS[[#This Row],['#]])</f>
        <v>B0021301050206031</v>
      </c>
      <c r="B59" s="20" t="s">
        <v>241</v>
      </c>
      <c r="C59" s="21" t="s">
        <v>213</v>
      </c>
      <c r="D59" s="20" t="s">
        <v>214</v>
      </c>
      <c r="E59" s="20" t="s">
        <v>242</v>
      </c>
      <c r="F59" s="20" t="s">
        <v>243</v>
      </c>
      <c r="G59" s="22" t="s">
        <v>244</v>
      </c>
      <c r="H59" s="20" t="s">
        <v>139</v>
      </c>
      <c r="I59" s="20" t="s">
        <v>140</v>
      </c>
      <c r="J59" s="20" t="s">
        <v>227</v>
      </c>
      <c r="K59" s="20" t="s">
        <v>228</v>
      </c>
      <c r="L59" s="21">
        <v>1</v>
      </c>
      <c r="M59" s="23" t="s">
        <v>245</v>
      </c>
      <c r="N59" s="22" t="s">
        <v>246</v>
      </c>
      <c r="O59" s="24">
        <v>1</v>
      </c>
      <c r="P59" s="24">
        <v>1</v>
      </c>
      <c r="Q59" s="28">
        <v>1</v>
      </c>
      <c r="R59" s="25">
        <f>IFERROR((TABLA_AVANCE_METAS[[#This Row],[AVANCE 1°. TRIM]]/TABLA_AVANCE_METAS[[#This Row],[PROGR. 1° TRIM]])*100,"0")</f>
        <v>100</v>
      </c>
      <c r="S59"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59" s="24">
        <v>0</v>
      </c>
      <c r="U59" s="28">
        <v>1</v>
      </c>
      <c r="V59" s="27" t="str">
        <f t="shared" si="0"/>
        <v>0</v>
      </c>
      <c r="W59" s="26" t="str">
        <f t="shared" si="2"/>
        <v>NO PROG.</v>
      </c>
      <c r="X59" s="24">
        <v>0</v>
      </c>
      <c r="Y59" s="28">
        <v>0</v>
      </c>
      <c r="Z59" s="27" t="s">
        <v>71</v>
      </c>
      <c r="AA59" s="26" t="s">
        <v>72</v>
      </c>
      <c r="AB59" s="24">
        <v>0</v>
      </c>
      <c r="AC59" s="28">
        <v>0</v>
      </c>
      <c r="AD59" s="27" t="str">
        <f>IFERROR((TABLA_AVANCE_METAS[[#This Row],[AVANCE 4°. TRIM]]/TABLA_AVANCE_METAS[[#This Row],[PROGR. 4° TRIM]])*100,"0")</f>
        <v>0</v>
      </c>
      <c r="AE59"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59" s="30">
        <f t="array" ref="AF59">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59" s="84">
        <f t="array" ref="AG59">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59" s="27">
        <f>IFERROR((TABLA_AVANCE_METAS[[#This Row],[AVANCE ACUM. TRIM.]]/TABLA_AVANCE_METAS[[#This Row],[PROG. ACUM]])*100,"N/A")</f>
        <v>200</v>
      </c>
      <c r="AI59"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SOBREPASADO</v>
      </c>
      <c r="AJ59" s="31">
        <f>TABLA_AVANCE_METAS[[#This Row],[AVANCE ACUM. TRIM.]]-TABLA_AVANCE_METAS[[#This Row],[PROG. ACUM]]</f>
        <v>1</v>
      </c>
      <c r="AK59" s="32">
        <f>IFERROR((TABLA_AVANCE_METAS[[#This Row],[DIFERENCIA ABSOLUTA SEMESTRAL]]/TABLA_AVANCE_METAS[[#This Row],[PROG. ACUM]])*100,"N/A")</f>
        <v>100</v>
      </c>
      <c r="AL59" s="84">
        <f>TABLA_AVANCE_METAS[[#This Row],[AVANCE 1°. TRIM]]+TABLA_AVANCE_METAS[[#This Row],[AVANCE 2°. TRIM]]+TABLA_AVANCE_METAS[[#This Row],[AVANCE 3°. TRIM]]+TABLA_AVANCE_METAS[[#This Row],[AVANCE 4°. TRIM]]</f>
        <v>2</v>
      </c>
      <c r="AM59" s="27">
        <f>IFERROR((TABLA_AVANCE_METAS[[#This Row],[AVANCE ACUM. ANUAL]]/TABLA_AVANCE_METAS[[#This Row],[PROGRAMADO ANUAL]])*100,"N/A")</f>
        <v>200</v>
      </c>
      <c r="AN59"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SOBREPASADO</v>
      </c>
      <c r="AO59" s="31">
        <f>TABLA_AVANCE_METAS[[#This Row],[AVANCE ACUM. ANUAL]]-TABLA_AVANCE_METAS[[#This Row],[PROGRAMADO ANUAL]]</f>
        <v>1</v>
      </c>
      <c r="AP59" s="33">
        <f>IFERROR((TABLA_AVANCE_METAS[[#This Row],[DIFERENCIA ABSOLUTA ANUAL]]/TABLA_AVANCE_METAS[[#This Row],[PROGRAMADO ANUAL]])*100,"N/A")</f>
        <v>100</v>
      </c>
      <c r="AQ59" s="34" t="e">
        <v>#N/A</v>
      </c>
      <c r="AR59" s="35"/>
      <c r="AS59" s="36"/>
      <c r="AT59" s="36"/>
      <c r="AU59" s="37" t="b">
        <f>TABLA_AVANCE_METAS[[#This Row],[PROGRAMADO ANUAL]]=SUM(TABLA_AVANCE_METAS[[#This Row],[PROGR. 1° TRIM]],TABLA_AVANCE_METAS[[#This Row],[PROGR. 2° TRIM]],TABLA_AVANCE_METAS[[#This Row],[PROGR. 3° TRIM]],TABLA_AVANCE_METAS[[#This Row],[PROGR. 4° TRIM]])</f>
        <v>1</v>
      </c>
      <c r="AV59" s="38"/>
    </row>
    <row r="60" spans="1:48" ht="75" hidden="1" customHeight="1" x14ac:dyDescent="0.35">
      <c r="A60" s="19" t="str">
        <f>CONCATENATE(TABLA_AVANCE_METAS[[#This Row],[ESTRUCTURA]],TABLA_AVANCE_METAS[[#This Row],['#]])</f>
        <v>B0021301050206032</v>
      </c>
      <c r="B60" s="20" t="s">
        <v>241</v>
      </c>
      <c r="C60" s="21" t="s">
        <v>213</v>
      </c>
      <c r="D60" s="20" t="s">
        <v>214</v>
      </c>
      <c r="E60" s="20" t="s">
        <v>242</v>
      </c>
      <c r="F60" s="20" t="s">
        <v>243</v>
      </c>
      <c r="G60" s="22" t="s">
        <v>244</v>
      </c>
      <c r="H60" s="20" t="s">
        <v>139</v>
      </c>
      <c r="I60" s="20" t="s">
        <v>140</v>
      </c>
      <c r="J60" s="20" t="s">
        <v>227</v>
      </c>
      <c r="K60" s="20" t="s">
        <v>228</v>
      </c>
      <c r="L60" s="21">
        <v>2</v>
      </c>
      <c r="M60" s="23" t="s">
        <v>247</v>
      </c>
      <c r="N60" s="22" t="s">
        <v>248</v>
      </c>
      <c r="O60" s="24">
        <v>100</v>
      </c>
      <c r="P60" s="24">
        <v>35</v>
      </c>
      <c r="Q60" s="28">
        <v>16</v>
      </c>
      <c r="R60" s="25">
        <f>IFERROR((TABLA_AVANCE_METAS[[#This Row],[AVANCE 1°. TRIM]]/TABLA_AVANCE_METAS[[#This Row],[PROGR. 1° TRIM]])*100,"0")</f>
        <v>45.714285714285715</v>
      </c>
      <c r="S60"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CRÍTICO</v>
      </c>
      <c r="T60" s="24">
        <v>20</v>
      </c>
      <c r="U60" s="28">
        <v>41</v>
      </c>
      <c r="V60" s="27">
        <f t="shared" si="0"/>
        <v>204.99999999999997</v>
      </c>
      <c r="W60" s="26" t="str">
        <f t="shared" si="2"/>
        <v>SOBREPASADO</v>
      </c>
      <c r="X60" s="24">
        <v>25</v>
      </c>
      <c r="Y60" s="28">
        <v>0</v>
      </c>
      <c r="Z60" s="27">
        <v>0</v>
      </c>
      <c r="AA60" s="26" t="s">
        <v>62</v>
      </c>
      <c r="AB60" s="24">
        <v>20</v>
      </c>
      <c r="AC60" s="28">
        <v>0</v>
      </c>
      <c r="AD60" s="27">
        <f>IFERROR((TABLA_AVANCE_METAS[[#This Row],[AVANCE 4°. TRIM]]/TABLA_AVANCE_METAS[[#This Row],[PROGR. 4° TRIM]])*100,"0")</f>
        <v>0</v>
      </c>
      <c r="AE60"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60" s="30">
        <f t="array" ref="AF60">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55</v>
      </c>
      <c r="AG60" s="84">
        <f t="array" ref="AG60">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57</v>
      </c>
      <c r="AH60" s="27">
        <f>IFERROR((TABLA_AVANCE_METAS[[#This Row],[AVANCE ACUM. TRIM.]]/TABLA_AVANCE_METAS[[#This Row],[PROG. ACUM]])*100,"N/A")</f>
        <v>103.63636363636364</v>
      </c>
      <c r="AI60"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60" s="31">
        <f>TABLA_AVANCE_METAS[[#This Row],[AVANCE ACUM. TRIM.]]-TABLA_AVANCE_METAS[[#This Row],[PROG. ACUM]]</f>
        <v>2</v>
      </c>
      <c r="AK60" s="32">
        <f>IFERROR((TABLA_AVANCE_METAS[[#This Row],[DIFERENCIA ABSOLUTA SEMESTRAL]]/TABLA_AVANCE_METAS[[#This Row],[PROG. ACUM]])*100,"N/A")</f>
        <v>3.6363636363636362</v>
      </c>
      <c r="AL60" s="84">
        <f>TABLA_AVANCE_METAS[[#This Row],[AVANCE 1°. TRIM]]+TABLA_AVANCE_METAS[[#This Row],[AVANCE 2°. TRIM]]+TABLA_AVANCE_METAS[[#This Row],[AVANCE 3°. TRIM]]+TABLA_AVANCE_METAS[[#This Row],[AVANCE 4°. TRIM]]</f>
        <v>57</v>
      </c>
      <c r="AM60" s="27">
        <f>IFERROR((TABLA_AVANCE_METAS[[#This Row],[AVANCE ACUM. ANUAL]]/TABLA_AVANCE_METAS[[#This Row],[PROGRAMADO ANUAL]])*100,"N/A")</f>
        <v>56.999999999999993</v>
      </c>
      <c r="AN60"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60" s="31">
        <f>TABLA_AVANCE_METAS[[#This Row],[AVANCE ACUM. ANUAL]]-TABLA_AVANCE_METAS[[#This Row],[PROGRAMADO ANUAL]]</f>
        <v>-43</v>
      </c>
      <c r="AP60" s="33">
        <f>IFERROR((TABLA_AVANCE_METAS[[#This Row],[DIFERENCIA ABSOLUTA ANUAL]]/TABLA_AVANCE_METAS[[#This Row],[PROGRAMADO ANUAL]])*100,"N/A")</f>
        <v>-43</v>
      </c>
      <c r="AQ60" s="34" t="e">
        <v>#N/A</v>
      </c>
      <c r="AR60" s="35"/>
      <c r="AS60" s="36"/>
      <c r="AT60" s="36"/>
      <c r="AU60" s="37" t="b">
        <f>TABLA_AVANCE_METAS[[#This Row],[PROGRAMADO ANUAL]]=SUM(TABLA_AVANCE_METAS[[#This Row],[PROGR. 1° TRIM]],TABLA_AVANCE_METAS[[#This Row],[PROGR. 2° TRIM]],TABLA_AVANCE_METAS[[#This Row],[PROGR. 3° TRIM]],TABLA_AVANCE_METAS[[#This Row],[PROGR. 4° TRIM]])</f>
        <v>1</v>
      </c>
      <c r="AV60" s="38"/>
    </row>
    <row r="61" spans="1:48" ht="75" hidden="1" customHeight="1" x14ac:dyDescent="0.35">
      <c r="A61" s="19" t="str">
        <f>CONCATENATE(TABLA_AVANCE_METAS[[#This Row],[ESTRUCTURA]],TABLA_AVANCE_METAS[[#This Row],['#]])</f>
        <v>B0021301050206033</v>
      </c>
      <c r="B61" s="20" t="s">
        <v>241</v>
      </c>
      <c r="C61" s="48" t="s">
        <v>213</v>
      </c>
      <c r="D61" s="47" t="s">
        <v>214</v>
      </c>
      <c r="E61" s="20" t="s">
        <v>242</v>
      </c>
      <c r="F61" s="47" t="s">
        <v>243</v>
      </c>
      <c r="G61" s="22" t="s">
        <v>244</v>
      </c>
      <c r="H61" s="47" t="s">
        <v>139</v>
      </c>
      <c r="I61" s="47" t="s">
        <v>140</v>
      </c>
      <c r="J61" s="47" t="s">
        <v>227</v>
      </c>
      <c r="K61" s="47" t="s">
        <v>228</v>
      </c>
      <c r="L61" s="21">
        <v>3</v>
      </c>
      <c r="M61" s="43" t="s">
        <v>249</v>
      </c>
      <c r="N61" s="22" t="s">
        <v>61</v>
      </c>
      <c r="O61" s="24">
        <v>16</v>
      </c>
      <c r="P61" s="24">
        <v>4</v>
      </c>
      <c r="Q61" s="28">
        <v>4</v>
      </c>
      <c r="R61" s="25">
        <f>IFERROR((TABLA_AVANCE_METAS[[#This Row],[AVANCE 1°. TRIM]]/TABLA_AVANCE_METAS[[#This Row],[PROGR. 1° TRIM]])*100,"0")</f>
        <v>100</v>
      </c>
      <c r="S61"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61" s="24">
        <v>4</v>
      </c>
      <c r="U61" s="28">
        <v>8</v>
      </c>
      <c r="V61" s="27">
        <f t="shared" si="0"/>
        <v>200</v>
      </c>
      <c r="W61" s="26" t="str">
        <f t="shared" si="2"/>
        <v>SOBREPASADO</v>
      </c>
      <c r="X61" s="24">
        <v>4</v>
      </c>
      <c r="Y61" s="28">
        <v>0</v>
      </c>
      <c r="Z61" s="27">
        <v>0</v>
      </c>
      <c r="AA61" s="26" t="s">
        <v>62</v>
      </c>
      <c r="AB61" s="24">
        <v>4</v>
      </c>
      <c r="AC61" s="28">
        <v>0</v>
      </c>
      <c r="AD61" s="27">
        <f>IFERROR((TABLA_AVANCE_METAS[[#This Row],[AVANCE 4°. TRIM]]/TABLA_AVANCE_METAS[[#This Row],[PROGR. 4° TRIM]])*100,"0")</f>
        <v>0</v>
      </c>
      <c r="AE61"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61" s="30">
        <f t="array" ref="AF61">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8</v>
      </c>
      <c r="AG61" s="84">
        <f t="array" ref="AG61">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12</v>
      </c>
      <c r="AH61" s="27">
        <f>IFERROR((TABLA_AVANCE_METAS[[#This Row],[AVANCE ACUM. TRIM.]]/TABLA_AVANCE_METAS[[#This Row],[PROG. ACUM]])*100,"N/A")</f>
        <v>150</v>
      </c>
      <c r="AI61"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SOBREPASADO</v>
      </c>
      <c r="AJ61" s="31">
        <f>TABLA_AVANCE_METAS[[#This Row],[AVANCE ACUM. TRIM.]]-TABLA_AVANCE_METAS[[#This Row],[PROG. ACUM]]</f>
        <v>4</v>
      </c>
      <c r="AK61" s="32">
        <f>IFERROR((TABLA_AVANCE_METAS[[#This Row],[DIFERENCIA ABSOLUTA SEMESTRAL]]/TABLA_AVANCE_METAS[[#This Row],[PROG. ACUM]])*100,"N/A")</f>
        <v>50</v>
      </c>
      <c r="AL61" s="84">
        <f>TABLA_AVANCE_METAS[[#This Row],[AVANCE 1°. TRIM]]+TABLA_AVANCE_METAS[[#This Row],[AVANCE 2°. TRIM]]+TABLA_AVANCE_METAS[[#This Row],[AVANCE 3°. TRIM]]+TABLA_AVANCE_METAS[[#This Row],[AVANCE 4°. TRIM]]</f>
        <v>12</v>
      </c>
      <c r="AM61" s="27">
        <f>IFERROR((TABLA_AVANCE_METAS[[#This Row],[AVANCE ACUM. ANUAL]]/TABLA_AVANCE_METAS[[#This Row],[PROGRAMADO ANUAL]])*100,"N/A")</f>
        <v>75</v>
      </c>
      <c r="AN61"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REGULAR</v>
      </c>
      <c r="AO61" s="31">
        <f>TABLA_AVANCE_METAS[[#This Row],[AVANCE ACUM. ANUAL]]-TABLA_AVANCE_METAS[[#This Row],[PROGRAMADO ANUAL]]</f>
        <v>-4</v>
      </c>
      <c r="AP61" s="33">
        <f>IFERROR((TABLA_AVANCE_METAS[[#This Row],[DIFERENCIA ABSOLUTA ANUAL]]/TABLA_AVANCE_METAS[[#This Row],[PROGRAMADO ANUAL]])*100,"N/A")</f>
        <v>-25</v>
      </c>
      <c r="AQ61" s="34" t="e">
        <v>#N/A</v>
      </c>
      <c r="AR61" s="35"/>
      <c r="AS61" s="36"/>
      <c r="AT61" s="36"/>
      <c r="AU61" s="37" t="b">
        <f>TABLA_AVANCE_METAS[[#This Row],[PROGRAMADO ANUAL]]=SUM(TABLA_AVANCE_METAS[[#This Row],[PROGR. 1° TRIM]],TABLA_AVANCE_METAS[[#This Row],[PROGR. 2° TRIM]],TABLA_AVANCE_METAS[[#This Row],[PROGR. 3° TRIM]],TABLA_AVANCE_METAS[[#This Row],[PROGR. 4° TRIM]])</f>
        <v>1</v>
      </c>
      <c r="AV61" s="38"/>
    </row>
    <row r="62" spans="1:48" ht="75" hidden="1" customHeight="1" x14ac:dyDescent="0.35">
      <c r="A62" s="19" t="str">
        <f>CONCATENATE(TABLA_AVANCE_METAS[[#This Row],[ESTRUCTURA]],TABLA_AVANCE_METAS[[#This Row],['#]])</f>
        <v>B0021301050206034</v>
      </c>
      <c r="B62" s="20" t="s">
        <v>241</v>
      </c>
      <c r="C62" s="21" t="s">
        <v>213</v>
      </c>
      <c r="D62" s="20" t="s">
        <v>214</v>
      </c>
      <c r="E62" s="20" t="s">
        <v>242</v>
      </c>
      <c r="F62" s="20" t="s">
        <v>243</v>
      </c>
      <c r="G62" s="22" t="s">
        <v>244</v>
      </c>
      <c r="H62" s="20" t="s">
        <v>139</v>
      </c>
      <c r="I62" s="20" t="s">
        <v>140</v>
      </c>
      <c r="J62" s="20" t="s">
        <v>227</v>
      </c>
      <c r="K62" s="20" t="s">
        <v>228</v>
      </c>
      <c r="L62" s="21">
        <v>4</v>
      </c>
      <c r="M62" s="23" t="s">
        <v>250</v>
      </c>
      <c r="N62" s="22" t="s">
        <v>123</v>
      </c>
      <c r="O62" s="24">
        <v>12</v>
      </c>
      <c r="P62" s="24">
        <v>3</v>
      </c>
      <c r="Q62" s="28">
        <v>3</v>
      </c>
      <c r="R62" s="25">
        <f>IFERROR((TABLA_AVANCE_METAS[[#This Row],[AVANCE 1°. TRIM]]/TABLA_AVANCE_METAS[[#This Row],[PROGR. 1° TRIM]])*100,"0")</f>
        <v>100</v>
      </c>
      <c r="S62"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62" s="24">
        <v>3</v>
      </c>
      <c r="U62" s="28">
        <v>6</v>
      </c>
      <c r="V62" s="27">
        <f t="shared" si="0"/>
        <v>200</v>
      </c>
      <c r="W62" s="26" t="str">
        <f t="shared" si="2"/>
        <v>SOBREPASADO</v>
      </c>
      <c r="X62" s="24">
        <v>3</v>
      </c>
      <c r="Y62" s="28">
        <v>0</v>
      </c>
      <c r="Z62" s="27">
        <v>0</v>
      </c>
      <c r="AA62" s="26" t="s">
        <v>62</v>
      </c>
      <c r="AB62" s="24">
        <v>3</v>
      </c>
      <c r="AC62" s="28">
        <v>0</v>
      </c>
      <c r="AD62" s="27">
        <f>IFERROR((TABLA_AVANCE_METAS[[#This Row],[AVANCE 4°. TRIM]]/TABLA_AVANCE_METAS[[#This Row],[PROGR. 4° TRIM]])*100,"0")</f>
        <v>0</v>
      </c>
      <c r="AE62"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62" s="30">
        <f t="array" ref="AF62">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6</v>
      </c>
      <c r="AG62" s="84">
        <f t="array" ref="AG62">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9</v>
      </c>
      <c r="AH62" s="27">
        <f>IFERROR((TABLA_AVANCE_METAS[[#This Row],[AVANCE ACUM. TRIM.]]/TABLA_AVANCE_METAS[[#This Row],[PROG. ACUM]])*100,"N/A")</f>
        <v>150</v>
      </c>
      <c r="AI62"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SOBREPASADO</v>
      </c>
      <c r="AJ62" s="31">
        <f>TABLA_AVANCE_METAS[[#This Row],[AVANCE ACUM. TRIM.]]-TABLA_AVANCE_METAS[[#This Row],[PROG. ACUM]]</f>
        <v>3</v>
      </c>
      <c r="AK62" s="32">
        <f>IFERROR((TABLA_AVANCE_METAS[[#This Row],[DIFERENCIA ABSOLUTA SEMESTRAL]]/TABLA_AVANCE_METAS[[#This Row],[PROG. ACUM]])*100,"N/A")</f>
        <v>50</v>
      </c>
      <c r="AL62" s="84">
        <f>TABLA_AVANCE_METAS[[#This Row],[AVANCE 1°. TRIM]]+TABLA_AVANCE_METAS[[#This Row],[AVANCE 2°. TRIM]]+TABLA_AVANCE_METAS[[#This Row],[AVANCE 3°. TRIM]]+TABLA_AVANCE_METAS[[#This Row],[AVANCE 4°. TRIM]]</f>
        <v>9</v>
      </c>
      <c r="AM62" s="27">
        <f>IFERROR((TABLA_AVANCE_METAS[[#This Row],[AVANCE ACUM. ANUAL]]/TABLA_AVANCE_METAS[[#This Row],[PROGRAMADO ANUAL]])*100,"N/A")</f>
        <v>75</v>
      </c>
      <c r="AN62"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REGULAR</v>
      </c>
      <c r="AO62" s="31">
        <f>TABLA_AVANCE_METAS[[#This Row],[AVANCE ACUM. ANUAL]]-TABLA_AVANCE_METAS[[#This Row],[PROGRAMADO ANUAL]]</f>
        <v>-3</v>
      </c>
      <c r="AP62" s="33">
        <f>IFERROR((TABLA_AVANCE_METAS[[#This Row],[DIFERENCIA ABSOLUTA ANUAL]]/TABLA_AVANCE_METAS[[#This Row],[PROGRAMADO ANUAL]])*100,"N/A")</f>
        <v>-25</v>
      </c>
      <c r="AQ62" s="34" t="e">
        <v>#N/A</v>
      </c>
      <c r="AR62" s="35"/>
      <c r="AS62" s="36"/>
      <c r="AT62" s="36"/>
      <c r="AU62" s="37" t="b">
        <f>TABLA_AVANCE_METAS[[#This Row],[PROGRAMADO ANUAL]]=SUM(TABLA_AVANCE_METAS[[#This Row],[PROGR. 1° TRIM]],TABLA_AVANCE_METAS[[#This Row],[PROGR. 2° TRIM]],TABLA_AVANCE_METAS[[#This Row],[PROGR. 3° TRIM]],TABLA_AVANCE_METAS[[#This Row],[PROGR. 4° TRIM]])</f>
        <v>1</v>
      </c>
      <c r="AV62" s="38"/>
    </row>
    <row r="63" spans="1:48" ht="75" hidden="1" customHeight="1" x14ac:dyDescent="0.35">
      <c r="A63" s="19" t="str">
        <f>CONCATENATE(TABLA_AVANCE_METAS[[#This Row],[ESTRUCTURA]],TABLA_AVANCE_METAS[[#This Row],['#]])</f>
        <v>B0021001050206035</v>
      </c>
      <c r="B63" s="20" t="s">
        <v>223</v>
      </c>
      <c r="C63" s="21" t="s">
        <v>213</v>
      </c>
      <c r="D63" s="20" t="s">
        <v>214</v>
      </c>
      <c r="E63" s="20" t="s">
        <v>224</v>
      </c>
      <c r="F63" s="20" t="s">
        <v>225</v>
      </c>
      <c r="G63" s="22" t="s">
        <v>226</v>
      </c>
      <c r="H63" s="20" t="s">
        <v>139</v>
      </c>
      <c r="I63" s="20" t="s">
        <v>140</v>
      </c>
      <c r="J63" s="20" t="s">
        <v>227</v>
      </c>
      <c r="K63" s="20" t="s">
        <v>228</v>
      </c>
      <c r="L63" s="21">
        <v>5</v>
      </c>
      <c r="M63" s="23" t="s">
        <v>251</v>
      </c>
      <c r="N63" s="22" t="s">
        <v>123</v>
      </c>
      <c r="O63" s="24">
        <v>12</v>
      </c>
      <c r="P63" s="24">
        <v>3</v>
      </c>
      <c r="Q63" s="28">
        <v>3</v>
      </c>
      <c r="R63" s="25">
        <f>IFERROR((TABLA_AVANCE_METAS[[#This Row],[AVANCE 1°. TRIM]]/TABLA_AVANCE_METAS[[#This Row],[PROGR. 1° TRIM]])*100,"0")</f>
        <v>100</v>
      </c>
      <c r="S63"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63" s="24">
        <v>3</v>
      </c>
      <c r="U63" s="28">
        <v>0</v>
      </c>
      <c r="V63" s="27">
        <f t="shared" si="0"/>
        <v>0</v>
      </c>
      <c r="W63" s="26" t="str">
        <f t="shared" si="2"/>
        <v>CRÍTICO</v>
      </c>
      <c r="X63" s="24">
        <v>3</v>
      </c>
      <c r="Y63" s="28">
        <v>0</v>
      </c>
      <c r="Z63" s="27">
        <v>0</v>
      </c>
      <c r="AA63" s="26" t="s">
        <v>62</v>
      </c>
      <c r="AB63" s="24">
        <v>3</v>
      </c>
      <c r="AC63" s="28">
        <v>0</v>
      </c>
      <c r="AD63" s="27">
        <f>IFERROR((TABLA_AVANCE_METAS[[#This Row],[AVANCE 4°. TRIM]]/TABLA_AVANCE_METAS[[#This Row],[PROGR. 4° TRIM]])*100,"0")</f>
        <v>0</v>
      </c>
      <c r="AE63"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63" s="30">
        <f t="array" ref="AF63">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6</v>
      </c>
      <c r="AG63" s="84">
        <f t="array" ref="AG63">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3</v>
      </c>
      <c r="AH63" s="27">
        <f>IFERROR((TABLA_AVANCE_METAS[[#This Row],[AVANCE ACUM. TRIM.]]/TABLA_AVANCE_METAS[[#This Row],[PROG. ACUM]])*100,"N/A")</f>
        <v>50</v>
      </c>
      <c r="AI63"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DEFICIENTE</v>
      </c>
      <c r="AJ63" s="31">
        <f>TABLA_AVANCE_METAS[[#This Row],[AVANCE ACUM. TRIM.]]-TABLA_AVANCE_METAS[[#This Row],[PROG. ACUM]]</f>
        <v>-3</v>
      </c>
      <c r="AK63" s="32">
        <f>IFERROR((TABLA_AVANCE_METAS[[#This Row],[DIFERENCIA ABSOLUTA SEMESTRAL]]/TABLA_AVANCE_METAS[[#This Row],[PROG. ACUM]])*100,"N/A")</f>
        <v>-50</v>
      </c>
      <c r="AL63" s="84">
        <f>TABLA_AVANCE_METAS[[#This Row],[AVANCE 1°. TRIM]]+TABLA_AVANCE_METAS[[#This Row],[AVANCE 2°. TRIM]]+TABLA_AVANCE_METAS[[#This Row],[AVANCE 3°. TRIM]]+TABLA_AVANCE_METAS[[#This Row],[AVANCE 4°. TRIM]]</f>
        <v>3</v>
      </c>
      <c r="AM63" s="27">
        <f>IFERROR((TABLA_AVANCE_METAS[[#This Row],[AVANCE ACUM. ANUAL]]/TABLA_AVANCE_METAS[[#This Row],[PROGRAMADO ANUAL]])*100,"N/A")</f>
        <v>25</v>
      </c>
      <c r="AN63"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63" s="31">
        <f>TABLA_AVANCE_METAS[[#This Row],[AVANCE ACUM. ANUAL]]-TABLA_AVANCE_METAS[[#This Row],[PROGRAMADO ANUAL]]</f>
        <v>-9</v>
      </c>
      <c r="AP63" s="33">
        <f>IFERROR((TABLA_AVANCE_METAS[[#This Row],[DIFERENCIA ABSOLUTA ANUAL]]/TABLA_AVANCE_METAS[[#This Row],[PROGRAMADO ANUAL]])*100,"N/A")</f>
        <v>-75</v>
      </c>
      <c r="AQ63" s="34" t="s">
        <v>252</v>
      </c>
      <c r="AR63" s="35"/>
      <c r="AS63" s="36"/>
      <c r="AT63" s="36"/>
      <c r="AU63" s="37" t="b">
        <f>TABLA_AVANCE_METAS[[#This Row],[PROGRAMADO ANUAL]]=SUM(TABLA_AVANCE_METAS[[#This Row],[PROGR. 1° TRIM]],TABLA_AVANCE_METAS[[#This Row],[PROGR. 2° TRIM]],TABLA_AVANCE_METAS[[#This Row],[PROGR. 3° TRIM]],TABLA_AVANCE_METAS[[#This Row],[PROGR. 4° TRIM]])</f>
        <v>1</v>
      </c>
      <c r="AV63" s="38"/>
    </row>
    <row r="64" spans="1:48" ht="75" hidden="1" customHeight="1" x14ac:dyDescent="0.35">
      <c r="A64" s="19" t="str">
        <f>CONCATENATE(TABLA_AVANCE_METAS[[#This Row],[ESTRUCTURA]],TABLA_AVANCE_METAS[[#This Row],['#]])</f>
        <v>B0020901050206021</v>
      </c>
      <c r="B64" s="20" t="s">
        <v>212</v>
      </c>
      <c r="C64" s="21" t="s">
        <v>213</v>
      </c>
      <c r="D64" s="20" t="s">
        <v>214</v>
      </c>
      <c r="E64" s="20" t="s">
        <v>253</v>
      </c>
      <c r="F64" s="20" t="s">
        <v>254</v>
      </c>
      <c r="G64" s="22" t="s">
        <v>255</v>
      </c>
      <c r="H64" s="20" t="s">
        <v>139</v>
      </c>
      <c r="I64" s="20" t="s">
        <v>140</v>
      </c>
      <c r="J64" s="20" t="s">
        <v>256</v>
      </c>
      <c r="K64" s="20" t="s">
        <v>257</v>
      </c>
      <c r="L64" s="21">
        <v>1</v>
      </c>
      <c r="M64" s="23" t="s">
        <v>258</v>
      </c>
      <c r="N64" s="22" t="s">
        <v>239</v>
      </c>
      <c r="O64" s="24">
        <v>180</v>
      </c>
      <c r="P64" s="24">
        <v>60</v>
      </c>
      <c r="Q64" s="28">
        <v>54</v>
      </c>
      <c r="R64" s="25">
        <f>IFERROR((TABLA_AVANCE_METAS[[#This Row],[AVANCE 1°. TRIM]]/TABLA_AVANCE_METAS[[#This Row],[PROGR. 1° TRIM]])*100,"0")</f>
        <v>90</v>
      </c>
      <c r="S64"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64" s="24">
        <v>50</v>
      </c>
      <c r="U64" s="28">
        <v>40</v>
      </c>
      <c r="V64" s="27">
        <f t="shared" si="0"/>
        <v>80</v>
      </c>
      <c r="W64" s="26" t="str">
        <f t="shared" si="2"/>
        <v>REGULAR</v>
      </c>
      <c r="X64" s="24">
        <v>35</v>
      </c>
      <c r="Y64" s="28">
        <v>0</v>
      </c>
      <c r="Z64" s="27">
        <v>0</v>
      </c>
      <c r="AA64" s="26" t="s">
        <v>62</v>
      </c>
      <c r="AB64" s="24">
        <v>35</v>
      </c>
      <c r="AC64" s="28">
        <v>0</v>
      </c>
      <c r="AD64" s="27">
        <f>IFERROR((TABLA_AVANCE_METAS[[#This Row],[AVANCE 4°. TRIM]]/TABLA_AVANCE_METAS[[#This Row],[PROGR. 4° TRIM]])*100,"0")</f>
        <v>0</v>
      </c>
      <c r="AE64"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64" s="30">
        <f t="array" ref="AF64">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110</v>
      </c>
      <c r="AG64" s="84">
        <f t="array" ref="AG64">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94</v>
      </c>
      <c r="AH64" s="27">
        <f>IFERROR((TABLA_AVANCE_METAS[[#This Row],[AVANCE ACUM. TRIM.]]/TABLA_AVANCE_METAS[[#This Row],[PROG. ACUM]])*100,"N/A")</f>
        <v>85.454545454545453</v>
      </c>
      <c r="AI64"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REGULAR</v>
      </c>
      <c r="AJ64" s="31">
        <f>TABLA_AVANCE_METAS[[#This Row],[AVANCE ACUM. TRIM.]]-TABLA_AVANCE_METAS[[#This Row],[PROG. ACUM]]</f>
        <v>-16</v>
      </c>
      <c r="AK64" s="32">
        <f>IFERROR((TABLA_AVANCE_METAS[[#This Row],[DIFERENCIA ABSOLUTA SEMESTRAL]]/TABLA_AVANCE_METAS[[#This Row],[PROG. ACUM]])*100,"N/A")</f>
        <v>-14.545454545454545</v>
      </c>
      <c r="AL64" s="84">
        <f>TABLA_AVANCE_METAS[[#This Row],[AVANCE 1°. TRIM]]+TABLA_AVANCE_METAS[[#This Row],[AVANCE 2°. TRIM]]+TABLA_AVANCE_METAS[[#This Row],[AVANCE 3°. TRIM]]+TABLA_AVANCE_METAS[[#This Row],[AVANCE 4°. TRIM]]</f>
        <v>94</v>
      </c>
      <c r="AM64" s="27">
        <f>IFERROR((TABLA_AVANCE_METAS[[#This Row],[AVANCE ACUM. ANUAL]]/TABLA_AVANCE_METAS[[#This Row],[PROGRAMADO ANUAL]])*100,"N/A")</f>
        <v>52.222222222222229</v>
      </c>
      <c r="AN64"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64" s="31">
        <f>TABLA_AVANCE_METAS[[#This Row],[AVANCE ACUM. ANUAL]]-TABLA_AVANCE_METAS[[#This Row],[PROGRAMADO ANUAL]]</f>
        <v>-86</v>
      </c>
      <c r="AP64" s="33">
        <f>IFERROR((TABLA_AVANCE_METAS[[#This Row],[DIFERENCIA ABSOLUTA ANUAL]]/TABLA_AVANCE_METAS[[#This Row],[PROGRAMADO ANUAL]])*100,"N/A")</f>
        <v>-47.777777777777779</v>
      </c>
      <c r="AQ64" s="34"/>
      <c r="AR64" s="35"/>
      <c r="AS64" s="36"/>
      <c r="AT64" s="36"/>
      <c r="AU64" s="37" t="b">
        <f>TABLA_AVANCE_METAS[[#This Row],[PROGRAMADO ANUAL]]=SUM(TABLA_AVANCE_METAS[[#This Row],[PROGR. 1° TRIM]],TABLA_AVANCE_METAS[[#This Row],[PROGR. 2° TRIM]],TABLA_AVANCE_METAS[[#This Row],[PROGR. 3° TRIM]],TABLA_AVANCE_METAS[[#This Row],[PROGR. 4° TRIM]])</f>
        <v>1</v>
      </c>
      <c r="AV64" s="38"/>
    </row>
    <row r="65" spans="1:48" ht="75" hidden="1" customHeight="1" x14ac:dyDescent="0.35">
      <c r="A65" s="19" t="str">
        <f>CONCATENATE(TABLA_AVANCE_METAS[[#This Row],[ESTRUCTURA]],TABLA_AVANCE_METAS[[#This Row],['#]])</f>
        <v>B0020901050206022</v>
      </c>
      <c r="B65" s="20" t="s">
        <v>212</v>
      </c>
      <c r="C65" s="21" t="s">
        <v>213</v>
      </c>
      <c r="D65" s="20" t="s">
        <v>214</v>
      </c>
      <c r="E65" s="20" t="s">
        <v>253</v>
      </c>
      <c r="F65" s="20" t="s">
        <v>254</v>
      </c>
      <c r="G65" s="22" t="s">
        <v>255</v>
      </c>
      <c r="H65" s="20" t="s">
        <v>139</v>
      </c>
      <c r="I65" s="20" t="s">
        <v>140</v>
      </c>
      <c r="J65" s="20" t="s">
        <v>256</v>
      </c>
      <c r="K65" s="20" t="s">
        <v>257</v>
      </c>
      <c r="L65" s="21">
        <v>2</v>
      </c>
      <c r="M65" s="23" t="s">
        <v>259</v>
      </c>
      <c r="N65" s="22" t="s">
        <v>239</v>
      </c>
      <c r="O65" s="24">
        <v>320</v>
      </c>
      <c r="P65" s="24">
        <v>80</v>
      </c>
      <c r="Q65" s="28">
        <v>88</v>
      </c>
      <c r="R65" s="25">
        <f>IFERROR((TABLA_AVANCE_METAS[[#This Row],[AVANCE 1°. TRIM]]/TABLA_AVANCE_METAS[[#This Row],[PROGR. 1° TRIM]])*100,"0")</f>
        <v>110.00000000000001</v>
      </c>
      <c r="S65"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65" s="24">
        <v>80</v>
      </c>
      <c r="U65" s="28">
        <v>78</v>
      </c>
      <c r="V65" s="27">
        <f t="shared" si="0"/>
        <v>97.5</v>
      </c>
      <c r="W65" s="26" t="str">
        <f t="shared" si="2"/>
        <v>ADECUADO</v>
      </c>
      <c r="X65" s="24">
        <v>80</v>
      </c>
      <c r="Y65" s="28">
        <v>0</v>
      </c>
      <c r="Z65" s="27">
        <v>0</v>
      </c>
      <c r="AA65" s="26" t="s">
        <v>62</v>
      </c>
      <c r="AB65" s="24">
        <v>80</v>
      </c>
      <c r="AC65" s="28">
        <v>0</v>
      </c>
      <c r="AD65" s="27">
        <f>IFERROR((TABLA_AVANCE_METAS[[#This Row],[AVANCE 4°. TRIM]]/TABLA_AVANCE_METAS[[#This Row],[PROGR. 4° TRIM]])*100,"0")</f>
        <v>0</v>
      </c>
      <c r="AE65"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65" s="30">
        <f t="array" ref="AF65">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160</v>
      </c>
      <c r="AG65" s="84">
        <f t="array" ref="AG65">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166</v>
      </c>
      <c r="AH65" s="27">
        <f>IFERROR((TABLA_AVANCE_METAS[[#This Row],[AVANCE ACUM. TRIM.]]/TABLA_AVANCE_METAS[[#This Row],[PROG. ACUM]])*100,"N/A")</f>
        <v>103.75000000000001</v>
      </c>
      <c r="AI65"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65" s="31">
        <f>TABLA_AVANCE_METAS[[#This Row],[AVANCE ACUM. TRIM.]]-TABLA_AVANCE_METAS[[#This Row],[PROG. ACUM]]</f>
        <v>6</v>
      </c>
      <c r="AK65" s="32">
        <f>IFERROR((TABLA_AVANCE_METAS[[#This Row],[DIFERENCIA ABSOLUTA SEMESTRAL]]/TABLA_AVANCE_METAS[[#This Row],[PROG. ACUM]])*100,"N/A")</f>
        <v>3.75</v>
      </c>
      <c r="AL65" s="84">
        <f>TABLA_AVANCE_METAS[[#This Row],[AVANCE 1°. TRIM]]+TABLA_AVANCE_METAS[[#This Row],[AVANCE 2°. TRIM]]+TABLA_AVANCE_METAS[[#This Row],[AVANCE 3°. TRIM]]+TABLA_AVANCE_METAS[[#This Row],[AVANCE 4°. TRIM]]</f>
        <v>166</v>
      </c>
      <c r="AM65" s="27">
        <f>IFERROR((TABLA_AVANCE_METAS[[#This Row],[AVANCE ACUM. ANUAL]]/TABLA_AVANCE_METAS[[#This Row],[PROGRAMADO ANUAL]])*100,"N/A")</f>
        <v>51.875000000000007</v>
      </c>
      <c r="AN65"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65" s="31">
        <f>TABLA_AVANCE_METAS[[#This Row],[AVANCE ACUM. ANUAL]]-TABLA_AVANCE_METAS[[#This Row],[PROGRAMADO ANUAL]]</f>
        <v>-154</v>
      </c>
      <c r="AP65" s="33">
        <f>IFERROR((TABLA_AVANCE_METAS[[#This Row],[DIFERENCIA ABSOLUTA ANUAL]]/TABLA_AVANCE_METAS[[#This Row],[PROGRAMADO ANUAL]])*100,"N/A")</f>
        <v>-48.125</v>
      </c>
      <c r="AQ65" s="34"/>
      <c r="AR65" s="35"/>
      <c r="AS65" s="36"/>
      <c r="AT65" s="36"/>
      <c r="AU65" s="37" t="b">
        <f>TABLA_AVANCE_METAS[[#This Row],[PROGRAMADO ANUAL]]=SUM(TABLA_AVANCE_METAS[[#This Row],[PROGR. 1° TRIM]],TABLA_AVANCE_METAS[[#This Row],[PROGR. 2° TRIM]],TABLA_AVANCE_METAS[[#This Row],[PROGR. 3° TRIM]],TABLA_AVANCE_METAS[[#This Row],[PROGR. 4° TRIM]])</f>
        <v>1</v>
      </c>
      <c r="AV65" s="38"/>
    </row>
    <row r="66" spans="1:48" ht="75" hidden="1" customHeight="1" x14ac:dyDescent="0.35">
      <c r="A66" s="19" t="str">
        <f>CONCATENATE(TABLA_AVANCE_METAS[[#This Row],[ESTRUCTURA]],TABLA_AVANCE_METAS[[#This Row],['#]])</f>
        <v>B0020901050206023</v>
      </c>
      <c r="B66" s="20" t="s">
        <v>212</v>
      </c>
      <c r="C66" s="21" t="s">
        <v>213</v>
      </c>
      <c r="D66" s="20" t="s">
        <v>214</v>
      </c>
      <c r="E66" s="20" t="s">
        <v>253</v>
      </c>
      <c r="F66" s="20" t="s">
        <v>254</v>
      </c>
      <c r="G66" s="22" t="s">
        <v>255</v>
      </c>
      <c r="H66" s="20" t="s">
        <v>139</v>
      </c>
      <c r="I66" s="20" t="s">
        <v>140</v>
      </c>
      <c r="J66" s="20" t="s">
        <v>256</v>
      </c>
      <c r="K66" s="20" t="s">
        <v>257</v>
      </c>
      <c r="L66" s="21">
        <v>3</v>
      </c>
      <c r="M66" s="23" t="s">
        <v>260</v>
      </c>
      <c r="N66" s="22" t="s">
        <v>261</v>
      </c>
      <c r="O66" s="24">
        <v>65</v>
      </c>
      <c r="P66" s="24">
        <v>5</v>
      </c>
      <c r="Q66" s="28">
        <v>5</v>
      </c>
      <c r="R66" s="25">
        <f>IFERROR((TABLA_AVANCE_METAS[[#This Row],[AVANCE 1°. TRIM]]/TABLA_AVANCE_METAS[[#This Row],[PROGR. 1° TRIM]])*100,"0")</f>
        <v>100</v>
      </c>
      <c r="S66"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66" s="24">
        <v>10</v>
      </c>
      <c r="U66" s="28">
        <v>10</v>
      </c>
      <c r="V66" s="27">
        <f t="shared" si="0"/>
        <v>100</v>
      </c>
      <c r="W66" s="26" t="str">
        <f t="shared" si="2"/>
        <v>ADECUADO</v>
      </c>
      <c r="X66" s="24">
        <v>40</v>
      </c>
      <c r="Y66" s="28">
        <v>0</v>
      </c>
      <c r="Z66" s="27">
        <v>0</v>
      </c>
      <c r="AA66" s="26" t="s">
        <v>62</v>
      </c>
      <c r="AB66" s="24">
        <v>10</v>
      </c>
      <c r="AC66" s="28">
        <v>0</v>
      </c>
      <c r="AD66" s="27">
        <f>IFERROR((TABLA_AVANCE_METAS[[#This Row],[AVANCE 4°. TRIM]]/TABLA_AVANCE_METAS[[#This Row],[PROGR. 4° TRIM]])*100,"0")</f>
        <v>0</v>
      </c>
      <c r="AE66"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66" s="30">
        <f t="array" ref="AF66">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15</v>
      </c>
      <c r="AG66" s="84">
        <f t="array" ref="AG66">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15</v>
      </c>
      <c r="AH66" s="27">
        <f>IFERROR((TABLA_AVANCE_METAS[[#This Row],[AVANCE ACUM. TRIM.]]/TABLA_AVANCE_METAS[[#This Row],[PROG. ACUM]])*100,"N/A")</f>
        <v>100</v>
      </c>
      <c r="AI66"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66" s="31">
        <f>TABLA_AVANCE_METAS[[#This Row],[AVANCE ACUM. TRIM.]]-TABLA_AVANCE_METAS[[#This Row],[PROG. ACUM]]</f>
        <v>0</v>
      </c>
      <c r="AK66" s="32">
        <f>IFERROR((TABLA_AVANCE_METAS[[#This Row],[DIFERENCIA ABSOLUTA SEMESTRAL]]/TABLA_AVANCE_METAS[[#This Row],[PROG. ACUM]])*100,"N/A")</f>
        <v>0</v>
      </c>
      <c r="AL66" s="84">
        <f>TABLA_AVANCE_METAS[[#This Row],[AVANCE 1°. TRIM]]+TABLA_AVANCE_METAS[[#This Row],[AVANCE 2°. TRIM]]+TABLA_AVANCE_METAS[[#This Row],[AVANCE 3°. TRIM]]+TABLA_AVANCE_METAS[[#This Row],[AVANCE 4°. TRIM]]</f>
        <v>15</v>
      </c>
      <c r="AM66" s="27">
        <f>IFERROR((TABLA_AVANCE_METAS[[#This Row],[AVANCE ACUM. ANUAL]]/TABLA_AVANCE_METAS[[#This Row],[PROGRAMADO ANUAL]])*100,"N/A")</f>
        <v>23.076923076923077</v>
      </c>
      <c r="AN66"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66" s="31">
        <f>TABLA_AVANCE_METAS[[#This Row],[AVANCE ACUM. ANUAL]]-TABLA_AVANCE_METAS[[#This Row],[PROGRAMADO ANUAL]]</f>
        <v>-50</v>
      </c>
      <c r="AP66" s="33">
        <f>IFERROR((TABLA_AVANCE_METAS[[#This Row],[DIFERENCIA ABSOLUTA ANUAL]]/TABLA_AVANCE_METAS[[#This Row],[PROGRAMADO ANUAL]])*100,"N/A")</f>
        <v>-76.923076923076934</v>
      </c>
      <c r="AQ66" s="34"/>
      <c r="AR66" s="35"/>
      <c r="AS66" s="36"/>
      <c r="AT66" s="36"/>
      <c r="AU66" s="37" t="b">
        <f>TABLA_AVANCE_METAS[[#This Row],[PROGRAMADO ANUAL]]=SUM(TABLA_AVANCE_METAS[[#This Row],[PROGR. 1° TRIM]],TABLA_AVANCE_METAS[[#This Row],[PROGR. 2° TRIM]],TABLA_AVANCE_METAS[[#This Row],[PROGR. 3° TRIM]],TABLA_AVANCE_METAS[[#This Row],[PROGR. 4° TRIM]])</f>
        <v>1</v>
      </c>
      <c r="AV66" s="38"/>
    </row>
    <row r="67" spans="1:48" ht="75" hidden="1" customHeight="1" x14ac:dyDescent="0.35">
      <c r="A67" s="19" t="str">
        <f>CONCATENATE(TABLA_AVANCE_METAS[[#This Row],[ESTRUCTURA]],TABLA_AVANCE_METAS[[#This Row],['#]])</f>
        <v>B0020901050206024</v>
      </c>
      <c r="B67" s="20" t="s">
        <v>212</v>
      </c>
      <c r="C67" s="21" t="s">
        <v>213</v>
      </c>
      <c r="D67" s="20" t="s">
        <v>214</v>
      </c>
      <c r="E67" s="20" t="s">
        <v>253</v>
      </c>
      <c r="F67" s="20" t="s">
        <v>254</v>
      </c>
      <c r="G67" s="22" t="s">
        <v>255</v>
      </c>
      <c r="H67" s="20" t="s">
        <v>139</v>
      </c>
      <c r="I67" s="20" t="s">
        <v>140</v>
      </c>
      <c r="J67" s="20" t="s">
        <v>256</v>
      </c>
      <c r="K67" s="20" t="s">
        <v>257</v>
      </c>
      <c r="L67" s="21">
        <v>4</v>
      </c>
      <c r="M67" s="23" t="s">
        <v>262</v>
      </c>
      <c r="N67" s="22" t="s">
        <v>263</v>
      </c>
      <c r="O67" s="24">
        <v>1</v>
      </c>
      <c r="P67" s="24">
        <v>1</v>
      </c>
      <c r="Q67" s="28">
        <v>1</v>
      </c>
      <c r="R67" s="25">
        <f>IFERROR((TABLA_AVANCE_METAS[[#This Row],[AVANCE 1°. TRIM]]/TABLA_AVANCE_METAS[[#This Row],[PROGR. 1° TRIM]])*100,"0")</f>
        <v>100</v>
      </c>
      <c r="S67"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67" s="24">
        <v>0</v>
      </c>
      <c r="U67" s="28">
        <v>0</v>
      </c>
      <c r="V67" s="27" t="str">
        <f t="shared" si="0"/>
        <v>0</v>
      </c>
      <c r="W67" s="26" t="str">
        <f t="shared" si="2"/>
        <v>NO PROG.</v>
      </c>
      <c r="X67" s="24">
        <v>0</v>
      </c>
      <c r="Y67" s="28">
        <v>0</v>
      </c>
      <c r="Z67" s="27" t="s">
        <v>71</v>
      </c>
      <c r="AA67" s="26" t="s">
        <v>72</v>
      </c>
      <c r="AB67" s="24">
        <v>0</v>
      </c>
      <c r="AC67" s="28">
        <v>0</v>
      </c>
      <c r="AD67" s="27" t="str">
        <f>IFERROR((TABLA_AVANCE_METAS[[#This Row],[AVANCE 4°. TRIM]]/TABLA_AVANCE_METAS[[#This Row],[PROGR. 4° TRIM]])*100,"0")</f>
        <v>0</v>
      </c>
      <c r="AE67"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67" s="30">
        <f t="array" ref="AF67">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67" s="84">
        <f t="array" ref="AG67">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67" s="27">
        <f>IFERROR((TABLA_AVANCE_METAS[[#This Row],[AVANCE ACUM. TRIM.]]/TABLA_AVANCE_METAS[[#This Row],[PROG. ACUM]])*100,"N/A")</f>
        <v>100</v>
      </c>
      <c r="AI67"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67" s="31">
        <f>TABLA_AVANCE_METAS[[#This Row],[AVANCE ACUM. TRIM.]]-TABLA_AVANCE_METAS[[#This Row],[PROG. ACUM]]</f>
        <v>0</v>
      </c>
      <c r="AK67" s="32">
        <f>IFERROR((TABLA_AVANCE_METAS[[#This Row],[DIFERENCIA ABSOLUTA SEMESTRAL]]/TABLA_AVANCE_METAS[[#This Row],[PROG. ACUM]])*100,"N/A")</f>
        <v>0</v>
      </c>
      <c r="AL67" s="84">
        <f>TABLA_AVANCE_METAS[[#This Row],[AVANCE 1°. TRIM]]+TABLA_AVANCE_METAS[[#This Row],[AVANCE 2°. TRIM]]+TABLA_AVANCE_METAS[[#This Row],[AVANCE 3°. TRIM]]+TABLA_AVANCE_METAS[[#This Row],[AVANCE 4°. TRIM]]</f>
        <v>1</v>
      </c>
      <c r="AM67" s="27">
        <f>IFERROR((TABLA_AVANCE_METAS[[#This Row],[AVANCE ACUM. ANUAL]]/TABLA_AVANCE_METAS[[#This Row],[PROGRAMADO ANUAL]])*100,"N/A")</f>
        <v>100</v>
      </c>
      <c r="AN67"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67" s="31">
        <f>TABLA_AVANCE_METAS[[#This Row],[AVANCE ACUM. ANUAL]]-TABLA_AVANCE_METAS[[#This Row],[PROGRAMADO ANUAL]]</f>
        <v>0</v>
      </c>
      <c r="AP67" s="33">
        <f>IFERROR((TABLA_AVANCE_METAS[[#This Row],[DIFERENCIA ABSOLUTA ANUAL]]/TABLA_AVANCE_METAS[[#This Row],[PROGRAMADO ANUAL]])*100,"N/A")</f>
        <v>0</v>
      </c>
      <c r="AQ67" s="34"/>
      <c r="AR67" s="35"/>
      <c r="AS67" s="36"/>
      <c r="AT67" s="36"/>
      <c r="AU67" s="37" t="b">
        <f>TABLA_AVANCE_METAS[[#This Row],[PROGRAMADO ANUAL]]=SUM(TABLA_AVANCE_METAS[[#This Row],[PROGR. 1° TRIM]],TABLA_AVANCE_METAS[[#This Row],[PROGR. 2° TRIM]],TABLA_AVANCE_METAS[[#This Row],[PROGR. 3° TRIM]],TABLA_AVANCE_METAS[[#This Row],[PROGR. 4° TRIM]])</f>
        <v>1</v>
      </c>
      <c r="AV67" s="38"/>
    </row>
    <row r="68" spans="1:48" ht="75" hidden="1" customHeight="1" x14ac:dyDescent="0.35">
      <c r="A68" s="19" t="str">
        <f>CONCATENATE(TABLA_AVANCE_METAS[[#This Row],[ESTRUCTURA]],TABLA_AVANCE_METAS[[#This Row],['#]])</f>
        <v>B0020901050206025</v>
      </c>
      <c r="B68" s="20" t="s">
        <v>212</v>
      </c>
      <c r="C68" s="21" t="s">
        <v>213</v>
      </c>
      <c r="D68" s="20" t="s">
        <v>214</v>
      </c>
      <c r="E68" s="20" t="s">
        <v>253</v>
      </c>
      <c r="F68" s="20" t="s">
        <v>254</v>
      </c>
      <c r="G68" s="22" t="s">
        <v>255</v>
      </c>
      <c r="H68" s="20" t="s">
        <v>139</v>
      </c>
      <c r="I68" s="20" t="s">
        <v>140</v>
      </c>
      <c r="J68" s="20" t="s">
        <v>256</v>
      </c>
      <c r="K68" s="20" t="s">
        <v>257</v>
      </c>
      <c r="L68" s="21">
        <v>5</v>
      </c>
      <c r="M68" s="23" t="s">
        <v>264</v>
      </c>
      <c r="N68" s="22" t="s">
        <v>265</v>
      </c>
      <c r="O68" s="24">
        <v>1</v>
      </c>
      <c r="P68" s="24">
        <v>0</v>
      </c>
      <c r="Q68" s="28">
        <v>0</v>
      </c>
      <c r="R68" s="25" t="str">
        <f>IFERROR((TABLA_AVANCE_METAS[[#This Row],[AVANCE 1°. TRIM]]/TABLA_AVANCE_METAS[[#This Row],[PROGR. 1° TRIM]])*100,"0")</f>
        <v>0</v>
      </c>
      <c r="S68"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68" s="24">
        <v>0</v>
      </c>
      <c r="U68" s="28">
        <v>0</v>
      </c>
      <c r="V68" s="27" t="str">
        <f t="shared" ref="V68:V131" si="3">IFERROR((U68/T68)*100,"0")</f>
        <v>0</v>
      </c>
      <c r="W68" s="26" t="str">
        <f t="shared" ref="W68:W99" si="4">IF(AND(V68&gt;=0,V68&lt;=49.9999999999999),"CRÍTICO",IF(AND(V68&gt;=50,V68&lt;=69.9999999999999),"DEFICIENTE",IF(AND(V68&gt;=70,V68&lt;=89.9999999999999),"REGULAR",IF(AND(V68&gt;=90,V68&lt;=110.999999999999),"ADECUADO",IF(AND(V68&gt;=111,V68&lt;=999999),"SOBREPASADO","NO PROG.")))))</f>
        <v>NO PROG.</v>
      </c>
      <c r="X68" s="24">
        <v>0</v>
      </c>
      <c r="Y68" s="28">
        <v>0</v>
      </c>
      <c r="Z68" s="27" t="s">
        <v>71</v>
      </c>
      <c r="AA68" s="26" t="s">
        <v>72</v>
      </c>
      <c r="AB68" s="24">
        <v>1</v>
      </c>
      <c r="AC68" s="28">
        <v>0</v>
      </c>
      <c r="AD68" s="27">
        <f>IFERROR((TABLA_AVANCE_METAS[[#This Row],[AVANCE 4°. TRIM]]/TABLA_AVANCE_METAS[[#This Row],[PROGR. 4° TRIM]])*100,"0")</f>
        <v>0</v>
      </c>
      <c r="AE68"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68" s="30">
        <f t="array" ref="AF68">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68" s="84">
        <f t="array" ref="AG68">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68" s="27" t="str">
        <f>IFERROR((TABLA_AVANCE_METAS[[#This Row],[AVANCE ACUM. TRIM.]]/TABLA_AVANCE_METAS[[#This Row],[PROG. ACUM]])*100,"N/A")</f>
        <v>N/A</v>
      </c>
      <c r="AI68"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68" s="31">
        <f>TABLA_AVANCE_METAS[[#This Row],[AVANCE ACUM. TRIM.]]-TABLA_AVANCE_METAS[[#This Row],[PROG. ACUM]]</f>
        <v>0</v>
      </c>
      <c r="AK68" s="32" t="str">
        <f>IFERROR((TABLA_AVANCE_METAS[[#This Row],[DIFERENCIA ABSOLUTA SEMESTRAL]]/TABLA_AVANCE_METAS[[#This Row],[PROG. ACUM]])*100,"N/A")</f>
        <v>N/A</v>
      </c>
      <c r="AL68" s="84">
        <f>TABLA_AVANCE_METAS[[#This Row],[AVANCE 1°. TRIM]]+TABLA_AVANCE_METAS[[#This Row],[AVANCE 2°. TRIM]]+TABLA_AVANCE_METAS[[#This Row],[AVANCE 3°. TRIM]]+TABLA_AVANCE_METAS[[#This Row],[AVANCE 4°. TRIM]]</f>
        <v>0</v>
      </c>
      <c r="AM68" s="27">
        <f>IFERROR((TABLA_AVANCE_METAS[[#This Row],[AVANCE ACUM. ANUAL]]/TABLA_AVANCE_METAS[[#This Row],[PROGRAMADO ANUAL]])*100,"N/A")</f>
        <v>0</v>
      </c>
      <c r="AN68"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68" s="31">
        <f>TABLA_AVANCE_METAS[[#This Row],[AVANCE ACUM. ANUAL]]-TABLA_AVANCE_METAS[[#This Row],[PROGRAMADO ANUAL]]</f>
        <v>-1</v>
      </c>
      <c r="AP68" s="33">
        <f>IFERROR((TABLA_AVANCE_METAS[[#This Row],[DIFERENCIA ABSOLUTA ANUAL]]/TABLA_AVANCE_METAS[[#This Row],[PROGRAMADO ANUAL]])*100,"N/A")</f>
        <v>-100</v>
      </c>
      <c r="AQ68" s="34"/>
      <c r="AR68" s="35"/>
      <c r="AS68" s="36"/>
      <c r="AT68" s="36"/>
      <c r="AU68" s="37" t="b">
        <f>TABLA_AVANCE_METAS[[#This Row],[PROGRAMADO ANUAL]]=SUM(TABLA_AVANCE_METAS[[#This Row],[PROGR. 1° TRIM]],TABLA_AVANCE_METAS[[#This Row],[PROGR. 2° TRIM]],TABLA_AVANCE_METAS[[#This Row],[PROGR. 3° TRIM]],TABLA_AVANCE_METAS[[#This Row],[PROGR. 4° TRIM]])</f>
        <v>1</v>
      </c>
      <c r="AV68" s="38"/>
    </row>
    <row r="69" spans="1:48" ht="75" hidden="1" customHeight="1" x14ac:dyDescent="0.35">
      <c r="A69" s="19" t="str">
        <f>CONCATENATE(TABLA_AVANCE_METAS[[#This Row],[ESTRUCTURA]],TABLA_AVANCE_METAS[[#This Row],['#]])</f>
        <v>B0020901050206026</v>
      </c>
      <c r="B69" s="20" t="s">
        <v>212</v>
      </c>
      <c r="C69" s="21" t="s">
        <v>213</v>
      </c>
      <c r="D69" s="20" t="s">
        <v>214</v>
      </c>
      <c r="E69" s="20" t="s">
        <v>253</v>
      </c>
      <c r="F69" s="20" t="s">
        <v>254</v>
      </c>
      <c r="G69" s="22" t="s">
        <v>255</v>
      </c>
      <c r="H69" s="20" t="s">
        <v>139</v>
      </c>
      <c r="I69" s="20" t="s">
        <v>140</v>
      </c>
      <c r="J69" s="20" t="s">
        <v>256</v>
      </c>
      <c r="K69" s="20" t="s">
        <v>257</v>
      </c>
      <c r="L69" s="21">
        <v>6</v>
      </c>
      <c r="M69" s="23" t="s">
        <v>266</v>
      </c>
      <c r="N69" s="22" t="s">
        <v>267</v>
      </c>
      <c r="O69" s="24">
        <v>180</v>
      </c>
      <c r="P69" s="24">
        <v>50</v>
      </c>
      <c r="Q69" s="28">
        <v>32</v>
      </c>
      <c r="R69" s="25">
        <f>IFERROR((TABLA_AVANCE_METAS[[#This Row],[AVANCE 1°. TRIM]]/TABLA_AVANCE_METAS[[#This Row],[PROGR. 1° TRIM]])*100,"0")</f>
        <v>64</v>
      </c>
      <c r="S69"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DEFICIENTE</v>
      </c>
      <c r="T69" s="24">
        <v>40</v>
      </c>
      <c r="U69" s="28">
        <v>43</v>
      </c>
      <c r="V69" s="27">
        <f t="shared" si="3"/>
        <v>107.5</v>
      </c>
      <c r="W69" s="26" t="str">
        <f t="shared" si="4"/>
        <v>ADECUADO</v>
      </c>
      <c r="X69" s="24">
        <v>40</v>
      </c>
      <c r="Y69" s="28">
        <v>0</v>
      </c>
      <c r="Z69" s="27">
        <v>0</v>
      </c>
      <c r="AA69" s="26" t="s">
        <v>62</v>
      </c>
      <c r="AB69" s="24">
        <v>50</v>
      </c>
      <c r="AC69" s="28">
        <v>0</v>
      </c>
      <c r="AD69" s="27">
        <f>IFERROR((TABLA_AVANCE_METAS[[#This Row],[AVANCE 4°. TRIM]]/TABLA_AVANCE_METAS[[#This Row],[PROGR. 4° TRIM]])*100,"0")</f>
        <v>0</v>
      </c>
      <c r="AE69"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69" s="30">
        <f t="array" ref="AF69">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90</v>
      </c>
      <c r="AG69" s="84">
        <f t="array" ref="AG69">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75</v>
      </c>
      <c r="AH69" s="27">
        <f>IFERROR((TABLA_AVANCE_METAS[[#This Row],[AVANCE ACUM. TRIM.]]/TABLA_AVANCE_METAS[[#This Row],[PROG. ACUM]])*100,"N/A")</f>
        <v>83.333333333333343</v>
      </c>
      <c r="AI69"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REGULAR</v>
      </c>
      <c r="AJ69" s="31">
        <f>TABLA_AVANCE_METAS[[#This Row],[AVANCE ACUM. TRIM.]]-TABLA_AVANCE_METAS[[#This Row],[PROG. ACUM]]</f>
        <v>-15</v>
      </c>
      <c r="AK69" s="32">
        <f>IFERROR((TABLA_AVANCE_METAS[[#This Row],[DIFERENCIA ABSOLUTA SEMESTRAL]]/TABLA_AVANCE_METAS[[#This Row],[PROG. ACUM]])*100,"N/A")</f>
        <v>-16.666666666666664</v>
      </c>
      <c r="AL69" s="84">
        <f>TABLA_AVANCE_METAS[[#This Row],[AVANCE 1°. TRIM]]+TABLA_AVANCE_METAS[[#This Row],[AVANCE 2°. TRIM]]+TABLA_AVANCE_METAS[[#This Row],[AVANCE 3°. TRIM]]+TABLA_AVANCE_METAS[[#This Row],[AVANCE 4°. TRIM]]</f>
        <v>75</v>
      </c>
      <c r="AM69" s="27">
        <f>IFERROR((TABLA_AVANCE_METAS[[#This Row],[AVANCE ACUM. ANUAL]]/TABLA_AVANCE_METAS[[#This Row],[PROGRAMADO ANUAL]])*100,"N/A")</f>
        <v>41.666666666666671</v>
      </c>
      <c r="AN69"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69" s="31">
        <f>TABLA_AVANCE_METAS[[#This Row],[AVANCE ACUM. ANUAL]]-TABLA_AVANCE_METAS[[#This Row],[PROGRAMADO ANUAL]]</f>
        <v>-105</v>
      </c>
      <c r="AP69" s="33">
        <f>IFERROR((TABLA_AVANCE_METAS[[#This Row],[DIFERENCIA ABSOLUTA ANUAL]]/TABLA_AVANCE_METAS[[#This Row],[PROGRAMADO ANUAL]])*100,"N/A")</f>
        <v>-58.333333333333336</v>
      </c>
      <c r="AQ69" s="34" t="s">
        <v>268</v>
      </c>
      <c r="AR69" s="35"/>
      <c r="AS69" s="36"/>
      <c r="AT69" s="36"/>
      <c r="AU69" s="37" t="b">
        <f>TABLA_AVANCE_METAS[[#This Row],[PROGRAMADO ANUAL]]=SUM(TABLA_AVANCE_METAS[[#This Row],[PROGR. 1° TRIM]],TABLA_AVANCE_METAS[[#This Row],[PROGR. 2° TRIM]],TABLA_AVANCE_METAS[[#This Row],[PROGR. 3° TRIM]],TABLA_AVANCE_METAS[[#This Row],[PROGR. 4° TRIM]])</f>
        <v>1</v>
      </c>
      <c r="AV69" s="38"/>
    </row>
    <row r="70" spans="1:48" ht="75" hidden="1" customHeight="1" x14ac:dyDescent="0.35">
      <c r="A70" s="19" t="str">
        <f>CONCATENATE(TABLA_AVANCE_METAS[[#This Row],[ESTRUCTURA]],TABLA_AVANCE_METAS[[#This Row],['#]])</f>
        <v>B0020901050206027</v>
      </c>
      <c r="B70" s="20" t="s">
        <v>212</v>
      </c>
      <c r="C70" s="21" t="s">
        <v>213</v>
      </c>
      <c r="D70" s="20" t="s">
        <v>214</v>
      </c>
      <c r="E70" s="20" t="s">
        <v>253</v>
      </c>
      <c r="F70" s="20" t="s">
        <v>254</v>
      </c>
      <c r="G70" s="22" t="s">
        <v>255</v>
      </c>
      <c r="H70" s="20" t="s">
        <v>139</v>
      </c>
      <c r="I70" s="20" t="s">
        <v>140</v>
      </c>
      <c r="J70" s="20" t="s">
        <v>256</v>
      </c>
      <c r="K70" s="20" t="s">
        <v>257</v>
      </c>
      <c r="L70" s="21">
        <v>7</v>
      </c>
      <c r="M70" s="23" t="s">
        <v>269</v>
      </c>
      <c r="N70" s="22" t="s">
        <v>270</v>
      </c>
      <c r="O70" s="24">
        <v>180</v>
      </c>
      <c r="P70" s="24">
        <v>50</v>
      </c>
      <c r="Q70" s="28">
        <v>26</v>
      </c>
      <c r="R70" s="25">
        <f>IFERROR((TABLA_AVANCE_METAS[[#This Row],[AVANCE 1°. TRIM]]/TABLA_AVANCE_METAS[[#This Row],[PROGR. 1° TRIM]])*100,"0")</f>
        <v>52</v>
      </c>
      <c r="S70"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DEFICIENTE</v>
      </c>
      <c r="T70" s="24">
        <v>40</v>
      </c>
      <c r="U70" s="28">
        <v>38</v>
      </c>
      <c r="V70" s="27">
        <f t="shared" si="3"/>
        <v>95</v>
      </c>
      <c r="W70" s="26" t="str">
        <f t="shared" si="4"/>
        <v>ADECUADO</v>
      </c>
      <c r="X70" s="24">
        <v>40</v>
      </c>
      <c r="Y70" s="28">
        <v>0</v>
      </c>
      <c r="Z70" s="27">
        <v>0</v>
      </c>
      <c r="AA70" s="26" t="s">
        <v>62</v>
      </c>
      <c r="AB70" s="24">
        <v>50</v>
      </c>
      <c r="AC70" s="28">
        <v>0</v>
      </c>
      <c r="AD70" s="27">
        <f>IFERROR((TABLA_AVANCE_METAS[[#This Row],[AVANCE 4°. TRIM]]/TABLA_AVANCE_METAS[[#This Row],[PROGR. 4° TRIM]])*100,"0")</f>
        <v>0</v>
      </c>
      <c r="AE70"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70" s="30">
        <f t="array" ref="AF70">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90</v>
      </c>
      <c r="AG70" s="84">
        <f t="array" ref="AG70">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64</v>
      </c>
      <c r="AH70" s="27">
        <f>IFERROR((TABLA_AVANCE_METAS[[#This Row],[AVANCE ACUM. TRIM.]]/TABLA_AVANCE_METAS[[#This Row],[PROG. ACUM]])*100,"N/A")</f>
        <v>71.111111111111114</v>
      </c>
      <c r="AI70"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REGULAR</v>
      </c>
      <c r="AJ70" s="31">
        <f>TABLA_AVANCE_METAS[[#This Row],[AVANCE ACUM. TRIM.]]-TABLA_AVANCE_METAS[[#This Row],[PROG. ACUM]]</f>
        <v>-26</v>
      </c>
      <c r="AK70" s="32">
        <f>IFERROR((TABLA_AVANCE_METAS[[#This Row],[DIFERENCIA ABSOLUTA SEMESTRAL]]/TABLA_AVANCE_METAS[[#This Row],[PROG. ACUM]])*100,"N/A")</f>
        <v>-28.888888888888886</v>
      </c>
      <c r="AL70" s="84">
        <f>TABLA_AVANCE_METAS[[#This Row],[AVANCE 1°. TRIM]]+TABLA_AVANCE_METAS[[#This Row],[AVANCE 2°. TRIM]]+TABLA_AVANCE_METAS[[#This Row],[AVANCE 3°. TRIM]]+TABLA_AVANCE_METAS[[#This Row],[AVANCE 4°. TRIM]]</f>
        <v>64</v>
      </c>
      <c r="AM70" s="27">
        <f>IFERROR((TABLA_AVANCE_METAS[[#This Row],[AVANCE ACUM. ANUAL]]/TABLA_AVANCE_METAS[[#This Row],[PROGRAMADO ANUAL]])*100,"N/A")</f>
        <v>35.555555555555557</v>
      </c>
      <c r="AN70"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70" s="31">
        <f>TABLA_AVANCE_METAS[[#This Row],[AVANCE ACUM. ANUAL]]-TABLA_AVANCE_METAS[[#This Row],[PROGRAMADO ANUAL]]</f>
        <v>-116</v>
      </c>
      <c r="AP70" s="33">
        <f>IFERROR((TABLA_AVANCE_METAS[[#This Row],[DIFERENCIA ABSOLUTA ANUAL]]/TABLA_AVANCE_METAS[[#This Row],[PROGRAMADO ANUAL]])*100,"N/A")</f>
        <v>-64.444444444444443</v>
      </c>
      <c r="AQ70" s="34" t="s">
        <v>271</v>
      </c>
      <c r="AR70" s="35"/>
      <c r="AS70" s="36"/>
      <c r="AT70" s="36"/>
      <c r="AU70" s="37" t="b">
        <f>TABLA_AVANCE_METAS[[#This Row],[PROGRAMADO ANUAL]]=SUM(TABLA_AVANCE_METAS[[#This Row],[PROGR. 1° TRIM]],TABLA_AVANCE_METAS[[#This Row],[PROGR. 2° TRIM]],TABLA_AVANCE_METAS[[#This Row],[PROGR. 3° TRIM]],TABLA_AVANCE_METAS[[#This Row],[PROGR. 4° TRIM]])</f>
        <v>1</v>
      </c>
      <c r="AV70" s="38"/>
    </row>
    <row r="71" spans="1:48" ht="75" hidden="1" customHeight="1" x14ac:dyDescent="0.35">
      <c r="A71" s="19" t="str">
        <f>CONCATENATE(TABLA_AVANCE_METAS[[#This Row],[ESTRUCTURA]],TABLA_AVANCE_METAS[[#This Row],['#]])</f>
        <v>B0020901050206028</v>
      </c>
      <c r="B71" s="20" t="s">
        <v>212</v>
      </c>
      <c r="C71" s="21" t="s">
        <v>213</v>
      </c>
      <c r="D71" s="20" t="s">
        <v>214</v>
      </c>
      <c r="E71" s="20" t="s">
        <v>253</v>
      </c>
      <c r="F71" s="20" t="s">
        <v>254</v>
      </c>
      <c r="G71" s="22" t="s">
        <v>255</v>
      </c>
      <c r="H71" s="20" t="s">
        <v>139</v>
      </c>
      <c r="I71" s="20" t="s">
        <v>140</v>
      </c>
      <c r="J71" s="20" t="s">
        <v>256</v>
      </c>
      <c r="K71" s="20" t="s">
        <v>257</v>
      </c>
      <c r="L71" s="21">
        <v>8</v>
      </c>
      <c r="M71" s="23" t="s">
        <v>272</v>
      </c>
      <c r="N71" s="22" t="s">
        <v>123</v>
      </c>
      <c r="O71" s="24">
        <v>27</v>
      </c>
      <c r="P71" s="24">
        <v>7</v>
      </c>
      <c r="Q71" s="28">
        <v>7</v>
      </c>
      <c r="R71" s="25">
        <f>IFERROR((TABLA_AVANCE_METAS[[#This Row],[AVANCE 1°. TRIM]]/TABLA_AVANCE_METAS[[#This Row],[PROGR. 1° TRIM]])*100,"0")</f>
        <v>100</v>
      </c>
      <c r="S71"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71" s="24">
        <v>6</v>
      </c>
      <c r="U71" s="28">
        <v>6</v>
      </c>
      <c r="V71" s="27">
        <f t="shared" si="3"/>
        <v>100</v>
      </c>
      <c r="W71" s="26" t="str">
        <f t="shared" si="4"/>
        <v>ADECUADO</v>
      </c>
      <c r="X71" s="24">
        <v>6</v>
      </c>
      <c r="Y71" s="28">
        <v>0</v>
      </c>
      <c r="Z71" s="27">
        <v>0</v>
      </c>
      <c r="AA71" s="26" t="s">
        <v>62</v>
      </c>
      <c r="AB71" s="24">
        <v>8</v>
      </c>
      <c r="AC71" s="28">
        <v>0</v>
      </c>
      <c r="AD71" s="27">
        <f>IFERROR((TABLA_AVANCE_METAS[[#This Row],[AVANCE 4°. TRIM]]/TABLA_AVANCE_METAS[[#This Row],[PROGR. 4° TRIM]])*100,"0")</f>
        <v>0</v>
      </c>
      <c r="AE71"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71" s="30">
        <f t="array" ref="AF71">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13</v>
      </c>
      <c r="AG71" s="84">
        <f t="array" ref="AG71">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13</v>
      </c>
      <c r="AH71" s="27">
        <f>IFERROR((TABLA_AVANCE_METAS[[#This Row],[AVANCE ACUM. TRIM.]]/TABLA_AVANCE_METAS[[#This Row],[PROG. ACUM]])*100,"N/A")</f>
        <v>100</v>
      </c>
      <c r="AI71"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71" s="31">
        <f>TABLA_AVANCE_METAS[[#This Row],[AVANCE ACUM. TRIM.]]-TABLA_AVANCE_METAS[[#This Row],[PROG. ACUM]]</f>
        <v>0</v>
      </c>
      <c r="AK71" s="32">
        <f>IFERROR((TABLA_AVANCE_METAS[[#This Row],[DIFERENCIA ABSOLUTA SEMESTRAL]]/TABLA_AVANCE_METAS[[#This Row],[PROG. ACUM]])*100,"N/A")</f>
        <v>0</v>
      </c>
      <c r="AL71" s="84">
        <f>TABLA_AVANCE_METAS[[#This Row],[AVANCE 1°. TRIM]]+TABLA_AVANCE_METAS[[#This Row],[AVANCE 2°. TRIM]]+TABLA_AVANCE_METAS[[#This Row],[AVANCE 3°. TRIM]]+TABLA_AVANCE_METAS[[#This Row],[AVANCE 4°. TRIM]]</f>
        <v>13</v>
      </c>
      <c r="AM71" s="27">
        <f>IFERROR((TABLA_AVANCE_METAS[[#This Row],[AVANCE ACUM. ANUAL]]/TABLA_AVANCE_METAS[[#This Row],[PROGRAMADO ANUAL]])*100,"N/A")</f>
        <v>48.148148148148145</v>
      </c>
      <c r="AN71"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71" s="31">
        <f>TABLA_AVANCE_METAS[[#This Row],[AVANCE ACUM. ANUAL]]-TABLA_AVANCE_METAS[[#This Row],[PROGRAMADO ANUAL]]</f>
        <v>-14</v>
      </c>
      <c r="AP71" s="33">
        <f>IFERROR((TABLA_AVANCE_METAS[[#This Row],[DIFERENCIA ABSOLUTA ANUAL]]/TABLA_AVANCE_METAS[[#This Row],[PROGRAMADO ANUAL]])*100,"N/A")</f>
        <v>-51.851851851851848</v>
      </c>
      <c r="AQ71" s="34"/>
      <c r="AR71" s="35"/>
      <c r="AS71" s="36"/>
      <c r="AT71" s="36"/>
      <c r="AU71" s="37" t="b">
        <f>TABLA_AVANCE_METAS[[#This Row],[PROGRAMADO ANUAL]]=SUM(TABLA_AVANCE_METAS[[#This Row],[PROGR. 1° TRIM]],TABLA_AVANCE_METAS[[#This Row],[PROGR. 2° TRIM]],TABLA_AVANCE_METAS[[#This Row],[PROGR. 3° TRIM]],TABLA_AVANCE_METAS[[#This Row],[PROGR. 4° TRIM]])</f>
        <v>1</v>
      </c>
      <c r="AV71" s="38"/>
    </row>
    <row r="72" spans="1:48" ht="75" hidden="1" customHeight="1" x14ac:dyDescent="0.35">
      <c r="A72" s="19" t="str">
        <f>CONCATENATE(TABLA_AVANCE_METAS[[#This Row],[ESTRUCTURA]],TABLA_AVANCE_METAS[[#This Row],['#]])</f>
        <v>B0020901050206029</v>
      </c>
      <c r="B72" s="20" t="s">
        <v>212</v>
      </c>
      <c r="C72" s="48" t="s">
        <v>213</v>
      </c>
      <c r="D72" s="47" t="s">
        <v>214</v>
      </c>
      <c r="E72" s="20" t="s">
        <v>253</v>
      </c>
      <c r="F72" s="47" t="s">
        <v>254</v>
      </c>
      <c r="G72" s="22" t="s">
        <v>255</v>
      </c>
      <c r="H72" s="47" t="s">
        <v>139</v>
      </c>
      <c r="I72" s="47" t="s">
        <v>140</v>
      </c>
      <c r="J72" s="47" t="s">
        <v>256</v>
      </c>
      <c r="K72" s="47" t="s">
        <v>257</v>
      </c>
      <c r="L72" s="21">
        <v>9</v>
      </c>
      <c r="M72" s="43" t="s">
        <v>273</v>
      </c>
      <c r="N72" s="22" t="s">
        <v>146</v>
      </c>
      <c r="O72" s="24">
        <v>1</v>
      </c>
      <c r="P72" s="24">
        <v>1</v>
      </c>
      <c r="Q72" s="28">
        <v>1</v>
      </c>
      <c r="R72" s="25">
        <f>IFERROR((TABLA_AVANCE_METAS[[#This Row],[AVANCE 1°. TRIM]]/TABLA_AVANCE_METAS[[#This Row],[PROGR. 1° TRIM]])*100,"0")</f>
        <v>100</v>
      </c>
      <c r="S72"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72" s="24">
        <v>0</v>
      </c>
      <c r="U72" s="28">
        <v>0</v>
      </c>
      <c r="V72" s="27" t="str">
        <f t="shared" si="3"/>
        <v>0</v>
      </c>
      <c r="W72" s="26" t="str">
        <f t="shared" si="4"/>
        <v>NO PROG.</v>
      </c>
      <c r="X72" s="24">
        <v>0</v>
      </c>
      <c r="Y72" s="28">
        <v>0</v>
      </c>
      <c r="Z72" s="27" t="s">
        <v>71</v>
      </c>
      <c r="AA72" s="26" t="s">
        <v>72</v>
      </c>
      <c r="AB72" s="24">
        <v>0</v>
      </c>
      <c r="AC72" s="28">
        <v>0</v>
      </c>
      <c r="AD72" s="27" t="str">
        <f>IFERROR((TABLA_AVANCE_METAS[[#This Row],[AVANCE 4°. TRIM]]/TABLA_AVANCE_METAS[[#This Row],[PROGR. 4° TRIM]])*100,"0")</f>
        <v>0</v>
      </c>
      <c r="AE72"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72" s="30">
        <f t="array" ref="AF72">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72" s="84">
        <f t="array" ref="AG72">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72" s="27">
        <f>IFERROR((TABLA_AVANCE_METAS[[#This Row],[AVANCE ACUM. TRIM.]]/TABLA_AVANCE_METAS[[#This Row],[PROG. ACUM]])*100,"N/A")</f>
        <v>100</v>
      </c>
      <c r="AI72"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72" s="31">
        <f>TABLA_AVANCE_METAS[[#This Row],[AVANCE ACUM. TRIM.]]-TABLA_AVANCE_METAS[[#This Row],[PROG. ACUM]]</f>
        <v>0</v>
      </c>
      <c r="AK72" s="32">
        <f>IFERROR((TABLA_AVANCE_METAS[[#This Row],[DIFERENCIA ABSOLUTA SEMESTRAL]]/TABLA_AVANCE_METAS[[#This Row],[PROG. ACUM]])*100,"N/A")</f>
        <v>0</v>
      </c>
      <c r="AL72" s="84">
        <f>TABLA_AVANCE_METAS[[#This Row],[AVANCE 1°. TRIM]]+TABLA_AVANCE_METAS[[#This Row],[AVANCE 2°. TRIM]]+TABLA_AVANCE_METAS[[#This Row],[AVANCE 3°. TRIM]]+TABLA_AVANCE_METAS[[#This Row],[AVANCE 4°. TRIM]]</f>
        <v>1</v>
      </c>
      <c r="AM72" s="27">
        <f>IFERROR((TABLA_AVANCE_METAS[[#This Row],[AVANCE ACUM. ANUAL]]/TABLA_AVANCE_METAS[[#This Row],[PROGRAMADO ANUAL]])*100,"N/A")</f>
        <v>100</v>
      </c>
      <c r="AN72"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72" s="31">
        <f>TABLA_AVANCE_METAS[[#This Row],[AVANCE ACUM. ANUAL]]-TABLA_AVANCE_METAS[[#This Row],[PROGRAMADO ANUAL]]</f>
        <v>0</v>
      </c>
      <c r="AP72" s="33">
        <f>IFERROR((TABLA_AVANCE_METAS[[#This Row],[DIFERENCIA ABSOLUTA ANUAL]]/TABLA_AVANCE_METAS[[#This Row],[PROGRAMADO ANUAL]])*100,"N/A")</f>
        <v>0</v>
      </c>
      <c r="AQ72" s="34"/>
      <c r="AR72" s="35"/>
      <c r="AS72" s="36"/>
      <c r="AT72" s="36"/>
      <c r="AU72" s="37" t="b">
        <f>TABLA_AVANCE_METAS[[#This Row],[PROGRAMADO ANUAL]]=SUM(TABLA_AVANCE_METAS[[#This Row],[PROGR. 1° TRIM]],TABLA_AVANCE_METAS[[#This Row],[PROGR. 2° TRIM]],TABLA_AVANCE_METAS[[#This Row],[PROGR. 3° TRIM]],TABLA_AVANCE_METAS[[#This Row],[PROGR. 4° TRIM]])</f>
        <v>1</v>
      </c>
      <c r="AV72" s="38"/>
    </row>
    <row r="73" spans="1:48" ht="75" hidden="1" customHeight="1" x14ac:dyDescent="0.35">
      <c r="A73" s="19" t="str">
        <f>CONCATENATE(TABLA_AVANCE_METAS[[#This Row],[ESTRUCTURA]],TABLA_AVANCE_METAS[[#This Row],['#]])</f>
        <v>B00209010502060210</v>
      </c>
      <c r="B73" s="20" t="s">
        <v>212</v>
      </c>
      <c r="C73" s="48" t="s">
        <v>213</v>
      </c>
      <c r="D73" s="47" t="s">
        <v>214</v>
      </c>
      <c r="E73" s="20" t="s">
        <v>253</v>
      </c>
      <c r="F73" s="47" t="s">
        <v>254</v>
      </c>
      <c r="G73" s="22" t="s">
        <v>255</v>
      </c>
      <c r="H73" s="47" t="s">
        <v>139</v>
      </c>
      <c r="I73" s="47" t="s">
        <v>140</v>
      </c>
      <c r="J73" s="47" t="s">
        <v>256</v>
      </c>
      <c r="K73" s="47" t="s">
        <v>257</v>
      </c>
      <c r="L73" s="21">
        <v>10</v>
      </c>
      <c r="M73" s="43" t="s">
        <v>274</v>
      </c>
      <c r="N73" s="22" t="s">
        <v>123</v>
      </c>
      <c r="O73" s="24">
        <v>27</v>
      </c>
      <c r="P73" s="24">
        <v>7</v>
      </c>
      <c r="Q73" s="28">
        <v>7</v>
      </c>
      <c r="R73" s="25">
        <f>IFERROR((TABLA_AVANCE_METAS[[#This Row],[AVANCE 1°. TRIM]]/TABLA_AVANCE_METAS[[#This Row],[PROGR. 1° TRIM]])*100,"0")</f>
        <v>100</v>
      </c>
      <c r="S73"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73" s="24">
        <v>6</v>
      </c>
      <c r="U73" s="28">
        <v>6</v>
      </c>
      <c r="V73" s="27">
        <f t="shared" si="3"/>
        <v>100</v>
      </c>
      <c r="W73" s="26" t="str">
        <f t="shared" si="4"/>
        <v>ADECUADO</v>
      </c>
      <c r="X73" s="24">
        <v>6</v>
      </c>
      <c r="Y73" s="28">
        <v>0</v>
      </c>
      <c r="Z73" s="27">
        <v>0</v>
      </c>
      <c r="AA73" s="26" t="s">
        <v>62</v>
      </c>
      <c r="AB73" s="24">
        <v>8</v>
      </c>
      <c r="AC73" s="28">
        <v>0</v>
      </c>
      <c r="AD73" s="27">
        <f>IFERROR((TABLA_AVANCE_METAS[[#This Row],[AVANCE 4°. TRIM]]/TABLA_AVANCE_METAS[[#This Row],[PROGR. 4° TRIM]])*100,"0")</f>
        <v>0</v>
      </c>
      <c r="AE73"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73" s="30">
        <f t="array" ref="AF73">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13</v>
      </c>
      <c r="AG73" s="84">
        <f t="array" ref="AG73">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13</v>
      </c>
      <c r="AH73" s="27">
        <f>IFERROR((TABLA_AVANCE_METAS[[#This Row],[AVANCE ACUM. TRIM.]]/TABLA_AVANCE_METAS[[#This Row],[PROG. ACUM]])*100,"N/A")</f>
        <v>100</v>
      </c>
      <c r="AI73"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73" s="31">
        <f>TABLA_AVANCE_METAS[[#This Row],[AVANCE ACUM. TRIM.]]-TABLA_AVANCE_METAS[[#This Row],[PROG. ACUM]]</f>
        <v>0</v>
      </c>
      <c r="AK73" s="32">
        <f>IFERROR((TABLA_AVANCE_METAS[[#This Row],[DIFERENCIA ABSOLUTA SEMESTRAL]]/TABLA_AVANCE_METAS[[#This Row],[PROG. ACUM]])*100,"N/A")</f>
        <v>0</v>
      </c>
      <c r="AL73" s="84">
        <f>TABLA_AVANCE_METAS[[#This Row],[AVANCE 1°. TRIM]]+TABLA_AVANCE_METAS[[#This Row],[AVANCE 2°. TRIM]]+TABLA_AVANCE_METAS[[#This Row],[AVANCE 3°. TRIM]]+TABLA_AVANCE_METAS[[#This Row],[AVANCE 4°. TRIM]]</f>
        <v>13</v>
      </c>
      <c r="AM73" s="27">
        <f>IFERROR((TABLA_AVANCE_METAS[[#This Row],[AVANCE ACUM. ANUAL]]/TABLA_AVANCE_METAS[[#This Row],[PROGRAMADO ANUAL]])*100,"N/A")</f>
        <v>48.148148148148145</v>
      </c>
      <c r="AN73"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73" s="31">
        <f>TABLA_AVANCE_METAS[[#This Row],[AVANCE ACUM. ANUAL]]-TABLA_AVANCE_METAS[[#This Row],[PROGRAMADO ANUAL]]</f>
        <v>-14</v>
      </c>
      <c r="AP73" s="33">
        <f>IFERROR((TABLA_AVANCE_METAS[[#This Row],[DIFERENCIA ABSOLUTA ANUAL]]/TABLA_AVANCE_METAS[[#This Row],[PROGRAMADO ANUAL]])*100,"N/A")</f>
        <v>-51.851851851851848</v>
      </c>
      <c r="AQ73" s="34"/>
      <c r="AR73" s="35"/>
      <c r="AS73" s="36"/>
      <c r="AT73" s="36"/>
      <c r="AU73" s="37" t="b">
        <f>TABLA_AVANCE_METAS[[#This Row],[PROGRAMADO ANUAL]]=SUM(TABLA_AVANCE_METAS[[#This Row],[PROGR. 1° TRIM]],TABLA_AVANCE_METAS[[#This Row],[PROGR. 2° TRIM]],TABLA_AVANCE_METAS[[#This Row],[PROGR. 3° TRIM]],TABLA_AVANCE_METAS[[#This Row],[PROGR. 4° TRIM]])</f>
        <v>1</v>
      </c>
      <c r="AV73" s="38"/>
    </row>
    <row r="74" spans="1:48" ht="75" hidden="1" customHeight="1" x14ac:dyDescent="0.35">
      <c r="A74" s="19" t="str">
        <f>CONCATENATE(TABLA_AVANCE_METAS[[#This Row],[ESTRUCTURA]],TABLA_AVANCE_METAS[[#This Row],['#]])</f>
        <v>B0020501050202011</v>
      </c>
      <c r="B74" s="20" t="s">
        <v>275</v>
      </c>
      <c r="C74" s="21" t="s">
        <v>213</v>
      </c>
      <c r="D74" s="20" t="s">
        <v>214</v>
      </c>
      <c r="E74" s="20" t="s">
        <v>276</v>
      </c>
      <c r="F74" s="20" t="s">
        <v>277</v>
      </c>
      <c r="G74" s="22" t="s">
        <v>278</v>
      </c>
      <c r="H74" s="20" t="s">
        <v>279</v>
      </c>
      <c r="I74" s="20" t="s">
        <v>280</v>
      </c>
      <c r="J74" s="20" t="s">
        <v>281</v>
      </c>
      <c r="K74" s="20" t="s">
        <v>282</v>
      </c>
      <c r="L74" s="21">
        <v>1</v>
      </c>
      <c r="M74" s="23" t="s">
        <v>283</v>
      </c>
      <c r="N74" s="22" t="s">
        <v>284</v>
      </c>
      <c r="O74" s="24">
        <v>24</v>
      </c>
      <c r="P74" s="24">
        <v>6</v>
      </c>
      <c r="Q74" s="28">
        <v>6</v>
      </c>
      <c r="R74" s="25">
        <f>IFERROR((TABLA_AVANCE_METAS[[#This Row],[AVANCE 1°. TRIM]]/TABLA_AVANCE_METAS[[#This Row],[PROGR. 1° TRIM]])*100,"0")</f>
        <v>100</v>
      </c>
      <c r="S74"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74" s="24">
        <v>6</v>
      </c>
      <c r="U74" s="28">
        <v>6</v>
      </c>
      <c r="V74" s="27">
        <f t="shared" si="3"/>
        <v>100</v>
      </c>
      <c r="W74" s="26" t="str">
        <f t="shared" si="4"/>
        <v>ADECUADO</v>
      </c>
      <c r="X74" s="24">
        <v>6</v>
      </c>
      <c r="Y74" s="28">
        <v>0</v>
      </c>
      <c r="Z74" s="27">
        <v>0</v>
      </c>
      <c r="AA74" s="26" t="s">
        <v>62</v>
      </c>
      <c r="AB74" s="24">
        <v>6</v>
      </c>
      <c r="AC74" s="28">
        <v>0</v>
      </c>
      <c r="AD74" s="27">
        <f>IFERROR((TABLA_AVANCE_METAS[[#This Row],[AVANCE 4°. TRIM]]/TABLA_AVANCE_METAS[[#This Row],[PROGR. 4° TRIM]])*100,"0")</f>
        <v>0</v>
      </c>
      <c r="AE74"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74" s="30">
        <f t="array" ref="AF74">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12</v>
      </c>
      <c r="AG74" s="84">
        <f t="array" ref="AG74">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12</v>
      </c>
      <c r="AH74" s="27">
        <f>IFERROR((TABLA_AVANCE_METAS[[#This Row],[AVANCE ACUM. TRIM.]]/TABLA_AVANCE_METAS[[#This Row],[PROG. ACUM]])*100,"N/A")</f>
        <v>100</v>
      </c>
      <c r="AI74"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74" s="31">
        <f>TABLA_AVANCE_METAS[[#This Row],[AVANCE ACUM. TRIM.]]-TABLA_AVANCE_METAS[[#This Row],[PROG. ACUM]]</f>
        <v>0</v>
      </c>
      <c r="AK74" s="32">
        <f>IFERROR((TABLA_AVANCE_METAS[[#This Row],[DIFERENCIA ABSOLUTA SEMESTRAL]]/TABLA_AVANCE_METAS[[#This Row],[PROG. ACUM]])*100,"N/A")</f>
        <v>0</v>
      </c>
      <c r="AL74" s="84">
        <f>TABLA_AVANCE_METAS[[#This Row],[AVANCE 1°. TRIM]]+TABLA_AVANCE_METAS[[#This Row],[AVANCE 2°. TRIM]]+TABLA_AVANCE_METAS[[#This Row],[AVANCE 3°. TRIM]]+TABLA_AVANCE_METAS[[#This Row],[AVANCE 4°. TRIM]]</f>
        <v>12</v>
      </c>
      <c r="AM74" s="27">
        <f>IFERROR((TABLA_AVANCE_METAS[[#This Row],[AVANCE ACUM. ANUAL]]/TABLA_AVANCE_METAS[[#This Row],[PROGRAMADO ANUAL]])*100,"N/A")</f>
        <v>50</v>
      </c>
      <c r="AN74"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74" s="31">
        <f>TABLA_AVANCE_METAS[[#This Row],[AVANCE ACUM. ANUAL]]-TABLA_AVANCE_METAS[[#This Row],[PROGRAMADO ANUAL]]</f>
        <v>-12</v>
      </c>
      <c r="AP74" s="33">
        <f>IFERROR((TABLA_AVANCE_METAS[[#This Row],[DIFERENCIA ABSOLUTA ANUAL]]/TABLA_AVANCE_METAS[[#This Row],[PROGRAMADO ANUAL]])*100,"N/A")</f>
        <v>-50</v>
      </c>
      <c r="AQ74" s="34"/>
      <c r="AR74" s="35"/>
      <c r="AS74" s="36"/>
      <c r="AT74" s="36"/>
      <c r="AU74" s="37" t="b">
        <f>TABLA_AVANCE_METAS[[#This Row],[PROGRAMADO ANUAL]]=SUM(TABLA_AVANCE_METAS[[#This Row],[PROGR. 1° TRIM]],TABLA_AVANCE_METAS[[#This Row],[PROGR. 2° TRIM]],TABLA_AVANCE_METAS[[#This Row],[PROGR. 3° TRIM]],TABLA_AVANCE_METAS[[#This Row],[PROGR. 4° TRIM]])</f>
        <v>1</v>
      </c>
      <c r="AV74" s="38"/>
    </row>
    <row r="75" spans="1:48" ht="75" hidden="1" customHeight="1" x14ac:dyDescent="0.35">
      <c r="A75" s="19" t="str">
        <f>CONCATENATE(TABLA_AVANCE_METAS[[#This Row],[ESTRUCTURA]],TABLA_AVANCE_METAS[[#This Row],['#]])</f>
        <v>B0020501050202012</v>
      </c>
      <c r="B75" s="20" t="s">
        <v>275</v>
      </c>
      <c r="C75" s="21" t="s">
        <v>213</v>
      </c>
      <c r="D75" s="20" t="s">
        <v>214</v>
      </c>
      <c r="E75" s="20" t="s">
        <v>276</v>
      </c>
      <c r="F75" s="20" t="s">
        <v>277</v>
      </c>
      <c r="G75" s="22" t="s">
        <v>278</v>
      </c>
      <c r="H75" s="20" t="s">
        <v>279</v>
      </c>
      <c r="I75" s="20" t="s">
        <v>280</v>
      </c>
      <c r="J75" s="20" t="s">
        <v>281</v>
      </c>
      <c r="K75" s="20" t="s">
        <v>282</v>
      </c>
      <c r="L75" s="21">
        <v>2</v>
      </c>
      <c r="M75" s="23" t="s">
        <v>285</v>
      </c>
      <c r="N75" s="22" t="s">
        <v>123</v>
      </c>
      <c r="O75" s="24">
        <v>12</v>
      </c>
      <c r="P75" s="24">
        <v>3</v>
      </c>
      <c r="Q75" s="28">
        <v>3</v>
      </c>
      <c r="R75" s="25">
        <f>IFERROR((TABLA_AVANCE_METAS[[#This Row],[AVANCE 1°. TRIM]]/TABLA_AVANCE_METAS[[#This Row],[PROGR. 1° TRIM]])*100,"0")</f>
        <v>100</v>
      </c>
      <c r="S75"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75" s="24">
        <v>3</v>
      </c>
      <c r="U75" s="28">
        <v>3</v>
      </c>
      <c r="V75" s="27">
        <f t="shared" si="3"/>
        <v>100</v>
      </c>
      <c r="W75" s="26" t="str">
        <f t="shared" si="4"/>
        <v>ADECUADO</v>
      </c>
      <c r="X75" s="24">
        <v>3</v>
      </c>
      <c r="Y75" s="28">
        <v>0</v>
      </c>
      <c r="Z75" s="27">
        <v>0</v>
      </c>
      <c r="AA75" s="26" t="s">
        <v>62</v>
      </c>
      <c r="AB75" s="24">
        <v>3</v>
      </c>
      <c r="AC75" s="28">
        <v>0</v>
      </c>
      <c r="AD75" s="27">
        <f>IFERROR((TABLA_AVANCE_METAS[[#This Row],[AVANCE 4°. TRIM]]/TABLA_AVANCE_METAS[[#This Row],[PROGR. 4° TRIM]])*100,"0")</f>
        <v>0</v>
      </c>
      <c r="AE75"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75" s="30">
        <f t="array" ref="AF75">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6</v>
      </c>
      <c r="AG75" s="84">
        <f t="array" ref="AG75">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6</v>
      </c>
      <c r="AH75" s="27">
        <f>IFERROR((TABLA_AVANCE_METAS[[#This Row],[AVANCE ACUM. TRIM.]]/TABLA_AVANCE_METAS[[#This Row],[PROG. ACUM]])*100,"N/A")</f>
        <v>100</v>
      </c>
      <c r="AI75"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75" s="31">
        <f>TABLA_AVANCE_METAS[[#This Row],[AVANCE ACUM. TRIM.]]-TABLA_AVANCE_METAS[[#This Row],[PROG. ACUM]]</f>
        <v>0</v>
      </c>
      <c r="AK75" s="32">
        <f>IFERROR((TABLA_AVANCE_METAS[[#This Row],[DIFERENCIA ABSOLUTA SEMESTRAL]]/TABLA_AVANCE_METAS[[#This Row],[PROG. ACUM]])*100,"N/A")</f>
        <v>0</v>
      </c>
      <c r="AL75" s="84">
        <f>TABLA_AVANCE_METAS[[#This Row],[AVANCE 1°. TRIM]]+TABLA_AVANCE_METAS[[#This Row],[AVANCE 2°. TRIM]]+TABLA_AVANCE_METAS[[#This Row],[AVANCE 3°. TRIM]]+TABLA_AVANCE_METAS[[#This Row],[AVANCE 4°. TRIM]]</f>
        <v>6</v>
      </c>
      <c r="AM75" s="27">
        <f>IFERROR((TABLA_AVANCE_METAS[[#This Row],[AVANCE ACUM. ANUAL]]/TABLA_AVANCE_METAS[[#This Row],[PROGRAMADO ANUAL]])*100,"N/A")</f>
        <v>50</v>
      </c>
      <c r="AN75"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75" s="31">
        <f>TABLA_AVANCE_METAS[[#This Row],[AVANCE ACUM. ANUAL]]-TABLA_AVANCE_METAS[[#This Row],[PROGRAMADO ANUAL]]</f>
        <v>-6</v>
      </c>
      <c r="AP75" s="33">
        <f>IFERROR((TABLA_AVANCE_METAS[[#This Row],[DIFERENCIA ABSOLUTA ANUAL]]/TABLA_AVANCE_METAS[[#This Row],[PROGRAMADO ANUAL]])*100,"N/A")</f>
        <v>-50</v>
      </c>
      <c r="AQ75" s="34"/>
      <c r="AR75" s="35"/>
      <c r="AS75" s="36"/>
      <c r="AT75" s="36"/>
      <c r="AU75" s="37" t="b">
        <f>TABLA_AVANCE_METAS[[#This Row],[PROGRAMADO ANUAL]]=SUM(TABLA_AVANCE_METAS[[#This Row],[PROGR. 1° TRIM]],TABLA_AVANCE_METAS[[#This Row],[PROGR. 2° TRIM]],TABLA_AVANCE_METAS[[#This Row],[PROGR. 3° TRIM]],TABLA_AVANCE_METAS[[#This Row],[PROGR. 4° TRIM]])</f>
        <v>1</v>
      </c>
      <c r="AV75" s="38"/>
    </row>
    <row r="76" spans="1:48" ht="75" hidden="1" customHeight="1" x14ac:dyDescent="0.35">
      <c r="A76" s="19" t="str">
        <f>CONCATENATE(TABLA_AVANCE_METAS[[#This Row],[ESTRUCTURA]],TABLA_AVANCE_METAS[[#This Row],['#]])</f>
        <v>B0020501050202013</v>
      </c>
      <c r="B76" s="20" t="s">
        <v>275</v>
      </c>
      <c r="C76" s="21" t="s">
        <v>213</v>
      </c>
      <c r="D76" s="20" t="s">
        <v>214</v>
      </c>
      <c r="E76" s="20" t="s">
        <v>276</v>
      </c>
      <c r="F76" s="20" t="s">
        <v>277</v>
      </c>
      <c r="G76" s="22" t="s">
        <v>278</v>
      </c>
      <c r="H76" s="20" t="s">
        <v>279</v>
      </c>
      <c r="I76" s="20" t="s">
        <v>280</v>
      </c>
      <c r="J76" s="20" t="s">
        <v>281</v>
      </c>
      <c r="K76" s="20" t="s">
        <v>282</v>
      </c>
      <c r="L76" s="21">
        <v>3</v>
      </c>
      <c r="M76" s="23" t="s">
        <v>286</v>
      </c>
      <c r="N76" s="22" t="s">
        <v>123</v>
      </c>
      <c r="O76" s="24">
        <v>12</v>
      </c>
      <c r="P76" s="24">
        <v>3</v>
      </c>
      <c r="Q76" s="28">
        <v>3</v>
      </c>
      <c r="R76" s="25">
        <f>IFERROR((TABLA_AVANCE_METAS[[#This Row],[AVANCE 1°. TRIM]]/TABLA_AVANCE_METAS[[#This Row],[PROGR. 1° TRIM]])*100,"0")</f>
        <v>100</v>
      </c>
      <c r="S76"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76" s="24">
        <v>3</v>
      </c>
      <c r="U76" s="28">
        <v>3</v>
      </c>
      <c r="V76" s="27">
        <f t="shared" si="3"/>
        <v>100</v>
      </c>
      <c r="W76" s="26" t="str">
        <f t="shared" si="4"/>
        <v>ADECUADO</v>
      </c>
      <c r="X76" s="24">
        <v>3</v>
      </c>
      <c r="Y76" s="28">
        <v>0</v>
      </c>
      <c r="Z76" s="27">
        <v>0</v>
      </c>
      <c r="AA76" s="26" t="s">
        <v>62</v>
      </c>
      <c r="AB76" s="24">
        <v>3</v>
      </c>
      <c r="AC76" s="28">
        <v>0</v>
      </c>
      <c r="AD76" s="27">
        <f>IFERROR((TABLA_AVANCE_METAS[[#This Row],[AVANCE 4°. TRIM]]/TABLA_AVANCE_METAS[[#This Row],[PROGR. 4° TRIM]])*100,"0")</f>
        <v>0</v>
      </c>
      <c r="AE76"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76" s="30">
        <f t="array" ref="AF76">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6</v>
      </c>
      <c r="AG76" s="84">
        <f t="array" ref="AG76">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6</v>
      </c>
      <c r="AH76" s="27">
        <f>IFERROR((TABLA_AVANCE_METAS[[#This Row],[AVANCE ACUM. TRIM.]]/TABLA_AVANCE_METAS[[#This Row],[PROG. ACUM]])*100,"N/A")</f>
        <v>100</v>
      </c>
      <c r="AI76"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76" s="31">
        <f>TABLA_AVANCE_METAS[[#This Row],[AVANCE ACUM. TRIM.]]-TABLA_AVANCE_METAS[[#This Row],[PROG. ACUM]]</f>
        <v>0</v>
      </c>
      <c r="AK76" s="32">
        <f>IFERROR((TABLA_AVANCE_METAS[[#This Row],[DIFERENCIA ABSOLUTA SEMESTRAL]]/TABLA_AVANCE_METAS[[#This Row],[PROG. ACUM]])*100,"N/A")</f>
        <v>0</v>
      </c>
      <c r="AL76" s="84">
        <f>TABLA_AVANCE_METAS[[#This Row],[AVANCE 1°. TRIM]]+TABLA_AVANCE_METAS[[#This Row],[AVANCE 2°. TRIM]]+TABLA_AVANCE_METAS[[#This Row],[AVANCE 3°. TRIM]]+TABLA_AVANCE_METAS[[#This Row],[AVANCE 4°. TRIM]]</f>
        <v>6</v>
      </c>
      <c r="AM76" s="27">
        <f>IFERROR((TABLA_AVANCE_METAS[[#This Row],[AVANCE ACUM. ANUAL]]/TABLA_AVANCE_METAS[[#This Row],[PROGRAMADO ANUAL]])*100,"N/A")</f>
        <v>50</v>
      </c>
      <c r="AN76"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76" s="31">
        <f>TABLA_AVANCE_METAS[[#This Row],[AVANCE ACUM. ANUAL]]-TABLA_AVANCE_METAS[[#This Row],[PROGRAMADO ANUAL]]</f>
        <v>-6</v>
      </c>
      <c r="AP76" s="33">
        <f>IFERROR((TABLA_AVANCE_METAS[[#This Row],[DIFERENCIA ABSOLUTA ANUAL]]/TABLA_AVANCE_METAS[[#This Row],[PROGRAMADO ANUAL]])*100,"N/A")</f>
        <v>-50</v>
      </c>
      <c r="AQ76" s="34"/>
      <c r="AR76" s="35"/>
      <c r="AS76" s="36"/>
      <c r="AT76" s="36"/>
      <c r="AU76" s="37" t="b">
        <f>TABLA_AVANCE_METAS[[#This Row],[PROGRAMADO ANUAL]]=SUM(TABLA_AVANCE_METAS[[#This Row],[PROGR. 1° TRIM]],TABLA_AVANCE_METAS[[#This Row],[PROGR. 2° TRIM]],TABLA_AVANCE_METAS[[#This Row],[PROGR. 3° TRIM]],TABLA_AVANCE_METAS[[#This Row],[PROGR. 4° TRIM]])</f>
        <v>1</v>
      </c>
      <c r="AV76" s="38"/>
    </row>
    <row r="77" spans="1:48" ht="75" hidden="1" customHeight="1" x14ac:dyDescent="0.35">
      <c r="A77" s="19" t="str">
        <f>CONCATENATE(TABLA_AVANCE_METAS[[#This Row],[ESTRUCTURA]],TABLA_AVANCE_METAS[[#This Row],['#]])</f>
        <v>B0020501050202014</v>
      </c>
      <c r="B77" s="20" t="s">
        <v>275</v>
      </c>
      <c r="C77" s="21" t="s">
        <v>213</v>
      </c>
      <c r="D77" s="20" t="s">
        <v>214</v>
      </c>
      <c r="E77" s="20" t="s">
        <v>276</v>
      </c>
      <c r="F77" s="20" t="s">
        <v>277</v>
      </c>
      <c r="G77" s="22" t="s">
        <v>278</v>
      </c>
      <c r="H77" s="20" t="s">
        <v>279</v>
      </c>
      <c r="I77" s="20" t="s">
        <v>280</v>
      </c>
      <c r="J77" s="20" t="s">
        <v>281</v>
      </c>
      <c r="K77" s="20" t="s">
        <v>282</v>
      </c>
      <c r="L77" s="21">
        <v>4</v>
      </c>
      <c r="M77" s="23" t="s">
        <v>287</v>
      </c>
      <c r="N77" s="22" t="s">
        <v>288</v>
      </c>
      <c r="O77" s="24">
        <v>1</v>
      </c>
      <c r="P77" s="24">
        <v>1</v>
      </c>
      <c r="Q77" s="28">
        <v>1</v>
      </c>
      <c r="R77" s="25">
        <f>IFERROR((TABLA_AVANCE_METAS[[#This Row],[AVANCE 1°. TRIM]]/TABLA_AVANCE_METAS[[#This Row],[PROGR. 1° TRIM]])*100,"0")</f>
        <v>100</v>
      </c>
      <c r="S77"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77" s="24">
        <v>0</v>
      </c>
      <c r="U77" s="28">
        <v>0</v>
      </c>
      <c r="V77" s="27" t="str">
        <f t="shared" si="3"/>
        <v>0</v>
      </c>
      <c r="W77" s="26" t="str">
        <f t="shared" si="4"/>
        <v>NO PROG.</v>
      </c>
      <c r="X77" s="24">
        <v>0</v>
      </c>
      <c r="Y77" s="28">
        <v>0</v>
      </c>
      <c r="Z77" s="27" t="s">
        <v>71</v>
      </c>
      <c r="AA77" s="26" t="s">
        <v>72</v>
      </c>
      <c r="AB77" s="24">
        <v>0</v>
      </c>
      <c r="AC77" s="28">
        <v>0</v>
      </c>
      <c r="AD77" s="27" t="str">
        <f>IFERROR((TABLA_AVANCE_METAS[[#This Row],[AVANCE 4°. TRIM]]/TABLA_AVANCE_METAS[[#This Row],[PROGR. 4° TRIM]])*100,"0")</f>
        <v>0</v>
      </c>
      <c r="AE77"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77" s="30">
        <f t="array" ref="AF77">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77" s="84">
        <f t="array" ref="AG77">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77" s="27">
        <f>IFERROR((TABLA_AVANCE_METAS[[#This Row],[AVANCE ACUM. TRIM.]]/TABLA_AVANCE_METAS[[#This Row],[PROG. ACUM]])*100,"N/A")</f>
        <v>100</v>
      </c>
      <c r="AI77"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77" s="31">
        <f>TABLA_AVANCE_METAS[[#This Row],[AVANCE ACUM. TRIM.]]-TABLA_AVANCE_METAS[[#This Row],[PROG. ACUM]]</f>
        <v>0</v>
      </c>
      <c r="AK77" s="32">
        <f>IFERROR((TABLA_AVANCE_METAS[[#This Row],[DIFERENCIA ABSOLUTA SEMESTRAL]]/TABLA_AVANCE_METAS[[#This Row],[PROG. ACUM]])*100,"N/A")</f>
        <v>0</v>
      </c>
      <c r="AL77" s="84">
        <f>TABLA_AVANCE_METAS[[#This Row],[AVANCE 1°. TRIM]]+TABLA_AVANCE_METAS[[#This Row],[AVANCE 2°. TRIM]]+TABLA_AVANCE_METAS[[#This Row],[AVANCE 3°. TRIM]]+TABLA_AVANCE_METAS[[#This Row],[AVANCE 4°. TRIM]]</f>
        <v>1</v>
      </c>
      <c r="AM77" s="27">
        <f>IFERROR((TABLA_AVANCE_METAS[[#This Row],[AVANCE ACUM. ANUAL]]/TABLA_AVANCE_METAS[[#This Row],[PROGRAMADO ANUAL]])*100,"N/A")</f>
        <v>100</v>
      </c>
      <c r="AN77"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77" s="31">
        <f>TABLA_AVANCE_METAS[[#This Row],[AVANCE ACUM. ANUAL]]-TABLA_AVANCE_METAS[[#This Row],[PROGRAMADO ANUAL]]</f>
        <v>0</v>
      </c>
      <c r="AP77" s="33">
        <f>IFERROR((TABLA_AVANCE_METAS[[#This Row],[DIFERENCIA ABSOLUTA ANUAL]]/TABLA_AVANCE_METAS[[#This Row],[PROGRAMADO ANUAL]])*100,"N/A")</f>
        <v>0</v>
      </c>
      <c r="AQ77" s="34"/>
      <c r="AR77" s="35"/>
      <c r="AS77" s="36"/>
      <c r="AT77" s="36"/>
      <c r="AU77" s="37" t="b">
        <f>TABLA_AVANCE_METAS[[#This Row],[PROGRAMADO ANUAL]]=SUM(TABLA_AVANCE_METAS[[#This Row],[PROGR. 1° TRIM]],TABLA_AVANCE_METAS[[#This Row],[PROGR. 2° TRIM]],TABLA_AVANCE_METAS[[#This Row],[PROGR. 3° TRIM]],TABLA_AVANCE_METAS[[#This Row],[PROGR. 4° TRIM]])</f>
        <v>1</v>
      </c>
      <c r="AV77" s="38"/>
    </row>
    <row r="78" spans="1:48" ht="75" hidden="1" customHeight="1" x14ac:dyDescent="0.35">
      <c r="A78" s="19" t="str">
        <f>CONCATENATE(TABLA_AVANCE_METAS[[#This Row],[ESTRUCTURA]],TABLA_AVANCE_METAS[[#This Row],['#]])</f>
        <v>B0020501050202015</v>
      </c>
      <c r="B78" s="20" t="s">
        <v>275</v>
      </c>
      <c r="C78" s="48" t="s">
        <v>213</v>
      </c>
      <c r="D78" s="47" t="s">
        <v>214</v>
      </c>
      <c r="E78" s="20" t="s">
        <v>276</v>
      </c>
      <c r="F78" s="47" t="s">
        <v>277</v>
      </c>
      <c r="G78" s="22" t="s">
        <v>278</v>
      </c>
      <c r="H78" s="47" t="s">
        <v>279</v>
      </c>
      <c r="I78" s="47" t="s">
        <v>280</v>
      </c>
      <c r="J78" s="47" t="s">
        <v>281</v>
      </c>
      <c r="K78" s="47" t="s">
        <v>282</v>
      </c>
      <c r="L78" s="21">
        <v>5</v>
      </c>
      <c r="M78" s="43" t="s">
        <v>289</v>
      </c>
      <c r="N78" s="22" t="s">
        <v>205</v>
      </c>
      <c r="O78" s="24">
        <v>1</v>
      </c>
      <c r="P78" s="24">
        <v>0</v>
      </c>
      <c r="Q78" s="28">
        <v>0</v>
      </c>
      <c r="R78" s="25" t="str">
        <f>IFERROR((TABLA_AVANCE_METAS[[#This Row],[AVANCE 1°. TRIM]]/TABLA_AVANCE_METAS[[#This Row],[PROGR. 1° TRIM]])*100,"0")</f>
        <v>0</v>
      </c>
      <c r="S78"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78" s="24">
        <v>0</v>
      </c>
      <c r="U78" s="28">
        <v>0</v>
      </c>
      <c r="V78" s="27" t="str">
        <f t="shared" si="3"/>
        <v>0</v>
      </c>
      <c r="W78" s="26" t="str">
        <f t="shared" si="4"/>
        <v>NO PROG.</v>
      </c>
      <c r="X78" s="24">
        <v>0</v>
      </c>
      <c r="Y78" s="28">
        <v>0</v>
      </c>
      <c r="Z78" s="27" t="s">
        <v>71</v>
      </c>
      <c r="AA78" s="26" t="s">
        <v>72</v>
      </c>
      <c r="AB78" s="24">
        <v>1</v>
      </c>
      <c r="AC78" s="28">
        <v>0</v>
      </c>
      <c r="AD78" s="27">
        <f>IFERROR((TABLA_AVANCE_METAS[[#This Row],[AVANCE 4°. TRIM]]/TABLA_AVANCE_METAS[[#This Row],[PROGR. 4° TRIM]])*100,"0")</f>
        <v>0</v>
      </c>
      <c r="AE78"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78" s="30">
        <f t="array" ref="AF78">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78" s="84">
        <f t="array" ref="AG78">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78" s="27" t="str">
        <f>IFERROR((TABLA_AVANCE_METAS[[#This Row],[AVANCE ACUM. TRIM.]]/TABLA_AVANCE_METAS[[#This Row],[PROG. ACUM]])*100,"N/A")</f>
        <v>N/A</v>
      </c>
      <c r="AI78"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78" s="31">
        <f>TABLA_AVANCE_METAS[[#This Row],[AVANCE ACUM. TRIM.]]-TABLA_AVANCE_METAS[[#This Row],[PROG. ACUM]]</f>
        <v>0</v>
      </c>
      <c r="AK78" s="32" t="str">
        <f>IFERROR((TABLA_AVANCE_METAS[[#This Row],[DIFERENCIA ABSOLUTA SEMESTRAL]]/TABLA_AVANCE_METAS[[#This Row],[PROG. ACUM]])*100,"N/A")</f>
        <v>N/A</v>
      </c>
      <c r="AL78" s="84">
        <f>TABLA_AVANCE_METAS[[#This Row],[AVANCE 1°. TRIM]]+TABLA_AVANCE_METAS[[#This Row],[AVANCE 2°. TRIM]]+TABLA_AVANCE_METAS[[#This Row],[AVANCE 3°. TRIM]]+TABLA_AVANCE_METAS[[#This Row],[AVANCE 4°. TRIM]]</f>
        <v>0</v>
      </c>
      <c r="AM78" s="27">
        <f>IFERROR((TABLA_AVANCE_METAS[[#This Row],[AVANCE ACUM. ANUAL]]/TABLA_AVANCE_METAS[[#This Row],[PROGRAMADO ANUAL]])*100,"N/A")</f>
        <v>0</v>
      </c>
      <c r="AN78"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78" s="31">
        <f>TABLA_AVANCE_METAS[[#This Row],[AVANCE ACUM. ANUAL]]-TABLA_AVANCE_METAS[[#This Row],[PROGRAMADO ANUAL]]</f>
        <v>-1</v>
      </c>
      <c r="AP78" s="33">
        <f>IFERROR((TABLA_AVANCE_METAS[[#This Row],[DIFERENCIA ABSOLUTA ANUAL]]/TABLA_AVANCE_METAS[[#This Row],[PROGRAMADO ANUAL]])*100,"N/A")</f>
        <v>-100</v>
      </c>
      <c r="AQ78" s="34"/>
      <c r="AR78" s="35"/>
      <c r="AS78" s="36"/>
      <c r="AT78" s="36"/>
      <c r="AU78" s="37" t="b">
        <f>TABLA_AVANCE_METAS[[#This Row],[PROGRAMADO ANUAL]]=SUM(TABLA_AVANCE_METAS[[#This Row],[PROGR. 1° TRIM]],TABLA_AVANCE_METAS[[#This Row],[PROGR. 2° TRIM]],TABLA_AVANCE_METAS[[#This Row],[PROGR. 3° TRIM]],TABLA_AVANCE_METAS[[#This Row],[PROGR. 4° TRIM]])</f>
        <v>1</v>
      </c>
      <c r="AV78" s="38"/>
    </row>
    <row r="79" spans="1:48" ht="75" hidden="1" customHeight="1" x14ac:dyDescent="0.35">
      <c r="A79" s="19" t="str">
        <f>CONCATENATE(TABLA_AVANCE_METAS[[#This Row],[ESTRUCTURA]],TABLA_AVANCE_METAS[[#This Row],['#]])</f>
        <v>B0020501050202016</v>
      </c>
      <c r="B79" s="20" t="s">
        <v>275</v>
      </c>
      <c r="C79" s="21" t="s">
        <v>213</v>
      </c>
      <c r="D79" s="20" t="s">
        <v>214</v>
      </c>
      <c r="E79" s="20" t="s">
        <v>276</v>
      </c>
      <c r="F79" s="20" t="s">
        <v>277</v>
      </c>
      <c r="G79" s="22" t="s">
        <v>278</v>
      </c>
      <c r="H79" s="20" t="s">
        <v>279</v>
      </c>
      <c r="I79" s="20" t="s">
        <v>280</v>
      </c>
      <c r="J79" s="20" t="s">
        <v>281</v>
      </c>
      <c r="K79" s="20" t="s">
        <v>282</v>
      </c>
      <c r="L79" s="21">
        <v>6</v>
      </c>
      <c r="M79" s="23" t="s">
        <v>290</v>
      </c>
      <c r="N79" s="22" t="s">
        <v>291</v>
      </c>
      <c r="O79" s="24">
        <v>1</v>
      </c>
      <c r="P79" s="24">
        <v>0</v>
      </c>
      <c r="Q79" s="28">
        <v>0</v>
      </c>
      <c r="R79" s="25" t="str">
        <f>IFERROR((TABLA_AVANCE_METAS[[#This Row],[AVANCE 1°. TRIM]]/TABLA_AVANCE_METAS[[#This Row],[PROGR. 1° TRIM]])*100,"0")</f>
        <v>0</v>
      </c>
      <c r="S79"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79" s="24">
        <v>0</v>
      </c>
      <c r="U79" s="28">
        <v>0</v>
      </c>
      <c r="V79" s="27" t="str">
        <f t="shared" si="3"/>
        <v>0</v>
      </c>
      <c r="W79" s="26" t="str">
        <f t="shared" si="4"/>
        <v>NO PROG.</v>
      </c>
      <c r="X79" s="24">
        <v>0</v>
      </c>
      <c r="Y79" s="28">
        <v>0</v>
      </c>
      <c r="Z79" s="27" t="s">
        <v>71</v>
      </c>
      <c r="AA79" s="26" t="s">
        <v>72</v>
      </c>
      <c r="AB79" s="24">
        <v>1</v>
      </c>
      <c r="AC79" s="28">
        <v>0</v>
      </c>
      <c r="AD79" s="27">
        <f>IFERROR((TABLA_AVANCE_METAS[[#This Row],[AVANCE 4°. TRIM]]/TABLA_AVANCE_METAS[[#This Row],[PROGR. 4° TRIM]])*100,"0")</f>
        <v>0</v>
      </c>
      <c r="AE79"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79" s="30">
        <f t="array" ref="AF79">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79" s="84">
        <f t="array" ref="AG79">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79" s="27" t="str">
        <f>IFERROR((TABLA_AVANCE_METAS[[#This Row],[AVANCE ACUM. TRIM.]]/TABLA_AVANCE_METAS[[#This Row],[PROG. ACUM]])*100,"N/A")</f>
        <v>N/A</v>
      </c>
      <c r="AI79"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79" s="31">
        <f>TABLA_AVANCE_METAS[[#This Row],[AVANCE ACUM. TRIM.]]-TABLA_AVANCE_METAS[[#This Row],[PROG. ACUM]]</f>
        <v>0</v>
      </c>
      <c r="AK79" s="32" t="str">
        <f>IFERROR((TABLA_AVANCE_METAS[[#This Row],[DIFERENCIA ABSOLUTA SEMESTRAL]]/TABLA_AVANCE_METAS[[#This Row],[PROG. ACUM]])*100,"N/A")</f>
        <v>N/A</v>
      </c>
      <c r="AL79" s="84">
        <f>TABLA_AVANCE_METAS[[#This Row],[AVANCE 1°. TRIM]]+TABLA_AVANCE_METAS[[#This Row],[AVANCE 2°. TRIM]]+TABLA_AVANCE_METAS[[#This Row],[AVANCE 3°. TRIM]]+TABLA_AVANCE_METAS[[#This Row],[AVANCE 4°. TRIM]]</f>
        <v>0</v>
      </c>
      <c r="AM79" s="27">
        <f>IFERROR((TABLA_AVANCE_METAS[[#This Row],[AVANCE ACUM. ANUAL]]/TABLA_AVANCE_METAS[[#This Row],[PROGRAMADO ANUAL]])*100,"N/A")</f>
        <v>0</v>
      </c>
      <c r="AN79"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79" s="31">
        <f>TABLA_AVANCE_METAS[[#This Row],[AVANCE ACUM. ANUAL]]-TABLA_AVANCE_METAS[[#This Row],[PROGRAMADO ANUAL]]</f>
        <v>-1</v>
      </c>
      <c r="AP79" s="33">
        <f>IFERROR((TABLA_AVANCE_METAS[[#This Row],[DIFERENCIA ABSOLUTA ANUAL]]/TABLA_AVANCE_METAS[[#This Row],[PROGRAMADO ANUAL]])*100,"N/A")</f>
        <v>-100</v>
      </c>
      <c r="AQ79" s="34"/>
      <c r="AR79" s="35"/>
      <c r="AS79" s="36"/>
      <c r="AT79" s="36"/>
      <c r="AU79" s="37" t="b">
        <f>TABLA_AVANCE_METAS[[#This Row],[PROGRAMADO ANUAL]]=SUM(TABLA_AVANCE_METAS[[#This Row],[PROGR. 1° TRIM]],TABLA_AVANCE_METAS[[#This Row],[PROGR. 2° TRIM]],TABLA_AVANCE_METAS[[#This Row],[PROGR. 3° TRIM]],TABLA_AVANCE_METAS[[#This Row],[PROGR. 4° TRIM]])</f>
        <v>1</v>
      </c>
      <c r="AV79" s="38"/>
    </row>
    <row r="80" spans="1:48" ht="75" hidden="1" customHeight="1" x14ac:dyDescent="0.35">
      <c r="A80" s="19" t="str">
        <f>CONCATENATE(TABLA_AVANCE_METAS[[#This Row],[ESTRUCTURA]],TABLA_AVANCE_METAS[[#This Row],['#]])</f>
        <v>B0020501050202017</v>
      </c>
      <c r="B80" s="20" t="s">
        <v>275</v>
      </c>
      <c r="C80" s="48" t="s">
        <v>213</v>
      </c>
      <c r="D80" s="47" t="s">
        <v>214</v>
      </c>
      <c r="E80" s="20" t="s">
        <v>276</v>
      </c>
      <c r="F80" s="47" t="s">
        <v>277</v>
      </c>
      <c r="G80" s="22" t="s">
        <v>278</v>
      </c>
      <c r="H80" s="47" t="s">
        <v>279</v>
      </c>
      <c r="I80" s="47" t="s">
        <v>280</v>
      </c>
      <c r="J80" s="47" t="s">
        <v>281</v>
      </c>
      <c r="K80" s="47" t="s">
        <v>282</v>
      </c>
      <c r="L80" s="21">
        <v>7</v>
      </c>
      <c r="M80" s="43" t="s">
        <v>292</v>
      </c>
      <c r="N80" s="22" t="s">
        <v>205</v>
      </c>
      <c r="O80" s="24">
        <v>4</v>
      </c>
      <c r="P80" s="24">
        <v>1</v>
      </c>
      <c r="Q80" s="28">
        <v>1</v>
      </c>
      <c r="R80" s="25">
        <f>IFERROR((TABLA_AVANCE_METAS[[#This Row],[AVANCE 1°. TRIM]]/TABLA_AVANCE_METAS[[#This Row],[PROGR. 1° TRIM]])*100,"0")</f>
        <v>100</v>
      </c>
      <c r="S80"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80" s="24">
        <v>1</v>
      </c>
      <c r="U80" s="28">
        <v>1</v>
      </c>
      <c r="V80" s="27">
        <f t="shared" si="3"/>
        <v>100</v>
      </c>
      <c r="W80" s="26" t="str">
        <f t="shared" si="4"/>
        <v>ADECUADO</v>
      </c>
      <c r="X80" s="24">
        <v>1</v>
      </c>
      <c r="Y80" s="28">
        <v>0</v>
      </c>
      <c r="Z80" s="27">
        <v>0</v>
      </c>
      <c r="AA80" s="26" t="s">
        <v>62</v>
      </c>
      <c r="AB80" s="24">
        <v>1</v>
      </c>
      <c r="AC80" s="28">
        <v>0</v>
      </c>
      <c r="AD80" s="27">
        <f>IFERROR((TABLA_AVANCE_METAS[[#This Row],[AVANCE 4°. TRIM]]/TABLA_AVANCE_METAS[[#This Row],[PROGR. 4° TRIM]])*100,"0")</f>
        <v>0</v>
      </c>
      <c r="AE80"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80" s="30">
        <f t="array" ref="AF80">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80" s="84">
        <f t="array" ref="AG80">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80" s="27">
        <f>IFERROR((TABLA_AVANCE_METAS[[#This Row],[AVANCE ACUM. TRIM.]]/TABLA_AVANCE_METAS[[#This Row],[PROG. ACUM]])*100,"N/A")</f>
        <v>100</v>
      </c>
      <c r="AI80"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80" s="31">
        <f>TABLA_AVANCE_METAS[[#This Row],[AVANCE ACUM. TRIM.]]-TABLA_AVANCE_METAS[[#This Row],[PROG. ACUM]]</f>
        <v>0</v>
      </c>
      <c r="AK80" s="32">
        <f>IFERROR((TABLA_AVANCE_METAS[[#This Row],[DIFERENCIA ABSOLUTA SEMESTRAL]]/TABLA_AVANCE_METAS[[#This Row],[PROG. ACUM]])*100,"N/A")</f>
        <v>0</v>
      </c>
      <c r="AL80" s="84">
        <f>TABLA_AVANCE_METAS[[#This Row],[AVANCE 1°. TRIM]]+TABLA_AVANCE_METAS[[#This Row],[AVANCE 2°. TRIM]]+TABLA_AVANCE_METAS[[#This Row],[AVANCE 3°. TRIM]]+TABLA_AVANCE_METAS[[#This Row],[AVANCE 4°. TRIM]]</f>
        <v>2</v>
      </c>
      <c r="AM80" s="27">
        <f>IFERROR((TABLA_AVANCE_METAS[[#This Row],[AVANCE ACUM. ANUAL]]/TABLA_AVANCE_METAS[[#This Row],[PROGRAMADO ANUAL]])*100,"N/A")</f>
        <v>50</v>
      </c>
      <c r="AN80"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80" s="31">
        <f>TABLA_AVANCE_METAS[[#This Row],[AVANCE ACUM. ANUAL]]-TABLA_AVANCE_METAS[[#This Row],[PROGRAMADO ANUAL]]</f>
        <v>-2</v>
      </c>
      <c r="AP80" s="33">
        <f>IFERROR((TABLA_AVANCE_METAS[[#This Row],[DIFERENCIA ABSOLUTA ANUAL]]/TABLA_AVANCE_METAS[[#This Row],[PROGRAMADO ANUAL]])*100,"N/A")</f>
        <v>-50</v>
      </c>
      <c r="AQ80" s="34"/>
      <c r="AR80" s="35"/>
      <c r="AS80" s="36"/>
      <c r="AT80" s="36"/>
      <c r="AU80" s="37" t="b">
        <f>TABLA_AVANCE_METAS[[#This Row],[PROGRAMADO ANUAL]]=SUM(TABLA_AVANCE_METAS[[#This Row],[PROGR. 1° TRIM]],TABLA_AVANCE_METAS[[#This Row],[PROGR. 2° TRIM]],TABLA_AVANCE_METAS[[#This Row],[PROGR. 3° TRIM]],TABLA_AVANCE_METAS[[#This Row],[PROGR. 4° TRIM]])</f>
        <v>1</v>
      </c>
      <c r="AV80" s="38"/>
    </row>
    <row r="81" spans="1:48" ht="75" hidden="1" customHeight="1" x14ac:dyDescent="0.35">
      <c r="A81" s="19" t="str">
        <f>CONCATENATE(TABLA_AVANCE_METAS[[#This Row],[ESTRUCTURA]],TABLA_AVANCE_METAS[[#This Row],['#]])</f>
        <v>B0020401050202091</v>
      </c>
      <c r="B81" s="20" t="s">
        <v>214</v>
      </c>
      <c r="C81" s="48" t="s">
        <v>213</v>
      </c>
      <c r="D81" s="47" t="s">
        <v>214</v>
      </c>
      <c r="E81" s="20" t="s">
        <v>293</v>
      </c>
      <c r="F81" s="47" t="s">
        <v>294</v>
      </c>
      <c r="G81" s="22" t="s">
        <v>295</v>
      </c>
      <c r="H81" s="47" t="s">
        <v>279</v>
      </c>
      <c r="I81" s="47" t="s">
        <v>280</v>
      </c>
      <c r="J81" s="47" t="s">
        <v>296</v>
      </c>
      <c r="K81" s="47" t="s">
        <v>297</v>
      </c>
      <c r="L81" s="21">
        <v>1</v>
      </c>
      <c r="M81" s="43" t="s">
        <v>298</v>
      </c>
      <c r="N81" s="22" t="s">
        <v>299</v>
      </c>
      <c r="O81" s="24">
        <v>1</v>
      </c>
      <c r="P81" s="24">
        <v>0</v>
      </c>
      <c r="Q81" s="28">
        <v>0</v>
      </c>
      <c r="R81" s="25" t="str">
        <f>IFERROR((TABLA_AVANCE_METAS[[#This Row],[AVANCE 1°. TRIM]]/TABLA_AVANCE_METAS[[#This Row],[PROGR. 1° TRIM]])*100,"0")</f>
        <v>0</v>
      </c>
      <c r="S81"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81" s="24">
        <v>0</v>
      </c>
      <c r="U81" s="28">
        <v>0</v>
      </c>
      <c r="V81" s="27" t="str">
        <f t="shared" si="3"/>
        <v>0</v>
      </c>
      <c r="W81" s="26" t="str">
        <f t="shared" si="4"/>
        <v>NO PROG.</v>
      </c>
      <c r="X81" s="24">
        <v>1</v>
      </c>
      <c r="Y81" s="28">
        <v>0</v>
      </c>
      <c r="Z81" s="27">
        <v>0</v>
      </c>
      <c r="AA81" s="26" t="s">
        <v>62</v>
      </c>
      <c r="AB81" s="24">
        <v>0</v>
      </c>
      <c r="AC81" s="28">
        <v>0</v>
      </c>
      <c r="AD81" s="27" t="str">
        <f>IFERROR((TABLA_AVANCE_METAS[[#This Row],[AVANCE 4°. TRIM]]/TABLA_AVANCE_METAS[[#This Row],[PROGR. 4° TRIM]])*100,"0")</f>
        <v>0</v>
      </c>
      <c r="AE81"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81" s="30">
        <f t="array" ref="AF81">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81" s="84">
        <f t="array" ref="AG81">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81" s="27" t="str">
        <f>IFERROR((TABLA_AVANCE_METAS[[#This Row],[AVANCE ACUM. TRIM.]]/TABLA_AVANCE_METAS[[#This Row],[PROG. ACUM]])*100,"N/A")</f>
        <v>N/A</v>
      </c>
      <c r="AI81"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81" s="31">
        <f>TABLA_AVANCE_METAS[[#This Row],[AVANCE ACUM. TRIM.]]-TABLA_AVANCE_METAS[[#This Row],[PROG. ACUM]]</f>
        <v>0</v>
      </c>
      <c r="AK81" s="32" t="str">
        <f>IFERROR((TABLA_AVANCE_METAS[[#This Row],[DIFERENCIA ABSOLUTA SEMESTRAL]]/TABLA_AVANCE_METAS[[#This Row],[PROG. ACUM]])*100,"N/A")</f>
        <v>N/A</v>
      </c>
      <c r="AL81" s="84">
        <f>TABLA_AVANCE_METAS[[#This Row],[AVANCE 1°. TRIM]]+TABLA_AVANCE_METAS[[#This Row],[AVANCE 2°. TRIM]]+TABLA_AVANCE_METAS[[#This Row],[AVANCE 3°. TRIM]]+TABLA_AVANCE_METAS[[#This Row],[AVANCE 4°. TRIM]]</f>
        <v>0</v>
      </c>
      <c r="AM81" s="27">
        <f>IFERROR((TABLA_AVANCE_METAS[[#This Row],[AVANCE ACUM. ANUAL]]/TABLA_AVANCE_METAS[[#This Row],[PROGRAMADO ANUAL]])*100,"N/A")</f>
        <v>0</v>
      </c>
      <c r="AN81"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81" s="31">
        <f>TABLA_AVANCE_METAS[[#This Row],[AVANCE ACUM. ANUAL]]-TABLA_AVANCE_METAS[[#This Row],[PROGRAMADO ANUAL]]</f>
        <v>-1</v>
      </c>
      <c r="AP81" s="33">
        <f>IFERROR((TABLA_AVANCE_METAS[[#This Row],[DIFERENCIA ABSOLUTA ANUAL]]/TABLA_AVANCE_METAS[[#This Row],[PROGRAMADO ANUAL]])*100,"N/A")</f>
        <v>-100</v>
      </c>
      <c r="AQ81" s="34" t="e">
        <v>#N/A</v>
      </c>
      <c r="AR81" s="35"/>
      <c r="AS81" s="36"/>
      <c r="AT81" s="36"/>
      <c r="AU81" s="37" t="b">
        <f>TABLA_AVANCE_METAS[[#This Row],[PROGRAMADO ANUAL]]=SUM(TABLA_AVANCE_METAS[[#This Row],[PROGR. 1° TRIM]],TABLA_AVANCE_METAS[[#This Row],[PROGR. 2° TRIM]],TABLA_AVANCE_METAS[[#This Row],[PROGR. 3° TRIM]],TABLA_AVANCE_METAS[[#This Row],[PROGR. 4° TRIM]])</f>
        <v>1</v>
      </c>
      <c r="AV81" s="38"/>
    </row>
    <row r="82" spans="1:48" ht="75" hidden="1" customHeight="1" x14ac:dyDescent="0.35">
      <c r="A82" s="19" t="str">
        <f>CONCATENATE(TABLA_AVANCE_METAS[[#This Row],[ESTRUCTURA]],TABLA_AVANCE_METAS[[#This Row],['#]])</f>
        <v>B0020401050202092</v>
      </c>
      <c r="B82" s="20" t="s">
        <v>214</v>
      </c>
      <c r="C82" s="48" t="s">
        <v>213</v>
      </c>
      <c r="D82" s="47" t="s">
        <v>214</v>
      </c>
      <c r="E82" s="20" t="s">
        <v>293</v>
      </c>
      <c r="F82" s="47" t="s">
        <v>294</v>
      </c>
      <c r="G82" s="22" t="s">
        <v>295</v>
      </c>
      <c r="H82" s="47" t="s">
        <v>279</v>
      </c>
      <c r="I82" s="47" t="s">
        <v>280</v>
      </c>
      <c r="J82" s="47" t="s">
        <v>296</v>
      </c>
      <c r="K82" s="47" t="s">
        <v>297</v>
      </c>
      <c r="L82" s="21">
        <v>2</v>
      </c>
      <c r="M82" s="43" t="s">
        <v>300</v>
      </c>
      <c r="N82" s="22" t="s">
        <v>301</v>
      </c>
      <c r="O82" s="24">
        <v>1</v>
      </c>
      <c r="P82" s="24">
        <v>0</v>
      </c>
      <c r="Q82" s="28">
        <v>0</v>
      </c>
      <c r="R82" s="25" t="str">
        <f>IFERROR((TABLA_AVANCE_METAS[[#This Row],[AVANCE 1°. TRIM]]/TABLA_AVANCE_METAS[[#This Row],[PROGR. 1° TRIM]])*100,"0")</f>
        <v>0</v>
      </c>
      <c r="S82"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82" s="24">
        <v>0</v>
      </c>
      <c r="U82" s="28">
        <v>0</v>
      </c>
      <c r="V82" s="27" t="str">
        <f t="shared" si="3"/>
        <v>0</v>
      </c>
      <c r="W82" s="26" t="str">
        <f t="shared" si="4"/>
        <v>NO PROG.</v>
      </c>
      <c r="X82" s="24">
        <v>1</v>
      </c>
      <c r="Y82" s="28">
        <v>0</v>
      </c>
      <c r="Z82" s="27">
        <v>0</v>
      </c>
      <c r="AA82" s="26" t="s">
        <v>62</v>
      </c>
      <c r="AB82" s="24">
        <v>0</v>
      </c>
      <c r="AC82" s="28">
        <v>0</v>
      </c>
      <c r="AD82" s="27" t="str">
        <f>IFERROR((TABLA_AVANCE_METAS[[#This Row],[AVANCE 4°. TRIM]]/TABLA_AVANCE_METAS[[#This Row],[PROGR. 4° TRIM]])*100,"0")</f>
        <v>0</v>
      </c>
      <c r="AE82"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82" s="30">
        <f t="array" ref="AF82">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82" s="84">
        <f t="array" ref="AG82">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82" s="27" t="str">
        <f>IFERROR((TABLA_AVANCE_METAS[[#This Row],[AVANCE ACUM. TRIM.]]/TABLA_AVANCE_METAS[[#This Row],[PROG. ACUM]])*100,"N/A")</f>
        <v>N/A</v>
      </c>
      <c r="AI82"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82" s="31">
        <f>TABLA_AVANCE_METAS[[#This Row],[AVANCE ACUM. TRIM.]]-TABLA_AVANCE_METAS[[#This Row],[PROG. ACUM]]</f>
        <v>0</v>
      </c>
      <c r="AK82" s="32" t="str">
        <f>IFERROR((TABLA_AVANCE_METAS[[#This Row],[DIFERENCIA ABSOLUTA SEMESTRAL]]/TABLA_AVANCE_METAS[[#This Row],[PROG. ACUM]])*100,"N/A")</f>
        <v>N/A</v>
      </c>
      <c r="AL82" s="84">
        <f>TABLA_AVANCE_METAS[[#This Row],[AVANCE 1°. TRIM]]+TABLA_AVANCE_METAS[[#This Row],[AVANCE 2°. TRIM]]+TABLA_AVANCE_METAS[[#This Row],[AVANCE 3°. TRIM]]+TABLA_AVANCE_METAS[[#This Row],[AVANCE 4°. TRIM]]</f>
        <v>0</v>
      </c>
      <c r="AM82" s="27">
        <f>IFERROR((TABLA_AVANCE_METAS[[#This Row],[AVANCE ACUM. ANUAL]]/TABLA_AVANCE_METAS[[#This Row],[PROGRAMADO ANUAL]])*100,"N/A")</f>
        <v>0</v>
      </c>
      <c r="AN82"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82" s="31">
        <f>TABLA_AVANCE_METAS[[#This Row],[AVANCE ACUM. ANUAL]]-TABLA_AVANCE_METAS[[#This Row],[PROGRAMADO ANUAL]]</f>
        <v>-1</v>
      </c>
      <c r="AP82" s="33">
        <f>IFERROR((TABLA_AVANCE_METAS[[#This Row],[DIFERENCIA ABSOLUTA ANUAL]]/TABLA_AVANCE_METAS[[#This Row],[PROGRAMADO ANUAL]])*100,"N/A")</f>
        <v>-100</v>
      </c>
      <c r="AQ82" s="34" t="e">
        <v>#N/A</v>
      </c>
      <c r="AR82" s="35"/>
      <c r="AS82" s="36"/>
      <c r="AT82" s="36"/>
      <c r="AU82" s="37" t="b">
        <f>TABLA_AVANCE_METAS[[#This Row],[PROGRAMADO ANUAL]]=SUM(TABLA_AVANCE_METAS[[#This Row],[PROGR. 1° TRIM]],TABLA_AVANCE_METAS[[#This Row],[PROGR. 2° TRIM]],TABLA_AVANCE_METAS[[#This Row],[PROGR. 3° TRIM]],TABLA_AVANCE_METAS[[#This Row],[PROGR. 4° TRIM]])</f>
        <v>1</v>
      </c>
      <c r="AV82" s="38"/>
    </row>
    <row r="83" spans="1:48" ht="75" hidden="1" customHeight="1" x14ac:dyDescent="0.35">
      <c r="A83" s="19" t="str">
        <f>CONCATENATE(TABLA_AVANCE_METAS[[#This Row],[ESTRUCTURA]],TABLA_AVANCE_METAS[[#This Row],['#]])</f>
        <v>B0020401050202093</v>
      </c>
      <c r="B83" s="20" t="s">
        <v>214</v>
      </c>
      <c r="C83" s="48" t="s">
        <v>213</v>
      </c>
      <c r="D83" s="47" t="s">
        <v>214</v>
      </c>
      <c r="E83" s="20" t="s">
        <v>293</v>
      </c>
      <c r="F83" s="47" t="s">
        <v>294</v>
      </c>
      <c r="G83" s="22" t="s">
        <v>295</v>
      </c>
      <c r="H83" s="47" t="s">
        <v>279</v>
      </c>
      <c r="I83" s="47" t="s">
        <v>280</v>
      </c>
      <c r="J83" s="47" t="s">
        <v>296</v>
      </c>
      <c r="K83" s="47" t="s">
        <v>297</v>
      </c>
      <c r="L83" s="21">
        <v>3</v>
      </c>
      <c r="M83" s="43" t="s">
        <v>302</v>
      </c>
      <c r="N83" s="22" t="s">
        <v>303</v>
      </c>
      <c r="O83" s="24">
        <v>1</v>
      </c>
      <c r="P83" s="24">
        <v>0</v>
      </c>
      <c r="Q83" s="28">
        <v>0</v>
      </c>
      <c r="R83" s="25" t="str">
        <f>IFERROR((TABLA_AVANCE_METAS[[#This Row],[AVANCE 1°. TRIM]]/TABLA_AVANCE_METAS[[#This Row],[PROGR. 1° TRIM]])*100,"0")</f>
        <v>0</v>
      </c>
      <c r="S83"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83" s="24">
        <v>1</v>
      </c>
      <c r="U83" s="28">
        <v>1</v>
      </c>
      <c r="V83" s="27">
        <f t="shared" si="3"/>
        <v>100</v>
      </c>
      <c r="W83" s="26" t="str">
        <f t="shared" si="4"/>
        <v>ADECUADO</v>
      </c>
      <c r="X83" s="24">
        <v>0</v>
      </c>
      <c r="Y83" s="28">
        <v>0</v>
      </c>
      <c r="Z83" s="27" t="s">
        <v>71</v>
      </c>
      <c r="AA83" s="26" t="s">
        <v>72</v>
      </c>
      <c r="AB83" s="24">
        <v>0</v>
      </c>
      <c r="AC83" s="28">
        <v>0</v>
      </c>
      <c r="AD83" s="27" t="str">
        <f>IFERROR((TABLA_AVANCE_METAS[[#This Row],[AVANCE 4°. TRIM]]/TABLA_AVANCE_METAS[[#This Row],[PROGR. 4° TRIM]])*100,"0")</f>
        <v>0</v>
      </c>
      <c r="AE83"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83" s="30">
        <f t="array" ref="AF83">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83" s="84">
        <f t="array" ref="AG83">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83" s="27">
        <f>IFERROR((TABLA_AVANCE_METAS[[#This Row],[AVANCE ACUM. TRIM.]]/TABLA_AVANCE_METAS[[#This Row],[PROG. ACUM]])*100,"N/A")</f>
        <v>100</v>
      </c>
      <c r="AI83"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83" s="31">
        <f>TABLA_AVANCE_METAS[[#This Row],[AVANCE ACUM. TRIM.]]-TABLA_AVANCE_METAS[[#This Row],[PROG. ACUM]]</f>
        <v>0</v>
      </c>
      <c r="AK83" s="32">
        <f>IFERROR((TABLA_AVANCE_METAS[[#This Row],[DIFERENCIA ABSOLUTA SEMESTRAL]]/TABLA_AVANCE_METAS[[#This Row],[PROG. ACUM]])*100,"N/A")</f>
        <v>0</v>
      </c>
      <c r="AL83" s="84">
        <f>TABLA_AVANCE_METAS[[#This Row],[AVANCE 1°. TRIM]]+TABLA_AVANCE_METAS[[#This Row],[AVANCE 2°. TRIM]]+TABLA_AVANCE_METAS[[#This Row],[AVANCE 3°. TRIM]]+TABLA_AVANCE_METAS[[#This Row],[AVANCE 4°. TRIM]]</f>
        <v>1</v>
      </c>
      <c r="AM83" s="27">
        <f>IFERROR((TABLA_AVANCE_METAS[[#This Row],[AVANCE ACUM. ANUAL]]/TABLA_AVANCE_METAS[[#This Row],[PROGRAMADO ANUAL]])*100,"N/A")</f>
        <v>100</v>
      </c>
      <c r="AN83"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83" s="31">
        <f>TABLA_AVANCE_METAS[[#This Row],[AVANCE ACUM. ANUAL]]-TABLA_AVANCE_METAS[[#This Row],[PROGRAMADO ANUAL]]</f>
        <v>0</v>
      </c>
      <c r="AP83" s="33">
        <f>IFERROR((TABLA_AVANCE_METAS[[#This Row],[DIFERENCIA ABSOLUTA ANUAL]]/TABLA_AVANCE_METAS[[#This Row],[PROGRAMADO ANUAL]])*100,"N/A")</f>
        <v>0</v>
      </c>
      <c r="AQ83" s="34" t="e">
        <v>#N/A</v>
      </c>
      <c r="AR83" s="35"/>
      <c r="AS83" s="36"/>
      <c r="AT83" s="36"/>
      <c r="AU83" s="37" t="b">
        <f>TABLA_AVANCE_METAS[[#This Row],[PROGRAMADO ANUAL]]=SUM(TABLA_AVANCE_METAS[[#This Row],[PROGR. 1° TRIM]],TABLA_AVANCE_METAS[[#This Row],[PROGR. 2° TRIM]],TABLA_AVANCE_METAS[[#This Row],[PROGR. 3° TRIM]],TABLA_AVANCE_METAS[[#This Row],[PROGR. 4° TRIM]])</f>
        <v>1</v>
      </c>
      <c r="AV83" s="38"/>
    </row>
    <row r="84" spans="1:48" ht="75" hidden="1" customHeight="1" x14ac:dyDescent="0.35">
      <c r="A84" s="19" t="str">
        <f>CONCATENATE(TABLA_AVANCE_METAS[[#This Row],[ESTRUCTURA]],TABLA_AVANCE_METAS[[#This Row],['#]])</f>
        <v>B0020401050202094</v>
      </c>
      <c r="B84" s="20" t="s">
        <v>214</v>
      </c>
      <c r="C84" s="48" t="s">
        <v>213</v>
      </c>
      <c r="D84" s="47" t="s">
        <v>214</v>
      </c>
      <c r="E84" s="20" t="s">
        <v>293</v>
      </c>
      <c r="F84" s="47" t="s">
        <v>294</v>
      </c>
      <c r="G84" s="22" t="s">
        <v>295</v>
      </c>
      <c r="H84" s="47" t="s">
        <v>279</v>
      </c>
      <c r="I84" s="47" t="s">
        <v>280</v>
      </c>
      <c r="J84" s="47" t="s">
        <v>296</v>
      </c>
      <c r="K84" s="47" t="s">
        <v>297</v>
      </c>
      <c r="L84" s="21">
        <v>4</v>
      </c>
      <c r="M84" s="43" t="s">
        <v>304</v>
      </c>
      <c r="N84" s="22" t="s">
        <v>305</v>
      </c>
      <c r="O84" s="24">
        <v>4</v>
      </c>
      <c r="P84" s="24">
        <v>1</v>
      </c>
      <c r="Q84" s="28">
        <v>1</v>
      </c>
      <c r="R84" s="25">
        <f>IFERROR((TABLA_AVANCE_METAS[[#This Row],[AVANCE 1°. TRIM]]/TABLA_AVANCE_METAS[[#This Row],[PROGR. 1° TRIM]])*100,"0")</f>
        <v>100</v>
      </c>
      <c r="S84"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84" s="24">
        <v>1</v>
      </c>
      <c r="U84" s="28">
        <v>1</v>
      </c>
      <c r="V84" s="27">
        <f t="shared" si="3"/>
        <v>100</v>
      </c>
      <c r="W84" s="26" t="str">
        <f t="shared" si="4"/>
        <v>ADECUADO</v>
      </c>
      <c r="X84" s="24">
        <v>1</v>
      </c>
      <c r="Y84" s="28">
        <v>0</v>
      </c>
      <c r="Z84" s="27">
        <v>0</v>
      </c>
      <c r="AA84" s="26" t="s">
        <v>62</v>
      </c>
      <c r="AB84" s="24">
        <v>1</v>
      </c>
      <c r="AC84" s="28">
        <v>0</v>
      </c>
      <c r="AD84" s="27">
        <f>IFERROR((TABLA_AVANCE_METAS[[#This Row],[AVANCE 4°. TRIM]]/TABLA_AVANCE_METAS[[#This Row],[PROGR. 4° TRIM]])*100,"0")</f>
        <v>0</v>
      </c>
      <c r="AE84"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84" s="30">
        <f t="array" ref="AF84">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84" s="84">
        <f t="array" ref="AG84">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84" s="27">
        <f>IFERROR((TABLA_AVANCE_METAS[[#This Row],[AVANCE ACUM. TRIM.]]/TABLA_AVANCE_METAS[[#This Row],[PROG. ACUM]])*100,"N/A")</f>
        <v>100</v>
      </c>
      <c r="AI84"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84" s="31">
        <f>TABLA_AVANCE_METAS[[#This Row],[AVANCE ACUM. TRIM.]]-TABLA_AVANCE_METAS[[#This Row],[PROG. ACUM]]</f>
        <v>0</v>
      </c>
      <c r="AK84" s="32">
        <f>IFERROR((TABLA_AVANCE_METAS[[#This Row],[DIFERENCIA ABSOLUTA SEMESTRAL]]/TABLA_AVANCE_METAS[[#This Row],[PROG. ACUM]])*100,"N/A")</f>
        <v>0</v>
      </c>
      <c r="AL84" s="84">
        <f>TABLA_AVANCE_METAS[[#This Row],[AVANCE 1°. TRIM]]+TABLA_AVANCE_METAS[[#This Row],[AVANCE 2°. TRIM]]+TABLA_AVANCE_METAS[[#This Row],[AVANCE 3°. TRIM]]+TABLA_AVANCE_METAS[[#This Row],[AVANCE 4°. TRIM]]</f>
        <v>2</v>
      </c>
      <c r="AM84" s="27">
        <f>IFERROR((TABLA_AVANCE_METAS[[#This Row],[AVANCE ACUM. ANUAL]]/TABLA_AVANCE_METAS[[#This Row],[PROGRAMADO ANUAL]])*100,"N/A")</f>
        <v>50</v>
      </c>
      <c r="AN84"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84" s="31">
        <f>TABLA_AVANCE_METAS[[#This Row],[AVANCE ACUM. ANUAL]]-TABLA_AVANCE_METAS[[#This Row],[PROGRAMADO ANUAL]]</f>
        <v>-2</v>
      </c>
      <c r="AP84" s="33">
        <f>IFERROR((TABLA_AVANCE_METAS[[#This Row],[DIFERENCIA ABSOLUTA ANUAL]]/TABLA_AVANCE_METAS[[#This Row],[PROGRAMADO ANUAL]])*100,"N/A")</f>
        <v>-50</v>
      </c>
      <c r="AQ84" s="34" t="e">
        <v>#N/A</v>
      </c>
      <c r="AR84" s="35"/>
      <c r="AS84" s="36"/>
      <c r="AT84" s="36"/>
      <c r="AU84" s="37" t="b">
        <f>TABLA_AVANCE_METAS[[#This Row],[PROGRAMADO ANUAL]]=SUM(TABLA_AVANCE_METAS[[#This Row],[PROGR. 1° TRIM]],TABLA_AVANCE_METAS[[#This Row],[PROGR. 2° TRIM]],TABLA_AVANCE_METAS[[#This Row],[PROGR. 3° TRIM]],TABLA_AVANCE_METAS[[#This Row],[PROGR. 4° TRIM]])</f>
        <v>1</v>
      </c>
      <c r="AV84" s="38"/>
    </row>
    <row r="85" spans="1:48" ht="75" hidden="1" customHeight="1" x14ac:dyDescent="0.35">
      <c r="A85" s="51" t="str">
        <f>CONCATENATE(TABLA_AVANCE_METAS[[#This Row],[ESTRUCTURA]],TABLA_AVANCE_METAS[[#This Row],['#]])</f>
        <v>B0020401050202095</v>
      </c>
      <c r="B85" s="52" t="s">
        <v>214</v>
      </c>
      <c r="C85" s="53" t="s">
        <v>213</v>
      </c>
      <c r="D85" s="52" t="s">
        <v>214</v>
      </c>
      <c r="E85" s="52" t="s">
        <v>293</v>
      </c>
      <c r="F85" s="52" t="s">
        <v>294</v>
      </c>
      <c r="G85" s="54" t="s">
        <v>295</v>
      </c>
      <c r="H85" s="52" t="s">
        <v>279</v>
      </c>
      <c r="I85" s="52" t="s">
        <v>280</v>
      </c>
      <c r="J85" s="52" t="s">
        <v>296</v>
      </c>
      <c r="K85" s="52" t="s">
        <v>297</v>
      </c>
      <c r="L85" s="53">
        <v>5</v>
      </c>
      <c r="M85" s="55" t="s">
        <v>306</v>
      </c>
      <c r="N85" s="54" t="s">
        <v>148</v>
      </c>
      <c r="O85" s="56"/>
      <c r="P85" s="56">
        <v>4</v>
      </c>
      <c r="Q85" s="28">
        <v>0</v>
      </c>
      <c r="R85" s="57">
        <f>IFERROR((TABLA_AVANCE_METAS[[#This Row],[AVANCE 1°. TRIM]]/TABLA_AVANCE_METAS[[#This Row],[PROGR. 1° TRIM]])*100,"0")</f>
        <v>0</v>
      </c>
      <c r="S85" s="58"/>
      <c r="T85" s="56">
        <v>4</v>
      </c>
      <c r="U85" s="28">
        <v>0</v>
      </c>
      <c r="V85" s="27">
        <f t="shared" si="3"/>
        <v>0</v>
      </c>
      <c r="W85" s="58"/>
      <c r="X85" s="56">
        <v>4</v>
      </c>
      <c r="Y85" s="28">
        <v>0</v>
      </c>
      <c r="Z85" s="59">
        <v>0</v>
      </c>
      <c r="AA85" s="58"/>
      <c r="AB85" s="56">
        <v>3</v>
      </c>
      <c r="AC85" s="28">
        <v>0</v>
      </c>
      <c r="AD85" s="59">
        <f>IFERROR((TABLA_AVANCE_METAS[[#This Row],[AVANCE 4°. TRIM]]/TABLA_AVANCE_METAS[[#This Row],[PROGR. 4° TRIM]])*100,"0")</f>
        <v>0</v>
      </c>
      <c r="AE85" s="60"/>
      <c r="AF85" s="30">
        <f t="array" ref="AF85">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85" s="84">
        <f t="array" ref="AG85">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85" s="27" t="str">
        <f>IFERROR((TABLA_AVANCE_METAS[[#This Row],[AVANCE ACUM. TRIM.]]/TABLA_AVANCE_METAS[[#This Row],[PROG. ACUM]])*100,"N/A")</f>
        <v>N/A</v>
      </c>
      <c r="AI85"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85" s="61">
        <f>TABLA_AVANCE_METAS[[#This Row],[AVANCE ACUM. TRIM.]]-TABLA_AVANCE_METAS[[#This Row],[PROG. ACUM]]</f>
        <v>0</v>
      </c>
      <c r="AK85" s="62" t="str">
        <f>IFERROR((TABLA_AVANCE_METAS[[#This Row],[DIFERENCIA ABSOLUTA SEMESTRAL]]/TABLA_AVANCE_METAS[[#This Row],[PROG. ACUM]])*100,"N/A")</f>
        <v>N/A</v>
      </c>
      <c r="AL85" s="63">
        <f>TABLA_AVANCE_METAS[[#This Row],[AVANCE 1°. TRIM]]+TABLA_AVANCE_METAS[[#This Row],[AVANCE 2°. TRIM]]+TABLA_AVANCE_METAS[[#This Row],[AVANCE 3°. TRIM]]+TABLA_AVANCE_METAS[[#This Row],[AVANCE 4°. TRIM]]</f>
        <v>0</v>
      </c>
      <c r="AM85" s="59" t="str">
        <f>IFERROR((TABLA_AVANCE_METAS[[#This Row],[AVANCE ACUM. ANUAL]]/TABLA_AVANCE_METAS[[#This Row],[PROGRAMADO ANUAL]])*100,"N/A")</f>
        <v>N/A</v>
      </c>
      <c r="AN85" s="58"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NO PROG.</v>
      </c>
      <c r="AO85" s="61">
        <f>TABLA_AVANCE_METAS[[#This Row],[AVANCE ACUM. ANUAL]]-TABLA_AVANCE_METAS[[#This Row],[PROGRAMADO ANUAL]]</f>
        <v>0</v>
      </c>
      <c r="AP85" s="64" t="str">
        <f>IFERROR((TABLA_AVANCE_METAS[[#This Row],[DIFERENCIA ABSOLUTA ANUAL]]/TABLA_AVANCE_METAS[[#This Row],[PROGRAMADO ANUAL]])*100,"N/A")</f>
        <v>N/A</v>
      </c>
      <c r="AQ85" s="65" t="e">
        <v>#N/A</v>
      </c>
      <c r="AR85" s="66"/>
      <c r="AS85" s="36"/>
      <c r="AT85" s="36"/>
      <c r="AU85" s="67" t="b">
        <f>TABLA_AVANCE_METAS[[#This Row],[PROGRAMADO ANUAL]]=SUM(TABLA_AVANCE_METAS[[#This Row],[PROGR. 1° TRIM]],TABLA_AVANCE_METAS[[#This Row],[PROGR. 2° TRIM]],TABLA_AVANCE_METAS[[#This Row],[PROGR. 3° TRIM]],TABLA_AVANCE_METAS[[#This Row],[PROGR. 4° TRIM]])</f>
        <v>0</v>
      </c>
      <c r="AV85" s="38"/>
    </row>
    <row r="86" spans="1:48" ht="75" hidden="1" customHeight="1" x14ac:dyDescent="0.35">
      <c r="A86" s="19" t="str">
        <f>CONCATENATE(TABLA_AVANCE_METAS[[#This Row],[ESTRUCTURA]],TABLA_AVANCE_METAS[[#This Row],['#]])</f>
        <v>B0021101050202091</v>
      </c>
      <c r="B86" s="20" t="s">
        <v>307</v>
      </c>
      <c r="C86" s="21" t="s">
        <v>213</v>
      </c>
      <c r="D86" s="20" t="s">
        <v>214</v>
      </c>
      <c r="E86" s="20" t="s">
        <v>308</v>
      </c>
      <c r="F86" s="20" t="s">
        <v>309</v>
      </c>
      <c r="G86" s="22" t="s">
        <v>310</v>
      </c>
      <c r="H86" s="20" t="s">
        <v>279</v>
      </c>
      <c r="I86" s="20" t="s">
        <v>280</v>
      </c>
      <c r="J86" s="20" t="s">
        <v>296</v>
      </c>
      <c r="K86" s="20" t="s">
        <v>297</v>
      </c>
      <c r="L86" s="21">
        <v>1</v>
      </c>
      <c r="M86" s="23" t="s">
        <v>311</v>
      </c>
      <c r="N86" s="22" t="s">
        <v>288</v>
      </c>
      <c r="O86" s="24">
        <v>1</v>
      </c>
      <c r="P86" s="24">
        <v>1</v>
      </c>
      <c r="Q86" s="28">
        <v>1</v>
      </c>
      <c r="R86" s="25">
        <f>IFERROR((TABLA_AVANCE_METAS[[#This Row],[AVANCE 1°. TRIM]]/TABLA_AVANCE_METAS[[#This Row],[PROGR. 1° TRIM]])*100,"0")</f>
        <v>100</v>
      </c>
      <c r="S86"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86" s="24">
        <v>0</v>
      </c>
      <c r="U86" s="28">
        <v>0</v>
      </c>
      <c r="V86" s="27" t="str">
        <f t="shared" si="3"/>
        <v>0</v>
      </c>
      <c r="W86" s="26" t="str">
        <f t="shared" ref="W86:W111" si="5">IF(AND(V86&gt;=0,V86&lt;=49.9999999999999),"CRÍTICO",IF(AND(V86&gt;=50,V86&lt;=69.9999999999999),"DEFICIENTE",IF(AND(V86&gt;=70,V86&lt;=89.9999999999999),"REGULAR",IF(AND(V86&gt;=90,V86&lt;=110.999999999999),"ADECUADO",IF(AND(V86&gt;=111,V86&lt;=999999),"SOBREPASADO","NO PROG.")))))</f>
        <v>NO PROG.</v>
      </c>
      <c r="X86" s="24">
        <v>0</v>
      </c>
      <c r="Y86" s="28">
        <v>0</v>
      </c>
      <c r="Z86" s="27" t="s">
        <v>71</v>
      </c>
      <c r="AA86" s="26" t="s">
        <v>72</v>
      </c>
      <c r="AB86" s="24">
        <v>0</v>
      </c>
      <c r="AC86" s="28">
        <v>0</v>
      </c>
      <c r="AD86" s="27" t="str">
        <f>IFERROR((TABLA_AVANCE_METAS[[#This Row],[AVANCE 4°. TRIM]]/TABLA_AVANCE_METAS[[#This Row],[PROGR. 4° TRIM]])*100,"0")</f>
        <v>0</v>
      </c>
      <c r="AE86"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86" s="30">
        <f t="array" ref="AF86">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86" s="84">
        <f t="array" ref="AG86">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86" s="27">
        <f>IFERROR((TABLA_AVANCE_METAS[[#This Row],[AVANCE ACUM. TRIM.]]/TABLA_AVANCE_METAS[[#This Row],[PROG. ACUM]])*100,"N/A")</f>
        <v>100</v>
      </c>
      <c r="AI86"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86" s="31">
        <f>TABLA_AVANCE_METAS[[#This Row],[AVANCE ACUM. TRIM.]]-TABLA_AVANCE_METAS[[#This Row],[PROG. ACUM]]</f>
        <v>0</v>
      </c>
      <c r="AK86" s="32">
        <f>IFERROR((TABLA_AVANCE_METAS[[#This Row],[DIFERENCIA ABSOLUTA SEMESTRAL]]/TABLA_AVANCE_METAS[[#This Row],[PROG. ACUM]])*100,"N/A")</f>
        <v>0</v>
      </c>
      <c r="AL86" s="84">
        <f>TABLA_AVANCE_METAS[[#This Row],[AVANCE 1°. TRIM]]+TABLA_AVANCE_METAS[[#This Row],[AVANCE 2°. TRIM]]+TABLA_AVANCE_METAS[[#This Row],[AVANCE 3°. TRIM]]+TABLA_AVANCE_METAS[[#This Row],[AVANCE 4°. TRIM]]</f>
        <v>1</v>
      </c>
      <c r="AM86" s="27">
        <f>IFERROR((TABLA_AVANCE_METAS[[#This Row],[AVANCE ACUM. ANUAL]]/TABLA_AVANCE_METAS[[#This Row],[PROGRAMADO ANUAL]])*100,"N/A")</f>
        <v>100</v>
      </c>
      <c r="AN86"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86" s="31">
        <f>TABLA_AVANCE_METAS[[#This Row],[AVANCE ACUM. ANUAL]]-TABLA_AVANCE_METAS[[#This Row],[PROGRAMADO ANUAL]]</f>
        <v>0</v>
      </c>
      <c r="AP86" s="33">
        <f>IFERROR((TABLA_AVANCE_METAS[[#This Row],[DIFERENCIA ABSOLUTA ANUAL]]/TABLA_AVANCE_METAS[[#This Row],[PROGRAMADO ANUAL]])*100,"N/A")</f>
        <v>0</v>
      </c>
      <c r="AQ86" s="34"/>
      <c r="AR86" s="35"/>
      <c r="AS86" s="36"/>
      <c r="AT86" s="36"/>
      <c r="AU86" s="37" t="b">
        <f>TABLA_AVANCE_METAS[[#This Row],[PROGRAMADO ANUAL]]=SUM(TABLA_AVANCE_METAS[[#This Row],[PROGR. 1° TRIM]],TABLA_AVANCE_METAS[[#This Row],[PROGR. 2° TRIM]],TABLA_AVANCE_METAS[[#This Row],[PROGR. 3° TRIM]],TABLA_AVANCE_METAS[[#This Row],[PROGR. 4° TRIM]])</f>
        <v>1</v>
      </c>
      <c r="AV86" s="38"/>
    </row>
    <row r="87" spans="1:48" ht="75" hidden="1" customHeight="1" x14ac:dyDescent="0.35">
      <c r="A87" s="19" t="str">
        <f>CONCATENATE(TABLA_AVANCE_METAS[[#This Row],[ESTRUCTURA]],TABLA_AVANCE_METAS[[#This Row],['#]])</f>
        <v>B0021101050202092</v>
      </c>
      <c r="B87" s="20" t="s">
        <v>307</v>
      </c>
      <c r="C87" s="21" t="s">
        <v>213</v>
      </c>
      <c r="D87" s="20" t="s">
        <v>214</v>
      </c>
      <c r="E87" s="20" t="s">
        <v>308</v>
      </c>
      <c r="F87" s="20" t="s">
        <v>309</v>
      </c>
      <c r="G87" s="22" t="s">
        <v>310</v>
      </c>
      <c r="H87" s="20" t="s">
        <v>279</v>
      </c>
      <c r="I87" s="20" t="s">
        <v>280</v>
      </c>
      <c r="J87" s="20" t="s">
        <v>296</v>
      </c>
      <c r="K87" s="20" t="s">
        <v>297</v>
      </c>
      <c r="L87" s="21">
        <v>2</v>
      </c>
      <c r="M87" s="23" t="s">
        <v>312</v>
      </c>
      <c r="N87" s="22" t="s">
        <v>288</v>
      </c>
      <c r="O87" s="24">
        <v>1</v>
      </c>
      <c r="P87" s="24">
        <v>1</v>
      </c>
      <c r="Q87" s="28">
        <v>1</v>
      </c>
      <c r="R87" s="25">
        <f>IFERROR((TABLA_AVANCE_METAS[[#This Row],[AVANCE 1°. TRIM]]/TABLA_AVANCE_METAS[[#This Row],[PROGR. 1° TRIM]])*100,"0")</f>
        <v>100</v>
      </c>
      <c r="S87"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87" s="24">
        <v>0</v>
      </c>
      <c r="U87" s="28">
        <v>0</v>
      </c>
      <c r="V87" s="27" t="str">
        <f t="shared" si="3"/>
        <v>0</v>
      </c>
      <c r="W87" s="26" t="str">
        <f t="shared" si="5"/>
        <v>NO PROG.</v>
      </c>
      <c r="X87" s="24">
        <v>0</v>
      </c>
      <c r="Y87" s="28">
        <v>0</v>
      </c>
      <c r="Z87" s="27" t="s">
        <v>71</v>
      </c>
      <c r="AA87" s="26" t="s">
        <v>72</v>
      </c>
      <c r="AB87" s="24">
        <v>0</v>
      </c>
      <c r="AC87" s="28">
        <v>0</v>
      </c>
      <c r="AD87" s="27" t="str">
        <f>IFERROR((TABLA_AVANCE_METAS[[#This Row],[AVANCE 4°. TRIM]]/TABLA_AVANCE_METAS[[#This Row],[PROGR. 4° TRIM]])*100,"0")</f>
        <v>0</v>
      </c>
      <c r="AE87"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87" s="30">
        <f t="array" ref="AF87">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87" s="84">
        <f t="array" ref="AG87">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87" s="27">
        <f>IFERROR((TABLA_AVANCE_METAS[[#This Row],[AVANCE ACUM. TRIM.]]/TABLA_AVANCE_METAS[[#This Row],[PROG. ACUM]])*100,"N/A")</f>
        <v>100</v>
      </c>
      <c r="AI87"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87" s="31">
        <f>TABLA_AVANCE_METAS[[#This Row],[AVANCE ACUM. TRIM.]]-TABLA_AVANCE_METAS[[#This Row],[PROG. ACUM]]</f>
        <v>0</v>
      </c>
      <c r="AK87" s="32">
        <f>IFERROR((TABLA_AVANCE_METAS[[#This Row],[DIFERENCIA ABSOLUTA SEMESTRAL]]/TABLA_AVANCE_METAS[[#This Row],[PROG. ACUM]])*100,"N/A")</f>
        <v>0</v>
      </c>
      <c r="AL87" s="84">
        <f>TABLA_AVANCE_METAS[[#This Row],[AVANCE 1°. TRIM]]+TABLA_AVANCE_METAS[[#This Row],[AVANCE 2°. TRIM]]+TABLA_AVANCE_METAS[[#This Row],[AVANCE 3°. TRIM]]+TABLA_AVANCE_METAS[[#This Row],[AVANCE 4°. TRIM]]</f>
        <v>1</v>
      </c>
      <c r="AM87" s="27">
        <f>IFERROR((TABLA_AVANCE_METAS[[#This Row],[AVANCE ACUM. ANUAL]]/TABLA_AVANCE_METAS[[#This Row],[PROGRAMADO ANUAL]])*100,"N/A")</f>
        <v>100</v>
      </c>
      <c r="AN87"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87" s="31">
        <f>TABLA_AVANCE_METAS[[#This Row],[AVANCE ACUM. ANUAL]]-TABLA_AVANCE_METAS[[#This Row],[PROGRAMADO ANUAL]]</f>
        <v>0</v>
      </c>
      <c r="AP87" s="33">
        <f>IFERROR((TABLA_AVANCE_METAS[[#This Row],[DIFERENCIA ABSOLUTA ANUAL]]/TABLA_AVANCE_METAS[[#This Row],[PROGRAMADO ANUAL]])*100,"N/A")</f>
        <v>0</v>
      </c>
      <c r="AQ87" s="34"/>
      <c r="AR87" s="35"/>
      <c r="AS87" s="36"/>
      <c r="AT87" s="36"/>
      <c r="AU87" s="37" t="b">
        <f>TABLA_AVANCE_METAS[[#This Row],[PROGRAMADO ANUAL]]=SUM(TABLA_AVANCE_METAS[[#This Row],[PROGR. 1° TRIM]],TABLA_AVANCE_METAS[[#This Row],[PROGR. 2° TRIM]],TABLA_AVANCE_METAS[[#This Row],[PROGR. 3° TRIM]],TABLA_AVANCE_METAS[[#This Row],[PROGR. 4° TRIM]])</f>
        <v>1</v>
      </c>
      <c r="AV87" s="38"/>
    </row>
    <row r="88" spans="1:48" ht="75" hidden="1" customHeight="1" x14ac:dyDescent="0.35">
      <c r="A88" s="19" t="str">
        <f>CONCATENATE(TABLA_AVANCE_METAS[[#This Row],[ESTRUCTURA]],TABLA_AVANCE_METAS[[#This Row],['#]])</f>
        <v>B0021101050202093</v>
      </c>
      <c r="B88" s="20" t="s">
        <v>307</v>
      </c>
      <c r="C88" s="21" t="s">
        <v>213</v>
      </c>
      <c r="D88" s="20" t="s">
        <v>214</v>
      </c>
      <c r="E88" s="20" t="s">
        <v>308</v>
      </c>
      <c r="F88" s="20" t="s">
        <v>309</v>
      </c>
      <c r="G88" s="22" t="s">
        <v>310</v>
      </c>
      <c r="H88" s="20" t="s">
        <v>279</v>
      </c>
      <c r="I88" s="20" t="s">
        <v>280</v>
      </c>
      <c r="J88" s="20" t="s">
        <v>296</v>
      </c>
      <c r="K88" s="20" t="s">
        <v>297</v>
      </c>
      <c r="L88" s="21">
        <v>3</v>
      </c>
      <c r="M88" s="23" t="s">
        <v>313</v>
      </c>
      <c r="N88" s="22" t="s">
        <v>84</v>
      </c>
      <c r="O88" s="24">
        <v>1</v>
      </c>
      <c r="P88" s="24">
        <v>0</v>
      </c>
      <c r="Q88" s="28">
        <v>0</v>
      </c>
      <c r="R88" s="25" t="str">
        <f>IFERROR((TABLA_AVANCE_METAS[[#This Row],[AVANCE 1°. TRIM]]/TABLA_AVANCE_METAS[[#This Row],[PROGR. 1° TRIM]])*100,"0")</f>
        <v>0</v>
      </c>
      <c r="S88"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88" s="24">
        <v>0</v>
      </c>
      <c r="U88" s="28">
        <v>0</v>
      </c>
      <c r="V88" s="27" t="str">
        <f t="shared" si="3"/>
        <v>0</v>
      </c>
      <c r="W88" s="26" t="str">
        <f t="shared" si="5"/>
        <v>NO PROG.</v>
      </c>
      <c r="X88" s="24">
        <v>1</v>
      </c>
      <c r="Y88" s="28">
        <v>0</v>
      </c>
      <c r="Z88" s="27">
        <v>0</v>
      </c>
      <c r="AA88" s="26" t="s">
        <v>62</v>
      </c>
      <c r="AB88" s="24">
        <v>0</v>
      </c>
      <c r="AC88" s="28">
        <v>0</v>
      </c>
      <c r="AD88" s="27" t="str">
        <f>IFERROR((TABLA_AVANCE_METAS[[#This Row],[AVANCE 4°. TRIM]]/TABLA_AVANCE_METAS[[#This Row],[PROGR. 4° TRIM]])*100,"0")</f>
        <v>0</v>
      </c>
      <c r="AE88"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88" s="30">
        <f t="array" ref="AF88">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88" s="84">
        <f t="array" ref="AG88">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88" s="27" t="str">
        <f>IFERROR((TABLA_AVANCE_METAS[[#This Row],[AVANCE ACUM. TRIM.]]/TABLA_AVANCE_METAS[[#This Row],[PROG. ACUM]])*100,"N/A")</f>
        <v>N/A</v>
      </c>
      <c r="AI88"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88" s="31">
        <f>TABLA_AVANCE_METAS[[#This Row],[AVANCE ACUM. TRIM.]]-TABLA_AVANCE_METAS[[#This Row],[PROG. ACUM]]</f>
        <v>0</v>
      </c>
      <c r="AK88" s="32" t="str">
        <f>IFERROR((TABLA_AVANCE_METAS[[#This Row],[DIFERENCIA ABSOLUTA SEMESTRAL]]/TABLA_AVANCE_METAS[[#This Row],[PROG. ACUM]])*100,"N/A")</f>
        <v>N/A</v>
      </c>
      <c r="AL88" s="84">
        <f>TABLA_AVANCE_METAS[[#This Row],[AVANCE 1°. TRIM]]+TABLA_AVANCE_METAS[[#This Row],[AVANCE 2°. TRIM]]+TABLA_AVANCE_METAS[[#This Row],[AVANCE 3°. TRIM]]+TABLA_AVANCE_METAS[[#This Row],[AVANCE 4°. TRIM]]</f>
        <v>0</v>
      </c>
      <c r="AM88" s="27">
        <f>IFERROR((TABLA_AVANCE_METAS[[#This Row],[AVANCE ACUM. ANUAL]]/TABLA_AVANCE_METAS[[#This Row],[PROGRAMADO ANUAL]])*100,"N/A")</f>
        <v>0</v>
      </c>
      <c r="AN88"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88" s="31">
        <f>TABLA_AVANCE_METAS[[#This Row],[AVANCE ACUM. ANUAL]]-TABLA_AVANCE_METAS[[#This Row],[PROGRAMADO ANUAL]]</f>
        <v>-1</v>
      </c>
      <c r="AP88" s="33">
        <f>IFERROR((TABLA_AVANCE_METAS[[#This Row],[DIFERENCIA ABSOLUTA ANUAL]]/TABLA_AVANCE_METAS[[#This Row],[PROGRAMADO ANUAL]])*100,"N/A")</f>
        <v>-100</v>
      </c>
      <c r="AQ88" s="34"/>
      <c r="AR88" s="35"/>
      <c r="AS88" s="36"/>
      <c r="AT88" s="36"/>
      <c r="AU88" s="37" t="b">
        <f>TABLA_AVANCE_METAS[[#This Row],[PROGRAMADO ANUAL]]=SUM(TABLA_AVANCE_METAS[[#This Row],[PROGR. 1° TRIM]],TABLA_AVANCE_METAS[[#This Row],[PROGR. 2° TRIM]],TABLA_AVANCE_METAS[[#This Row],[PROGR. 3° TRIM]],TABLA_AVANCE_METAS[[#This Row],[PROGR. 4° TRIM]])</f>
        <v>1</v>
      </c>
      <c r="AV88" s="38"/>
    </row>
    <row r="89" spans="1:48" ht="75" hidden="1" customHeight="1" x14ac:dyDescent="0.35">
      <c r="A89" s="19" t="str">
        <f>CONCATENATE(TABLA_AVANCE_METAS[[#This Row],[ESTRUCTURA]],TABLA_AVANCE_METAS[[#This Row],['#]])</f>
        <v>B0021101050202094</v>
      </c>
      <c r="B89" s="20" t="s">
        <v>307</v>
      </c>
      <c r="C89" s="21" t="s">
        <v>213</v>
      </c>
      <c r="D89" s="20" t="s">
        <v>214</v>
      </c>
      <c r="E89" s="20" t="s">
        <v>308</v>
      </c>
      <c r="F89" s="20" t="s">
        <v>309</v>
      </c>
      <c r="G89" s="22" t="s">
        <v>310</v>
      </c>
      <c r="H89" s="20" t="s">
        <v>279</v>
      </c>
      <c r="I89" s="20" t="s">
        <v>280</v>
      </c>
      <c r="J89" s="20" t="s">
        <v>296</v>
      </c>
      <c r="K89" s="20" t="s">
        <v>297</v>
      </c>
      <c r="L89" s="21">
        <v>4</v>
      </c>
      <c r="M89" s="23" t="s">
        <v>314</v>
      </c>
      <c r="N89" s="22" t="s">
        <v>205</v>
      </c>
      <c r="O89" s="24">
        <v>4</v>
      </c>
      <c r="P89" s="24">
        <v>1</v>
      </c>
      <c r="Q89" s="28">
        <v>1</v>
      </c>
      <c r="R89" s="25">
        <f>IFERROR((TABLA_AVANCE_METAS[[#This Row],[AVANCE 1°. TRIM]]/TABLA_AVANCE_METAS[[#This Row],[PROGR. 1° TRIM]])*100,"0")</f>
        <v>100</v>
      </c>
      <c r="S89"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89" s="24">
        <v>1</v>
      </c>
      <c r="U89" s="28">
        <v>1</v>
      </c>
      <c r="V89" s="27">
        <f t="shared" si="3"/>
        <v>100</v>
      </c>
      <c r="W89" s="26" t="str">
        <f t="shared" si="5"/>
        <v>ADECUADO</v>
      </c>
      <c r="X89" s="24">
        <v>1</v>
      </c>
      <c r="Y89" s="28">
        <v>0</v>
      </c>
      <c r="Z89" s="27">
        <v>0</v>
      </c>
      <c r="AA89" s="26" t="s">
        <v>62</v>
      </c>
      <c r="AB89" s="24">
        <v>1</v>
      </c>
      <c r="AC89" s="28">
        <v>0</v>
      </c>
      <c r="AD89" s="27">
        <f>IFERROR((TABLA_AVANCE_METAS[[#This Row],[AVANCE 4°. TRIM]]/TABLA_AVANCE_METAS[[#This Row],[PROGR. 4° TRIM]])*100,"0")</f>
        <v>0</v>
      </c>
      <c r="AE89"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89" s="30">
        <f t="array" ref="AF89">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89" s="84">
        <f t="array" ref="AG89">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89" s="27">
        <f>IFERROR((TABLA_AVANCE_METAS[[#This Row],[AVANCE ACUM. TRIM.]]/TABLA_AVANCE_METAS[[#This Row],[PROG. ACUM]])*100,"N/A")</f>
        <v>100</v>
      </c>
      <c r="AI89"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89" s="31">
        <f>TABLA_AVANCE_METAS[[#This Row],[AVANCE ACUM. TRIM.]]-TABLA_AVANCE_METAS[[#This Row],[PROG. ACUM]]</f>
        <v>0</v>
      </c>
      <c r="AK89" s="32">
        <f>IFERROR((TABLA_AVANCE_METAS[[#This Row],[DIFERENCIA ABSOLUTA SEMESTRAL]]/TABLA_AVANCE_METAS[[#This Row],[PROG. ACUM]])*100,"N/A")</f>
        <v>0</v>
      </c>
      <c r="AL89" s="84">
        <f>TABLA_AVANCE_METAS[[#This Row],[AVANCE 1°. TRIM]]+TABLA_AVANCE_METAS[[#This Row],[AVANCE 2°. TRIM]]+TABLA_AVANCE_METAS[[#This Row],[AVANCE 3°. TRIM]]+TABLA_AVANCE_METAS[[#This Row],[AVANCE 4°. TRIM]]</f>
        <v>2</v>
      </c>
      <c r="AM89" s="27">
        <f>IFERROR((TABLA_AVANCE_METAS[[#This Row],[AVANCE ACUM. ANUAL]]/TABLA_AVANCE_METAS[[#This Row],[PROGRAMADO ANUAL]])*100,"N/A")</f>
        <v>50</v>
      </c>
      <c r="AN89"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89" s="31">
        <f>TABLA_AVANCE_METAS[[#This Row],[AVANCE ACUM. ANUAL]]-TABLA_AVANCE_METAS[[#This Row],[PROGRAMADO ANUAL]]</f>
        <v>-2</v>
      </c>
      <c r="AP89" s="33">
        <f>IFERROR((TABLA_AVANCE_METAS[[#This Row],[DIFERENCIA ABSOLUTA ANUAL]]/TABLA_AVANCE_METAS[[#This Row],[PROGRAMADO ANUAL]])*100,"N/A")</f>
        <v>-50</v>
      </c>
      <c r="AQ89" s="34"/>
      <c r="AR89" s="35"/>
      <c r="AS89" s="36"/>
      <c r="AT89" s="36"/>
      <c r="AU89" s="37" t="b">
        <f>TABLA_AVANCE_METAS[[#This Row],[PROGRAMADO ANUAL]]=SUM(TABLA_AVANCE_METAS[[#This Row],[PROGR. 1° TRIM]],TABLA_AVANCE_METAS[[#This Row],[PROGR. 2° TRIM]],TABLA_AVANCE_METAS[[#This Row],[PROGR. 3° TRIM]],TABLA_AVANCE_METAS[[#This Row],[PROGR. 4° TRIM]])</f>
        <v>1</v>
      </c>
      <c r="AV89" s="38"/>
    </row>
    <row r="90" spans="1:48" ht="75" hidden="1" customHeight="1" x14ac:dyDescent="0.35">
      <c r="A90" s="19" t="str">
        <f>CONCATENATE(TABLA_AVANCE_METAS[[#This Row],[ESTRUCTURA]],TABLA_AVANCE_METAS[[#This Row],['#]])</f>
        <v>B0021101050202095</v>
      </c>
      <c r="B90" s="20" t="s">
        <v>307</v>
      </c>
      <c r="C90" s="48" t="s">
        <v>213</v>
      </c>
      <c r="D90" s="47" t="s">
        <v>214</v>
      </c>
      <c r="E90" s="20" t="s">
        <v>308</v>
      </c>
      <c r="F90" s="47" t="s">
        <v>309</v>
      </c>
      <c r="G90" s="22" t="s">
        <v>310</v>
      </c>
      <c r="H90" s="47" t="s">
        <v>279</v>
      </c>
      <c r="I90" s="47" t="s">
        <v>280</v>
      </c>
      <c r="J90" s="47" t="s">
        <v>296</v>
      </c>
      <c r="K90" s="47" t="s">
        <v>297</v>
      </c>
      <c r="L90" s="21">
        <v>5</v>
      </c>
      <c r="M90" s="43" t="s">
        <v>315</v>
      </c>
      <c r="N90" s="22" t="s">
        <v>205</v>
      </c>
      <c r="O90" s="24">
        <v>4</v>
      </c>
      <c r="P90" s="24">
        <v>1</v>
      </c>
      <c r="Q90" s="28">
        <v>1</v>
      </c>
      <c r="R90" s="25">
        <f>IFERROR((TABLA_AVANCE_METAS[[#This Row],[AVANCE 1°. TRIM]]/TABLA_AVANCE_METAS[[#This Row],[PROGR. 1° TRIM]])*100,"0")</f>
        <v>100</v>
      </c>
      <c r="S90"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90" s="24">
        <v>1</v>
      </c>
      <c r="U90" s="28">
        <v>1</v>
      </c>
      <c r="V90" s="27">
        <f t="shared" si="3"/>
        <v>100</v>
      </c>
      <c r="W90" s="26" t="str">
        <f t="shared" si="5"/>
        <v>ADECUADO</v>
      </c>
      <c r="X90" s="24">
        <v>1</v>
      </c>
      <c r="Y90" s="28">
        <v>0</v>
      </c>
      <c r="Z90" s="27">
        <v>0</v>
      </c>
      <c r="AA90" s="26" t="s">
        <v>62</v>
      </c>
      <c r="AB90" s="24">
        <v>1</v>
      </c>
      <c r="AC90" s="28">
        <v>0</v>
      </c>
      <c r="AD90" s="27">
        <f>IFERROR((TABLA_AVANCE_METAS[[#This Row],[AVANCE 4°. TRIM]]/TABLA_AVANCE_METAS[[#This Row],[PROGR. 4° TRIM]])*100,"0")</f>
        <v>0</v>
      </c>
      <c r="AE90"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90" s="30">
        <f t="array" ref="AF90">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90" s="84">
        <f t="array" ref="AG90">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90" s="27">
        <f>IFERROR((TABLA_AVANCE_METAS[[#This Row],[AVANCE ACUM. TRIM.]]/TABLA_AVANCE_METAS[[#This Row],[PROG. ACUM]])*100,"N/A")</f>
        <v>100</v>
      </c>
      <c r="AI90"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90" s="31">
        <f>TABLA_AVANCE_METAS[[#This Row],[AVANCE ACUM. TRIM.]]-TABLA_AVANCE_METAS[[#This Row],[PROG. ACUM]]</f>
        <v>0</v>
      </c>
      <c r="AK90" s="32">
        <f>IFERROR((TABLA_AVANCE_METAS[[#This Row],[DIFERENCIA ABSOLUTA SEMESTRAL]]/TABLA_AVANCE_METAS[[#This Row],[PROG. ACUM]])*100,"N/A")</f>
        <v>0</v>
      </c>
      <c r="AL90" s="84">
        <f>TABLA_AVANCE_METAS[[#This Row],[AVANCE 1°. TRIM]]+TABLA_AVANCE_METAS[[#This Row],[AVANCE 2°. TRIM]]+TABLA_AVANCE_METAS[[#This Row],[AVANCE 3°. TRIM]]+TABLA_AVANCE_METAS[[#This Row],[AVANCE 4°. TRIM]]</f>
        <v>2</v>
      </c>
      <c r="AM90" s="27">
        <f>IFERROR((TABLA_AVANCE_METAS[[#This Row],[AVANCE ACUM. ANUAL]]/TABLA_AVANCE_METAS[[#This Row],[PROGRAMADO ANUAL]])*100,"N/A")</f>
        <v>50</v>
      </c>
      <c r="AN90"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90" s="31">
        <f>TABLA_AVANCE_METAS[[#This Row],[AVANCE ACUM. ANUAL]]-TABLA_AVANCE_METAS[[#This Row],[PROGRAMADO ANUAL]]</f>
        <v>-2</v>
      </c>
      <c r="AP90" s="33">
        <f>IFERROR((TABLA_AVANCE_METAS[[#This Row],[DIFERENCIA ABSOLUTA ANUAL]]/TABLA_AVANCE_METAS[[#This Row],[PROGRAMADO ANUAL]])*100,"N/A")</f>
        <v>-50</v>
      </c>
      <c r="AQ90" s="34"/>
      <c r="AR90" s="35"/>
      <c r="AS90" s="36"/>
      <c r="AT90" s="36"/>
      <c r="AU90" s="37" t="b">
        <f>TABLA_AVANCE_METAS[[#This Row],[PROGRAMADO ANUAL]]=SUM(TABLA_AVANCE_METAS[[#This Row],[PROGR. 1° TRIM]],TABLA_AVANCE_METAS[[#This Row],[PROGR. 2° TRIM]],TABLA_AVANCE_METAS[[#This Row],[PROGR. 3° TRIM]],TABLA_AVANCE_METAS[[#This Row],[PROGR. 4° TRIM]])</f>
        <v>1</v>
      </c>
      <c r="AV90" s="38"/>
    </row>
    <row r="91" spans="1:48" ht="75" hidden="1" customHeight="1" x14ac:dyDescent="0.35">
      <c r="A91" s="19" t="str">
        <f>CONCATENATE(TABLA_AVANCE_METAS[[#This Row],[ESTRUCTURA]],TABLA_AVANCE_METAS[[#This Row],['#]])</f>
        <v>B0021101050202096</v>
      </c>
      <c r="B91" s="20" t="s">
        <v>307</v>
      </c>
      <c r="C91" s="48" t="s">
        <v>213</v>
      </c>
      <c r="D91" s="47" t="s">
        <v>214</v>
      </c>
      <c r="E91" s="20" t="s">
        <v>308</v>
      </c>
      <c r="F91" s="47" t="s">
        <v>309</v>
      </c>
      <c r="G91" s="22" t="s">
        <v>310</v>
      </c>
      <c r="H91" s="47" t="s">
        <v>279</v>
      </c>
      <c r="I91" s="47" t="s">
        <v>280</v>
      </c>
      <c r="J91" s="47" t="s">
        <v>296</v>
      </c>
      <c r="K91" s="47" t="s">
        <v>297</v>
      </c>
      <c r="L91" s="21">
        <v>6</v>
      </c>
      <c r="M91" s="43" t="s">
        <v>316</v>
      </c>
      <c r="N91" s="22" t="s">
        <v>317</v>
      </c>
      <c r="O91" s="24">
        <v>12</v>
      </c>
      <c r="P91" s="24">
        <v>3</v>
      </c>
      <c r="Q91" s="28">
        <v>3</v>
      </c>
      <c r="R91" s="25">
        <f>IFERROR((TABLA_AVANCE_METAS[[#This Row],[AVANCE 1°. TRIM]]/TABLA_AVANCE_METAS[[#This Row],[PROGR. 1° TRIM]])*100,"0")</f>
        <v>100</v>
      </c>
      <c r="S91"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91" s="24">
        <v>3</v>
      </c>
      <c r="U91" s="28">
        <v>3</v>
      </c>
      <c r="V91" s="27">
        <f t="shared" si="3"/>
        <v>100</v>
      </c>
      <c r="W91" s="26" t="str">
        <f t="shared" si="5"/>
        <v>ADECUADO</v>
      </c>
      <c r="X91" s="24">
        <v>3</v>
      </c>
      <c r="Y91" s="28">
        <v>0</v>
      </c>
      <c r="Z91" s="27">
        <v>0</v>
      </c>
      <c r="AA91" s="26" t="s">
        <v>62</v>
      </c>
      <c r="AB91" s="24">
        <v>3</v>
      </c>
      <c r="AC91" s="28">
        <v>0</v>
      </c>
      <c r="AD91" s="27">
        <f>IFERROR((TABLA_AVANCE_METAS[[#This Row],[AVANCE 4°. TRIM]]/TABLA_AVANCE_METAS[[#This Row],[PROGR. 4° TRIM]])*100,"0")</f>
        <v>0</v>
      </c>
      <c r="AE91"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91" s="30">
        <f t="array" ref="AF91">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6</v>
      </c>
      <c r="AG91" s="84">
        <f t="array" ref="AG91">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6</v>
      </c>
      <c r="AH91" s="27">
        <f>IFERROR((TABLA_AVANCE_METAS[[#This Row],[AVANCE ACUM. TRIM.]]/TABLA_AVANCE_METAS[[#This Row],[PROG. ACUM]])*100,"N/A")</f>
        <v>100</v>
      </c>
      <c r="AI91"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91" s="31">
        <f>TABLA_AVANCE_METAS[[#This Row],[AVANCE ACUM. TRIM.]]-TABLA_AVANCE_METAS[[#This Row],[PROG. ACUM]]</f>
        <v>0</v>
      </c>
      <c r="AK91" s="32">
        <f>IFERROR((TABLA_AVANCE_METAS[[#This Row],[DIFERENCIA ABSOLUTA SEMESTRAL]]/TABLA_AVANCE_METAS[[#This Row],[PROG. ACUM]])*100,"N/A")</f>
        <v>0</v>
      </c>
      <c r="AL91" s="84">
        <f>TABLA_AVANCE_METAS[[#This Row],[AVANCE 1°. TRIM]]+TABLA_AVANCE_METAS[[#This Row],[AVANCE 2°. TRIM]]+TABLA_AVANCE_METAS[[#This Row],[AVANCE 3°. TRIM]]+TABLA_AVANCE_METAS[[#This Row],[AVANCE 4°. TRIM]]</f>
        <v>6</v>
      </c>
      <c r="AM91" s="27">
        <f>IFERROR((TABLA_AVANCE_METAS[[#This Row],[AVANCE ACUM. ANUAL]]/TABLA_AVANCE_METAS[[#This Row],[PROGRAMADO ANUAL]])*100,"N/A")</f>
        <v>50</v>
      </c>
      <c r="AN91"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91" s="31">
        <f>TABLA_AVANCE_METAS[[#This Row],[AVANCE ACUM. ANUAL]]-TABLA_AVANCE_METAS[[#This Row],[PROGRAMADO ANUAL]]</f>
        <v>-6</v>
      </c>
      <c r="AP91" s="33">
        <f>IFERROR((TABLA_AVANCE_METAS[[#This Row],[DIFERENCIA ABSOLUTA ANUAL]]/TABLA_AVANCE_METAS[[#This Row],[PROGRAMADO ANUAL]])*100,"N/A")</f>
        <v>-50</v>
      </c>
      <c r="AQ91" s="34"/>
      <c r="AR91" s="35"/>
      <c r="AS91" s="36"/>
      <c r="AT91" s="36"/>
      <c r="AU91" s="37" t="b">
        <f>TABLA_AVANCE_METAS[[#This Row],[PROGRAMADO ANUAL]]=SUM(TABLA_AVANCE_METAS[[#This Row],[PROGR. 1° TRIM]],TABLA_AVANCE_METAS[[#This Row],[PROGR. 2° TRIM]],TABLA_AVANCE_METAS[[#This Row],[PROGR. 3° TRIM]],TABLA_AVANCE_METAS[[#This Row],[PROGR. 4° TRIM]])</f>
        <v>1</v>
      </c>
      <c r="AV91" s="38"/>
    </row>
    <row r="92" spans="1:48" ht="75" hidden="1" customHeight="1" x14ac:dyDescent="0.35">
      <c r="A92" s="19" t="str">
        <f>CONCATENATE(TABLA_AVANCE_METAS[[#This Row],[ESTRUCTURA]],TABLA_AVANCE_METAS[[#This Row],['#]])</f>
        <v>B0021101050202097</v>
      </c>
      <c r="B92" s="20" t="s">
        <v>307</v>
      </c>
      <c r="C92" s="48" t="s">
        <v>213</v>
      </c>
      <c r="D92" s="47" t="s">
        <v>214</v>
      </c>
      <c r="E92" s="20" t="s">
        <v>308</v>
      </c>
      <c r="F92" s="47" t="s">
        <v>309</v>
      </c>
      <c r="G92" s="22" t="s">
        <v>310</v>
      </c>
      <c r="H92" s="47" t="s">
        <v>279</v>
      </c>
      <c r="I92" s="47" t="s">
        <v>280</v>
      </c>
      <c r="J92" s="47" t="s">
        <v>296</v>
      </c>
      <c r="K92" s="47" t="s">
        <v>297</v>
      </c>
      <c r="L92" s="21">
        <v>7</v>
      </c>
      <c r="M92" s="43" t="s">
        <v>318</v>
      </c>
      <c r="N92" s="22" t="s">
        <v>317</v>
      </c>
      <c r="O92" s="24">
        <v>6</v>
      </c>
      <c r="P92" s="24">
        <v>2</v>
      </c>
      <c r="Q92" s="28">
        <v>2</v>
      </c>
      <c r="R92" s="25">
        <f>IFERROR((TABLA_AVANCE_METAS[[#This Row],[AVANCE 1°. TRIM]]/TABLA_AVANCE_METAS[[#This Row],[PROGR. 1° TRIM]])*100,"0")</f>
        <v>100</v>
      </c>
      <c r="S92"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92" s="24">
        <v>1</v>
      </c>
      <c r="U92" s="28">
        <v>1</v>
      </c>
      <c r="V92" s="27">
        <f t="shared" si="3"/>
        <v>100</v>
      </c>
      <c r="W92" s="26" t="str">
        <f t="shared" si="5"/>
        <v>ADECUADO</v>
      </c>
      <c r="X92" s="24">
        <v>2</v>
      </c>
      <c r="Y92" s="28">
        <v>0</v>
      </c>
      <c r="Z92" s="27">
        <v>0</v>
      </c>
      <c r="AA92" s="26" t="s">
        <v>62</v>
      </c>
      <c r="AB92" s="24">
        <v>1</v>
      </c>
      <c r="AC92" s="28">
        <v>0</v>
      </c>
      <c r="AD92" s="27">
        <f>IFERROR((TABLA_AVANCE_METAS[[#This Row],[AVANCE 4°. TRIM]]/TABLA_AVANCE_METAS[[#This Row],[PROGR. 4° TRIM]])*100,"0")</f>
        <v>0</v>
      </c>
      <c r="AE92"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92" s="30">
        <f t="array" ref="AF92">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3</v>
      </c>
      <c r="AG92" s="84">
        <f t="array" ref="AG92">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3</v>
      </c>
      <c r="AH92" s="27">
        <f>IFERROR((TABLA_AVANCE_METAS[[#This Row],[AVANCE ACUM. TRIM.]]/TABLA_AVANCE_METAS[[#This Row],[PROG. ACUM]])*100,"N/A")</f>
        <v>100</v>
      </c>
      <c r="AI92"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92" s="31">
        <f>TABLA_AVANCE_METAS[[#This Row],[AVANCE ACUM. TRIM.]]-TABLA_AVANCE_METAS[[#This Row],[PROG. ACUM]]</f>
        <v>0</v>
      </c>
      <c r="AK92" s="32">
        <f>IFERROR((TABLA_AVANCE_METAS[[#This Row],[DIFERENCIA ABSOLUTA SEMESTRAL]]/TABLA_AVANCE_METAS[[#This Row],[PROG. ACUM]])*100,"N/A")</f>
        <v>0</v>
      </c>
      <c r="AL92" s="84">
        <f>TABLA_AVANCE_METAS[[#This Row],[AVANCE 1°. TRIM]]+TABLA_AVANCE_METAS[[#This Row],[AVANCE 2°. TRIM]]+TABLA_AVANCE_METAS[[#This Row],[AVANCE 3°. TRIM]]+TABLA_AVANCE_METAS[[#This Row],[AVANCE 4°. TRIM]]</f>
        <v>3</v>
      </c>
      <c r="AM92" s="27">
        <f>IFERROR((TABLA_AVANCE_METAS[[#This Row],[AVANCE ACUM. ANUAL]]/TABLA_AVANCE_METAS[[#This Row],[PROGRAMADO ANUAL]])*100,"N/A")</f>
        <v>50</v>
      </c>
      <c r="AN92"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92" s="31">
        <f>TABLA_AVANCE_METAS[[#This Row],[AVANCE ACUM. ANUAL]]-TABLA_AVANCE_METAS[[#This Row],[PROGRAMADO ANUAL]]</f>
        <v>-3</v>
      </c>
      <c r="AP92" s="33">
        <f>IFERROR((TABLA_AVANCE_METAS[[#This Row],[DIFERENCIA ABSOLUTA ANUAL]]/TABLA_AVANCE_METAS[[#This Row],[PROGRAMADO ANUAL]])*100,"N/A")</f>
        <v>-50</v>
      </c>
      <c r="AQ92" s="34"/>
      <c r="AR92" s="35"/>
      <c r="AS92" s="36"/>
      <c r="AT92" s="36"/>
      <c r="AU92" s="37" t="b">
        <f>TABLA_AVANCE_METAS[[#This Row],[PROGRAMADO ANUAL]]=SUM(TABLA_AVANCE_METAS[[#This Row],[PROGR. 1° TRIM]],TABLA_AVANCE_METAS[[#This Row],[PROGR. 2° TRIM]],TABLA_AVANCE_METAS[[#This Row],[PROGR. 3° TRIM]],TABLA_AVANCE_METAS[[#This Row],[PROGR. 4° TRIM]])</f>
        <v>1</v>
      </c>
      <c r="AV92" s="38"/>
    </row>
    <row r="93" spans="1:48" ht="75" hidden="1" customHeight="1" x14ac:dyDescent="0.35">
      <c r="A93" s="19" t="str">
        <f>CONCATENATE(TABLA_AVANCE_METAS[[#This Row],[ESTRUCTURA]],TABLA_AVANCE_METAS[[#This Row],['#]])</f>
        <v>B0020101080501031</v>
      </c>
      <c r="B93" s="20" t="s">
        <v>319</v>
      </c>
      <c r="C93" s="48" t="s">
        <v>213</v>
      </c>
      <c r="D93" s="47" t="s">
        <v>214</v>
      </c>
      <c r="E93" s="20" t="s">
        <v>320</v>
      </c>
      <c r="F93" s="47" t="s">
        <v>321</v>
      </c>
      <c r="G93" s="22" t="s">
        <v>322</v>
      </c>
      <c r="H93" s="47" t="s">
        <v>169</v>
      </c>
      <c r="I93" s="47" t="s">
        <v>170</v>
      </c>
      <c r="J93" s="47" t="s">
        <v>171</v>
      </c>
      <c r="K93" s="47" t="s">
        <v>172</v>
      </c>
      <c r="L93" s="21">
        <v>1</v>
      </c>
      <c r="M93" s="43" t="s">
        <v>323</v>
      </c>
      <c r="N93" s="22" t="s">
        <v>324</v>
      </c>
      <c r="O93" s="24">
        <v>84</v>
      </c>
      <c r="P93" s="24">
        <v>21</v>
      </c>
      <c r="Q93" s="28">
        <v>21</v>
      </c>
      <c r="R93" s="25">
        <f>IFERROR((TABLA_AVANCE_METAS[[#This Row],[AVANCE 1°. TRIM]]/TABLA_AVANCE_METAS[[#This Row],[PROGR. 1° TRIM]])*100,"0")</f>
        <v>100</v>
      </c>
      <c r="S93"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93" s="24">
        <v>21</v>
      </c>
      <c r="U93" s="28">
        <v>21</v>
      </c>
      <c r="V93" s="27">
        <f t="shared" si="3"/>
        <v>100</v>
      </c>
      <c r="W93" s="26" t="str">
        <f t="shared" si="5"/>
        <v>ADECUADO</v>
      </c>
      <c r="X93" s="24">
        <v>21</v>
      </c>
      <c r="Y93" s="28">
        <v>0</v>
      </c>
      <c r="Z93" s="27">
        <v>0</v>
      </c>
      <c r="AA93" s="26" t="s">
        <v>62</v>
      </c>
      <c r="AB93" s="24">
        <v>21</v>
      </c>
      <c r="AC93" s="28">
        <v>0</v>
      </c>
      <c r="AD93" s="27">
        <f>IFERROR((TABLA_AVANCE_METAS[[#This Row],[AVANCE 4°. TRIM]]/TABLA_AVANCE_METAS[[#This Row],[PROGR. 4° TRIM]])*100,"0")</f>
        <v>0</v>
      </c>
      <c r="AE93"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93" s="30">
        <f t="array" ref="AF93">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42</v>
      </c>
      <c r="AG93" s="84">
        <f t="array" ref="AG93">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42</v>
      </c>
      <c r="AH93" s="27">
        <f>IFERROR((TABLA_AVANCE_METAS[[#This Row],[AVANCE ACUM. TRIM.]]/TABLA_AVANCE_METAS[[#This Row],[PROG. ACUM]])*100,"N/A")</f>
        <v>100</v>
      </c>
      <c r="AI93"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93" s="31">
        <f>TABLA_AVANCE_METAS[[#This Row],[AVANCE ACUM. TRIM.]]-TABLA_AVANCE_METAS[[#This Row],[PROG. ACUM]]</f>
        <v>0</v>
      </c>
      <c r="AK93" s="32">
        <f>IFERROR((TABLA_AVANCE_METAS[[#This Row],[DIFERENCIA ABSOLUTA SEMESTRAL]]/TABLA_AVANCE_METAS[[#This Row],[PROG. ACUM]])*100,"N/A")</f>
        <v>0</v>
      </c>
      <c r="AL93" s="84">
        <f>TABLA_AVANCE_METAS[[#This Row],[AVANCE 1°. TRIM]]+TABLA_AVANCE_METAS[[#This Row],[AVANCE 2°. TRIM]]+TABLA_AVANCE_METAS[[#This Row],[AVANCE 3°. TRIM]]+TABLA_AVANCE_METAS[[#This Row],[AVANCE 4°. TRIM]]</f>
        <v>42</v>
      </c>
      <c r="AM93" s="27">
        <f>IFERROR((TABLA_AVANCE_METAS[[#This Row],[AVANCE ACUM. ANUAL]]/TABLA_AVANCE_METAS[[#This Row],[PROGRAMADO ANUAL]])*100,"N/A")</f>
        <v>50</v>
      </c>
      <c r="AN93"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93" s="31">
        <f>TABLA_AVANCE_METAS[[#This Row],[AVANCE ACUM. ANUAL]]-TABLA_AVANCE_METAS[[#This Row],[PROGRAMADO ANUAL]]</f>
        <v>-42</v>
      </c>
      <c r="AP93" s="33">
        <f>IFERROR((TABLA_AVANCE_METAS[[#This Row],[DIFERENCIA ABSOLUTA ANUAL]]/TABLA_AVANCE_METAS[[#This Row],[PROGRAMADO ANUAL]])*100,"N/A")</f>
        <v>-50</v>
      </c>
      <c r="AQ93" s="34"/>
      <c r="AR93" s="35"/>
      <c r="AS93" s="36"/>
      <c r="AT93" s="36"/>
      <c r="AU93" s="37" t="b">
        <f>TABLA_AVANCE_METAS[[#This Row],[PROGRAMADO ANUAL]]=SUM(TABLA_AVANCE_METAS[[#This Row],[PROGR. 1° TRIM]],TABLA_AVANCE_METAS[[#This Row],[PROGR. 2° TRIM]],TABLA_AVANCE_METAS[[#This Row],[PROGR. 3° TRIM]],TABLA_AVANCE_METAS[[#This Row],[PROGR. 4° TRIM]])</f>
        <v>1</v>
      </c>
      <c r="AV93" s="38"/>
    </row>
    <row r="94" spans="1:48" ht="75" hidden="1" customHeight="1" x14ac:dyDescent="0.35">
      <c r="A94" s="19" t="str">
        <f>CONCATENATE(TABLA_AVANCE_METAS[[#This Row],[ESTRUCTURA]],TABLA_AVANCE_METAS[[#This Row],['#]])</f>
        <v>B0020101080501032</v>
      </c>
      <c r="B94" s="20" t="s">
        <v>319</v>
      </c>
      <c r="C94" s="21" t="s">
        <v>213</v>
      </c>
      <c r="D94" s="21" t="s">
        <v>214</v>
      </c>
      <c r="E94" s="20" t="s">
        <v>320</v>
      </c>
      <c r="F94" s="20" t="s">
        <v>321</v>
      </c>
      <c r="G94" s="22" t="s">
        <v>322</v>
      </c>
      <c r="H94" s="20" t="s">
        <v>169</v>
      </c>
      <c r="I94" s="20" t="s">
        <v>170</v>
      </c>
      <c r="J94" s="20" t="s">
        <v>171</v>
      </c>
      <c r="K94" s="20" t="s">
        <v>172</v>
      </c>
      <c r="L94" s="21">
        <v>2</v>
      </c>
      <c r="M94" s="23" t="s">
        <v>325</v>
      </c>
      <c r="N94" s="22" t="s">
        <v>144</v>
      </c>
      <c r="O94" s="24">
        <v>1</v>
      </c>
      <c r="P94" s="24">
        <v>0</v>
      </c>
      <c r="Q94" s="28">
        <v>0</v>
      </c>
      <c r="R94" s="25" t="str">
        <f>IFERROR((TABLA_AVANCE_METAS[[#This Row],[AVANCE 1°. TRIM]]/TABLA_AVANCE_METAS[[#This Row],[PROGR. 1° TRIM]])*100,"0")</f>
        <v>0</v>
      </c>
      <c r="S94"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94" s="24">
        <v>0</v>
      </c>
      <c r="U94" s="28">
        <v>0</v>
      </c>
      <c r="V94" s="27" t="str">
        <f t="shared" si="3"/>
        <v>0</v>
      </c>
      <c r="W94" s="26" t="str">
        <f t="shared" si="5"/>
        <v>NO PROG.</v>
      </c>
      <c r="X94" s="24">
        <v>1</v>
      </c>
      <c r="Y94" s="28">
        <v>0</v>
      </c>
      <c r="Z94" s="27">
        <v>0</v>
      </c>
      <c r="AA94" s="26" t="s">
        <v>62</v>
      </c>
      <c r="AB94" s="24">
        <v>0</v>
      </c>
      <c r="AC94" s="28">
        <v>0</v>
      </c>
      <c r="AD94" s="27" t="str">
        <f>IFERROR((TABLA_AVANCE_METAS[[#This Row],[AVANCE 4°. TRIM]]/TABLA_AVANCE_METAS[[#This Row],[PROGR. 4° TRIM]])*100,"0")</f>
        <v>0</v>
      </c>
      <c r="AE94"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94" s="30">
        <f t="array" ref="AF94">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94" s="84">
        <f t="array" ref="AG94">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94" s="27" t="str">
        <f>IFERROR((TABLA_AVANCE_METAS[[#This Row],[AVANCE ACUM. TRIM.]]/TABLA_AVANCE_METAS[[#This Row],[PROG. ACUM]])*100,"N/A")</f>
        <v>N/A</v>
      </c>
      <c r="AI94"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94" s="31">
        <f>TABLA_AVANCE_METAS[[#This Row],[AVANCE ACUM. TRIM.]]-TABLA_AVANCE_METAS[[#This Row],[PROG. ACUM]]</f>
        <v>0</v>
      </c>
      <c r="AK94" s="32" t="str">
        <f>IFERROR((TABLA_AVANCE_METAS[[#This Row],[DIFERENCIA ABSOLUTA SEMESTRAL]]/TABLA_AVANCE_METAS[[#This Row],[PROG. ACUM]])*100,"N/A")</f>
        <v>N/A</v>
      </c>
      <c r="AL94" s="84">
        <f>TABLA_AVANCE_METAS[[#This Row],[AVANCE 1°. TRIM]]+TABLA_AVANCE_METAS[[#This Row],[AVANCE 2°. TRIM]]+TABLA_AVANCE_METAS[[#This Row],[AVANCE 3°. TRIM]]+TABLA_AVANCE_METAS[[#This Row],[AVANCE 4°. TRIM]]</f>
        <v>0</v>
      </c>
      <c r="AM94" s="27">
        <f>IFERROR((TABLA_AVANCE_METAS[[#This Row],[AVANCE ACUM. ANUAL]]/TABLA_AVANCE_METAS[[#This Row],[PROGRAMADO ANUAL]])*100,"N/A")</f>
        <v>0</v>
      </c>
      <c r="AN94"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94" s="31">
        <f>TABLA_AVANCE_METAS[[#This Row],[AVANCE ACUM. ANUAL]]-TABLA_AVANCE_METAS[[#This Row],[PROGRAMADO ANUAL]]</f>
        <v>-1</v>
      </c>
      <c r="AP94" s="33">
        <f>IFERROR((TABLA_AVANCE_METAS[[#This Row],[DIFERENCIA ABSOLUTA ANUAL]]/TABLA_AVANCE_METAS[[#This Row],[PROGRAMADO ANUAL]])*100,"N/A")</f>
        <v>-100</v>
      </c>
      <c r="AQ94" s="34"/>
      <c r="AR94" s="35"/>
      <c r="AS94" s="36"/>
      <c r="AT94" s="36"/>
      <c r="AU94" s="37" t="b">
        <f>TABLA_AVANCE_METAS[[#This Row],[PROGRAMADO ANUAL]]=SUM(TABLA_AVANCE_METAS[[#This Row],[PROGR. 1° TRIM]],TABLA_AVANCE_METAS[[#This Row],[PROGR. 2° TRIM]],TABLA_AVANCE_METAS[[#This Row],[PROGR. 3° TRIM]],TABLA_AVANCE_METAS[[#This Row],[PROGR. 4° TRIM]])</f>
        <v>1</v>
      </c>
      <c r="AV94" s="38"/>
    </row>
    <row r="95" spans="1:48" ht="75" hidden="1" customHeight="1" x14ac:dyDescent="0.35">
      <c r="A95" s="19" t="str">
        <f>CONCATENATE(TABLA_AVANCE_METAS[[#This Row],[ESTRUCTURA]],TABLA_AVANCE_METAS[[#This Row],['#]])</f>
        <v>B0020101080501033</v>
      </c>
      <c r="B95" s="20" t="s">
        <v>319</v>
      </c>
      <c r="C95" s="21" t="s">
        <v>213</v>
      </c>
      <c r="D95" s="21" t="s">
        <v>214</v>
      </c>
      <c r="E95" s="20" t="s">
        <v>320</v>
      </c>
      <c r="F95" s="20" t="s">
        <v>321</v>
      </c>
      <c r="G95" s="22" t="s">
        <v>322</v>
      </c>
      <c r="H95" s="20" t="s">
        <v>169</v>
      </c>
      <c r="I95" s="20" t="s">
        <v>170</v>
      </c>
      <c r="J95" s="20" t="s">
        <v>171</v>
      </c>
      <c r="K95" s="20" t="s">
        <v>172</v>
      </c>
      <c r="L95" s="21">
        <v>3</v>
      </c>
      <c r="M95" s="23" t="s">
        <v>326</v>
      </c>
      <c r="N95" s="22" t="s">
        <v>327</v>
      </c>
      <c r="O95" s="24">
        <v>600</v>
      </c>
      <c r="P95" s="24">
        <v>150</v>
      </c>
      <c r="Q95" s="28">
        <v>150</v>
      </c>
      <c r="R95" s="25">
        <f>IFERROR((TABLA_AVANCE_METAS[[#This Row],[AVANCE 1°. TRIM]]/TABLA_AVANCE_METAS[[#This Row],[PROGR. 1° TRIM]])*100,"0")</f>
        <v>100</v>
      </c>
      <c r="S95"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95" s="24">
        <v>150</v>
      </c>
      <c r="U95" s="28">
        <v>150</v>
      </c>
      <c r="V95" s="27">
        <f t="shared" si="3"/>
        <v>100</v>
      </c>
      <c r="W95" s="26" t="str">
        <f t="shared" si="5"/>
        <v>ADECUADO</v>
      </c>
      <c r="X95" s="24">
        <v>150</v>
      </c>
      <c r="Y95" s="28">
        <v>0</v>
      </c>
      <c r="Z95" s="27">
        <v>0</v>
      </c>
      <c r="AA95" s="26" t="s">
        <v>62</v>
      </c>
      <c r="AB95" s="24">
        <v>150</v>
      </c>
      <c r="AC95" s="28">
        <v>0</v>
      </c>
      <c r="AD95" s="27">
        <f>IFERROR((TABLA_AVANCE_METAS[[#This Row],[AVANCE 4°. TRIM]]/TABLA_AVANCE_METAS[[#This Row],[PROGR. 4° TRIM]])*100,"0")</f>
        <v>0</v>
      </c>
      <c r="AE95"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95" s="30">
        <f t="array" ref="AF95">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300</v>
      </c>
      <c r="AG95" s="84">
        <f t="array" ref="AG95">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300</v>
      </c>
      <c r="AH95" s="27">
        <f>IFERROR((TABLA_AVANCE_METAS[[#This Row],[AVANCE ACUM. TRIM.]]/TABLA_AVANCE_METAS[[#This Row],[PROG. ACUM]])*100,"N/A")</f>
        <v>100</v>
      </c>
      <c r="AI95"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95" s="31">
        <f>TABLA_AVANCE_METAS[[#This Row],[AVANCE ACUM. TRIM.]]-TABLA_AVANCE_METAS[[#This Row],[PROG. ACUM]]</f>
        <v>0</v>
      </c>
      <c r="AK95" s="32">
        <f>IFERROR((TABLA_AVANCE_METAS[[#This Row],[DIFERENCIA ABSOLUTA SEMESTRAL]]/TABLA_AVANCE_METAS[[#This Row],[PROG. ACUM]])*100,"N/A")</f>
        <v>0</v>
      </c>
      <c r="AL95" s="84">
        <f>TABLA_AVANCE_METAS[[#This Row],[AVANCE 1°. TRIM]]+TABLA_AVANCE_METAS[[#This Row],[AVANCE 2°. TRIM]]+TABLA_AVANCE_METAS[[#This Row],[AVANCE 3°. TRIM]]+TABLA_AVANCE_METAS[[#This Row],[AVANCE 4°. TRIM]]</f>
        <v>300</v>
      </c>
      <c r="AM95" s="27">
        <f>IFERROR((TABLA_AVANCE_METAS[[#This Row],[AVANCE ACUM. ANUAL]]/TABLA_AVANCE_METAS[[#This Row],[PROGRAMADO ANUAL]])*100,"N/A")</f>
        <v>50</v>
      </c>
      <c r="AN95"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95" s="31">
        <f>TABLA_AVANCE_METAS[[#This Row],[AVANCE ACUM. ANUAL]]-TABLA_AVANCE_METAS[[#This Row],[PROGRAMADO ANUAL]]</f>
        <v>-300</v>
      </c>
      <c r="AP95" s="33">
        <f>IFERROR((TABLA_AVANCE_METAS[[#This Row],[DIFERENCIA ABSOLUTA ANUAL]]/TABLA_AVANCE_METAS[[#This Row],[PROGRAMADO ANUAL]])*100,"N/A")</f>
        <v>-50</v>
      </c>
      <c r="AQ95" s="34"/>
      <c r="AR95" s="35"/>
      <c r="AS95" s="36"/>
      <c r="AT95" s="36"/>
      <c r="AU95" s="37" t="b">
        <f>TABLA_AVANCE_METAS[[#This Row],[PROGRAMADO ANUAL]]=SUM(TABLA_AVANCE_METAS[[#This Row],[PROGR. 1° TRIM]],TABLA_AVANCE_METAS[[#This Row],[PROGR. 2° TRIM]],TABLA_AVANCE_METAS[[#This Row],[PROGR. 3° TRIM]],TABLA_AVANCE_METAS[[#This Row],[PROGR. 4° TRIM]])</f>
        <v>1</v>
      </c>
      <c r="AV95" s="38"/>
    </row>
    <row r="96" spans="1:48" ht="75" hidden="1" customHeight="1" x14ac:dyDescent="0.35">
      <c r="A96" s="19" t="str">
        <f>CONCATENATE(TABLA_AVANCE_METAS[[#This Row],[ESTRUCTURA]],TABLA_AVANCE_METAS[[#This Row],['#]])</f>
        <v>B0020101080501034</v>
      </c>
      <c r="B96" s="20" t="s">
        <v>319</v>
      </c>
      <c r="C96" s="21" t="s">
        <v>213</v>
      </c>
      <c r="D96" s="21" t="s">
        <v>214</v>
      </c>
      <c r="E96" s="20" t="s">
        <v>320</v>
      </c>
      <c r="F96" s="20" t="s">
        <v>321</v>
      </c>
      <c r="G96" s="22" t="s">
        <v>322</v>
      </c>
      <c r="H96" s="20" t="s">
        <v>169</v>
      </c>
      <c r="I96" s="20" t="s">
        <v>170</v>
      </c>
      <c r="J96" s="20" t="s">
        <v>171</v>
      </c>
      <c r="K96" s="20" t="s">
        <v>172</v>
      </c>
      <c r="L96" s="21">
        <v>4</v>
      </c>
      <c r="M96" s="23" t="s">
        <v>328</v>
      </c>
      <c r="N96" s="22" t="s">
        <v>329</v>
      </c>
      <c r="O96" s="24">
        <v>30</v>
      </c>
      <c r="P96" s="24">
        <v>10</v>
      </c>
      <c r="Q96" s="28">
        <v>10</v>
      </c>
      <c r="R96" s="25">
        <f>IFERROR((TABLA_AVANCE_METAS[[#This Row],[AVANCE 1°. TRIM]]/TABLA_AVANCE_METAS[[#This Row],[PROGR. 1° TRIM]])*100,"0")</f>
        <v>100</v>
      </c>
      <c r="S96"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96" s="24">
        <v>8</v>
      </c>
      <c r="U96" s="28">
        <v>8</v>
      </c>
      <c r="V96" s="27">
        <f t="shared" si="3"/>
        <v>100</v>
      </c>
      <c r="W96" s="26" t="str">
        <f t="shared" si="5"/>
        <v>ADECUADO</v>
      </c>
      <c r="X96" s="24">
        <v>8</v>
      </c>
      <c r="Y96" s="28">
        <v>0</v>
      </c>
      <c r="Z96" s="27">
        <v>0</v>
      </c>
      <c r="AA96" s="26" t="s">
        <v>62</v>
      </c>
      <c r="AB96" s="24">
        <v>4</v>
      </c>
      <c r="AC96" s="28">
        <v>0</v>
      </c>
      <c r="AD96" s="27">
        <f>IFERROR((TABLA_AVANCE_METAS[[#This Row],[AVANCE 4°. TRIM]]/TABLA_AVANCE_METAS[[#This Row],[PROGR. 4° TRIM]])*100,"0")</f>
        <v>0</v>
      </c>
      <c r="AE96"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96" s="30">
        <f t="array" ref="AF96">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18</v>
      </c>
      <c r="AG96" s="84">
        <f t="array" ref="AG96">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18</v>
      </c>
      <c r="AH96" s="27">
        <f>IFERROR((TABLA_AVANCE_METAS[[#This Row],[AVANCE ACUM. TRIM.]]/TABLA_AVANCE_METAS[[#This Row],[PROG. ACUM]])*100,"N/A")</f>
        <v>100</v>
      </c>
      <c r="AI96"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96" s="31">
        <f>TABLA_AVANCE_METAS[[#This Row],[AVANCE ACUM. TRIM.]]-TABLA_AVANCE_METAS[[#This Row],[PROG. ACUM]]</f>
        <v>0</v>
      </c>
      <c r="AK96" s="32">
        <f>IFERROR((TABLA_AVANCE_METAS[[#This Row],[DIFERENCIA ABSOLUTA SEMESTRAL]]/TABLA_AVANCE_METAS[[#This Row],[PROG. ACUM]])*100,"N/A")</f>
        <v>0</v>
      </c>
      <c r="AL96" s="84">
        <f>TABLA_AVANCE_METAS[[#This Row],[AVANCE 1°. TRIM]]+TABLA_AVANCE_METAS[[#This Row],[AVANCE 2°. TRIM]]+TABLA_AVANCE_METAS[[#This Row],[AVANCE 3°. TRIM]]+TABLA_AVANCE_METAS[[#This Row],[AVANCE 4°. TRIM]]</f>
        <v>18</v>
      </c>
      <c r="AM96" s="27">
        <f>IFERROR((TABLA_AVANCE_METAS[[#This Row],[AVANCE ACUM. ANUAL]]/TABLA_AVANCE_METAS[[#This Row],[PROGRAMADO ANUAL]])*100,"N/A")</f>
        <v>60</v>
      </c>
      <c r="AN96"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96" s="31">
        <f>TABLA_AVANCE_METAS[[#This Row],[AVANCE ACUM. ANUAL]]-TABLA_AVANCE_METAS[[#This Row],[PROGRAMADO ANUAL]]</f>
        <v>-12</v>
      </c>
      <c r="AP96" s="33">
        <f>IFERROR((TABLA_AVANCE_METAS[[#This Row],[DIFERENCIA ABSOLUTA ANUAL]]/TABLA_AVANCE_METAS[[#This Row],[PROGRAMADO ANUAL]])*100,"N/A")</f>
        <v>-40</v>
      </c>
      <c r="AQ96" s="34"/>
      <c r="AR96" s="35"/>
      <c r="AS96" s="36"/>
      <c r="AT96" s="36"/>
      <c r="AU96" s="37" t="b">
        <f>TABLA_AVANCE_METAS[[#This Row],[PROGRAMADO ANUAL]]=SUM(TABLA_AVANCE_METAS[[#This Row],[PROGR. 1° TRIM]],TABLA_AVANCE_METAS[[#This Row],[PROGR. 2° TRIM]],TABLA_AVANCE_METAS[[#This Row],[PROGR. 3° TRIM]],TABLA_AVANCE_METAS[[#This Row],[PROGR. 4° TRIM]])</f>
        <v>1</v>
      </c>
      <c r="AV96" s="38"/>
    </row>
    <row r="97" spans="1:48" ht="75" hidden="1" customHeight="1" x14ac:dyDescent="0.35">
      <c r="A97" s="19" t="str">
        <f>CONCATENATE(TABLA_AVANCE_METAS[[#This Row],[ESTRUCTURA]],TABLA_AVANCE_METAS[[#This Row],['#]])</f>
        <v>B0020101080501035</v>
      </c>
      <c r="B97" s="20" t="s">
        <v>319</v>
      </c>
      <c r="C97" s="21" t="s">
        <v>213</v>
      </c>
      <c r="D97" s="21" t="s">
        <v>214</v>
      </c>
      <c r="E97" s="20" t="s">
        <v>320</v>
      </c>
      <c r="F97" s="20" t="s">
        <v>321</v>
      </c>
      <c r="G97" s="22" t="s">
        <v>322</v>
      </c>
      <c r="H97" s="20" t="s">
        <v>169</v>
      </c>
      <c r="I97" s="20" t="s">
        <v>170</v>
      </c>
      <c r="J97" s="20" t="s">
        <v>171</v>
      </c>
      <c r="K97" s="20" t="s">
        <v>172</v>
      </c>
      <c r="L97" s="21">
        <v>5</v>
      </c>
      <c r="M97" s="23" t="s">
        <v>330</v>
      </c>
      <c r="N97" s="22" t="s">
        <v>331</v>
      </c>
      <c r="O97" s="24">
        <v>52</v>
      </c>
      <c r="P97" s="24">
        <v>13</v>
      </c>
      <c r="Q97" s="28">
        <v>13</v>
      </c>
      <c r="R97" s="25">
        <f>IFERROR((TABLA_AVANCE_METAS[[#This Row],[AVANCE 1°. TRIM]]/TABLA_AVANCE_METAS[[#This Row],[PROGR. 1° TRIM]])*100,"0")</f>
        <v>100</v>
      </c>
      <c r="S97"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97" s="24">
        <v>13</v>
      </c>
      <c r="U97" s="28">
        <v>13</v>
      </c>
      <c r="V97" s="27">
        <f t="shared" si="3"/>
        <v>100</v>
      </c>
      <c r="W97" s="26" t="str">
        <f t="shared" si="5"/>
        <v>ADECUADO</v>
      </c>
      <c r="X97" s="24">
        <v>13</v>
      </c>
      <c r="Y97" s="28">
        <v>0</v>
      </c>
      <c r="Z97" s="27">
        <v>0</v>
      </c>
      <c r="AA97" s="26" t="s">
        <v>62</v>
      </c>
      <c r="AB97" s="24">
        <v>13</v>
      </c>
      <c r="AC97" s="28">
        <v>0</v>
      </c>
      <c r="AD97" s="27">
        <f>IFERROR((TABLA_AVANCE_METAS[[#This Row],[AVANCE 4°. TRIM]]/TABLA_AVANCE_METAS[[#This Row],[PROGR. 4° TRIM]])*100,"0")</f>
        <v>0</v>
      </c>
      <c r="AE97"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97" s="30">
        <f t="array" ref="AF97">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26</v>
      </c>
      <c r="AG97" s="84">
        <f t="array" ref="AG97">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26</v>
      </c>
      <c r="AH97" s="27">
        <f>IFERROR((TABLA_AVANCE_METAS[[#This Row],[AVANCE ACUM. TRIM.]]/TABLA_AVANCE_METAS[[#This Row],[PROG. ACUM]])*100,"N/A")</f>
        <v>100</v>
      </c>
      <c r="AI97"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97" s="31">
        <f>TABLA_AVANCE_METAS[[#This Row],[AVANCE ACUM. TRIM.]]-TABLA_AVANCE_METAS[[#This Row],[PROG. ACUM]]</f>
        <v>0</v>
      </c>
      <c r="AK97" s="32">
        <f>IFERROR((TABLA_AVANCE_METAS[[#This Row],[DIFERENCIA ABSOLUTA SEMESTRAL]]/TABLA_AVANCE_METAS[[#This Row],[PROG. ACUM]])*100,"N/A")</f>
        <v>0</v>
      </c>
      <c r="AL97" s="84">
        <f>TABLA_AVANCE_METAS[[#This Row],[AVANCE 1°. TRIM]]+TABLA_AVANCE_METAS[[#This Row],[AVANCE 2°. TRIM]]+TABLA_AVANCE_METAS[[#This Row],[AVANCE 3°. TRIM]]+TABLA_AVANCE_METAS[[#This Row],[AVANCE 4°. TRIM]]</f>
        <v>26</v>
      </c>
      <c r="AM97" s="27">
        <f>IFERROR((TABLA_AVANCE_METAS[[#This Row],[AVANCE ACUM. ANUAL]]/TABLA_AVANCE_METAS[[#This Row],[PROGRAMADO ANUAL]])*100,"N/A")</f>
        <v>50</v>
      </c>
      <c r="AN97"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97" s="31">
        <f>TABLA_AVANCE_METAS[[#This Row],[AVANCE ACUM. ANUAL]]-TABLA_AVANCE_METAS[[#This Row],[PROGRAMADO ANUAL]]</f>
        <v>-26</v>
      </c>
      <c r="AP97" s="33">
        <f>IFERROR((TABLA_AVANCE_METAS[[#This Row],[DIFERENCIA ABSOLUTA ANUAL]]/TABLA_AVANCE_METAS[[#This Row],[PROGRAMADO ANUAL]])*100,"N/A")</f>
        <v>-50</v>
      </c>
      <c r="AQ97" s="34"/>
      <c r="AR97" s="35"/>
      <c r="AS97" s="36"/>
      <c r="AT97" s="36"/>
      <c r="AU97" s="37" t="b">
        <f>TABLA_AVANCE_METAS[[#This Row],[PROGRAMADO ANUAL]]=SUM(TABLA_AVANCE_METAS[[#This Row],[PROGR. 1° TRIM]],TABLA_AVANCE_METAS[[#This Row],[PROGR. 2° TRIM]],TABLA_AVANCE_METAS[[#This Row],[PROGR. 3° TRIM]],TABLA_AVANCE_METAS[[#This Row],[PROGR. 4° TRIM]])</f>
        <v>1</v>
      </c>
      <c r="AV97" s="38"/>
    </row>
    <row r="98" spans="1:48" ht="75" hidden="1" customHeight="1" x14ac:dyDescent="0.35">
      <c r="A98" s="19" t="str">
        <f>CONCATENATE(TABLA_AVANCE_METAS[[#This Row],[ESTRUCTURA]],TABLA_AVANCE_METAS[[#This Row],['#]])</f>
        <v>B0020902060805011</v>
      </c>
      <c r="B98" s="20" t="s">
        <v>212</v>
      </c>
      <c r="C98" s="21" t="s">
        <v>213</v>
      </c>
      <c r="D98" s="21" t="s">
        <v>214</v>
      </c>
      <c r="E98" s="20" t="s">
        <v>253</v>
      </c>
      <c r="F98" s="20" t="s">
        <v>254</v>
      </c>
      <c r="G98" s="22" t="s">
        <v>332</v>
      </c>
      <c r="H98" s="20" t="s">
        <v>333</v>
      </c>
      <c r="I98" s="20" t="s">
        <v>334</v>
      </c>
      <c r="J98" s="20" t="s">
        <v>335</v>
      </c>
      <c r="K98" s="20" t="s">
        <v>336</v>
      </c>
      <c r="L98" s="21">
        <v>1</v>
      </c>
      <c r="M98" s="23" t="s">
        <v>337</v>
      </c>
      <c r="N98" s="22" t="s">
        <v>100</v>
      </c>
      <c r="O98" s="24">
        <v>4</v>
      </c>
      <c r="P98" s="24">
        <v>1</v>
      </c>
      <c r="Q98" s="28">
        <v>1</v>
      </c>
      <c r="R98" s="25">
        <f>IFERROR((TABLA_AVANCE_METAS[[#This Row],[AVANCE 1°. TRIM]]/TABLA_AVANCE_METAS[[#This Row],[PROGR. 1° TRIM]])*100,"0")</f>
        <v>100</v>
      </c>
      <c r="S98"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98" s="24">
        <v>1</v>
      </c>
      <c r="U98" s="28">
        <v>1</v>
      </c>
      <c r="V98" s="27">
        <f t="shared" si="3"/>
        <v>100</v>
      </c>
      <c r="W98" s="26" t="str">
        <f t="shared" si="5"/>
        <v>ADECUADO</v>
      </c>
      <c r="X98" s="24">
        <v>1</v>
      </c>
      <c r="Y98" s="28">
        <v>0</v>
      </c>
      <c r="Z98" s="27">
        <v>0</v>
      </c>
      <c r="AA98" s="26" t="s">
        <v>62</v>
      </c>
      <c r="AB98" s="24">
        <v>1</v>
      </c>
      <c r="AC98" s="28">
        <v>0</v>
      </c>
      <c r="AD98" s="27">
        <f>IFERROR((TABLA_AVANCE_METAS[[#This Row],[AVANCE 4°. TRIM]]/TABLA_AVANCE_METAS[[#This Row],[PROGR. 4° TRIM]])*100,"0")</f>
        <v>0</v>
      </c>
      <c r="AE98"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98" s="30">
        <f t="array" ref="AF98">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98" s="84">
        <f t="array" ref="AG98">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98" s="27">
        <f>IFERROR((TABLA_AVANCE_METAS[[#This Row],[AVANCE ACUM. TRIM.]]/TABLA_AVANCE_METAS[[#This Row],[PROG. ACUM]])*100,"N/A")</f>
        <v>100</v>
      </c>
      <c r="AI98"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98" s="31">
        <f>TABLA_AVANCE_METAS[[#This Row],[AVANCE ACUM. TRIM.]]-TABLA_AVANCE_METAS[[#This Row],[PROG. ACUM]]</f>
        <v>0</v>
      </c>
      <c r="AK98" s="32">
        <f>IFERROR((TABLA_AVANCE_METAS[[#This Row],[DIFERENCIA ABSOLUTA SEMESTRAL]]/TABLA_AVANCE_METAS[[#This Row],[PROG. ACUM]])*100,"N/A")</f>
        <v>0</v>
      </c>
      <c r="AL98" s="84">
        <f>TABLA_AVANCE_METAS[[#This Row],[AVANCE 1°. TRIM]]+TABLA_AVANCE_METAS[[#This Row],[AVANCE 2°. TRIM]]+TABLA_AVANCE_METAS[[#This Row],[AVANCE 3°. TRIM]]+TABLA_AVANCE_METAS[[#This Row],[AVANCE 4°. TRIM]]</f>
        <v>2</v>
      </c>
      <c r="AM98" s="27">
        <f>IFERROR((TABLA_AVANCE_METAS[[#This Row],[AVANCE ACUM. ANUAL]]/TABLA_AVANCE_METAS[[#This Row],[PROGRAMADO ANUAL]])*100,"N/A")</f>
        <v>50</v>
      </c>
      <c r="AN98"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98" s="31">
        <f>TABLA_AVANCE_METAS[[#This Row],[AVANCE ACUM. ANUAL]]-TABLA_AVANCE_METAS[[#This Row],[PROGRAMADO ANUAL]]</f>
        <v>-2</v>
      </c>
      <c r="AP98" s="33">
        <f>IFERROR((TABLA_AVANCE_METAS[[#This Row],[DIFERENCIA ABSOLUTA ANUAL]]/TABLA_AVANCE_METAS[[#This Row],[PROGRAMADO ANUAL]])*100,"N/A")</f>
        <v>-50</v>
      </c>
      <c r="AQ98" s="34"/>
      <c r="AR98" s="35"/>
      <c r="AS98" s="36"/>
      <c r="AT98" s="36"/>
      <c r="AU98" s="37" t="b">
        <f>TABLA_AVANCE_METAS[[#This Row],[PROGRAMADO ANUAL]]=SUM(TABLA_AVANCE_METAS[[#This Row],[PROGR. 1° TRIM]],TABLA_AVANCE_METAS[[#This Row],[PROGR. 2° TRIM]],TABLA_AVANCE_METAS[[#This Row],[PROGR. 3° TRIM]],TABLA_AVANCE_METAS[[#This Row],[PROGR. 4° TRIM]])</f>
        <v>1</v>
      </c>
      <c r="AV98" s="38"/>
    </row>
    <row r="99" spans="1:48" ht="75" hidden="1" customHeight="1" x14ac:dyDescent="0.35">
      <c r="A99" s="19" t="str">
        <f>CONCATENATE(TABLA_AVANCE_METAS[[#This Row],[ESTRUCTURA]],TABLA_AVANCE_METAS[[#This Row],['#]])</f>
        <v>B0020902060805012</v>
      </c>
      <c r="B99" s="20" t="s">
        <v>212</v>
      </c>
      <c r="C99" s="21" t="s">
        <v>213</v>
      </c>
      <c r="D99" s="21" t="s">
        <v>214</v>
      </c>
      <c r="E99" s="20" t="s">
        <v>253</v>
      </c>
      <c r="F99" s="20" t="s">
        <v>254</v>
      </c>
      <c r="G99" s="22" t="s">
        <v>332</v>
      </c>
      <c r="H99" s="20" t="s">
        <v>333</v>
      </c>
      <c r="I99" s="20" t="s">
        <v>334</v>
      </c>
      <c r="J99" s="20" t="s">
        <v>335</v>
      </c>
      <c r="K99" s="20" t="s">
        <v>336</v>
      </c>
      <c r="L99" s="21">
        <v>2</v>
      </c>
      <c r="M99" s="23" t="s">
        <v>338</v>
      </c>
      <c r="N99" s="22" t="s">
        <v>115</v>
      </c>
      <c r="O99" s="24">
        <v>4</v>
      </c>
      <c r="P99" s="24">
        <v>1</v>
      </c>
      <c r="Q99" s="28">
        <v>1</v>
      </c>
      <c r="R99" s="25">
        <f>IFERROR((TABLA_AVANCE_METAS[[#This Row],[AVANCE 1°. TRIM]]/TABLA_AVANCE_METAS[[#This Row],[PROGR. 1° TRIM]])*100,"0")</f>
        <v>100</v>
      </c>
      <c r="S99"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99" s="24">
        <v>1</v>
      </c>
      <c r="U99" s="28">
        <v>1</v>
      </c>
      <c r="V99" s="27">
        <f t="shared" si="3"/>
        <v>100</v>
      </c>
      <c r="W99" s="26" t="str">
        <f t="shared" si="5"/>
        <v>ADECUADO</v>
      </c>
      <c r="X99" s="24">
        <v>1</v>
      </c>
      <c r="Y99" s="28">
        <v>0</v>
      </c>
      <c r="Z99" s="27">
        <v>0</v>
      </c>
      <c r="AA99" s="26" t="s">
        <v>62</v>
      </c>
      <c r="AB99" s="24">
        <v>1</v>
      </c>
      <c r="AC99" s="28">
        <v>0</v>
      </c>
      <c r="AD99" s="27">
        <f>IFERROR((TABLA_AVANCE_METAS[[#This Row],[AVANCE 4°. TRIM]]/TABLA_AVANCE_METAS[[#This Row],[PROGR. 4° TRIM]])*100,"0")</f>
        <v>0</v>
      </c>
      <c r="AE99"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99" s="30">
        <f t="array" ref="AF99">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99" s="84">
        <f t="array" ref="AG99">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99" s="27">
        <f>IFERROR((TABLA_AVANCE_METAS[[#This Row],[AVANCE ACUM. TRIM.]]/TABLA_AVANCE_METAS[[#This Row],[PROG. ACUM]])*100,"N/A")</f>
        <v>100</v>
      </c>
      <c r="AI99"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99" s="31">
        <f>TABLA_AVANCE_METAS[[#This Row],[AVANCE ACUM. TRIM.]]-TABLA_AVANCE_METAS[[#This Row],[PROG. ACUM]]</f>
        <v>0</v>
      </c>
      <c r="AK99" s="32">
        <f>IFERROR((TABLA_AVANCE_METAS[[#This Row],[DIFERENCIA ABSOLUTA SEMESTRAL]]/TABLA_AVANCE_METAS[[#This Row],[PROG. ACUM]])*100,"N/A")</f>
        <v>0</v>
      </c>
      <c r="AL99" s="84">
        <f>TABLA_AVANCE_METAS[[#This Row],[AVANCE 1°. TRIM]]+TABLA_AVANCE_METAS[[#This Row],[AVANCE 2°. TRIM]]+TABLA_AVANCE_METAS[[#This Row],[AVANCE 3°. TRIM]]+TABLA_AVANCE_METAS[[#This Row],[AVANCE 4°. TRIM]]</f>
        <v>2</v>
      </c>
      <c r="AM99" s="27">
        <f>IFERROR((TABLA_AVANCE_METAS[[#This Row],[AVANCE ACUM. ANUAL]]/TABLA_AVANCE_METAS[[#This Row],[PROGRAMADO ANUAL]])*100,"N/A")</f>
        <v>50</v>
      </c>
      <c r="AN99"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99" s="31">
        <f>TABLA_AVANCE_METAS[[#This Row],[AVANCE ACUM. ANUAL]]-TABLA_AVANCE_METAS[[#This Row],[PROGRAMADO ANUAL]]</f>
        <v>-2</v>
      </c>
      <c r="AP99" s="33">
        <f>IFERROR((TABLA_AVANCE_METAS[[#This Row],[DIFERENCIA ABSOLUTA ANUAL]]/TABLA_AVANCE_METAS[[#This Row],[PROGRAMADO ANUAL]])*100,"N/A")</f>
        <v>-50</v>
      </c>
      <c r="AQ99" s="34"/>
      <c r="AR99" s="35"/>
      <c r="AS99" s="36"/>
      <c r="AT99" s="36"/>
      <c r="AU99" s="37" t="b">
        <f>TABLA_AVANCE_METAS[[#This Row],[PROGRAMADO ANUAL]]=SUM(TABLA_AVANCE_METAS[[#This Row],[PROGR. 1° TRIM]],TABLA_AVANCE_METAS[[#This Row],[PROGR. 2° TRIM]],TABLA_AVANCE_METAS[[#This Row],[PROGR. 3° TRIM]],TABLA_AVANCE_METAS[[#This Row],[PROGR. 4° TRIM]])</f>
        <v>1</v>
      </c>
      <c r="AV99" s="38"/>
    </row>
    <row r="100" spans="1:48" ht="75" hidden="1" customHeight="1" x14ac:dyDescent="0.35">
      <c r="A100" s="19" t="str">
        <f>CONCATENATE(TABLA_AVANCE_METAS[[#This Row],[ESTRUCTURA]],TABLA_AVANCE_METAS[[#This Row],['#]])</f>
        <v>B0020902060805013</v>
      </c>
      <c r="B100" s="20" t="s">
        <v>212</v>
      </c>
      <c r="C100" s="21" t="s">
        <v>213</v>
      </c>
      <c r="D100" s="21" t="s">
        <v>214</v>
      </c>
      <c r="E100" s="20" t="s">
        <v>253</v>
      </c>
      <c r="F100" s="20" t="s">
        <v>254</v>
      </c>
      <c r="G100" s="22" t="s">
        <v>332</v>
      </c>
      <c r="H100" s="20" t="s">
        <v>333</v>
      </c>
      <c r="I100" s="20" t="s">
        <v>334</v>
      </c>
      <c r="J100" s="20" t="s">
        <v>335</v>
      </c>
      <c r="K100" s="20" t="s">
        <v>336</v>
      </c>
      <c r="L100" s="21">
        <v>3</v>
      </c>
      <c r="M100" s="23" t="s">
        <v>339</v>
      </c>
      <c r="N100" s="22" t="s">
        <v>340</v>
      </c>
      <c r="O100" s="24">
        <v>4</v>
      </c>
      <c r="P100" s="24">
        <v>1</v>
      </c>
      <c r="Q100" s="28">
        <v>1</v>
      </c>
      <c r="R100" s="25">
        <f>IFERROR((TABLA_AVANCE_METAS[[#This Row],[AVANCE 1°. TRIM]]/TABLA_AVANCE_METAS[[#This Row],[PROGR. 1° TRIM]])*100,"0")</f>
        <v>100</v>
      </c>
      <c r="S100"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00" s="24">
        <v>1</v>
      </c>
      <c r="U100" s="28">
        <v>1</v>
      </c>
      <c r="V100" s="27">
        <f t="shared" si="3"/>
        <v>100</v>
      </c>
      <c r="W100" s="26" t="str">
        <f t="shared" si="5"/>
        <v>ADECUADO</v>
      </c>
      <c r="X100" s="24">
        <v>1</v>
      </c>
      <c r="Y100" s="28">
        <v>0</v>
      </c>
      <c r="Z100" s="27">
        <v>0</v>
      </c>
      <c r="AA100" s="26" t="s">
        <v>62</v>
      </c>
      <c r="AB100" s="24">
        <v>1</v>
      </c>
      <c r="AC100" s="28">
        <v>0</v>
      </c>
      <c r="AD100" s="27">
        <f>IFERROR((TABLA_AVANCE_METAS[[#This Row],[AVANCE 4°. TRIM]]/TABLA_AVANCE_METAS[[#This Row],[PROGR. 4° TRIM]])*100,"0")</f>
        <v>0</v>
      </c>
      <c r="AE100"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00" s="30">
        <f t="array" ref="AF100">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100" s="84">
        <f t="array" ref="AG100">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100" s="27">
        <f>IFERROR((TABLA_AVANCE_METAS[[#This Row],[AVANCE ACUM. TRIM.]]/TABLA_AVANCE_METAS[[#This Row],[PROG. ACUM]])*100,"N/A")</f>
        <v>100</v>
      </c>
      <c r="AI100"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00" s="31">
        <f>TABLA_AVANCE_METAS[[#This Row],[AVANCE ACUM. TRIM.]]-TABLA_AVANCE_METAS[[#This Row],[PROG. ACUM]]</f>
        <v>0</v>
      </c>
      <c r="AK100" s="32">
        <f>IFERROR((TABLA_AVANCE_METAS[[#This Row],[DIFERENCIA ABSOLUTA SEMESTRAL]]/TABLA_AVANCE_METAS[[#This Row],[PROG. ACUM]])*100,"N/A")</f>
        <v>0</v>
      </c>
      <c r="AL100" s="84">
        <f>TABLA_AVANCE_METAS[[#This Row],[AVANCE 1°. TRIM]]+TABLA_AVANCE_METAS[[#This Row],[AVANCE 2°. TRIM]]+TABLA_AVANCE_METAS[[#This Row],[AVANCE 3°. TRIM]]+TABLA_AVANCE_METAS[[#This Row],[AVANCE 4°. TRIM]]</f>
        <v>2</v>
      </c>
      <c r="AM100" s="27">
        <f>IFERROR((TABLA_AVANCE_METAS[[#This Row],[AVANCE ACUM. ANUAL]]/TABLA_AVANCE_METAS[[#This Row],[PROGRAMADO ANUAL]])*100,"N/A")</f>
        <v>50</v>
      </c>
      <c r="AN100"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00" s="31">
        <f>TABLA_AVANCE_METAS[[#This Row],[AVANCE ACUM. ANUAL]]-TABLA_AVANCE_METAS[[#This Row],[PROGRAMADO ANUAL]]</f>
        <v>-2</v>
      </c>
      <c r="AP100" s="33">
        <f>IFERROR((TABLA_AVANCE_METAS[[#This Row],[DIFERENCIA ABSOLUTA ANUAL]]/TABLA_AVANCE_METAS[[#This Row],[PROGRAMADO ANUAL]])*100,"N/A")</f>
        <v>-50</v>
      </c>
      <c r="AQ100" s="34"/>
      <c r="AR100" s="35"/>
      <c r="AS100" s="36"/>
      <c r="AT100" s="36"/>
      <c r="AU100" s="37" t="b">
        <f>TABLA_AVANCE_METAS[[#This Row],[PROGRAMADO ANUAL]]=SUM(TABLA_AVANCE_METAS[[#This Row],[PROGR. 1° TRIM]],TABLA_AVANCE_METAS[[#This Row],[PROGR. 2° TRIM]],TABLA_AVANCE_METAS[[#This Row],[PROGR. 3° TRIM]],TABLA_AVANCE_METAS[[#This Row],[PROGR. 4° TRIM]])</f>
        <v>1</v>
      </c>
      <c r="AV100" s="38"/>
    </row>
    <row r="101" spans="1:48" ht="75" hidden="1" customHeight="1" x14ac:dyDescent="0.35">
      <c r="A101" s="19" t="str">
        <f>CONCATENATE(TABLA_AVANCE_METAS[[#This Row],[ESTRUCTURA]],TABLA_AVANCE_METAS[[#This Row],['#]])</f>
        <v>B0020902060805014</v>
      </c>
      <c r="B101" s="20" t="s">
        <v>212</v>
      </c>
      <c r="C101" s="21" t="s">
        <v>213</v>
      </c>
      <c r="D101" s="21" t="s">
        <v>214</v>
      </c>
      <c r="E101" s="20" t="s">
        <v>253</v>
      </c>
      <c r="F101" s="20" t="s">
        <v>254</v>
      </c>
      <c r="G101" s="22" t="s">
        <v>332</v>
      </c>
      <c r="H101" s="20" t="s">
        <v>333</v>
      </c>
      <c r="I101" s="20" t="s">
        <v>334</v>
      </c>
      <c r="J101" s="20" t="s">
        <v>335</v>
      </c>
      <c r="K101" s="20" t="s">
        <v>336</v>
      </c>
      <c r="L101" s="21">
        <v>4</v>
      </c>
      <c r="M101" s="23" t="s">
        <v>341</v>
      </c>
      <c r="N101" s="22" t="s">
        <v>342</v>
      </c>
      <c r="O101" s="24">
        <v>4</v>
      </c>
      <c r="P101" s="24">
        <v>1</v>
      </c>
      <c r="Q101" s="28">
        <v>1</v>
      </c>
      <c r="R101" s="25">
        <f>IFERROR((TABLA_AVANCE_METAS[[#This Row],[AVANCE 1°. TRIM]]/TABLA_AVANCE_METAS[[#This Row],[PROGR. 1° TRIM]])*100,"0")</f>
        <v>100</v>
      </c>
      <c r="S101"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01" s="24">
        <v>1</v>
      </c>
      <c r="U101" s="28">
        <v>1</v>
      </c>
      <c r="V101" s="27">
        <f t="shared" si="3"/>
        <v>100</v>
      </c>
      <c r="W101" s="26" t="str">
        <f t="shared" si="5"/>
        <v>ADECUADO</v>
      </c>
      <c r="X101" s="24">
        <v>1</v>
      </c>
      <c r="Y101" s="28">
        <v>0</v>
      </c>
      <c r="Z101" s="27">
        <v>0</v>
      </c>
      <c r="AA101" s="26" t="s">
        <v>62</v>
      </c>
      <c r="AB101" s="24">
        <v>1</v>
      </c>
      <c r="AC101" s="28">
        <v>0</v>
      </c>
      <c r="AD101" s="27">
        <f>IFERROR((TABLA_AVANCE_METAS[[#This Row],[AVANCE 4°. TRIM]]/TABLA_AVANCE_METAS[[#This Row],[PROGR. 4° TRIM]])*100,"0")</f>
        <v>0</v>
      </c>
      <c r="AE101"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01" s="30">
        <f t="array" ref="AF101">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101" s="84">
        <f t="array" ref="AG101">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101" s="27">
        <f>IFERROR((TABLA_AVANCE_METAS[[#This Row],[AVANCE ACUM. TRIM.]]/TABLA_AVANCE_METAS[[#This Row],[PROG. ACUM]])*100,"N/A")</f>
        <v>100</v>
      </c>
      <c r="AI101"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01" s="31">
        <f>TABLA_AVANCE_METAS[[#This Row],[AVANCE ACUM. TRIM.]]-TABLA_AVANCE_METAS[[#This Row],[PROG. ACUM]]</f>
        <v>0</v>
      </c>
      <c r="AK101" s="32">
        <f>IFERROR((TABLA_AVANCE_METAS[[#This Row],[DIFERENCIA ABSOLUTA SEMESTRAL]]/TABLA_AVANCE_METAS[[#This Row],[PROG. ACUM]])*100,"N/A")</f>
        <v>0</v>
      </c>
      <c r="AL101" s="84">
        <f>TABLA_AVANCE_METAS[[#This Row],[AVANCE 1°. TRIM]]+TABLA_AVANCE_METAS[[#This Row],[AVANCE 2°. TRIM]]+TABLA_AVANCE_METAS[[#This Row],[AVANCE 3°. TRIM]]+TABLA_AVANCE_METAS[[#This Row],[AVANCE 4°. TRIM]]</f>
        <v>2</v>
      </c>
      <c r="AM101" s="27">
        <f>IFERROR((TABLA_AVANCE_METAS[[#This Row],[AVANCE ACUM. ANUAL]]/TABLA_AVANCE_METAS[[#This Row],[PROGRAMADO ANUAL]])*100,"N/A")</f>
        <v>50</v>
      </c>
      <c r="AN101"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01" s="31">
        <f>TABLA_AVANCE_METAS[[#This Row],[AVANCE ACUM. ANUAL]]-TABLA_AVANCE_METAS[[#This Row],[PROGRAMADO ANUAL]]</f>
        <v>-2</v>
      </c>
      <c r="AP101" s="33">
        <f>IFERROR((TABLA_AVANCE_METAS[[#This Row],[DIFERENCIA ABSOLUTA ANUAL]]/TABLA_AVANCE_METAS[[#This Row],[PROGRAMADO ANUAL]])*100,"N/A")</f>
        <v>-50</v>
      </c>
      <c r="AQ101" s="34"/>
      <c r="AR101" s="35"/>
      <c r="AS101" s="36"/>
      <c r="AT101" s="36"/>
      <c r="AU101" s="37" t="b">
        <f>TABLA_AVANCE_METAS[[#This Row],[PROGRAMADO ANUAL]]=SUM(TABLA_AVANCE_METAS[[#This Row],[PROGR. 1° TRIM]],TABLA_AVANCE_METAS[[#This Row],[PROGR. 2° TRIM]],TABLA_AVANCE_METAS[[#This Row],[PROGR. 3° TRIM]],TABLA_AVANCE_METAS[[#This Row],[PROGR. 4° TRIM]])</f>
        <v>1</v>
      </c>
      <c r="AV101" s="38"/>
    </row>
    <row r="102" spans="1:48" ht="75" hidden="1" customHeight="1" x14ac:dyDescent="0.35">
      <c r="A102" s="19" t="str">
        <f>CONCATENATE(TABLA_AVANCE_METAS[[#This Row],[ESTRUCTURA]],TABLA_AVANCE_METAS[[#This Row],['#]])</f>
        <v>B0020601050205101</v>
      </c>
      <c r="B102" s="20" t="s">
        <v>343</v>
      </c>
      <c r="C102" s="21" t="s">
        <v>213</v>
      </c>
      <c r="D102" s="20" t="s">
        <v>214</v>
      </c>
      <c r="E102" s="20" t="s">
        <v>344</v>
      </c>
      <c r="F102" s="20" t="s">
        <v>345</v>
      </c>
      <c r="G102" s="22" t="s">
        <v>346</v>
      </c>
      <c r="H102" s="20" t="s">
        <v>187</v>
      </c>
      <c r="I102" s="20" t="s">
        <v>188</v>
      </c>
      <c r="J102" s="20" t="s">
        <v>347</v>
      </c>
      <c r="K102" s="20" t="s">
        <v>348</v>
      </c>
      <c r="L102" s="21">
        <v>1</v>
      </c>
      <c r="M102" s="23" t="s">
        <v>349</v>
      </c>
      <c r="N102" s="22" t="s">
        <v>288</v>
      </c>
      <c r="O102" s="24">
        <v>1</v>
      </c>
      <c r="P102" s="24">
        <v>1</v>
      </c>
      <c r="Q102" s="28">
        <v>1</v>
      </c>
      <c r="R102" s="25">
        <f>IFERROR((TABLA_AVANCE_METAS[[#This Row],[AVANCE 1°. TRIM]]/TABLA_AVANCE_METAS[[#This Row],[PROGR. 1° TRIM]])*100,"0")</f>
        <v>100</v>
      </c>
      <c r="S102"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02" s="24">
        <v>0</v>
      </c>
      <c r="U102" s="28">
        <v>0</v>
      </c>
      <c r="V102" s="27" t="str">
        <f t="shared" si="3"/>
        <v>0</v>
      </c>
      <c r="W102" s="26" t="str">
        <f t="shared" si="5"/>
        <v>NO PROG.</v>
      </c>
      <c r="X102" s="24">
        <v>0</v>
      </c>
      <c r="Y102" s="28">
        <v>0</v>
      </c>
      <c r="Z102" s="27" t="s">
        <v>71</v>
      </c>
      <c r="AA102" s="26" t="s">
        <v>72</v>
      </c>
      <c r="AB102" s="24">
        <v>0</v>
      </c>
      <c r="AC102" s="28">
        <v>0</v>
      </c>
      <c r="AD102" s="27" t="str">
        <f>IFERROR((TABLA_AVANCE_METAS[[#This Row],[AVANCE 4°. TRIM]]/TABLA_AVANCE_METAS[[#This Row],[PROGR. 4° TRIM]])*100,"0")</f>
        <v>0</v>
      </c>
      <c r="AE102"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02" s="30">
        <f t="array" ref="AF102">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102" s="84">
        <f t="array" ref="AG102">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102" s="27">
        <f>IFERROR((TABLA_AVANCE_METAS[[#This Row],[AVANCE ACUM. TRIM.]]/TABLA_AVANCE_METAS[[#This Row],[PROG. ACUM]])*100,"N/A")</f>
        <v>100</v>
      </c>
      <c r="AI102"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02" s="31">
        <f>TABLA_AVANCE_METAS[[#This Row],[AVANCE ACUM. TRIM.]]-TABLA_AVANCE_METAS[[#This Row],[PROG. ACUM]]</f>
        <v>0</v>
      </c>
      <c r="AK102" s="32">
        <f>IFERROR((TABLA_AVANCE_METAS[[#This Row],[DIFERENCIA ABSOLUTA SEMESTRAL]]/TABLA_AVANCE_METAS[[#This Row],[PROG. ACUM]])*100,"N/A")</f>
        <v>0</v>
      </c>
      <c r="AL102" s="84">
        <f>TABLA_AVANCE_METAS[[#This Row],[AVANCE 1°. TRIM]]+TABLA_AVANCE_METAS[[#This Row],[AVANCE 2°. TRIM]]+TABLA_AVANCE_METAS[[#This Row],[AVANCE 3°. TRIM]]+TABLA_AVANCE_METAS[[#This Row],[AVANCE 4°. TRIM]]</f>
        <v>1</v>
      </c>
      <c r="AM102" s="27">
        <f>IFERROR((TABLA_AVANCE_METAS[[#This Row],[AVANCE ACUM. ANUAL]]/TABLA_AVANCE_METAS[[#This Row],[PROGRAMADO ANUAL]])*100,"N/A")</f>
        <v>100</v>
      </c>
      <c r="AN102"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102" s="31">
        <f>TABLA_AVANCE_METAS[[#This Row],[AVANCE ACUM. ANUAL]]-TABLA_AVANCE_METAS[[#This Row],[PROGRAMADO ANUAL]]</f>
        <v>0</v>
      </c>
      <c r="AP102" s="33">
        <f>IFERROR((TABLA_AVANCE_METAS[[#This Row],[DIFERENCIA ABSOLUTA ANUAL]]/TABLA_AVANCE_METAS[[#This Row],[PROGRAMADO ANUAL]])*100,"N/A")</f>
        <v>0</v>
      </c>
      <c r="AQ102" s="34"/>
      <c r="AR102" s="35"/>
      <c r="AS102" s="36"/>
      <c r="AT102" s="36"/>
      <c r="AU102" s="37" t="b">
        <f>TABLA_AVANCE_METAS[[#This Row],[PROGRAMADO ANUAL]]=SUM(TABLA_AVANCE_METAS[[#This Row],[PROGR. 1° TRIM]],TABLA_AVANCE_METAS[[#This Row],[PROGR. 2° TRIM]],TABLA_AVANCE_METAS[[#This Row],[PROGR. 3° TRIM]],TABLA_AVANCE_METAS[[#This Row],[PROGR. 4° TRIM]])</f>
        <v>1</v>
      </c>
      <c r="AV102" s="38"/>
    </row>
    <row r="103" spans="1:48" ht="75" hidden="1" customHeight="1" x14ac:dyDescent="0.35">
      <c r="A103" s="19" t="str">
        <f>CONCATENATE(TABLA_AVANCE_METAS[[#This Row],[ESTRUCTURA]],TABLA_AVANCE_METAS[[#This Row],['#]])</f>
        <v>B0020601050205102</v>
      </c>
      <c r="B103" s="20" t="s">
        <v>343</v>
      </c>
      <c r="C103" s="21" t="s">
        <v>213</v>
      </c>
      <c r="D103" s="20" t="s">
        <v>214</v>
      </c>
      <c r="E103" s="20" t="s">
        <v>344</v>
      </c>
      <c r="F103" s="20" t="s">
        <v>345</v>
      </c>
      <c r="G103" s="22" t="s">
        <v>346</v>
      </c>
      <c r="H103" s="20" t="s">
        <v>187</v>
      </c>
      <c r="I103" s="20" t="s">
        <v>188</v>
      </c>
      <c r="J103" s="20" t="s">
        <v>347</v>
      </c>
      <c r="K103" s="20" t="s">
        <v>348</v>
      </c>
      <c r="L103" s="21">
        <v>2</v>
      </c>
      <c r="M103" s="23" t="s">
        <v>350</v>
      </c>
      <c r="N103" s="22" t="s">
        <v>205</v>
      </c>
      <c r="O103" s="24">
        <v>1</v>
      </c>
      <c r="P103" s="24">
        <v>0</v>
      </c>
      <c r="Q103" s="28">
        <v>0</v>
      </c>
      <c r="R103" s="25" t="str">
        <f>IFERROR((TABLA_AVANCE_METAS[[#This Row],[AVANCE 1°. TRIM]]/TABLA_AVANCE_METAS[[#This Row],[PROGR. 1° TRIM]])*100,"0")</f>
        <v>0</v>
      </c>
      <c r="S103"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103" s="24">
        <v>0</v>
      </c>
      <c r="U103" s="28">
        <v>0</v>
      </c>
      <c r="V103" s="27" t="str">
        <f t="shared" si="3"/>
        <v>0</v>
      </c>
      <c r="W103" s="26" t="str">
        <f t="shared" si="5"/>
        <v>NO PROG.</v>
      </c>
      <c r="X103" s="24">
        <v>0</v>
      </c>
      <c r="Y103" s="28">
        <v>0</v>
      </c>
      <c r="Z103" s="27" t="s">
        <v>71</v>
      </c>
      <c r="AA103" s="26" t="s">
        <v>72</v>
      </c>
      <c r="AB103" s="24">
        <v>1</v>
      </c>
      <c r="AC103" s="28">
        <v>0</v>
      </c>
      <c r="AD103" s="27">
        <f>IFERROR((TABLA_AVANCE_METAS[[#This Row],[AVANCE 4°. TRIM]]/TABLA_AVANCE_METAS[[#This Row],[PROGR. 4° TRIM]])*100,"0")</f>
        <v>0</v>
      </c>
      <c r="AE103"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03" s="30">
        <f t="array" ref="AF103">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103" s="84">
        <f t="array" ref="AG103">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103" s="27" t="str">
        <f>IFERROR((TABLA_AVANCE_METAS[[#This Row],[AVANCE ACUM. TRIM.]]/TABLA_AVANCE_METAS[[#This Row],[PROG. ACUM]])*100,"N/A")</f>
        <v>N/A</v>
      </c>
      <c r="AI103"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103" s="31">
        <f>TABLA_AVANCE_METAS[[#This Row],[AVANCE ACUM. TRIM.]]-TABLA_AVANCE_METAS[[#This Row],[PROG. ACUM]]</f>
        <v>0</v>
      </c>
      <c r="AK103" s="32" t="str">
        <f>IFERROR((TABLA_AVANCE_METAS[[#This Row],[DIFERENCIA ABSOLUTA SEMESTRAL]]/TABLA_AVANCE_METAS[[#This Row],[PROG. ACUM]])*100,"N/A")</f>
        <v>N/A</v>
      </c>
      <c r="AL103" s="84">
        <f>TABLA_AVANCE_METAS[[#This Row],[AVANCE 1°. TRIM]]+TABLA_AVANCE_METAS[[#This Row],[AVANCE 2°. TRIM]]+TABLA_AVANCE_METAS[[#This Row],[AVANCE 3°. TRIM]]+TABLA_AVANCE_METAS[[#This Row],[AVANCE 4°. TRIM]]</f>
        <v>0</v>
      </c>
      <c r="AM103" s="27">
        <f>IFERROR((TABLA_AVANCE_METAS[[#This Row],[AVANCE ACUM. ANUAL]]/TABLA_AVANCE_METAS[[#This Row],[PROGRAMADO ANUAL]])*100,"N/A")</f>
        <v>0</v>
      </c>
      <c r="AN103"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103" s="31">
        <f>TABLA_AVANCE_METAS[[#This Row],[AVANCE ACUM. ANUAL]]-TABLA_AVANCE_METAS[[#This Row],[PROGRAMADO ANUAL]]</f>
        <v>-1</v>
      </c>
      <c r="AP103" s="33">
        <f>IFERROR((TABLA_AVANCE_METAS[[#This Row],[DIFERENCIA ABSOLUTA ANUAL]]/TABLA_AVANCE_METAS[[#This Row],[PROGRAMADO ANUAL]])*100,"N/A")</f>
        <v>-100</v>
      </c>
      <c r="AQ103" s="34"/>
      <c r="AR103" s="35"/>
      <c r="AS103" s="36"/>
      <c r="AT103" s="36"/>
      <c r="AU103" s="37" t="b">
        <f>TABLA_AVANCE_METAS[[#This Row],[PROGRAMADO ANUAL]]=SUM(TABLA_AVANCE_METAS[[#This Row],[PROGR. 1° TRIM]],TABLA_AVANCE_METAS[[#This Row],[PROGR. 2° TRIM]],TABLA_AVANCE_METAS[[#This Row],[PROGR. 3° TRIM]],TABLA_AVANCE_METAS[[#This Row],[PROGR. 4° TRIM]])</f>
        <v>1</v>
      </c>
      <c r="AV103" s="38"/>
    </row>
    <row r="104" spans="1:48" ht="75" hidden="1" customHeight="1" x14ac:dyDescent="0.35">
      <c r="A104" s="19" t="str">
        <f>CONCATENATE(TABLA_AVANCE_METAS[[#This Row],[ESTRUCTURA]],TABLA_AVANCE_METAS[[#This Row],['#]])</f>
        <v>B0020601050205103</v>
      </c>
      <c r="B104" s="20" t="s">
        <v>343</v>
      </c>
      <c r="C104" s="21" t="s">
        <v>213</v>
      </c>
      <c r="D104" s="20" t="s">
        <v>214</v>
      </c>
      <c r="E104" s="20" t="s">
        <v>344</v>
      </c>
      <c r="F104" s="20" t="s">
        <v>345</v>
      </c>
      <c r="G104" s="22" t="s">
        <v>346</v>
      </c>
      <c r="H104" s="20" t="s">
        <v>187</v>
      </c>
      <c r="I104" s="20" t="s">
        <v>188</v>
      </c>
      <c r="J104" s="20" t="s">
        <v>347</v>
      </c>
      <c r="K104" s="20" t="s">
        <v>348</v>
      </c>
      <c r="L104" s="21">
        <v>3</v>
      </c>
      <c r="M104" s="23" t="s">
        <v>351</v>
      </c>
      <c r="N104" s="22" t="s">
        <v>291</v>
      </c>
      <c r="O104" s="24">
        <v>1</v>
      </c>
      <c r="P104" s="24">
        <v>0</v>
      </c>
      <c r="Q104" s="28">
        <v>0</v>
      </c>
      <c r="R104" s="25" t="str">
        <f>IFERROR((TABLA_AVANCE_METAS[[#This Row],[AVANCE 1°. TRIM]]/TABLA_AVANCE_METAS[[#This Row],[PROGR. 1° TRIM]])*100,"0")</f>
        <v>0</v>
      </c>
      <c r="S104"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104" s="24">
        <v>0</v>
      </c>
      <c r="U104" s="28">
        <v>0</v>
      </c>
      <c r="V104" s="27" t="str">
        <f t="shared" si="3"/>
        <v>0</v>
      </c>
      <c r="W104" s="26" t="str">
        <f t="shared" si="5"/>
        <v>NO PROG.</v>
      </c>
      <c r="X104" s="24">
        <v>0</v>
      </c>
      <c r="Y104" s="28">
        <v>0</v>
      </c>
      <c r="Z104" s="27" t="s">
        <v>71</v>
      </c>
      <c r="AA104" s="26" t="s">
        <v>72</v>
      </c>
      <c r="AB104" s="24">
        <v>1</v>
      </c>
      <c r="AC104" s="28">
        <v>0</v>
      </c>
      <c r="AD104" s="27">
        <f>IFERROR((TABLA_AVANCE_METAS[[#This Row],[AVANCE 4°. TRIM]]/TABLA_AVANCE_METAS[[#This Row],[PROGR. 4° TRIM]])*100,"0")</f>
        <v>0</v>
      </c>
      <c r="AE104"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04" s="30">
        <f t="array" ref="AF104">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104" s="84">
        <f t="array" ref="AG104">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104" s="27" t="str">
        <f>IFERROR((TABLA_AVANCE_METAS[[#This Row],[AVANCE ACUM. TRIM.]]/TABLA_AVANCE_METAS[[#This Row],[PROG. ACUM]])*100,"N/A")</f>
        <v>N/A</v>
      </c>
      <c r="AI104"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104" s="31">
        <f>TABLA_AVANCE_METAS[[#This Row],[AVANCE ACUM. TRIM.]]-TABLA_AVANCE_METAS[[#This Row],[PROG. ACUM]]</f>
        <v>0</v>
      </c>
      <c r="AK104" s="32" t="str">
        <f>IFERROR((TABLA_AVANCE_METAS[[#This Row],[DIFERENCIA ABSOLUTA SEMESTRAL]]/TABLA_AVANCE_METAS[[#This Row],[PROG. ACUM]])*100,"N/A")</f>
        <v>N/A</v>
      </c>
      <c r="AL104" s="84">
        <f>TABLA_AVANCE_METAS[[#This Row],[AVANCE 1°. TRIM]]+TABLA_AVANCE_METAS[[#This Row],[AVANCE 2°. TRIM]]+TABLA_AVANCE_METAS[[#This Row],[AVANCE 3°. TRIM]]+TABLA_AVANCE_METAS[[#This Row],[AVANCE 4°. TRIM]]</f>
        <v>0</v>
      </c>
      <c r="AM104" s="27">
        <f>IFERROR((TABLA_AVANCE_METAS[[#This Row],[AVANCE ACUM. ANUAL]]/TABLA_AVANCE_METAS[[#This Row],[PROGRAMADO ANUAL]])*100,"N/A")</f>
        <v>0</v>
      </c>
      <c r="AN104"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104" s="31">
        <f>TABLA_AVANCE_METAS[[#This Row],[AVANCE ACUM. ANUAL]]-TABLA_AVANCE_METAS[[#This Row],[PROGRAMADO ANUAL]]</f>
        <v>-1</v>
      </c>
      <c r="AP104" s="33">
        <f>IFERROR((TABLA_AVANCE_METAS[[#This Row],[DIFERENCIA ABSOLUTA ANUAL]]/TABLA_AVANCE_METAS[[#This Row],[PROGRAMADO ANUAL]])*100,"N/A")</f>
        <v>-100</v>
      </c>
      <c r="AQ104" s="34"/>
      <c r="AR104" s="35"/>
      <c r="AS104" s="36"/>
      <c r="AT104" s="36"/>
      <c r="AU104" s="37" t="b">
        <f>TABLA_AVANCE_METAS[[#This Row],[PROGRAMADO ANUAL]]=SUM(TABLA_AVANCE_METAS[[#This Row],[PROGR. 1° TRIM]],TABLA_AVANCE_METAS[[#This Row],[PROGR. 2° TRIM]],TABLA_AVANCE_METAS[[#This Row],[PROGR. 3° TRIM]],TABLA_AVANCE_METAS[[#This Row],[PROGR. 4° TRIM]])</f>
        <v>1</v>
      </c>
      <c r="AV104" s="38"/>
    </row>
    <row r="105" spans="1:48" ht="75" hidden="1" customHeight="1" x14ac:dyDescent="0.35">
      <c r="A105" s="19" t="str">
        <f>CONCATENATE(TABLA_AVANCE_METAS[[#This Row],[ESTRUCTURA]],TABLA_AVANCE_METAS[[#This Row],['#]])</f>
        <v>B0020601050205104</v>
      </c>
      <c r="B105" s="20" t="s">
        <v>343</v>
      </c>
      <c r="C105" s="21" t="s">
        <v>213</v>
      </c>
      <c r="D105" s="20" t="s">
        <v>214</v>
      </c>
      <c r="E105" s="20" t="s">
        <v>344</v>
      </c>
      <c r="F105" s="20" t="s">
        <v>345</v>
      </c>
      <c r="G105" s="22" t="s">
        <v>346</v>
      </c>
      <c r="H105" s="20" t="s">
        <v>187</v>
      </c>
      <c r="I105" s="20" t="s">
        <v>188</v>
      </c>
      <c r="J105" s="20" t="s">
        <v>347</v>
      </c>
      <c r="K105" s="20" t="s">
        <v>348</v>
      </c>
      <c r="L105" s="21">
        <v>4</v>
      </c>
      <c r="M105" s="23" t="s">
        <v>352</v>
      </c>
      <c r="N105" s="22" t="s">
        <v>84</v>
      </c>
      <c r="O105" s="24">
        <v>4</v>
      </c>
      <c r="P105" s="24">
        <v>1</v>
      </c>
      <c r="Q105" s="28">
        <v>1</v>
      </c>
      <c r="R105" s="25">
        <f>IFERROR((TABLA_AVANCE_METAS[[#This Row],[AVANCE 1°. TRIM]]/TABLA_AVANCE_METAS[[#This Row],[PROGR. 1° TRIM]])*100,"0")</f>
        <v>100</v>
      </c>
      <c r="S105"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05" s="24">
        <v>1</v>
      </c>
      <c r="U105" s="28">
        <v>1</v>
      </c>
      <c r="V105" s="27">
        <f t="shared" si="3"/>
        <v>100</v>
      </c>
      <c r="W105" s="26" t="str">
        <f t="shared" si="5"/>
        <v>ADECUADO</v>
      </c>
      <c r="X105" s="24">
        <v>1</v>
      </c>
      <c r="Y105" s="28">
        <v>0</v>
      </c>
      <c r="Z105" s="27">
        <v>0</v>
      </c>
      <c r="AA105" s="26" t="s">
        <v>62</v>
      </c>
      <c r="AB105" s="24">
        <v>1</v>
      </c>
      <c r="AC105" s="28">
        <v>0</v>
      </c>
      <c r="AD105" s="27">
        <f>IFERROR((TABLA_AVANCE_METAS[[#This Row],[AVANCE 4°. TRIM]]/TABLA_AVANCE_METAS[[#This Row],[PROGR. 4° TRIM]])*100,"0")</f>
        <v>0</v>
      </c>
      <c r="AE105"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05" s="30">
        <f t="array" ref="AF105">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105" s="84">
        <f t="array" ref="AG105">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105" s="27">
        <f>IFERROR((TABLA_AVANCE_METAS[[#This Row],[AVANCE ACUM. TRIM.]]/TABLA_AVANCE_METAS[[#This Row],[PROG. ACUM]])*100,"N/A")</f>
        <v>100</v>
      </c>
      <c r="AI105"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05" s="31">
        <f>TABLA_AVANCE_METAS[[#This Row],[AVANCE ACUM. TRIM.]]-TABLA_AVANCE_METAS[[#This Row],[PROG. ACUM]]</f>
        <v>0</v>
      </c>
      <c r="AK105" s="32">
        <f>IFERROR((TABLA_AVANCE_METAS[[#This Row],[DIFERENCIA ABSOLUTA SEMESTRAL]]/TABLA_AVANCE_METAS[[#This Row],[PROG. ACUM]])*100,"N/A")</f>
        <v>0</v>
      </c>
      <c r="AL105" s="84">
        <f>TABLA_AVANCE_METAS[[#This Row],[AVANCE 1°. TRIM]]+TABLA_AVANCE_METAS[[#This Row],[AVANCE 2°. TRIM]]+TABLA_AVANCE_METAS[[#This Row],[AVANCE 3°. TRIM]]+TABLA_AVANCE_METAS[[#This Row],[AVANCE 4°. TRIM]]</f>
        <v>2</v>
      </c>
      <c r="AM105" s="27">
        <f>IFERROR((TABLA_AVANCE_METAS[[#This Row],[AVANCE ACUM. ANUAL]]/TABLA_AVANCE_METAS[[#This Row],[PROGRAMADO ANUAL]])*100,"N/A")</f>
        <v>50</v>
      </c>
      <c r="AN105"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05" s="31">
        <f>TABLA_AVANCE_METAS[[#This Row],[AVANCE ACUM. ANUAL]]-TABLA_AVANCE_METAS[[#This Row],[PROGRAMADO ANUAL]]</f>
        <v>-2</v>
      </c>
      <c r="AP105" s="33">
        <f>IFERROR((TABLA_AVANCE_METAS[[#This Row],[DIFERENCIA ABSOLUTA ANUAL]]/TABLA_AVANCE_METAS[[#This Row],[PROGRAMADO ANUAL]])*100,"N/A")</f>
        <v>-50</v>
      </c>
      <c r="AQ105" s="34"/>
      <c r="AR105" s="35"/>
      <c r="AS105" s="36"/>
      <c r="AT105" s="36"/>
      <c r="AU105" s="37" t="b">
        <f>TABLA_AVANCE_METAS[[#This Row],[PROGRAMADO ANUAL]]=SUM(TABLA_AVANCE_METAS[[#This Row],[PROGR. 1° TRIM]],TABLA_AVANCE_METAS[[#This Row],[PROGR. 2° TRIM]],TABLA_AVANCE_METAS[[#This Row],[PROGR. 3° TRIM]],TABLA_AVANCE_METAS[[#This Row],[PROGR. 4° TRIM]])</f>
        <v>1</v>
      </c>
      <c r="AV105" s="38"/>
    </row>
    <row r="106" spans="1:48" ht="75" hidden="1" customHeight="1" x14ac:dyDescent="0.35">
      <c r="A106" s="19" t="str">
        <f>CONCATENATE(TABLA_AVANCE_METAS[[#This Row],[ESTRUCTURA]],TABLA_AVANCE_METAS[[#This Row],['#]])</f>
        <v>B0020301050205111</v>
      </c>
      <c r="B106" s="20" t="s">
        <v>353</v>
      </c>
      <c r="C106" s="21" t="s">
        <v>213</v>
      </c>
      <c r="D106" s="20" t="s">
        <v>214</v>
      </c>
      <c r="E106" s="20" t="s">
        <v>354</v>
      </c>
      <c r="F106" s="20" t="s">
        <v>355</v>
      </c>
      <c r="G106" s="22" t="s">
        <v>356</v>
      </c>
      <c r="H106" s="20" t="s">
        <v>187</v>
      </c>
      <c r="I106" s="20" t="s">
        <v>188</v>
      </c>
      <c r="J106" s="20" t="s">
        <v>357</v>
      </c>
      <c r="K106" s="20" t="s">
        <v>358</v>
      </c>
      <c r="L106" s="21">
        <v>1</v>
      </c>
      <c r="M106" s="23" t="s">
        <v>359</v>
      </c>
      <c r="N106" s="22" t="s">
        <v>205</v>
      </c>
      <c r="O106" s="24">
        <v>4</v>
      </c>
      <c r="P106" s="24">
        <v>1</v>
      </c>
      <c r="Q106" s="28">
        <v>1</v>
      </c>
      <c r="R106" s="25">
        <f>IFERROR((TABLA_AVANCE_METAS[[#This Row],[AVANCE 1°. TRIM]]/TABLA_AVANCE_METAS[[#This Row],[PROGR. 1° TRIM]])*100,"0")</f>
        <v>100</v>
      </c>
      <c r="S106"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06" s="24">
        <v>1</v>
      </c>
      <c r="U106" s="28">
        <v>1</v>
      </c>
      <c r="V106" s="27">
        <f t="shared" si="3"/>
        <v>100</v>
      </c>
      <c r="W106" s="26" t="str">
        <f t="shared" si="5"/>
        <v>ADECUADO</v>
      </c>
      <c r="X106" s="24">
        <v>1</v>
      </c>
      <c r="Y106" s="28">
        <v>0</v>
      </c>
      <c r="Z106" s="27">
        <v>0</v>
      </c>
      <c r="AA106" s="26" t="s">
        <v>62</v>
      </c>
      <c r="AB106" s="24">
        <v>1</v>
      </c>
      <c r="AC106" s="28">
        <v>0</v>
      </c>
      <c r="AD106" s="27">
        <f>IFERROR((TABLA_AVANCE_METAS[[#This Row],[AVANCE 4°. TRIM]]/TABLA_AVANCE_METAS[[#This Row],[PROGR. 4° TRIM]])*100,"0")</f>
        <v>0</v>
      </c>
      <c r="AE106"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06" s="30">
        <f t="array" ref="AF106">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106" s="84">
        <f t="array" ref="AG106">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106" s="27">
        <f>IFERROR((TABLA_AVANCE_METAS[[#This Row],[AVANCE ACUM. TRIM.]]/TABLA_AVANCE_METAS[[#This Row],[PROG. ACUM]])*100,"N/A")</f>
        <v>100</v>
      </c>
      <c r="AI106"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06" s="31">
        <f>TABLA_AVANCE_METAS[[#This Row],[AVANCE ACUM. TRIM.]]-TABLA_AVANCE_METAS[[#This Row],[PROG. ACUM]]</f>
        <v>0</v>
      </c>
      <c r="AK106" s="32">
        <f>IFERROR((TABLA_AVANCE_METAS[[#This Row],[DIFERENCIA ABSOLUTA SEMESTRAL]]/TABLA_AVANCE_METAS[[#This Row],[PROG. ACUM]])*100,"N/A")</f>
        <v>0</v>
      </c>
      <c r="AL106" s="84">
        <f>TABLA_AVANCE_METAS[[#This Row],[AVANCE 1°. TRIM]]+TABLA_AVANCE_METAS[[#This Row],[AVANCE 2°. TRIM]]+TABLA_AVANCE_METAS[[#This Row],[AVANCE 3°. TRIM]]+TABLA_AVANCE_METAS[[#This Row],[AVANCE 4°. TRIM]]</f>
        <v>2</v>
      </c>
      <c r="AM106" s="27">
        <f>IFERROR((TABLA_AVANCE_METAS[[#This Row],[AVANCE ACUM. ANUAL]]/TABLA_AVANCE_METAS[[#This Row],[PROGRAMADO ANUAL]])*100,"N/A")</f>
        <v>50</v>
      </c>
      <c r="AN106"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06" s="31">
        <f>TABLA_AVANCE_METAS[[#This Row],[AVANCE ACUM. ANUAL]]-TABLA_AVANCE_METAS[[#This Row],[PROGRAMADO ANUAL]]</f>
        <v>-2</v>
      </c>
      <c r="AP106" s="33">
        <f>IFERROR((TABLA_AVANCE_METAS[[#This Row],[DIFERENCIA ABSOLUTA ANUAL]]/TABLA_AVANCE_METAS[[#This Row],[PROGRAMADO ANUAL]])*100,"N/A")</f>
        <v>-50</v>
      </c>
      <c r="AQ106" s="34"/>
      <c r="AR106" s="35"/>
      <c r="AS106" s="36"/>
      <c r="AT106" s="36"/>
      <c r="AU106" s="37" t="b">
        <f>TABLA_AVANCE_METAS[[#This Row],[PROGRAMADO ANUAL]]=SUM(TABLA_AVANCE_METAS[[#This Row],[PROGR. 1° TRIM]],TABLA_AVANCE_METAS[[#This Row],[PROGR. 2° TRIM]],TABLA_AVANCE_METAS[[#This Row],[PROGR. 3° TRIM]],TABLA_AVANCE_METAS[[#This Row],[PROGR. 4° TRIM]])</f>
        <v>1</v>
      </c>
      <c r="AV106" s="38"/>
    </row>
    <row r="107" spans="1:48" ht="75" hidden="1" customHeight="1" x14ac:dyDescent="0.35">
      <c r="A107" s="19" t="str">
        <f>CONCATENATE(TABLA_AVANCE_METAS[[#This Row],[ESTRUCTURA]],TABLA_AVANCE_METAS[[#This Row],['#]])</f>
        <v>B0020301050205112</v>
      </c>
      <c r="B107" s="20" t="s">
        <v>353</v>
      </c>
      <c r="C107" s="21" t="s">
        <v>213</v>
      </c>
      <c r="D107" s="20" t="s">
        <v>214</v>
      </c>
      <c r="E107" s="20" t="s">
        <v>354</v>
      </c>
      <c r="F107" s="20" t="s">
        <v>355</v>
      </c>
      <c r="G107" s="22" t="s">
        <v>356</v>
      </c>
      <c r="H107" s="20" t="s">
        <v>187</v>
      </c>
      <c r="I107" s="20" t="s">
        <v>188</v>
      </c>
      <c r="J107" s="20" t="s">
        <v>357</v>
      </c>
      <c r="K107" s="20" t="s">
        <v>358</v>
      </c>
      <c r="L107" s="21">
        <v>2</v>
      </c>
      <c r="M107" s="23" t="s">
        <v>360</v>
      </c>
      <c r="N107" s="22" t="s">
        <v>288</v>
      </c>
      <c r="O107" s="24">
        <v>1</v>
      </c>
      <c r="P107" s="24">
        <v>1</v>
      </c>
      <c r="Q107" s="28">
        <v>1</v>
      </c>
      <c r="R107" s="25">
        <f>IFERROR((TABLA_AVANCE_METAS[[#This Row],[AVANCE 1°. TRIM]]/TABLA_AVANCE_METAS[[#This Row],[PROGR. 1° TRIM]])*100,"0")</f>
        <v>100</v>
      </c>
      <c r="S107"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07" s="24">
        <v>0</v>
      </c>
      <c r="U107" s="28">
        <v>0</v>
      </c>
      <c r="V107" s="27" t="str">
        <f t="shared" si="3"/>
        <v>0</v>
      </c>
      <c r="W107" s="26" t="str">
        <f t="shared" si="5"/>
        <v>NO PROG.</v>
      </c>
      <c r="X107" s="24">
        <v>0</v>
      </c>
      <c r="Y107" s="28">
        <v>0</v>
      </c>
      <c r="Z107" s="27" t="s">
        <v>71</v>
      </c>
      <c r="AA107" s="26" t="s">
        <v>72</v>
      </c>
      <c r="AB107" s="24">
        <v>0</v>
      </c>
      <c r="AC107" s="28">
        <v>0</v>
      </c>
      <c r="AD107" s="27" t="str">
        <f>IFERROR((TABLA_AVANCE_METAS[[#This Row],[AVANCE 4°. TRIM]]/TABLA_AVANCE_METAS[[#This Row],[PROGR. 4° TRIM]])*100,"0")</f>
        <v>0</v>
      </c>
      <c r="AE107"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07" s="30">
        <f t="array" ref="AF107">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107" s="84">
        <f t="array" ref="AG107">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107" s="27">
        <f>IFERROR((TABLA_AVANCE_METAS[[#This Row],[AVANCE ACUM. TRIM.]]/TABLA_AVANCE_METAS[[#This Row],[PROG. ACUM]])*100,"N/A")</f>
        <v>100</v>
      </c>
      <c r="AI107"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07" s="31">
        <f>TABLA_AVANCE_METAS[[#This Row],[AVANCE ACUM. TRIM.]]-TABLA_AVANCE_METAS[[#This Row],[PROG. ACUM]]</f>
        <v>0</v>
      </c>
      <c r="AK107" s="32">
        <f>IFERROR((TABLA_AVANCE_METAS[[#This Row],[DIFERENCIA ABSOLUTA SEMESTRAL]]/TABLA_AVANCE_METAS[[#This Row],[PROG. ACUM]])*100,"N/A")</f>
        <v>0</v>
      </c>
      <c r="AL107" s="84">
        <f>TABLA_AVANCE_METAS[[#This Row],[AVANCE 1°. TRIM]]+TABLA_AVANCE_METAS[[#This Row],[AVANCE 2°. TRIM]]+TABLA_AVANCE_METAS[[#This Row],[AVANCE 3°. TRIM]]+TABLA_AVANCE_METAS[[#This Row],[AVANCE 4°. TRIM]]</f>
        <v>1</v>
      </c>
      <c r="AM107" s="27">
        <f>IFERROR((TABLA_AVANCE_METAS[[#This Row],[AVANCE ACUM. ANUAL]]/TABLA_AVANCE_METAS[[#This Row],[PROGRAMADO ANUAL]])*100,"N/A")</f>
        <v>100</v>
      </c>
      <c r="AN107"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107" s="31">
        <f>TABLA_AVANCE_METAS[[#This Row],[AVANCE ACUM. ANUAL]]-TABLA_AVANCE_METAS[[#This Row],[PROGRAMADO ANUAL]]</f>
        <v>0</v>
      </c>
      <c r="AP107" s="33">
        <f>IFERROR((TABLA_AVANCE_METAS[[#This Row],[DIFERENCIA ABSOLUTA ANUAL]]/TABLA_AVANCE_METAS[[#This Row],[PROGRAMADO ANUAL]])*100,"N/A")</f>
        <v>0</v>
      </c>
      <c r="AQ107" s="34"/>
      <c r="AR107" s="35"/>
      <c r="AS107" s="36"/>
      <c r="AT107" s="36"/>
      <c r="AU107" s="37" t="b">
        <f>TABLA_AVANCE_METAS[[#This Row],[PROGRAMADO ANUAL]]=SUM(TABLA_AVANCE_METAS[[#This Row],[PROGR. 1° TRIM]],TABLA_AVANCE_METAS[[#This Row],[PROGR. 2° TRIM]],TABLA_AVANCE_METAS[[#This Row],[PROGR. 3° TRIM]],TABLA_AVANCE_METAS[[#This Row],[PROGR. 4° TRIM]])</f>
        <v>1</v>
      </c>
      <c r="AV107" s="38"/>
    </row>
    <row r="108" spans="1:48" ht="75" hidden="1" customHeight="1" x14ac:dyDescent="0.35">
      <c r="A108" s="19" t="str">
        <f>CONCATENATE(TABLA_AVANCE_METAS[[#This Row],[ESTRUCTURA]],TABLA_AVANCE_METAS[[#This Row],['#]])</f>
        <v>B0020301050205113</v>
      </c>
      <c r="B108" s="20" t="s">
        <v>353</v>
      </c>
      <c r="C108" s="21" t="s">
        <v>213</v>
      </c>
      <c r="D108" s="20" t="s">
        <v>214</v>
      </c>
      <c r="E108" s="20" t="s">
        <v>354</v>
      </c>
      <c r="F108" s="20" t="s">
        <v>355</v>
      </c>
      <c r="G108" s="22" t="s">
        <v>356</v>
      </c>
      <c r="H108" s="20" t="s">
        <v>187</v>
      </c>
      <c r="I108" s="20" t="s">
        <v>188</v>
      </c>
      <c r="J108" s="20" t="s">
        <v>357</v>
      </c>
      <c r="K108" s="20" t="s">
        <v>358</v>
      </c>
      <c r="L108" s="21">
        <v>3</v>
      </c>
      <c r="M108" s="23" t="s">
        <v>361</v>
      </c>
      <c r="N108" s="22" t="s">
        <v>205</v>
      </c>
      <c r="O108" s="24">
        <v>1</v>
      </c>
      <c r="P108" s="24">
        <v>0</v>
      </c>
      <c r="Q108" s="28">
        <v>0</v>
      </c>
      <c r="R108" s="25" t="str">
        <f>IFERROR((TABLA_AVANCE_METAS[[#This Row],[AVANCE 1°. TRIM]]/TABLA_AVANCE_METAS[[#This Row],[PROGR. 1° TRIM]])*100,"0")</f>
        <v>0</v>
      </c>
      <c r="S108"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108" s="24">
        <v>0</v>
      </c>
      <c r="U108" s="28">
        <v>0</v>
      </c>
      <c r="V108" s="27" t="str">
        <f t="shared" si="3"/>
        <v>0</v>
      </c>
      <c r="W108" s="26" t="str">
        <f t="shared" si="5"/>
        <v>NO PROG.</v>
      </c>
      <c r="X108" s="24">
        <v>0</v>
      </c>
      <c r="Y108" s="28">
        <v>0</v>
      </c>
      <c r="Z108" s="27" t="s">
        <v>71</v>
      </c>
      <c r="AA108" s="26" t="s">
        <v>72</v>
      </c>
      <c r="AB108" s="24">
        <v>1</v>
      </c>
      <c r="AC108" s="28">
        <v>0</v>
      </c>
      <c r="AD108" s="27">
        <f>IFERROR((TABLA_AVANCE_METAS[[#This Row],[AVANCE 4°. TRIM]]/TABLA_AVANCE_METAS[[#This Row],[PROGR. 4° TRIM]])*100,"0")</f>
        <v>0</v>
      </c>
      <c r="AE108"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08" s="30">
        <f t="array" ref="AF108">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108" s="84">
        <f t="array" ref="AG108">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108" s="27" t="str">
        <f>IFERROR((TABLA_AVANCE_METAS[[#This Row],[AVANCE ACUM. TRIM.]]/TABLA_AVANCE_METAS[[#This Row],[PROG. ACUM]])*100,"N/A")</f>
        <v>N/A</v>
      </c>
      <c r="AI108"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108" s="31">
        <f>TABLA_AVANCE_METAS[[#This Row],[AVANCE ACUM. TRIM.]]-TABLA_AVANCE_METAS[[#This Row],[PROG. ACUM]]</f>
        <v>0</v>
      </c>
      <c r="AK108" s="32" t="str">
        <f>IFERROR((TABLA_AVANCE_METAS[[#This Row],[DIFERENCIA ABSOLUTA SEMESTRAL]]/TABLA_AVANCE_METAS[[#This Row],[PROG. ACUM]])*100,"N/A")</f>
        <v>N/A</v>
      </c>
      <c r="AL108" s="84">
        <f>TABLA_AVANCE_METAS[[#This Row],[AVANCE 1°. TRIM]]+TABLA_AVANCE_METAS[[#This Row],[AVANCE 2°. TRIM]]+TABLA_AVANCE_METAS[[#This Row],[AVANCE 3°. TRIM]]+TABLA_AVANCE_METAS[[#This Row],[AVANCE 4°. TRIM]]</f>
        <v>0</v>
      </c>
      <c r="AM108" s="27">
        <f>IFERROR((TABLA_AVANCE_METAS[[#This Row],[AVANCE ACUM. ANUAL]]/TABLA_AVANCE_METAS[[#This Row],[PROGRAMADO ANUAL]])*100,"N/A")</f>
        <v>0</v>
      </c>
      <c r="AN108"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108" s="31">
        <f>TABLA_AVANCE_METAS[[#This Row],[AVANCE ACUM. ANUAL]]-TABLA_AVANCE_METAS[[#This Row],[PROGRAMADO ANUAL]]</f>
        <v>-1</v>
      </c>
      <c r="AP108" s="33">
        <f>IFERROR((TABLA_AVANCE_METAS[[#This Row],[DIFERENCIA ABSOLUTA ANUAL]]/TABLA_AVANCE_METAS[[#This Row],[PROGRAMADO ANUAL]])*100,"N/A")</f>
        <v>-100</v>
      </c>
      <c r="AQ108" s="34"/>
      <c r="AR108" s="35"/>
      <c r="AS108" s="36"/>
      <c r="AT108" s="36"/>
      <c r="AU108" s="37" t="b">
        <f>TABLA_AVANCE_METAS[[#This Row],[PROGRAMADO ANUAL]]=SUM(TABLA_AVANCE_METAS[[#This Row],[PROGR. 1° TRIM]],TABLA_AVANCE_METAS[[#This Row],[PROGR. 2° TRIM]],TABLA_AVANCE_METAS[[#This Row],[PROGR. 3° TRIM]],TABLA_AVANCE_METAS[[#This Row],[PROGR. 4° TRIM]])</f>
        <v>1</v>
      </c>
      <c r="AV108" s="38"/>
    </row>
    <row r="109" spans="1:48" ht="75" hidden="1" customHeight="1" x14ac:dyDescent="0.35">
      <c r="A109" s="19" t="str">
        <f>CONCATENATE(TABLA_AVANCE_METAS[[#This Row],[ESTRUCTURA]],TABLA_AVANCE_METAS[[#This Row],['#]])</f>
        <v>B0020301050205114</v>
      </c>
      <c r="B109" s="20" t="s">
        <v>353</v>
      </c>
      <c r="C109" s="21" t="s">
        <v>213</v>
      </c>
      <c r="D109" s="20" t="s">
        <v>214</v>
      </c>
      <c r="E109" s="20" t="s">
        <v>354</v>
      </c>
      <c r="F109" s="20" t="s">
        <v>355</v>
      </c>
      <c r="G109" s="22" t="s">
        <v>356</v>
      </c>
      <c r="H109" s="20" t="s">
        <v>187</v>
      </c>
      <c r="I109" s="20" t="s">
        <v>188</v>
      </c>
      <c r="J109" s="20" t="s">
        <v>357</v>
      </c>
      <c r="K109" s="20" t="s">
        <v>358</v>
      </c>
      <c r="L109" s="21">
        <v>4</v>
      </c>
      <c r="M109" s="23" t="s">
        <v>362</v>
      </c>
      <c r="N109" s="22" t="s">
        <v>84</v>
      </c>
      <c r="O109" s="24">
        <v>1</v>
      </c>
      <c r="P109" s="24">
        <v>0</v>
      </c>
      <c r="Q109" s="28">
        <v>0</v>
      </c>
      <c r="R109" s="25" t="str">
        <f>IFERROR((TABLA_AVANCE_METAS[[#This Row],[AVANCE 1°. TRIM]]/TABLA_AVANCE_METAS[[#This Row],[PROGR. 1° TRIM]])*100,"0")</f>
        <v>0</v>
      </c>
      <c r="S109"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109" s="24">
        <v>0</v>
      </c>
      <c r="U109" s="28">
        <v>0</v>
      </c>
      <c r="V109" s="27" t="str">
        <f t="shared" si="3"/>
        <v>0</v>
      </c>
      <c r="W109" s="26" t="str">
        <f t="shared" si="5"/>
        <v>NO PROG.</v>
      </c>
      <c r="X109" s="24">
        <v>1</v>
      </c>
      <c r="Y109" s="28">
        <v>0</v>
      </c>
      <c r="Z109" s="27">
        <v>0</v>
      </c>
      <c r="AA109" s="26" t="s">
        <v>62</v>
      </c>
      <c r="AB109" s="24">
        <v>0</v>
      </c>
      <c r="AC109" s="28">
        <v>0</v>
      </c>
      <c r="AD109" s="27" t="str">
        <f>IFERROR((TABLA_AVANCE_METAS[[#This Row],[AVANCE 4°. TRIM]]/TABLA_AVANCE_METAS[[#This Row],[PROGR. 4° TRIM]])*100,"0")</f>
        <v>0</v>
      </c>
      <c r="AE109"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09" s="30">
        <f t="array" ref="AF109">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109" s="84">
        <f t="array" ref="AG109">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109" s="27" t="str">
        <f>IFERROR((TABLA_AVANCE_METAS[[#This Row],[AVANCE ACUM. TRIM.]]/TABLA_AVANCE_METAS[[#This Row],[PROG. ACUM]])*100,"N/A")</f>
        <v>N/A</v>
      </c>
      <c r="AI109"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109" s="31">
        <f>TABLA_AVANCE_METAS[[#This Row],[AVANCE ACUM. TRIM.]]-TABLA_AVANCE_METAS[[#This Row],[PROG. ACUM]]</f>
        <v>0</v>
      </c>
      <c r="AK109" s="32" t="str">
        <f>IFERROR((TABLA_AVANCE_METAS[[#This Row],[DIFERENCIA ABSOLUTA SEMESTRAL]]/TABLA_AVANCE_METAS[[#This Row],[PROG. ACUM]])*100,"N/A")</f>
        <v>N/A</v>
      </c>
      <c r="AL109" s="84">
        <f>TABLA_AVANCE_METAS[[#This Row],[AVANCE 1°. TRIM]]+TABLA_AVANCE_METAS[[#This Row],[AVANCE 2°. TRIM]]+TABLA_AVANCE_METAS[[#This Row],[AVANCE 3°. TRIM]]+TABLA_AVANCE_METAS[[#This Row],[AVANCE 4°. TRIM]]</f>
        <v>0</v>
      </c>
      <c r="AM109" s="27">
        <f>IFERROR((TABLA_AVANCE_METAS[[#This Row],[AVANCE ACUM. ANUAL]]/TABLA_AVANCE_METAS[[#This Row],[PROGRAMADO ANUAL]])*100,"N/A")</f>
        <v>0</v>
      </c>
      <c r="AN109"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109" s="31">
        <f>TABLA_AVANCE_METAS[[#This Row],[AVANCE ACUM. ANUAL]]-TABLA_AVANCE_METAS[[#This Row],[PROGRAMADO ANUAL]]</f>
        <v>-1</v>
      </c>
      <c r="AP109" s="33">
        <f>IFERROR((TABLA_AVANCE_METAS[[#This Row],[DIFERENCIA ABSOLUTA ANUAL]]/TABLA_AVANCE_METAS[[#This Row],[PROGRAMADO ANUAL]])*100,"N/A")</f>
        <v>-100</v>
      </c>
      <c r="AQ109" s="34"/>
      <c r="AR109" s="35"/>
      <c r="AS109" s="36"/>
      <c r="AT109" s="36"/>
      <c r="AU109" s="37" t="b">
        <f>TABLA_AVANCE_METAS[[#This Row],[PROGRAMADO ANUAL]]=SUM(TABLA_AVANCE_METAS[[#This Row],[PROGR. 1° TRIM]],TABLA_AVANCE_METAS[[#This Row],[PROGR. 2° TRIM]],TABLA_AVANCE_METAS[[#This Row],[PROGR. 3° TRIM]],TABLA_AVANCE_METAS[[#This Row],[PROGR. 4° TRIM]])</f>
        <v>1</v>
      </c>
      <c r="AV109" s="38"/>
    </row>
    <row r="110" spans="1:48" ht="75" hidden="1" customHeight="1" x14ac:dyDescent="0.35">
      <c r="A110" s="19" t="str">
        <f>CONCATENATE(TABLA_AVANCE_METAS[[#This Row],[ESTRUCTURA]],TABLA_AVANCE_METAS[[#This Row],['#]])</f>
        <v>B0020301050205115</v>
      </c>
      <c r="B110" s="20" t="s">
        <v>353</v>
      </c>
      <c r="C110" s="21" t="s">
        <v>213</v>
      </c>
      <c r="D110" s="20" t="s">
        <v>214</v>
      </c>
      <c r="E110" s="20" t="s">
        <v>354</v>
      </c>
      <c r="F110" s="20" t="s">
        <v>355</v>
      </c>
      <c r="G110" s="22" t="s">
        <v>356</v>
      </c>
      <c r="H110" s="20" t="s">
        <v>187</v>
      </c>
      <c r="I110" s="20" t="s">
        <v>188</v>
      </c>
      <c r="J110" s="20" t="s">
        <v>357</v>
      </c>
      <c r="K110" s="20" t="s">
        <v>358</v>
      </c>
      <c r="L110" s="21">
        <v>5</v>
      </c>
      <c r="M110" s="23" t="s">
        <v>363</v>
      </c>
      <c r="N110" s="22" t="s">
        <v>84</v>
      </c>
      <c r="O110" s="24">
        <v>1</v>
      </c>
      <c r="P110" s="24">
        <v>0</v>
      </c>
      <c r="Q110" s="28">
        <v>0</v>
      </c>
      <c r="R110" s="25" t="str">
        <f>IFERROR((TABLA_AVANCE_METAS[[#This Row],[AVANCE 1°. TRIM]]/TABLA_AVANCE_METAS[[#This Row],[PROGR. 1° TRIM]])*100,"0")</f>
        <v>0</v>
      </c>
      <c r="S110"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110" s="24">
        <v>0</v>
      </c>
      <c r="U110" s="28">
        <v>0</v>
      </c>
      <c r="V110" s="27" t="str">
        <f t="shared" si="3"/>
        <v>0</v>
      </c>
      <c r="W110" s="26" t="str">
        <f t="shared" si="5"/>
        <v>NO PROG.</v>
      </c>
      <c r="X110" s="24">
        <v>1</v>
      </c>
      <c r="Y110" s="28">
        <v>0</v>
      </c>
      <c r="Z110" s="27">
        <v>0</v>
      </c>
      <c r="AA110" s="26" t="s">
        <v>62</v>
      </c>
      <c r="AB110" s="24">
        <v>0</v>
      </c>
      <c r="AC110" s="28">
        <v>0</v>
      </c>
      <c r="AD110" s="27" t="str">
        <f>IFERROR((TABLA_AVANCE_METAS[[#This Row],[AVANCE 4°. TRIM]]/TABLA_AVANCE_METAS[[#This Row],[PROGR. 4° TRIM]])*100,"0")</f>
        <v>0</v>
      </c>
      <c r="AE110"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10" s="30">
        <f t="array" ref="AF110">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110" s="84">
        <f t="array" ref="AG110">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110" s="27" t="str">
        <f>IFERROR((TABLA_AVANCE_METAS[[#This Row],[AVANCE ACUM. TRIM.]]/TABLA_AVANCE_METAS[[#This Row],[PROG. ACUM]])*100,"N/A")</f>
        <v>N/A</v>
      </c>
      <c r="AI110"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110" s="31">
        <f>TABLA_AVANCE_METAS[[#This Row],[AVANCE ACUM. TRIM.]]-TABLA_AVANCE_METAS[[#This Row],[PROG. ACUM]]</f>
        <v>0</v>
      </c>
      <c r="AK110" s="32" t="str">
        <f>IFERROR((TABLA_AVANCE_METAS[[#This Row],[DIFERENCIA ABSOLUTA SEMESTRAL]]/TABLA_AVANCE_METAS[[#This Row],[PROG. ACUM]])*100,"N/A")</f>
        <v>N/A</v>
      </c>
      <c r="AL110" s="84">
        <f>TABLA_AVANCE_METAS[[#This Row],[AVANCE 1°. TRIM]]+TABLA_AVANCE_METAS[[#This Row],[AVANCE 2°. TRIM]]+TABLA_AVANCE_METAS[[#This Row],[AVANCE 3°. TRIM]]+TABLA_AVANCE_METAS[[#This Row],[AVANCE 4°. TRIM]]</f>
        <v>0</v>
      </c>
      <c r="AM110" s="27">
        <f>IFERROR((TABLA_AVANCE_METAS[[#This Row],[AVANCE ACUM. ANUAL]]/TABLA_AVANCE_METAS[[#This Row],[PROGRAMADO ANUAL]])*100,"N/A")</f>
        <v>0</v>
      </c>
      <c r="AN110"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110" s="31">
        <f>TABLA_AVANCE_METAS[[#This Row],[AVANCE ACUM. ANUAL]]-TABLA_AVANCE_METAS[[#This Row],[PROGRAMADO ANUAL]]</f>
        <v>-1</v>
      </c>
      <c r="AP110" s="33">
        <f>IFERROR((TABLA_AVANCE_METAS[[#This Row],[DIFERENCIA ABSOLUTA ANUAL]]/TABLA_AVANCE_METAS[[#This Row],[PROGRAMADO ANUAL]])*100,"N/A")</f>
        <v>-100</v>
      </c>
      <c r="AQ110" s="34"/>
      <c r="AR110" s="35"/>
      <c r="AS110" s="36"/>
      <c r="AT110" s="36"/>
      <c r="AU110" s="37" t="b">
        <f>TABLA_AVANCE_METAS[[#This Row],[PROGRAMADO ANUAL]]=SUM(TABLA_AVANCE_METAS[[#This Row],[PROGR. 1° TRIM]],TABLA_AVANCE_METAS[[#This Row],[PROGR. 2° TRIM]],TABLA_AVANCE_METAS[[#This Row],[PROGR. 3° TRIM]],TABLA_AVANCE_METAS[[#This Row],[PROGR. 4° TRIM]])</f>
        <v>1</v>
      </c>
      <c r="AV110" s="38"/>
    </row>
    <row r="111" spans="1:48" ht="75" hidden="1" customHeight="1" x14ac:dyDescent="0.35">
      <c r="A111" s="19" t="str">
        <f>CONCATENATE(TABLA_AVANCE_METAS[[#This Row],[ESTRUCTURA]],TABLA_AVANCE_METAS[[#This Row],['#]])</f>
        <v>B0020301050205116</v>
      </c>
      <c r="B111" s="20" t="s">
        <v>353</v>
      </c>
      <c r="C111" s="48" t="s">
        <v>213</v>
      </c>
      <c r="D111" s="47" t="s">
        <v>214</v>
      </c>
      <c r="E111" s="20" t="s">
        <v>354</v>
      </c>
      <c r="F111" s="47" t="s">
        <v>355</v>
      </c>
      <c r="G111" s="22" t="s">
        <v>356</v>
      </c>
      <c r="H111" s="47" t="s">
        <v>187</v>
      </c>
      <c r="I111" s="47" t="s">
        <v>188</v>
      </c>
      <c r="J111" s="47" t="s">
        <v>357</v>
      </c>
      <c r="K111" s="47" t="s">
        <v>358</v>
      </c>
      <c r="L111" s="21">
        <v>6</v>
      </c>
      <c r="M111" s="43" t="s">
        <v>364</v>
      </c>
      <c r="N111" s="22" t="s">
        <v>84</v>
      </c>
      <c r="O111" s="24">
        <v>1</v>
      </c>
      <c r="P111" s="24">
        <v>0</v>
      </c>
      <c r="Q111" s="28">
        <v>0</v>
      </c>
      <c r="R111" s="25" t="str">
        <f>IFERROR((TABLA_AVANCE_METAS[[#This Row],[AVANCE 1°. TRIM]]/TABLA_AVANCE_METAS[[#This Row],[PROGR. 1° TRIM]])*100,"0")</f>
        <v>0</v>
      </c>
      <c r="S111"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111" s="24">
        <v>1</v>
      </c>
      <c r="U111" s="28">
        <v>1</v>
      </c>
      <c r="V111" s="27">
        <f t="shared" si="3"/>
        <v>100</v>
      </c>
      <c r="W111" s="26" t="str">
        <f t="shared" si="5"/>
        <v>ADECUADO</v>
      </c>
      <c r="X111" s="24">
        <v>0</v>
      </c>
      <c r="Y111" s="28">
        <v>0</v>
      </c>
      <c r="Z111" s="27" t="s">
        <v>71</v>
      </c>
      <c r="AA111" s="26" t="s">
        <v>72</v>
      </c>
      <c r="AB111" s="24">
        <v>0</v>
      </c>
      <c r="AC111" s="28">
        <v>0</v>
      </c>
      <c r="AD111" s="27" t="str">
        <f>IFERROR((TABLA_AVANCE_METAS[[#This Row],[AVANCE 4°. TRIM]]/TABLA_AVANCE_METAS[[#This Row],[PROGR. 4° TRIM]])*100,"0")</f>
        <v>0</v>
      </c>
      <c r="AE111"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11" s="30">
        <f t="array" ref="AF111">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111" s="84">
        <f t="array" ref="AG111">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111" s="27">
        <f>IFERROR((TABLA_AVANCE_METAS[[#This Row],[AVANCE ACUM. TRIM.]]/TABLA_AVANCE_METAS[[#This Row],[PROG. ACUM]])*100,"N/A")</f>
        <v>100</v>
      </c>
      <c r="AI111"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11" s="31">
        <f>TABLA_AVANCE_METAS[[#This Row],[AVANCE ACUM. TRIM.]]-TABLA_AVANCE_METAS[[#This Row],[PROG. ACUM]]</f>
        <v>0</v>
      </c>
      <c r="AK111" s="32">
        <f>IFERROR((TABLA_AVANCE_METAS[[#This Row],[DIFERENCIA ABSOLUTA SEMESTRAL]]/TABLA_AVANCE_METAS[[#This Row],[PROG. ACUM]])*100,"N/A")</f>
        <v>0</v>
      </c>
      <c r="AL111" s="84">
        <f>TABLA_AVANCE_METAS[[#This Row],[AVANCE 1°. TRIM]]+TABLA_AVANCE_METAS[[#This Row],[AVANCE 2°. TRIM]]+TABLA_AVANCE_METAS[[#This Row],[AVANCE 3°. TRIM]]+TABLA_AVANCE_METAS[[#This Row],[AVANCE 4°. TRIM]]</f>
        <v>1</v>
      </c>
      <c r="AM111" s="27">
        <f>IFERROR((TABLA_AVANCE_METAS[[#This Row],[AVANCE ACUM. ANUAL]]/TABLA_AVANCE_METAS[[#This Row],[PROGRAMADO ANUAL]])*100,"N/A")</f>
        <v>100</v>
      </c>
      <c r="AN111"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111" s="31">
        <f>TABLA_AVANCE_METAS[[#This Row],[AVANCE ACUM. ANUAL]]-TABLA_AVANCE_METAS[[#This Row],[PROGRAMADO ANUAL]]</f>
        <v>0</v>
      </c>
      <c r="AP111" s="33">
        <f>IFERROR((TABLA_AVANCE_METAS[[#This Row],[DIFERENCIA ABSOLUTA ANUAL]]/TABLA_AVANCE_METAS[[#This Row],[PROGRAMADO ANUAL]])*100,"N/A")</f>
        <v>0</v>
      </c>
      <c r="AQ111" s="34"/>
      <c r="AR111" s="35"/>
      <c r="AS111" s="36"/>
      <c r="AT111" s="36"/>
      <c r="AU111" s="37" t="b">
        <f>TABLA_AVANCE_METAS[[#This Row],[PROGRAMADO ANUAL]]=SUM(TABLA_AVANCE_METAS[[#This Row],[PROGR. 1° TRIM]],TABLA_AVANCE_METAS[[#This Row],[PROGR. 2° TRIM]],TABLA_AVANCE_METAS[[#This Row],[PROGR. 3° TRIM]],TABLA_AVANCE_METAS[[#This Row],[PROGR. 4° TRIM]])</f>
        <v>1</v>
      </c>
      <c r="AV111" s="38"/>
    </row>
    <row r="112" spans="1:48" ht="75" hidden="1" customHeight="1" x14ac:dyDescent="0.35">
      <c r="A112" s="51" t="str">
        <f>CONCATENATE(TABLA_AVANCE_METAS[[#This Row],[ESTRUCTURA]],TABLA_AVANCE_METAS[[#This Row],['#]])</f>
        <v>B0321501030101031</v>
      </c>
      <c r="B112" s="52" t="s">
        <v>365</v>
      </c>
      <c r="C112" s="53" t="s">
        <v>366</v>
      </c>
      <c r="D112" s="52" t="s">
        <v>367</v>
      </c>
      <c r="E112" s="52" t="s">
        <v>76</v>
      </c>
      <c r="F112" s="52" t="s">
        <v>77</v>
      </c>
      <c r="G112" s="54" t="s">
        <v>368</v>
      </c>
      <c r="H112" s="52" t="s">
        <v>56</v>
      </c>
      <c r="I112" s="52" t="s">
        <v>57</v>
      </c>
      <c r="J112" s="52" t="s">
        <v>58</v>
      </c>
      <c r="K112" s="52" t="s">
        <v>59</v>
      </c>
      <c r="L112" s="53">
        <v>1</v>
      </c>
      <c r="M112" s="55" t="s">
        <v>369</v>
      </c>
      <c r="N112" s="54" t="s">
        <v>370</v>
      </c>
      <c r="O112" s="56"/>
      <c r="P112" s="56">
        <v>0</v>
      </c>
      <c r="Q112" s="28">
        <v>0</v>
      </c>
      <c r="R112" s="57" t="str">
        <f>IFERROR((TABLA_AVANCE_METAS[[#This Row],[AVANCE 1°. TRIM]]/TABLA_AVANCE_METAS[[#This Row],[PROGR. 1° TRIM]])*100,"0")</f>
        <v>0</v>
      </c>
      <c r="S112" s="58"/>
      <c r="T112" s="56">
        <v>0</v>
      </c>
      <c r="U112" s="28">
        <v>0</v>
      </c>
      <c r="V112" s="59" t="str">
        <f t="shared" si="3"/>
        <v>0</v>
      </c>
      <c r="W112" s="58"/>
      <c r="X112" s="56">
        <v>1200</v>
      </c>
      <c r="Y112" s="28">
        <v>0</v>
      </c>
      <c r="Z112" s="59">
        <v>0</v>
      </c>
      <c r="AA112" s="58"/>
      <c r="AB112" s="56">
        <v>0</v>
      </c>
      <c r="AC112" s="28">
        <v>0</v>
      </c>
      <c r="AD112" s="59" t="str">
        <f>IFERROR((TABLA_AVANCE_METAS[[#This Row],[AVANCE 4°. TRIM]]/TABLA_AVANCE_METAS[[#This Row],[PROGR. 4° TRIM]])*100,"0")</f>
        <v>0</v>
      </c>
      <c r="AE112" s="60"/>
      <c r="AF112" s="30">
        <f t="array" ref="AF112">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112" s="84">
        <f t="array" ref="AG112">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112" s="27" t="str">
        <f>IFERROR((TABLA_AVANCE_METAS[[#This Row],[AVANCE ACUM. TRIM.]]/TABLA_AVANCE_METAS[[#This Row],[PROG. ACUM]])*100,"N/A")</f>
        <v>N/A</v>
      </c>
      <c r="AI112"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112" s="61">
        <f>TABLA_AVANCE_METAS[[#This Row],[AVANCE ACUM. TRIM.]]-TABLA_AVANCE_METAS[[#This Row],[PROG. ACUM]]</f>
        <v>0</v>
      </c>
      <c r="AK112" s="62" t="str">
        <f>IFERROR((TABLA_AVANCE_METAS[[#This Row],[DIFERENCIA ABSOLUTA SEMESTRAL]]/TABLA_AVANCE_METAS[[#This Row],[PROG. ACUM]])*100,"N/A")</f>
        <v>N/A</v>
      </c>
      <c r="AL112" s="63">
        <f>TABLA_AVANCE_METAS[[#This Row],[AVANCE 1°. TRIM]]+TABLA_AVANCE_METAS[[#This Row],[AVANCE 2°. TRIM]]+TABLA_AVANCE_METAS[[#This Row],[AVANCE 3°. TRIM]]+TABLA_AVANCE_METAS[[#This Row],[AVANCE 4°. TRIM]]</f>
        <v>0</v>
      </c>
      <c r="AM112" s="59" t="str">
        <f>IFERROR((TABLA_AVANCE_METAS[[#This Row],[AVANCE ACUM. ANUAL]]/TABLA_AVANCE_METAS[[#This Row],[PROGRAMADO ANUAL]])*100,"N/A")</f>
        <v>N/A</v>
      </c>
      <c r="AN112" s="58"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NO PROG.</v>
      </c>
      <c r="AO112" s="61">
        <f>TABLA_AVANCE_METAS[[#This Row],[AVANCE ACUM. ANUAL]]-TABLA_AVANCE_METAS[[#This Row],[PROGRAMADO ANUAL]]</f>
        <v>0</v>
      </c>
      <c r="AP112" s="64" t="str">
        <f>IFERROR((TABLA_AVANCE_METAS[[#This Row],[DIFERENCIA ABSOLUTA ANUAL]]/TABLA_AVANCE_METAS[[#This Row],[PROGRAMADO ANUAL]])*100,"N/A")</f>
        <v>N/A</v>
      </c>
      <c r="AQ112" s="65" t="s">
        <v>371</v>
      </c>
      <c r="AR112" s="66"/>
      <c r="AS112" s="36"/>
      <c r="AT112" s="36"/>
      <c r="AU112" s="67" t="b">
        <f>TABLA_AVANCE_METAS[[#This Row],[PROGRAMADO ANUAL]]=SUM(TABLA_AVANCE_METAS[[#This Row],[PROGR. 1° TRIM]],TABLA_AVANCE_METAS[[#This Row],[PROGR. 2° TRIM]],TABLA_AVANCE_METAS[[#This Row],[PROGR. 3° TRIM]],TABLA_AVANCE_METAS[[#This Row],[PROGR. 4° TRIM]])</f>
        <v>0</v>
      </c>
      <c r="AV112" s="38"/>
    </row>
    <row r="113" spans="1:48" ht="75" hidden="1" customHeight="1" x14ac:dyDescent="0.35">
      <c r="A113" s="51" t="str">
        <f>CONCATENATE(TABLA_AVANCE_METAS[[#This Row],[ESTRUCTURA]],TABLA_AVANCE_METAS[[#This Row],['#]])</f>
        <v>B0321501030101032</v>
      </c>
      <c r="B113" s="52" t="s">
        <v>365</v>
      </c>
      <c r="C113" s="53" t="s">
        <v>366</v>
      </c>
      <c r="D113" s="52" t="s">
        <v>367</v>
      </c>
      <c r="E113" s="52" t="s">
        <v>76</v>
      </c>
      <c r="F113" s="52" t="s">
        <v>77</v>
      </c>
      <c r="G113" s="54" t="s">
        <v>368</v>
      </c>
      <c r="H113" s="52" t="s">
        <v>56</v>
      </c>
      <c r="I113" s="52" t="s">
        <v>57</v>
      </c>
      <c r="J113" s="52" t="s">
        <v>58</v>
      </c>
      <c r="K113" s="52" t="s">
        <v>59</v>
      </c>
      <c r="L113" s="53">
        <v>2</v>
      </c>
      <c r="M113" s="55" t="s">
        <v>372</v>
      </c>
      <c r="N113" s="54" t="s">
        <v>288</v>
      </c>
      <c r="O113" s="56"/>
      <c r="P113" s="56">
        <v>0</v>
      </c>
      <c r="Q113" s="28">
        <v>0</v>
      </c>
      <c r="R113" s="57" t="str">
        <f>IFERROR((TABLA_AVANCE_METAS[[#This Row],[AVANCE 1°. TRIM]]/TABLA_AVANCE_METAS[[#This Row],[PROGR. 1° TRIM]])*100,"0")</f>
        <v>0</v>
      </c>
      <c r="S113" s="58"/>
      <c r="T113" s="56">
        <v>0</v>
      </c>
      <c r="U113" s="28">
        <v>0</v>
      </c>
      <c r="V113" s="59" t="str">
        <f t="shared" si="3"/>
        <v>0</v>
      </c>
      <c r="W113" s="58"/>
      <c r="X113" s="56">
        <v>25</v>
      </c>
      <c r="Y113" s="28">
        <v>0</v>
      </c>
      <c r="Z113" s="59">
        <v>0</v>
      </c>
      <c r="AA113" s="58"/>
      <c r="AB113" s="56">
        <v>0</v>
      </c>
      <c r="AC113" s="28">
        <v>0</v>
      </c>
      <c r="AD113" s="59" t="str">
        <f>IFERROR((TABLA_AVANCE_METAS[[#This Row],[AVANCE 4°. TRIM]]/TABLA_AVANCE_METAS[[#This Row],[PROGR. 4° TRIM]])*100,"0")</f>
        <v>0</v>
      </c>
      <c r="AE113" s="60"/>
      <c r="AF113" s="30">
        <f t="array" ref="AF113">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113" s="84">
        <f t="array" ref="AG113">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113" s="27" t="str">
        <f>IFERROR((TABLA_AVANCE_METAS[[#This Row],[AVANCE ACUM. TRIM.]]/TABLA_AVANCE_METAS[[#This Row],[PROG. ACUM]])*100,"N/A")</f>
        <v>N/A</v>
      </c>
      <c r="AI113"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113" s="61">
        <f>TABLA_AVANCE_METAS[[#This Row],[AVANCE ACUM. TRIM.]]-TABLA_AVANCE_METAS[[#This Row],[PROG. ACUM]]</f>
        <v>0</v>
      </c>
      <c r="AK113" s="62" t="str">
        <f>IFERROR((TABLA_AVANCE_METAS[[#This Row],[DIFERENCIA ABSOLUTA SEMESTRAL]]/TABLA_AVANCE_METAS[[#This Row],[PROG. ACUM]])*100,"N/A")</f>
        <v>N/A</v>
      </c>
      <c r="AL113" s="63">
        <f>TABLA_AVANCE_METAS[[#This Row],[AVANCE 1°. TRIM]]+TABLA_AVANCE_METAS[[#This Row],[AVANCE 2°. TRIM]]+TABLA_AVANCE_METAS[[#This Row],[AVANCE 3°. TRIM]]+TABLA_AVANCE_METAS[[#This Row],[AVANCE 4°. TRIM]]</f>
        <v>0</v>
      </c>
      <c r="AM113" s="59" t="str">
        <f>IFERROR((TABLA_AVANCE_METAS[[#This Row],[AVANCE ACUM. ANUAL]]/TABLA_AVANCE_METAS[[#This Row],[PROGRAMADO ANUAL]])*100,"N/A")</f>
        <v>N/A</v>
      </c>
      <c r="AN113" s="58"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NO PROG.</v>
      </c>
      <c r="AO113" s="61">
        <f>TABLA_AVANCE_METAS[[#This Row],[AVANCE ACUM. ANUAL]]-TABLA_AVANCE_METAS[[#This Row],[PROGRAMADO ANUAL]]</f>
        <v>0</v>
      </c>
      <c r="AP113" s="64" t="str">
        <f>IFERROR((TABLA_AVANCE_METAS[[#This Row],[DIFERENCIA ABSOLUTA ANUAL]]/TABLA_AVANCE_METAS[[#This Row],[PROGRAMADO ANUAL]])*100,"N/A")</f>
        <v>N/A</v>
      </c>
      <c r="AQ113" s="65" t="s">
        <v>371</v>
      </c>
      <c r="AR113" s="66"/>
      <c r="AS113" s="36"/>
      <c r="AT113" s="36"/>
      <c r="AU113" s="67" t="b">
        <f>TABLA_AVANCE_METAS[[#This Row],[PROGRAMADO ANUAL]]=SUM(TABLA_AVANCE_METAS[[#This Row],[PROGR. 1° TRIM]],TABLA_AVANCE_METAS[[#This Row],[PROGR. 2° TRIM]],TABLA_AVANCE_METAS[[#This Row],[PROGR. 3° TRIM]],TABLA_AVANCE_METAS[[#This Row],[PROGR. 4° TRIM]])</f>
        <v>0</v>
      </c>
      <c r="AV113" s="38"/>
    </row>
    <row r="114" spans="1:48" ht="75" hidden="1" customHeight="1" x14ac:dyDescent="0.35">
      <c r="A114" s="19" t="str">
        <f>CONCATENATE(TABLA_AVANCE_METAS[[#This Row],[ESTRUCTURA]],TABLA_AVANCE_METAS[[#This Row],['#]])</f>
        <v>B0321501030101033</v>
      </c>
      <c r="B114" s="20" t="s">
        <v>365</v>
      </c>
      <c r="C114" s="21" t="s">
        <v>366</v>
      </c>
      <c r="D114" s="20" t="s">
        <v>367</v>
      </c>
      <c r="E114" s="20" t="s">
        <v>76</v>
      </c>
      <c r="F114" s="20" t="s">
        <v>77</v>
      </c>
      <c r="G114" s="22" t="s">
        <v>368</v>
      </c>
      <c r="H114" s="20" t="s">
        <v>56</v>
      </c>
      <c r="I114" s="20" t="s">
        <v>57</v>
      </c>
      <c r="J114" s="20" t="s">
        <v>58</v>
      </c>
      <c r="K114" s="20" t="s">
        <v>59</v>
      </c>
      <c r="L114" s="21">
        <v>3</v>
      </c>
      <c r="M114" s="23" t="s">
        <v>373</v>
      </c>
      <c r="N114" s="22" t="s">
        <v>374</v>
      </c>
      <c r="O114" s="24">
        <v>260</v>
      </c>
      <c r="P114" s="24">
        <v>65</v>
      </c>
      <c r="Q114" s="28">
        <v>65</v>
      </c>
      <c r="R114" s="25">
        <f>IFERROR((TABLA_AVANCE_METAS[[#This Row],[AVANCE 1°. TRIM]]/TABLA_AVANCE_METAS[[#This Row],[PROGR. 1° TRIM]])*100,"0")</f>
        <v>100</v>
      </c>
      <c r="S114"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14" s="24">
        <v>65</v>
      </c>
      <c r="U114" s="28">
        <v>69</v>
      </c>
      <c r="V114" s="27">
        <f t="shared" si="3"/>
        <v>106.15384615384616</v>
      </c>
      <c r="W114" s="26" t="str">
        <f>IF(AND(V114&gt;=0,V114&lt;=49.9999999999999),"CRÍTICO",IF(AND(V114&gt;=50,V114&lt;=69.9999999999999),"DEFICIENTE",IF(AND(V114&gt;=70,V114&lt;=89.9999999999999),"REGULAR",IF(AND(V114&gt;=90,V114&lt;=110.999999999999),"ADECUADO",IF(AND(V114&gt;=111,V114&lt;=999999),"SOBREPASADO","NO PROG.")))))</f>
        <v>ADECUADO</v>
      </c>
      <c r="X114" s="24">
        <v>65</v>
      </c>
      <c r="Y114" s="28">
        <v>0</v>
      </c>
      <c r="Z114" s="27">
        <v>0</v>
      </c>
      <c r="AA114" s="26" t="s">
        <v>62</v>
      </c>
      <c r="AB114" s="24">
        <v>65</v>
      </c>
      <c r="AC114" s="28">
        <v>0</v>
      </c>
      <c r="AD114" s="27">
        <f>IFERROR((TABLA_AVANCE_METAS[[#This Row],[AVANCE 4°. TRIM]]/TABLA_AVANCE_METAS[[#This Row],[PROGR. 4° TRIM]])*100,"0")</f>
        <v>0</v>
      </c>
      <c r="AE114"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14" s="30">
        <f t="array" ref="AF114">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130</v>
      </c>
      <c r="AG114" s="84">
        <f t="array" ref="AG114">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134</v>
      </c>
      <c r="AH114" s="27">
        <f>IFERROR((TABLA_AVANCE_METAS[[#This Row],[AVANCE ACUM. TRIM.]]/TABLA_AVANCE_METAS[[#This Row],[PROG. ACUM]])*100,"N/A")</f>
        <v>103.07692307692307</v>
      </c>
      <c r="AI114"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14" s="31">
        <f>TABLA_AVANCE_METAS[[#This Row],[AVANCE ACUM. TRIM.]]-TABLA_AVANCE_METAS[[#This Row],[PROG. ACUM]]</f>
        <v>4</v>
      </c>
      <c r="AK114" s="32">
        <f>IFERROR((TABLA_AVANCE_METAS[[#This Row],[DIFERENCIA ABSOLUTA SEMESTRAL]]/TABLA_AVANCE_METAS[[#This Row],[PROG. ACUM]])*100,"N/A")</f>
        <v>3.0769230769230771</v>
      </c>
      <c r="AL114" s="84">
        <f>TABLA_AVANCE_METAS[[#This Row],[AVANCE 1°. TRIM]]+TABLA_AVANCE_METAS[[#This Row],[AVANCE 2°. TRIM]]+TABLA_AVANCE_METAS[[#This Row],[AVANCE 3°. TRIM]]+TABLA_AVANCE_METAS[[#This Row],[AVANCE 4°. TRIM]]</f>
        <v>134</v>
      </c>
      <c r="AM114" s="27">
        <f>IFERROR((TABLA_AVANCE_METAS[[#This Row],[AVANCE ACUM. ANUAL]]/TABLA_AVANCE_METAS[[#This Row],[PROGRAMADO ANUAL]])*100,"N/A")</f>
        <v>51.538461538461533</v>
      </c>
      <c r="AN114"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14" s="31">
        <f>TABLA_AVANCE_METAS[[#This Row],[AVANCE ACUM. ANUAL]]-TABLA_AVANCE_METAS[[#This Row],[PROGRAMADO ANUAL]]</f>
        <v>-126</v>
      </c>
      <c r="AP114" s="33">
        <f>IFERROR((TABLA_AVANCE_METAS[[#This Row],[DIFERENCIA ABSOLUTA ANUAL]]/TABLA_AVANCE_METAS[[#This Row],[PROGRAMADO ANUAL]])*100,"N/A")</f>
        <v>-48.46153846153846</v>
      </c>
      <c r="AQ114" s="34" t="s">
        <v>375</v>
      </c>
      <c r="AR114" s="35"/>
      <c r="AS114" s="36"/>
      <c r="AT114" s="36"/>
      <c r="AU114" s="37" t="b">
        <f>TABLA_AVANCE_METAS[[#This Row],[PROGRAMADO ANUAL]]=SUM(TABLA_AVANCE_METAS[[#This Row],[PROGR. 1° TRIM]],TABLA_AVANCE_METAS[[#This Row],[PROGR. 2° TRIM]],TABLA_AVANCE_METAS[[#This Row],[PROGR. 3° TRIM]],TABLA_AVANCE_METAS[[#This Row],[PROGR. 4° TRIM]])</f>
        <v>1</v>
      </c>
      <c r="AV114" s="38"/>
    </row>
    <row r="115" spans="1:48" ht="75" hidden="1" customHeight="1" x14ac:dyDescent="0.35">
      <c r="A115" s="19" t="str">
        <f>CONCATENATE(TABLA_AVANCE_METAS[[#This Row],[ESTRUCTURA]],TABLA_AVANCE_METAS[[#This Row],['#]])</f>
        <v>B0321501030101034</v>
      </c>
      <c r="B115" s="20" t="s">
        <v>365</v>
      </c>
      <c r="C115" s="21" t="s">
        <v>366</v>
      </c>
      <c r="D115" s="20" t="s">
        <v>367</v>
      </c>
      <c r="E115" s="20" t="s">
        <v>76</v>
      </c>
      <c r="F115" s="20" t="s">
        <v>77</v>
      </c>
      <c r="G115" s="22" t="s">
        <v>368</v>
      </c>
      <c r="H115" s="20" t="s">
        <v>56</v>
      </c>
      <c r="I115" s="20" t="s">
        <v>57</v>
      </c>
      <c r="J115" s="20" t="s">
        <v>58</v>
      </c>
      <c r="K115" s="20" t="s">
        <v>59</v>
      </c>
      <c r="L115" s="21">
        <v>4</v>
      </c>
      <c r="M115" s="23" t="s">
        <v>376</v>
      </c>
      <c r="N115" s="22" t="s">
        <v>123</v>
      </c>
      <c r="O115" s="24">
        <v>80</v>
      </c>
      <c r="P115" s="24">
        <v>20</v>
      </c>
      <c r="Q115" s="28">
        <v>20</v>
      </c>
      <c r="R115" s="25">
        <f>IFERROR((TABLA_AVANCE_METAS[[#This Row],[AVANCE 1°. TRIM]]/TABLA_AVANCE_METAS[[#This Row],[PROGR. 1° TRIM]])*100,"0")</f>
        <v>100</v>
      </c>
      <c r="S115"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15" s="24">
        <v>20</v>
      </c>
      <c r="U115" s="28">
        <v>22</v>
      </c>
      <c r="V115" s="27">
        <f t="shared" si="3"/>
        <v>110.00000000000001</v>
      </c>
      <c r="W115" s="26" t="str">
        <f>IF(AND(V115&gt;=0,V115&lt;=49.9999999999999),"CRÍTICO",IF(AND(V115&gt;=50,V115&lt;=69.9999999999999),"DEFICIENTE",IF(AND(V115&gt;=70,V115&lt;=89.9999999999999),"REGULAR",IF(AND(V115&gt;=90,V115&lt;=110.999999999999),"ADECUADO",IF(AND(V115&gt;=111,V115&lt;=999999),"SOBREPASADO","NO PROG.")))))</f>
        <v>ADECUADO</v>
      </c>
      <c r="X115" s="24">
        <v>20</v>
      </c>
      <c r="Y115" s="28">
        <v>0</v>
      </c>
      <c r="Z115" s="27">
        <v>0</v>
      </c>
      <c r="AA115" s="26" t="s">
        <v>62</v>
      </c>
      <c r="AB115" s="24">
        <v>20</v>
      </c>
      <c r="AC115" s="28">
        <v>0</v>
      </c>
      <c r="AD115" s="27">
        <f>IFERROR((TABLA_AVANCE_METAS[[#This Row],[AVANCE 4°. TRIM]]/TABLA_AVANCE_METAS[[#This Row],[PROGR. 4° TRIM]])*100,"0")</f>
        <v>0</v>
      </c>
      <c r="AE115"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15" s="30">
        <f t="array" ref="AF115">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40</v>
      </c>
      <c r="AG115" s="84">
        <f t="array" ref="AG115">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42</v>
      </c>
      <c r="AH115" s="27">
        <f>IFERROR((TABLA_AVANCE_METAS[[#This Row],[AVANCE ACUM. TRIM.]]/TABLA_AVANCE_METAS[[#This Row],[PROG. ACUM]])*100,"N/A")</f>
        <v>105</v>
      </c>
      <c r="AI115"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15" s="31">
        <f>TABLA_AVANCE_METAS[[#This Row],[AVANCE ACUM. TRIM.]]-TABLA_AVANCE_METAS[[#This Row],[PROG. ACUM]]</f>
        <v>2</v>
      </c>
      <c r="AK115" s="32">
        <f>IFERROR((TABLA_AVANCE_METAS[[#This Row],[DIFERENCIA ABSOLUTA SEMESTRAL]]/TABLA_AVANCE_METAS[[#This Row],[PROG. ACUM]])*100,"N/A")</f>
        <v>5</v>
      </c>
      <c r="AL115" s="84">
        <f>TABLA_AVANCE_METAS[[#This Row],[AVANCE 1°. TRIM]]+TABLA_AVANCE_METAS[[#This Row],[AVANCE 2°. TRIM]]+TABLA_AVANCE_METAS[[#This Row],[AVANCE 3°. TRIM]]+TABLA_AVANCE_METAS[[#This Row],[AVANCE 4°. TRIM]]</f>
        <v>42</v>
      </c>
      <c r="AM115" s="27">
        <f>IFERROR((TABLA_AVANCE_METAS[[#This Row],[AVANCE ACUM. ANUAL]]/TABLA_AVANCE_METAS[[#This Row],[PROGRAMADO ANUAL]])*100,"N/A")</f>
        <v>52.5</v>
      </c>
      <c r="AN115"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15" s="31">
        <f>TABLA_AVANCE_METAS[[#This Row],[AVANCE ACUM. ANUAL]]-TABLA_AVANCE_METAS[[#This Row],[PROGRAMADO ANUAL]]</f>
        <v>-38</v>
      </c>
      <c r="AP115" s="33">
        <f>IFERROR((TABLA_AVANCE_METAS[[#This Row],[DIFERENCIA ABSOLUTA ANUAL]]/TABLA_AVANCE_METAS[[#This Row],[PROGRAMADO ANUAL]])*100,"N/A")</f>
        <v>-47.5</v>
      </c>
      <c r="AQ115" s="34" t="s">
        <v>375</v>
      </c>
      <c r="AR115" s="35"/>
      <c r="AS115" s="36"/>
      <c r="AT115" s="36"/>
      <c r="AU115" s="37" t="b">
        <f>TABLA_AVANCE_METAS[[#This Row],[PROGRAMADO ANUAL]]=SUM(TABLA_AVANCE_METAS[[#This Row],[PROGR. 1° TRIM]],TABLA_AVANCE_METAS[[#This Row],[PROGR. 2° TRIM]],TABLA_AVANCE_METAS[[#This Row],[PROGR. 3° TRIM]],TABLA_AVANCE_METAS[[#This Row],[PROGR. 4° TRIM]])</f>
        <v>1</v>
      </c>
      <c r="AV115" s="38"/>
    </row>
    <row r="116" spans="1:48" ht="75" hidden="1" customHeight="1" x14ac:dyDescent="0.35">
      <c r="A116" s="51" t="str">
        <f>CONCATENATE(TABLA_AVANCE_METAS[[#This Row],[ESTRUCTURA]],TABLA_AVANCE_METAS[[#This Row],['#]])</f>
        <v>B0321501030101035</v>
      </c>
      <c r="B116" s="52" t="s">
        <v>365</v>
      </c>
      <c r="C116" s="53" t="s">
        <v>366</v>
      </c>
      <c r="D116" s="52" t="s">
        <v>367</v>
      </c>
      <c r="E116" s="52" t="s">
        <v>76</v>
      </c>
      <c r="F116" s="52" t="s">
        <v>77</v>
      </c>
      <c r="G116" s="54" t="s">
        <v>368</v>
      </c>
      <c r="H116" s="52" t="s">
        <v>56</v>
      </c>
      <c r="I116" s="52" t="s">
        <v>57</v>
      </c>
      <c r="J116" s="52" t="s">
        <v>58</v>
      </c>
      <c r="K116" s="52" t="s">
        <v>59</v>
      </c>
      <c r="L116" s="53">
        <v>5</v>
      </c>
      <c r="M116" s="55" t="s">
        <v>377</v>
      </c>
      <c r="N116" s="54" t="s">
        <v>239</v>
      </c>
      <c r="O116" s="56"/>
      <c r="P116" s="56">
        <v>450</v>
      </c>
      <c r="Q116" s="28">
        <v>0</v>
      </c>
      <c r="R116" s="57">
        <f>IFERROR((TABLA_AVANCE_METAS[[#This Row],[AVANCE 1°. TRIM]]/TABLA_AVANCE_METAS[[#This Row],[PROGR. 1° TRIM]])*100,"0")</f>
        <v>0</v>
      </c>
      <c r="S116" s="58"/>
      <c r="T116" s="56">
        <v>450</v>
      </c>
      <c r="U116" s="28">
        <v>0</v>
      </c>
      <c r="V116" s="59">
        <f t="shared" si="3"/>
        <v>0</v>
      </c>
      <c r="W116" s="58"/>
      <c r="X116" s="56">
        <v>450</v>
      </c>
      <c r="Y116" s="28">
        <v>0</v>
      </c>
      <c r="Z116" s="59">
        <v>0</v>
      </c>
      <c r="AA116" s="58"/>
      <c r="AB116" s="56">
        <v>450</v>
      </c>
      <c r="AC116" s="28">
        <v>0</v>
      </c>
      <c r="AD116" s="59">
        <f>IFERROR((TABLA_AVANCE_METAS[[#This Row],[AVANCE 4°. TRIM]]/TABLA_AVANCE_METAS[[#This Row],[PROGR. 4° TRIM]])*100,"0")</f>
        <v>0</v>
      </c>
      <c r="AE116" s="60"/>
      <c r="AF116" s="30">
        <f t="array" ref="AF116">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116" s="84">
        <f t="array" ref="AG116">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116" s="27" t="str">
        <f>IFERROR((TABLA_AVANCE_METAS[[#This Row],[AVANCE ACUM. TRIM.]]/TABLA_AVANCE_METAS[[#This Row],[PROG. ACUM]])*100,"N/A")</f>
        <v>N/A</v>
      </c>
      <c r="AI116"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116" s="61">
        <f>TABLA_AVANCE_METAS[[#This Row],[AVANCE ACUM. TRIM.]]-TABLA_AVANCE_METAS[[#This Row],[PROG. ACUM]]</f>
        <v>0</v>
      </c>
      <c r="AK116" s="62" t="str">
        <f>IFERROR((TABLA_AVANCE_METAS[[#This Row],[DIFERENCIA ABSOLUTA SEMESTRAL]]/TABLA_AVANCE_METAS[[#This Row],[PROG. ACUM]])*100,"N/A")</f>
        <v>N/A</v>
      </c>
      <c r="AL116" s="63">
        <f>TABLA_AVANCE_METAS[[#This Row],[AVANCE 1°. TRIM]]+TABLA_AVANCE_METAS[[#This Row],[AVANCE 2°. TRIM]]+TABLA_AVANCE_METAS[[#This Row],[AVANCE 3°. TRIM]]+TABLA_AVANCE_METAS[[#This Row],[AVANCE 4°. TRIM]]</f>
        <v>0</v>
      </c>
      <c r="AM116" s="59" t="str">
        <f>IFERROR((TABLA_AVANCE_METAS[[#This Row],[AVANCE ACUM. ANUAL]]/TABLA_AVANCE_METAS[[#This Row],[PROGRAMADO ANUAL]])*100,"N/A")</f>
        <v>N/A</v>
      </c>
      <c r="AN116" s="58"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NO PROG.</v>
      </c>
      <c r="AO116" s="61">
        <f>TABLA_AVANCE_METAS[[#This Row],[AVANCE ACUM. ANUAL]]-TABLA_AVANCE_METAS[[#This Row],[PROGRAMADO ANUAL]]</f>
        <v>0</v>
      </c>
      <c r="AP116" s="64" t="str">
        <f>IFERROR((TABLA_AVANCE_METAS[[#This Row],[DIFERENCIA ABSOLUTA ANUAL]]/TABLA_AVANCE_METAS[[#This Row],[PROGRAMADO ANUAL]])*100,"N/A")</f>
        <v>N/A</v>
      </c>
      <c r="AQ116" s="65" t="s">
        <v>378</v>
      </c>
      <c r="AR116" s="66"/>
      <c r="AS116" s="36"/>
      <c r="AT116" s="36"/>
      <c r="AU116" s="67" t="b">
        <f>TABLA_AVANCE_METAS[[#This Row],[PROGRAMADO ANUAL]]=SUM(TABLA_AVANCE_METAS[[#This Row],[PROGR. 1° TRIM]],TABLA_AVANCE_METAS[[#This Row],[PROGR. 2° TRIM]],TABLA_AVANCE_METAS[[#This Row],[PROGR. 3° TRIM]],TABLA_AVANCE_METAS[[#This Row],[PROGR. 4° TRIM]])</f>
        <v>0</v>
      </c>
      <c r="AV116" s="38"/>
    </row>
    <row r="117" spans="1:48" ht="75" hidden="1" customHeight="1" x14ac:dyDescent="0.35">
      <c r="A117" s="19" t="str">
        <f>CONCATENATE(TABLA_AVANCE_METAS[[#This Row],[ESTRUCTURA]],TABLA_AVANCE_METAS[[#This Row],['#]])</f>
        <v>B0321601050202011</v>
      </c>
      <c r="B117" s="20" t="s">
        <v>367</v>
      </c>
      <c r="C117" s="21" t="s">
        <v>366</v>
      </c>
      <c r="D117" s="20" t="s">
        <v>367</v>
      </c>
      <c r="E117" s="20" t="s">
        <v>379</v>
      </c>
      <c r="F117" s="20" t="s">
        <v>380</v>
      </c>
      <c r="G117" s="22" t="s">
        <v>381</v>
      </c>
      <c r="H117" s="20" t="s">
        <v>279</v>
      </c>
      <c r="I117" s="20" t="s">
        <v>280</v>
      </c>
      <c r="J117" s="20" t="s">
        <v>281</v>
      </c>
      <c r="K117" s="20" t="s">
        <v>282</v>
      </c>
      <c r="L117" s="21">
        <v>1</v>
      </c>
      <c r="M117" s="23" t="s">
        <v>382</v>
      </c>
      <c r="N117" s="22" t="s">
        <v>130</v>
      </c>
      <c r="O117" s="24">
        <v>2</v>
      </c>
      <c r="P117" s="24">
        <v>1</v>
      </c>
      <c r="Q117" s="28">
        <v>1</v>
      </c>
      <c r="R117" s="25">
        <f>IFERROR((TABLA_AVANCE_METAS[[#This Row],[AVANCE 1°. TRIM]]/TABLA_AVANCE_METAS[[#This Row],[PROGR. 1° TRIM]])*100,"0")</f>
        <v>100</v>
      </c>
      <c r="S117"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17" s="24">
        <v>0</v>
      </c>
      <c r="U117" s="28">
        <v>1</v>
      </c>
      <c r="V117" s="27" t="str">
        <f t="shared" si="3"/>
        <v>0</v>
      </c>
      <c r="W117" s="26" t="str">
        <f t="shared" ref="W117:W148" si="6">IF(AND(V117&gt;=0,V117&lt;=49.9999999999999),"CRÍTICO",IF(AND(V117&gt;=50,V117&lt;=69.9999999999999),"DEFICIENTE",IF(AND(V117&gt;=70,V117&lt;=89.9999999999999),"REGULAR",IF(AND(V117&gt;=90,V117&lt;=110.999999999999),"ADECUADO",IF(AND(V117&gt;=111,V117&lt;=999999),"SOBREPASADO","NO PROG.")))))</f>
        <v>NO PROG.</v>
      </c>
      <c r="X117" s="24">
        <v>1</v>
      </c>
      <c r="Y117" s="28">
        <v>0</v>
      </c>
      <c r="Z117" s="27">
        <v>0</v>
      </c>
      <c r="AA117" s="26" t="s">
        <v>62</v>
      </c>
      <c r="AB117" s="24">
        <v>0</v>
      </c>
      <c r="AC117" s="28">
        <v>0</v>
      </c>
      <c r="AD117" s="27" t="str">
        <f>IFERROR((TABLA_AVANCE_METAS[[#This Row],[AVANCE 4°. TRIM]]/TABLA_AVANCE_METAS[[#This Row],[PROGR. 4° TRIM]])*100,"0")</f>
        <v>0</v>
      </c>
      <c r="AE117"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17" s="30">
        <f t="array" ref="AF117">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117" s="84">
        <f t="array" ref="AG117">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117" s="27">
        <f>IFERROR((TABLA_AVANCE_METAS[[#This Row],[AVANCE ACUM. TRIM.]]/TABLA_AVANCE_METAS[[#This Row],[PROG. ACUM]])*100,"N/A")</f>
        <v>200</v>
      </c>
      <c r="AI117"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SOBREPASADO</v>
      </c>
      <c r="AJ117" s="31">
        <f>TABLA_AVANCE_METAS[[#This Row],[AVANCE ACUM. TRIM.]]-TABLA_AVANCE_METAS[[#This Row],[PROG. ACUM]]</f>
        <v>1</v>
      </c>
      <c r="AK117" s="32">
        <f>IFERROR((TABLA_AVANCE_METAS[[#This Row],[DIFERENCIA ABSOLUTA SEMESTRAL]]/TABLA_AVANCE_METAS[[#This Row],[PROG. ACUM]])*100,"N/A")</f>
        <v>100</v>
      </c>
      <c r="AL117" s="84">
        <f>TABLA_AVANCE_METAS[[#This Row],[AVANCE 1°. TRIM]]+TABLA_AVANCE_METAS[[#This Row],[AVANCE 2°. TRIM]]+TABLA_AVANCE_METAS[[#This Row],[AVANCE 3°. TRIM]]+TABLA_AVANCE_METAS[[#This Row],[AVANCE 4°. TRIM]]</f>
        <v>2</v>
      </c>
      <c r="AM117" s="27">
        <f>IFERROR((TABLA_AVANCE_METAS[[#This Row],[AVANCE ACUM. ANUAL]]/TABLA_AVANCE_METAS[[#This Row],[PROGRAMADO ANUAL]])*100,"N/A")</f>
        <v>100</v>
      </c>
      <c r="AN117"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117" s="31">
        <f>TABLA_AVANCE_METAS[[#This Row],[AVANCE ACUM. ANUAL]]-TABLA_AVANCE_METAS[[#This Row],[PROGRAMADO ANUAL]]</f>
        <v>0</v>
      </c>
      <c r="AP117" s="33">
        <f>IFERROR((TABLA_AVANCE_METAS[[#This Row],[DIFERENCIA ABSOLUTA ANUAL]]/TABLA_AVANCE_METAS[[#This Row],[PROGRAMADO ANUAL]])*100,"N/A")</f>
        <v>0</v>
      </c>
      <c r="AQ117" s="34"/>
      <c r="AR117" s="35"/>
      <c r="AS117" s="36"/>
      <c r="AT117" s="36"/>
      <c r="AU117" s="37" t="b">
        <f>TABLA_AVANCE_METAS[[#This Row],[PROGRAMADO ANUAL]]=SUM(TABLA_AVANCE_METAS[[#This Row],[PROGR. 1° TRIM]],TABLA_AVANCE_METAS[[#This Row],[PROGR. 2° TRIM]],TABLA_AVANCE_METAS[[#This Row],[PROGR. 3° TRIM]],TABLA_AVANCE_METAS[[#This Row],[PROGR. 4° TRIM]])</f>
        <v>1</v>
      </c>
      <c r="AV117" s="38"/>
    </row>
    <row r="118" spans="1:48" ht="75" hidden="1" customHeight="1" x14ac:dyDescent="0.35">
      <c r="A118" s="19" t="str">
        <f>CONCATENATE(TABLA_AVANCE_METAS[[#This Row],[ESTRUCTURA]],TABLA_AVANCE_METAS[[#This Row],['#]])</f>
        <v>B0321601050202012</v>
      </c>
      <c r="B118" s="20" t="s">
        <v>367</v>
      </c>
      <c r="C118" s="21" t="s">
        <v>366</v>
      </c>
      <c r="D118" s="20" t="s">
        <v>367</v>
      </c>
      <c r="E118" s="20" t="s">
        <v>379</v>
      </c>
      <c r="F118" s="20" t="s">
        <v>380</v>
      </c>
      <c r="G118" s="22" t="s">
        <v>381</v>
      </c>
      <c r="H118" s="20" t="s">
        <v>279</v>
      </c>
      <c r="I118" s="20" t="s">
        <v>280</v>
      </c>
      <c r="J118" s="20" t="s">
        <v>281</v>
      </c>
      <c r="K118" s="20" t="s">
        <v>282</v>
      </c>
      <c r="L118" s="21">
        <v>2</v>
      </c>
      <c r="M118" s="23" t="s">
        <v>383</v>
      </c>
      <c r="N118" s="22" t="s">
        <v>384</v>
      </c>
      <c r="O118" s="24">
        <v>1</v>
      </c>
      <c r="P118" s="24">
        <v>1</v>
      </c>
      <c r="Q118" s="28">
        <v>1</v>
      </c>
      <c r="R118" s="25">
        <f>IFERROR((TABLA_AVANCE_METAS[[#This Row],[AVANCE 1°. TRIM]]/TABLA_AVANCE_METAS[[#This Row],[PROGR. 1° TRIM]])*100,"0")</f>
        <v>100</v>
      </c>
      <c r="S118"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18" s="24">
        <v>0</v>
      </c>
      <c r="U118" s="28">
        <v>0</v>
      </c>
      <c r="V118" s="27" t="str">
        <f t="shared" si="3"/>
        <v>0</v>
      </c>
      <c r="W118" s="26" t="str">
        <f t="shared" si="6"/>
        <v>NO PROG.</v>
      </c>
      <c r="X118" s="24">
        <v>0</v>
      </c>
      <c r="Y118" s="28">
        <v>0</v>
      </c>
      <c r="Z118" s="27" t="s">
        <v>71</v>
      </c>
      <c r="AA118" s="26" t="s">
        <v>72</v>
      </c>
      <c r="AB118" s="24">
        <v>0</v>
      </c>
      <c r="AC118" s="28">
        <v>0</v>
      </c>
      <c r="AD118" s="27" t="str">
        <f>IFERROR((TABLA_AVANCE_METAS[[#This Row],[AVANCE 4°. TRIM]]/TABLA_AVANCE_METAS[[#This Row],[PROGR. 4° TRIM]])*100,"0")</f>
        <v>0</v>
      </c>
      <c r="AE118"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18" s="30">
        <f t="array" ref="AF118">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118" s="84">
        <f t="array" ref="AG118">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118" s="27">
        <f>IFERROR((TABLA_AVANCE_METAS[[#This Row],[AVANCE ACUM. TRIM.]]/TABLA_AVANCE_METAS[[#This Row],[PROG. ACUM]])*100,"N/A")</f>
        <v>100</v>
      </c>
      <c r="AI118"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18" s="31">
        <f>TABLA_AVANCE_METAS[[#This Row],[AVANCE ACUM. TRIM.]]-TABLA_AVANCE_METAS[[#This Row],[PROG. ACUM]]</f>
        <v>0</v>
      </c>
      <c r="AK118" s="32">
        <f>IFERROR((TABLA_AVANCE_METAS[[#This Row],[DIFERENCIA ABSOLUTA SEMESTRAL]]/TABLA_AVANCE_METAS[[#This Row],[PROG. ACUM]])*100,"N/A")</f>
        <v>0</v>
      </c>
      <c r="AL118" s="84">
        <f>TABLA_AVANCE_METAS[[#This Row],[AVANCE 1°. TRIM]]+TABLA_AVANCE_METAS[[#This Row],[AVANCE 2°. TRIM]]+TABLA_AVANCE_METAS[[#This Row],[AVANCE 3°. TRIM]]+TABLA_AVANCE_METAS[[#This Row],[AVANCE 4°. TRIM]]</f>
        <v>1</v>
      </c>
      <c r="AM118" s="27">
        <f>IFERROR((TABLA_AVANCE_METAS[[#This Row],[AVANCE ACUM. ANUAL]]/TABLA_AVANCE_METAS[[#This Row],[PROGRAMADO ANUAL]])*100,"N/A")</f>
        <v>100</v>
      </c>
      <c r="AN118"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118" s="31">
        <f>TABLA_AVANCE_METAS[[#This Row],[AVANCE ACUM. ANUAL]]-TABLA_AVANCE_METAS[[#This Row],[PROGRAMADO ANUAL]]</f>
        <v>0</v>
      </c>
      <c r="AP118" s="33">
        <f>IFERROR((TABLA_AVANCE_METAS[[#This Row],[DIFERENCIA ABSOLUTA ANUAL]]/TABLA_AVANCE_METAS[[#This Row],[PROGRAMADO ANUAL]])*100,"N/A")</f>
        <v>0</v>
      </c>
      <c r="AQ118" s="34"/>
      <c r="AR118" s="35"/>
      <c r="AS118" s="36"/>
      <c r="AT118" s="36"/>
      <c r="AU118" s="37" t="b">
        <f>TABLA_AVANCE_METAS[[#This Row],[PROGRAMADO ANUAL]]=SUM(TABLA_AVANCE_METAS[[#This Row],[PROGR. 1° TRIM]],TABLA_AVANCE_METAS[[#This Row],[PROGR. 2° TRIM]],TABLA_AVANCE_METAS[[#This Row],[PROGR. 3° TRIM]],TABLA_AVANCE_METAS[[#This Row],[PROGR. 4° TRIM]])</f>
        <v>1</v>
      </c>
      <c r="AV118" s="38"/>
    </row>
    <row r="119" spans="1:48" ht="75" hidden="1" customHeight="1" x14ac:dyDescent="0.35">
      <c r="A119" s="19" t="str">
        <f>CONCATENATE(TABLA_AVANCE_METAS[[#This Row],[ESTRUCTURA]],TABLA_AVANCE_METAS[[#This Row],['#]])</f>
        <v>B0321601050202013</v>
      </c>
      <c r="B119" s="20" t="s">
        <v>367</v>
      </c>
      <c r="C119" s="48" t="s">
        <v>366</v>
      </c>
      <c r="D119" s="47" t="s">
        <v>367</v>
      </c>
      <c r="E119" s="20" t="s">
        <v>379</v>
      </c>
      <c r="F119" s="47" t="s">
        <v>380</v>
      </c>
      <c r="G119" s="22" t="s">
        <v>381</v>
      </c>
      <c r="H119" s="47" t="s">
        <v>279</v>
      </c>
      <c r="I119" s="47" t="s">
        <v>280</v>
      </c>
      <c r="J119" s="47" t="s">
        <v>281</v>
      </c>
      <c r="K119" s="47" t="s">
        <v>282</v>
      </c>
      <c r="L119" s="21">
        <v>3</v>
      </c>
      <c r="M119" s="43" t="s">
        <v>385</v>
      </c>
      <c r="N119" s="22" t="s">
        <v>384</v>
      </c>
      <c r="O119" s="24">
        <v>1</v>
      </c>
      <c r="P119" s="24">
        <v>1</v>
      </c>
      <c r="Q119" s="28">
        <v>1</v>
      </c>
      <c r="R119" s="25">
        <f>IFERROR((TABLA_AVANCE_METAS[[#This Row],[AVANCE 1°. TRIM]]/TABLA_AVANCE_METAS[[#This Row],[PROGR. 1° TRIM]])*100,"0")</f>
        <v>100</v>
      </c>
      <c r="S119"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19" s="24">
        <v>0</v>
      </c>
      <c r="U119" s="28">
        <v>0</v>
      </c>
      <c r="V119" s="27" t="str">
        <f t="shared" si="3"/>
        <v>0</v>
      </c>
      <c r="W119" s="26" t="str">
        <f t="shared" si="6"/>
        <v>NO PROG.</v>
      </c>
      <c r="X119" s="24">
        <v>0</v>
      </c>
      <c r="Y119" s="28">
        <v>0</v>
      </c>
      <c r="Z119" s="27" t="s">
        <v>71</v>
      </c>
      <c r="AA119" s="26" t="s">
        <v>72</v>
      </c>
      <c r="AB119" s="24">
        <v>0</v>
      </c>
      <c r="AC119" s="28">
        <v>0</v>
      </c>
      <c r="AD119" s="27" t="str">
        <f>IFERROR((TABLA_AVANCE_METAS[[#This Row],[AVANCE 4°. TRIM]]/TABLA_AVANCE_METAS[[#This Row],[PROGR. 4° TRIM]])*100,"0")</f>
        <v>0</v>
      </c>
      <c r="AE119"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19" s="30">
        <f t="array" ref="AF119">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119" s="84">
        <f t="array" ref="AG119">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119" s="27">
        <f>IFERROR((TABLA_AVANCE_METAS[[#This Row],[AVANCE ACUM. TRIM.]]/TABLA_AVANCE_METAS[[#This Row],[PROG. ACUM]])*100,"N/A")</f>
        <v>100</v>
      </c>
      <c r="AI119"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19" s="31">
        <f>TABLA_AVANCE_METAS[[#This Row],[AVANCE ACUM. TRIM.]]-TABLA_AVANCE_METAS[[#This Row],[PROG. ACUM]]</f>
        <v>0</v>
      </c>
      <c r="AK119" s="32">
        <f>IFERROR((TABLA_AVANCE_METAS[[#This Row],[DIFERENCIA ABSOLUTA SEMESTRAL]]/TABLA_AVANCE_METAS[[#This Row],[PROG. ACUM]])*100,"N/A")</f>
        <v>0</v>
      </c>
      <c r="AL119" s="84">
        <f>TABLA_AVANCE_METAS[[#This Row],[AVANCE 1°. TRIM]]+TABLA_AVANCE_METAS[[#This Row],[AVANCE 2°. TRIM]]+TABLA_AVANCE_METAS[[#This Row],[AVANCE 3°. TRIM]]+TABLA_AVANCE_METAS[[#This Row],[AVANCE 4°. TRIM]]</f>
        <v>1</v>
      </c>
      <c r="AM119" s="27">
        <f>IFERROR((TABLA_AVANCE_METAS[[#This Row],[AVANCE ACUM. ANUAL]]/TABLA_AVANCE_METAS[[#This Row],[PROGRAMADO ANUAL]])*100,"N/A")</f>
        <v>100</v>
      </c>
      <c r="AN119"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119" s="31">
        <f>TABLA_AVANCE_METAS[[#This Row],[AVANCE ACUM. ANUAL]]-TABLA_AVANCE_METAS[[#This Row],[PROGRAMADO ANUAL]]</f>
        <v>0</v>
      </c>
      <c r="AP119" s="33">
        <f>IFERROR((TABLA_AVANCE_METAS[[#This Row],[DIFERENCIA ABSOLUTA ANUAL]]/TABLA_AVANCE_METAS[[#This Row],[PROGRAMADO ANUAL]])*100,"N/A")</f>
        <v>0</v>
      </c>
      <c r="AQ119" s="34"/>
      <c r="AR119" s="35"/>
      <c r="AS119" s="36"/>
      <c r="AT119" s="36"/>
      <c r="AU119" s="37" t="b">
        <f>TABLA_AVANCE_METAS[[#This Row],[PROGRAMADO ANUAL]]=SUM(TABLA_AVANCE_METAS[[#This Row],[PROGR. 1° TRIM]],TABLA_AVANCE_METAS[[#This Row],[PROGR. 2° TRIM]],TABLA_AVANCE_METAS[[#This Row],[PROGR. 3° TRIM]],TABLA_AVANCE_METAS[[#This Row],[PROGR. 4° TRIM]])</f>
        <v>1</v>
      </c>
      <c r="AV119" s="38"/>
    </row>
    <row r="120" spans="1:48" ht="75" hidden="1" customHeight="1" x14ac:dyDescent="0.35">
      <c r="A120" s="19" t="str">
        <f>CONCATENATE(TABLA_AVANCE_METAS[[#This Row],[ESTRUCTURA]],TABLA_AVANCE_METAS[[#This Row],['#]])</f>
        <v>B0320201050202011</v>
      </c>
      <c r="B120" s="20" t="s">
        <v>386</v>
      </c>
      <c r="C120" s="48" t="s">
        <v>366</v>
      </c>
      <c r="D120" s="47" t="s">
        <v>367</v>
      </c>
      <c r="E120" s="20" t="s">
        <v>387</v>
      </c>
      <c r="F120" s="47" t="s">
        <v>388</v>
      </c>
      <c r="G120" s="22" t="s">
        <v>389</v>
      </c>
      <c r="H120" s="47" t="s">
        <v>279</v>
      </c>
      <c r="I120" s="47" t="s">
        <v>280</v>
      </c>
      <c r="J120" s="47" t="s">
        <v>281</v>
      </c>
      <c r="K120" s="47" t="s">
        <v>282</v>
      </c>
      <c r="L120" s="21">
        <v>1</v>
      </c>
      <c r="M120" s="43" t="s">
        <v>390</v>
      </c>
      <c r="N120" s="22" t="s">
        <v>370</v>
      </c>
      <c r="O120" s="24">
        <v>3600</v>
      </c>
      <c r="P120" s="24">
        <v>900</v>
      </c>
      <c r="Q120" s="28">
        <v>914</v>
      </c>
      <c r="R120" s="25">
        <f>IFERROR((TABLA_AVANCE_METAS[[#This Row],[AVANCE 1°. TRIM]]/TABLA_AVANCE_METAS[[#This Row],[PROGR. 1° TRIM]])*100,"0")</f>
        <v>101.55555555555556</v>
      </c>
      <c r="S120"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20" s="24">
        <v>900</v>
      </c>
      <c r="U120" s="28">
        <v>857</v>
      </c>
      <c r="V120" s="27">
        <f t="shared" si="3"/>
        <v>95.222222222222214</v>
      </c>
      <c r="W120" s="26" t="str">
        <f t="shared" si="6"/>
        <v>ADECUADO</v>
      </c>
      <c r="X120" s="24">
        <v>900</v>
      </c>
      <c r="Y120" s="28">
        <v>0</v>
      </c>
      <c r="Z120" s="27">
        <v>0</v>
      </c>
      <c r="AA120" s="26" t="s">
        <v>62</v>
      </c>
      <c r="AB120" s="24">
        <v>900</v>
      </c>
      <c r="AC120" s="28">
        <v>0</v>
      </c>
      <c r="AD120" s="27">
        <f>IFERROR((TABLA_AVANCE_METAS[[#This Row],[AVANCE 4°. TRIM]]/TABLA_AVANCE_METAS[[#This Row],[PROGR. 4° TRIM]])*100,"0")</f>
        <v>0</v>
      </c>
      <c r="AE120"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20" s="30">
        <f t="array" ref="AF120">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1800</v>
      </c>
      <c r="AG120" s="84">
        <f t="array" ref="AG120">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1771</v>
      </c>
      <c r="AH120" s="27">
        <f>IFERROR((TABLA_AVANCE_METAS[[#This Row],[AVANCE ACUM. TRIM.]]/TABLA_AVANCE_METAS[[#This Row],[PROG. ACUM]])*100,"N/A")</f>
        <v>98.388888888888886</v>
      </c>
      <c r="AI120"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20" s="31">
        <f>TABLA_AVANCE_METAS[[#This Row],[AVANCE ACUM. TRIM.]]-TABLA_AVANCE_METAS[[#This Row],[PROG. ACUM]]</f>
        <v>-29</v>
      </c>
      <c r="AK120" s="32">
        <f>IFERROR((TABLA_AVANCE_METAS[[#This Row],[DIFERENCIA ABSOLUTA SEMESTRAL]]/TABLA_AVANCE_METAS[[#This Row],[PROG. ACUM]])*100,"N/A")</f>
        <v>-1.6111111111111112</v>
      </c>
      <c r="AL120" s="84">
        <f>TABLA_AVANCE_METAS[[#This Row],[AVANCE 1°. TRIM]]+TABLA_AVANCE_METAS[[#This Row],[AVANCE 2°. TRIM]]+TABLA_AVANCE_METAS[[#This Row],[AVANCE 3°. TRIM]]+TABLA_AVANCE_METAS[[#This Row],[AVANCE 4°. TRIM]]</f>
        <v>1771</v>
      </c>
      <c r="AM120" s="27">
        <f>IFERROR((TABLA_AVANCE_METAS[[#This Row],[AVANCE ACUM. ANUAL]]/TABLA_AVANCE_METAS[[#This Row],[PROGRAMADO ANUAL]])*100,"N/A")</f>
        <v>49.194444444444443</v>
      </c>
      <c r="AN120"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120" s="31">
        <f>TABLA_AVANCE_METAS[[#This Row],[AVANCE ACUM. ANUAL]]-TABLA_AVANCE_METAS[[#This Row],[PROGRAMADO ANUAL]]</f>
        <v>-1829</v>
      </c>
      <c r="AP120" s="33">
        <f>IFERROR((TABLA_AVANCE_METAS[[#This Row],[DIFERENCIA ABSOLUTA ANUAL]]/TABLA_AVANCE_METAS[[#This Row],[PROGRAMADO ANUAL]])*100,"N/A")</f>
        <v>-50.805555555555557</v>
      </c>
      <c r="AQ120" s="34" t="s">
        <v>391</v>
      </c>
      <c r="AR120" s="35"/>
      <c r="AS120" s="36"/>
      <c r="AT120" s="36"/>
      <c r="AU120" s="37" t="b">
        <f>TABLA_AVANCE_METAS[[#This Row],[PROGRAMADO ANUAL]]=SUM(TABLA_AVANCE_METAS[[#This Row],[PROGR. 1° TRIM]],TABLA_AVANCE_METAS[[#This Row],[PROGR. 2° TRIM]],TABLA_AVANCE_METAS[[#This Row],[PROGR. 3° TRIM]],TABLA_AVANCE_METAS[[#This Row],[PROGR. 4° TRIM]])</f>
        <v>1</v>
      </c>
      <c r="AV120" s="38"/>
    </row>
    <row r="121" spans="1:48" ht="75" hidden="1" customHeight="1" x14ac:dyDescent="0.35">
      <c r="A121" s="19" t="str">
        <f>CONCATENATE(TABLA_AVANCE_METAS[[#This Row],[ESTRUCTURA]],TABLA_AVANCE_METAS[[#This Row],['#]])</f>
        <v>B0320201050202012</v>
      </c>
      <c r="B121" s="20" t="s">
        <v>386</v>
      </c>
      <c r="C121" s="21" t="s">
        <v>366</v>
      </c>
      <c r="D121" s="20" t="s">
        <v>367</v>
      </c>
      <c r="E121" s="20" t="s">
        <v>387</v>
      </c>
      <c r="F121" s="20" t="s">
        <v>388</v>
      </c>
      <c r="G121" s="22" t="s">
        <v>389</v>
      </c>
      <c r="H121" s="20" t="s">
        <v>279</v>
      </c>
      <c r="I121" s="20" t="s">
        <v>280</v>
      </c>
      <c r="J121" s="20" t="s">
        <v>281</v>
      </c>
      <c r="K121" s="20" t="s">
        <v>282</v>
      </c>
      <c r="L121" s="21">
        <v>2</v>
      </c>
      <c r="M121" s="23" t="s">
        <v>392</v>
      </c>
      <c r="N121" s="22" t="s">
        <v>288</v>
      </c>
      <c r="O121" s="24">
        <v>120</v>
      </c>
      <c r="P121" s="24">
        <v>30</v>
      </c>
      <c r="Q121" s="28">
        <v>40</v>
      </c>
      <c r="R121" s="25">
        <f>IFERROR((TABLA_AVANCE_METAS[[#This Row],[AVANCE 1°. TRIM]]/TABLA_AVANCE_METAS[[#This Row],[PROGR. 1° TRIM]])*100,"0")</f>
        <v>133.33333333333331</v>
      </c>
      <c r="S121"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SOBREPASADO</v>
      </c>
      <c r="T121" s="24">
        <v>30</v>
      </c>
      <c r="U121" s="28">
        <v>28</v>
      </c>
      <c r="V121" s="27">
        <f t="shared" si="3"/>
        <v>93.333333333333329</v>
      </c>
      <c r="W121" s="26" t="str">
        <f t="shared" si="6"/>
        <v>ADECUADO</v>
      </c>
      <c r="X121" s="24">
        <v>30</v>
      </c>
      <c r="Y121" s="28">
        <v>0</v>
      </c>
      <c r="Z121" s="27">
        <v>0</v>
      </c>
      <c r="AA121" s="26" t="s">
        <v>62</v>
      </c>
      <c r="AB121" s="24">
        <v>30</v>
      </c>
      <c r="AC121" s="28">
        <v>0</v>
      </c>
      <c r="AD121" s="27">
        <f>IFERROR((TABLA_AVANCE_METAS[[#This Row],[AVANCE 4°. TRIM]]/TABLA_AVANCE_METAS[[#This Row],[PROGR. 4° TRIM]])*100,"0")</f>
        <v>0</v>
      </c>
      <c r="AE121"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21" s="30">
        <f t="array" ref="AF121">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60</v>
      </c>
      <c r="AG121" s="84">
        <f t="array" ref="AG121">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68</v>
      </c>
      <c r="AH121" s="27">
        <f>IFERROR((TABLA_AVANCE_METAS[[#This Row],[AVANCE ACUM. TRIM.]]/TABLA_AVANCE_METAS[[#This Row],[PROG. ACUM]])*100,"N/A")</f>
        <v>113.33333333333333</v>
      </c>
      <c r="AI121"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SOBREPASADO</v>
      </c>
      <c r="AJ121" s="31">
        <f>TABLA_AVANCE_METAS[[#This Row],[AVANCE ACUM. TRIM.]]-TABLA_AVANCE_METAS[[#This Row],[PROG. ACUM]]</f>
        <v>8</v>
      </c>
      <c r="AK121" s="32">
        <f>IFERROR((TABLA_AVANCE_METAS[[#This Row],[DIFERENCIA ABSOLUTA SEMESTRAL]]/TABLA_AVANCE_METAS[[#This Row],[PROG. ACUM]])*100,"N/A")</f>
        <v>13.333333333333334</v>
      </c>
      <c r="AL121" s="84">
        <f>TABLA_AVANCE_METAS[[#This Row],[AVANCE 1°. TRIM]]+TABLA_AVANCE_METAS[[#This Row],[AVANCE 2°. TRIM]]+TABLA_AVANCE_METAS[[#This Row],[AVANCE 3°. TRIM]]+TABLA_AVANCE_METAS[[#This Row],[AVANCE 4°. TRIM]]</f>
        <v>68</v>
      </c>
      <c r="AM121" s="27">
        <f>IFERROR((TABLA_AVANCE_METAS[[#This Row],[AVANCE ACUM. ANUAL]]/TABLA_AVANCE_METAS[[#This Row],[PROGRAMADO ANUAL]])*100,"N/A")</f>
        <v>56.666666666666664</v>
      </c>
      <c r="AN121"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21" s="31">
        <f>TABLA_AVANCE_METAS[[#This Row],[AVANCE ACUM. ANUAL]]-TABLA_AVANCE_METAS[[#This Row],[PROGRAMADO ANUAL]]</f>
        <v>-52</v>
      </c>
      <c r="AP121" s="33">
        <f>IFERROR((TABLA_AVANCE_METAS[[#This Row],[DIFERENCIA ABSOLUTA ANUAL]]/TABLA_AVANCE_METAS[[#This Row],[PROGRAMADO ANUAL]])*100,"N/A")</f>
        <v>-43.333333333333336</v>
      </c>
      <c r="AQ121" s="34" t="s">
        <v>393</v>
      </c>
      <c r="AR121" s="35"/>
      <c r="AS121" s="36"/>
      <c r="AT121" s="36"/>
      <c r="AU121" s="37" t="b">
        <f>TABLA_AVANCE_METAS[[#This Row],[PROGRAMADO ANUAL]]=SUM(TABLA_AVANCE_METAS[[#This Row],[PROGR. 1° TRIM]],TABLA_AVANCE_METAS[[#This Row],[PROGR. 2° TRIM]],TABLA_AVANCE_METAS[[#This Row],[PROGR. 3° TRIM]],TABLA_AVANCE_METAS[[#This Row],[PROGR. 4° TRIM]])</f>
        <v>1</v>
      </c>
      <c r="AV121" s="38"/>
    </row>
    <row r="122" spans="1:48" ht="75" hidden="1" customHeight="1" x14ac:dyDescent="0.35">
      <c r="A122" s="19" t="str">
        <f>CONCATENATE(TABLA_AVANCE_METAS[[#This Row],[ESTRUCTURA]],TABLA_AVANCE_METAS[[#This Row],['#]])</f>
        <v>B0320201050202013</v>
      </c>
      <c r="B122" s="20" t="s">
        <v>386</v>
      </c>
      <c r="C122" s="21" t="s">
        <v>366</v>
      </c>
      <c r="D122" s="20" t="s">
        <v>367</v>
      </c>
      <c r="E122" s="20" t="s">
        <v>387</v>
      </c>
      <c r="F122" s="20" t="s">
        <v>388</v>
      </c>
      <c r="G122" s="22" t="s">
        <v>389</v>
      </c>
      <c r="H122" s="20" t="s">
        <v>279</v>
      </c>
      <c r="I122" s="20" t="s">
        <v>280</v>
      </c>
      <c r="J122" s="20" t="s">
        <v>281</v>
      </c>
      <c r="K122" s="20" t="s">
        <v>282</v>
      </c>
      <c r="L122" s="21">
        <v>3</v>
      </c>
      <c r="M122" s="23" t="s">
        <v>394</v>
      </c>
      <c r="N122" s="22" t="s">
        <v>239</v>
      </c>
      <c r="O122" s="24">
        <v>900</v>
      </c>
      <c r="P122" s="24">
        <v>225</v>
      </c>
      <c r="Q122" s="28">
        <v>52</v>
      </c>
      <c r="R122" s="25">
        <f>IFERROR((TABLA_AVANCE_METAS[[#This Row],[AVANCE 1°. TRIM]]/TABLA_AVANCE_METAS[[#This Row],[PROGR. 1° TRIM]])*100,"0")</f>
        <v>23.111111111111111</v>
      </c>
      <c r="S122"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CRÍTICO</v>
      </c>
      <c r="T122" s="24">
        <v>225</v>
      </c>
      <c r="U122" s="28">
        <v>44</v>
      </c>
      <c r="V122" s="27">
        <f t="shared" si="3"/>
        <v>19.555555555555557</v>
      </c>
      <c r="W122" s="26" t="str">
        <f t="shared" si="6"/>
        <v>CRÍTICO</v>
      </c>
      <c r="X122" s="24">
        <v>225</v>
      </c>
      <c r="Y122" s="28">
        <v>0</v>
      </c>
      <c r="Z122" s="27">
        <v>0</v>
      </c>
      <c r="AA122" s="26" t="s">
        <v>62</v>
      </c>
      <c r="AB122" s="24">
        <v>225</v>
      </c>
      <c r="AC122" s="28">
        <v>0</v>
      </c>
      <c r="AD122" s="27">
        <f>IFERROR((TABLA_AVANCE_METAS[[#This Row],[AVANCE 4°. TRIM]]/TABLA_AVANCE_METAS[[#This Row],[PROGR. 4° TRIM]])*100,"0")</f>
        <v>0</v>
      </c>
      <c r="AE122"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22" s="30">
        <f t="array" ref="AF122">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450</v>
      </c>
      <c r="AG122" s="84">
        <f t="array" ref="AG122">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96</v>
      </c>
      <c r="AH122" s="27">
        <f>IFERROR((TABLA_AVANCE_METAS[[#This Row],[AVANCE ACUM. TRIM.]]/TABLA_AVANCE_METAS[[#This Row],[PROG. ACUM]])*100,"N/A")</f>
        <v>21.333333333333336</v>
      </c>
      <c r="AI122"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CRÍTICO</v>
      </c>
      <c r="AJ122" s="31">
        <f>TABLA_AVANCE_METAS[[#This Row],[AVANCE ACUM. TRIM.]]-TABLA_AVANCE_METAS[[#This Row],[PROG. ACUM]]</f>
        <v>-354</v>
      </c>
      <c r="AK122" s="32">
        <f>IFERROR((TABLA_AVANCE_METAS[[#This Row],[DIFERENCIA ABSOLUTA SEMESTRAL]]/TABLA_AVANCE_METAS[[#This Row],[PROG. ACUM]])*100,"N/A")</f>
        <v>-78.666666666666657</v>
      </c>
      <c r="AL122" s="84">
        <f>TABLA_AVANCE_METAS[[#This Row],[AVANCE 1°. TRIM]]+TABLA_AVANCE_METAS[[#This Row],[AVANCE 2°. TRIM]]+TABLA_AVANCE_METAS[[#This Row],[AVANCE 3°. TRIM]]+TABLA_AVANCE_METAS[[#This Row],[AVANCE 4°. TRIM]]</f>
        <v>96</v>
      </c>
      <c r="AM122" s="27">
        <f>IFERROR((TABLA_AVANCE_METAS[[#This Row],[AVANCE ACUM. ANUAL]]/TABLA_AVANCE_METAS[[#This Row],[PROGRAMADO ANUAL]])*100,"N/A")</f>
        <v>10.666666666666668</v>
      </c>
      <c r="AN122"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122" s="31">
        <f>TABLA_AVANCE_METAS[[#This Row],[AVANCE ACUM. ANUAL]]-TABLA_AVANCE_METAS[[#This Row],[PROGRAMADO ANUAL]]</f>
        <v>-804</v>
      </c>
      <c r="AP122" s="33">
        <f>IFERROR((TABLA_AVANCE_METAS[[#This Row],[DIFERENCIA ABSOLUTA ANUAL]]/TABLA_AVANCE_METAS[[#This Row],[PROGRAMADO ANUAL]])*100,"N/A")</f>
        <v>-89.333333333333329</v>
      </c>
      <c r="AQ122" s="34" t="s">
        <v>395</v>
      </c>
      <c r="AR122" s="35"/>
      <c r="AS122" s="36"/>
      <c r="AT122" s="36"/>
      <c r="AU122" s="37" t="b">
        <f>TABLA_AVANCE_METAS[[#This Row],[PROGRAMADO ANUAL]]=SUM(TABLA_AVANCE_METAS[[#This Row],[PROGR. 1° TRIM]],TABLA_AVANCE_METAS[[#This Row],[PROGR. 2° TRIM]],TABLA_AVANCE_METAS[[#This Row],[PROGR. 3° TRIM]],TABLA_AVANCE_METAS[[#This Row],[PROGR. 4° TRIM]])</f>
        <v>1</v>
      </c>
      <c r="AV122" s="38"/>
    </row>
    <row r="123" spans="1:48" ht="75" hidden="1" customHeight="1" x14ac:dyDescent="0.35">
      <c r="A123" s="19" t="str">
        <f>CONCATENATE(TABLA_AVANCE_METAS[[#This Row],[ESTRUCTURA]],TABLA_AVANCE_METAS[[#This Row],['#]])</f>
        <v>B0320201050202014</v>
      </c>
      <c r="B123" s="20" t="s">
        <v>386</v>
      </c>
      <c r="C123" s="21" t="s">
        <v>366</v>
      </c>
      <c r="D123" s="20" t="s">
        <v>367</v>
      </c>
      <c r="E123" s="20" t="s">
        <v>387</v>
      </c>
      <c r="F123" s="20" t="s">
        <v>388</v>
      </c>
      <c r="G123" s="22" t="s">
        <v>389</v>
      </c>
      <c r="H123" s="20" t="s">
        <v>279</v>
      </c>
      <c r="I123" s="20" t="s">
        <v>280</v>
      </c>
      <c r="J123" s="20" t="s">
        <v>281</v>
      </c>
      <c r="K123" s="20" t="s">
        <v>282</v>
      </c>
      <c r="L123" s="21">
        <v>4</v>
      </c>
      <c r="M123" s="23" t="s">
        <v>396</v>
      </c>
      <c r="N123" s="22" t="s">
        <v>397</v>
      </c>
      <c r="O123" s="24">
        <v>200000</v>
      </c>
      <c r="P123" s="24">
        <v>50000</v>
      </c>
      <c r="Q123" s="28">
        <v>89338</v>
      </c>
      <c r="R123" s="25">
        <f>IFERROR((TABLA_AVANCE_METAS[[#This Row],[AVANCE 1°. TRIM]]/TABLA_AVANCE_METAS[[#This Row],[PROGR. 1° TRIM]])*100,"0")</f>
        <v>178.67599999999999</v>
      </c>
      <c r="S123"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SOBREPASADO</v>
      </c>
      <c r="T123" s="24">
        <v>50000</v>
      </c>
      <c r="U123" s="28">
        <v>15281</v>
      </c>
      <c r="V123" s="27">
        <f t="shared" si="3"/>
        <v>30.562000000000001</v>
      </c>
      <c r="W123" s="26" t="str">
        <f t="shared" si="6"/>
        <v>CRÍTICO</v>
      </c>
      <c r="X123" s="24">
        <v>50000</v>
      </c>
      <c r="Y123" s="28">
        <v>0</v>
      </c>
      <c r="Z123" s="27">
        <v>0</v>
      </c>
      <c r="AA123" s="26" t="s">
        <v>62</v>
      </c>
      <c r="AB123" s="24">
        <v>50000</v>
      </c>
      <c r="AC123" s="28">
        <v>0</v>
      </c>
      <c r="AD123" s="27">
        <f>IFERROR((TABLA_AVANCE_METAS[[#This Row],[AVANCE 4°. TRIM]]/TABLA_AVANCE_METAS[[#This Row],[PROGR. 4° TRIM]])*100,"0")</f>
        <v>0</v>
      </c>
      <c r="AE123"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23" s="30">
        <f t="array" ref="AF123">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100000</v>
      </c>
      <c r="AG123" s="84">
        <f t="array" ref="AG123">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104619</v>
      </c>
      <c r="AH123" s="27">
        <f>IFERROR((TABLA_AVANCE_METAS[[#This Row],[AVANCE ACUM. TRIM.]]/TABLA_AVANCE_METAS[[#This Row],[PROG. ACUM]])*100,"N/A")</f>
        <v>104.619</v>
      </c>
      <c r="AI123"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23" s="31">
        <f>TABLA_AVANCE_METAS[[#This Row],[AVANCE ACUM. TRIM.]]-TABLA_AVANCE_METAS[[#This Row],[PROG. ACUM]]</f>
        <v>4619</v>
      </c>
      <c r="AK123" s="32">
        <f>IFERROR((TABLA_AVANCE_METAS[[#This Row],[DIFERENCIA ABSOLUTA SEMESTRAL]]/TABLA_AVANCE_METAS[[#This Row],[PROG. ACUM]])*100,"N/A")</f>
        <v>4.6189999999999998</v>
      </c>
      <c r="AL123" s="84">
        <f>TABLA_AVANCE_METAS[[#This Row],[AVANCE 1°. TRIM]]+TABLA_AVANCE_METAS[[#This Row],[AVANCE 2°. TRIM]]+TABLA_AVANCE_METAS[[#This Row],[AVANCE 3°. TRIM]]+TABLA_AVANCE_METAS[[#This Row],[AVANCE 4°. TRIM]]</f>
        <v>104619</v>
      </c>
      <c r="AM123" s="27">
        <f>IFERROR((TABLA_AVANCE_METAS[[#This Row],[AVANCE ACUM. ANUAL]]/TABLA_AVANCE_METAS[[#This Row],[PROGRAMADO ANUAL]])*100,"N/A")</f>
        <v>52.3095</v>
      </c>
      <c r="AN123"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23" s="31">
        <f>TABLA_AVANCE_METAS[[#This Row],[AVANCE ACUM. ANUAL]]-TABLA_AVANCE_METAS[[#This Row],[PROGRAMADO ANUAL]]</f>
        <v>-95381</v>
      </c>
      <c r="AP123" s="33">
        <f>IFERROR((TABLA_AVANCE_METAS[[#This Row],[DIFERENCIA ABSOLUTA ANUAL]]/TABLA_AVANCE_METAS[[#This Row],[PROGRAMADO ANUAL]])*100,"N/A")</f>
        <v>-47.6905</v>
      </c>
      <c r="AQ123" s="34" t="s">
        <v>398</v>
      </c>
      <c r="AR123" s="35"/>
      <c r="AS123" s="36"/>
      <c r="AT123" s="36"/>
      <c r="AU123" s="37" t="b">
        <f>TABLA_AVANCE_METAS[[#This Row],[PROGRAMADO ANUAL]]=SUM(TABLA_AVANCE_METAS[[#This Row],[PROGR. 1° TRIM]],TABLA_AVANCE_METAS[[#This Row],[PROGR. 2° TRIM]],TABLA_AVANCE_METAS[[#This Row],[PROGR. 3° TRIM]],TABLA_AVANCE_METAS[[#This Row],[PROGR. 4° TRIM]])</f>
        <v>1</v>
      </c>
      <c r="AV123" s="38"/>
    </row>
    <row r="124" spans="1:48" ht="75" hidden="1" customHeight="1" x14ac:dyDescent="0.35">
      <c r="A124" s="19" t="str">
        <f>CONCATENATE(TABLA_AVANCE_METAS[[#This Row],[ESTRUCTURA]],TABLA_AVANCE_METAS[[#This Row],['#]])</f>
        <v>B0322001050202011</v>
      </c>
      <c r="B124" s="20" t="s">
        <v>399</v>
      </c>
      <c r="C124" s="21" t="s">
        <v>366</v>
      </c>
      <c r="D124" s="20" t="s">
        <v>367</v>
      </c>
      <c r="E124" s="20" t="s">
        <v>400</v>
      </c>
      <c r="F124" s="20" t="s">
        <v>401</v>
      </c>
      <c r="G124" s="22" t="s">
        <v>402</v>
      </c>
      <c r="H124" s="20" t="s">
        <v>279</v>
      </c>
      <c r="I124" s="20" t="s">
        <v>280</v>
      </c>
      <c r="J124" s="20" t="s">
        <v>281</v>
      </c>
      <c r="K124" s="20" t="s">
        <v>282</v>
      </c>
      <c r="L124" s="21">
        <v>1</v>
      </c>
      <c r="M124" s="23" t="s">
        <v>403</v>
      </c>
      <c r="N124" s="22" t="s">
        <v>96</v>
      </c>
      <c r="O124" s="24">
        <v>860</v>
      </c>
      <c r="P124" s="24">
        <v>215</v>
      </c>
      <c r="Q124" s="28">
        <v>215</v>
      </c>
      <c r="R124" s="25">
        <f>IFERROR((TABLA_AVANCE_METAS[[#This Row],[AVANCE 1°. TRIM]]/TABLA_AVANCE_METAS[[#This Row],[PROGR. 1° TRIM]])*100,"0")</f>
        <v>100</v>
      </c>
      <c r="S124"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24" s="24">
        <v>215</v>
      </c>
      <c r="U124" s="28">
        <v>215</v>
      </c>
      <c r="V124" s="27">
        <f t="shared" si="3"/>
        <v>100</v>
      </c>
      <c r="W124" s="26" t="str">
        <f t="shared" si="6"/>
        <v>ADECUADO</v>
      </c>
      <c r="X124" s="24">
        <v>215</v>
      </c>
      <c r="Y124" s="28">
        <v>0</v>
      </c>
      <c r="Z124" s="27">
        <v>0</v>
      </c>
      <c r="AA124" s="26" t="s">
        <v>62</v>
      </c>
      <c r="AB124" s="24">
        <v>215</v>
      </c>
      <c r="AC124" s="28">
        <v>0</v>
      </c>
      <c r="AD124" s="27">
        <f>IFERROR((TABLA_AVANCE_METAS[[#This Row],[AVANCE 4°. TRIM]]/TABLA_AVANCE_METAS[[#This Row],[PROGR. 4° TRIM]])*100,"0")</f>
        <v>0</v>
      </c>
      <c r="AE124"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24" s="30">
        <f t="array" ref="AF124">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430</v>
      </c>
      <c r="AG124" s="84">
        <f t="array" ref="AG124">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430</v>
      </c>
      <c r="AH124" s="27">
        <f>IFERROR((TABLA_AVANCE_METAS[[#This Row],[AVANCE ACUM. TRIM.]]/TABLA_AVANCE_METAS[[#This Row],[PROG. ACUM]])*100,"N/A")</f>
        <v>100</v>
      </c>
      <c r="AI124"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24" s="31">
        <f>TABLA_AVANCE_METAS[[#This Row],[AVANCE ACUM. TRIM.]]-TABLA_AVANCE_METAS[[#This Row],[PROG. ACUM]]</f>
        <v>0</v>
      </c>
      <c r="AK124" s="32">
        <f>IFERROR((TABLA_AVANCE_METAS[[#This Row],[DIFERENCIA ABSOLUTA SEMESTRAL]]/TABLA_AVANCE_METAS[[#This Row],[PROG. ACUM]])*100,"N/A")</f>
        <v>0</v>
      </c>
      <c r="AL124" s="84">
        <f>TABLA_AVANCE_METAS[[#This Row],[AVANCE 1°. TRIM]]+TABLA_AVANCE_METAS[[#This Row],[AVANCE 2°. TRIM]]+TABLA_AVANCE_METAS[[#This Row],[AVANCE 3°. TRIM]]+TABLA_AVANCE_METAS[[#This Row],[AVANCE 4°. TRIM]]</f>
        <v>430</v>
      </c>
      <c r="AM124" s="27">
        <f>IFERROR((TABLA_AVANCE_METAS[[#This Row],[AVANCE ACUM. ANUAL]]/TABLA_AVANCE_METAS[[#This Row],[PROGRAMADO ANUAL]])*100,"N/A")</f>
        <v>50</v>
      </c>
      <c r="AN124"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24" s="31">
        <f>TABLA_AVANCE_METAS[[#This Row],[AVANCE ACUM. ANUAL]]-TABLA_AVANCE_METAS[[#This Row],[PROGRAMADO ANUAL]]</f>
        <v>-430</v>
      </c>
      <c r="AP124" s="33">
        <f>IFERROR((TABLA_AVANCE_METAS[[#This Row],[DIFERENCIA ABSOLUTA ANUAL]]/TABLA_AVANCE_METAS[[#This Row],[PROGRAMADO ANUAL]])*100,"N/A")</f>
        <v>-50</v>
      </c>
      <c r="AQ124" s="34"/>
      <c r="AR124" s="35"/>
      <c r="AS124" s="36"/>
      <c r="AT124" s="36"/>
      <c r="AU124" s="37" t="b">
        <f>TABLA_AVANCE_METAS[[#This Row],[PROGRAMADO ANUAL]]=SUM(TABLA_AVANCE_METAS[[#This Row],[PROGR. 1° TRIM]],TABLA_AVANCE_METAS[[#This Row],[PROGR. 2° TRIM]],TABLA_AVANCE_METAS[[#This Row],[PROGR. 3° TRIM]],TABLA_AVANCE_METAS[[#This Row],[PROGR. 4° TRIM]])</f>
        <v>1</v>
      </c>
      <c r="AV124" s="38"/>
    </row>
    <row r="125" spans="1:48" ht="75" hidden="1" customHeight="1" x14ac:dyDescent="0.35">
      <c r="A125" s="19" t="str">
        <f>CONCATENATE(TABLA_AVANCE_METAS[[#This Row],[ESTRUCTURA]],TABLA_AVANCE_METAS[[#This Row],['#]])</f>
        <v>B0322001050202012</v>
      </c>
      <c r="B125" s="20" t="s">
        <v>399</v>
      </c>
      <c r="C125" s="21" t="s">
        <v>366</v>
      </c>
      <c r="D125" s="20" t="s">
        <v>367</v>
      </c>
      <c r="E125" s="20" t="s">
        <v>400</v>
      </c>
      <c r="F125" s="20" t="s">
        <v>401</v>
      </c>
      <c r="G125" s="22" t="s">
        <v>402</v>
      </c>
      <c r="H125" s="20" t="s">
        <v>279</v>
      </c>
      <c r="I125" s="20" t="s">
        <v>280</v>
      </c>
      <c r="J125" s="20" t="s">
        <v>281</v>
      </c>
      <c r="K125" s="20" t="s">
        <v>282</v>
      </c>
      <c r="L125" s="21">
        <v>2</v>
      </c>
      <c r="M125" s="23" t="s">
        <v>404</v>
      </c>
      <c r="N125" s="22" t="s">
        <v>405</v>
      </c>
      <c r="O125" s="24">
        <v>1900</v>
      </c>
      <c r="P125" s="24">
        <v>475</v>
      </c>
      <c r="Q125" s="28">
        <v>475</v>
      </c>
      <c r="R125" s="25">
        <f>IFERROR((TABLA_AVANCE_METAS[[#This Row],[AVANCE 1°. TRIM]]/TABLA_AVANCE_METAS[[#This Row],[PROGR. 1° TRIM]])*100,"0")</f>
        <v>100</v>
      </c>
      <c r="S125"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25" s="24">
        <v>475</v>
      </c>
      <c r="U125" s="28">
        <v>475</v>
      </c>
      <c r="V125" s="27">
        <f t="shared" si="3"/>
        <v>100</v>
      </c>
      <c r="W125" s="26" t="str">
        <f t="shared" si="6"/>
        <v>ADECUADO</v>
      </c>
      <c r="X125" s="24">
        <v>475</v>
      </c>
      <c r="Y125" s="28">
        <v>0</v>
      </c>
      <c r="Z125" s="27">
        <v>0</v>
      </c>
      <c r="AA125" s="26" t="s">
        <v>62</v>
      </c>
      <c r="AB125" s="24">
        <v>475</v>
      </c>
      <c r="AC125" s="28">
        <v>0</v>
      </c>
      <c r="AD125" s="27">
        <f>IFERROR((TABLA_AVANCE_METAS[[#This Row],[AVANCE 4°. TRIM]]/TABLA_AVANCE_METAS[[#This Row],[PROGR. 4° TRIM]])*100,"0")</f>
        <v>0</v>
      </c>
      <c r="AE125"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25" s="30">
        <f t="array" ref="AF125">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950</v>
      </c>
      <c r="AG125" s="84">
        <f t="array" ref="AG125">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950</v>
      </c>
      <c r="AH125" s="27">
        <f>IFERROR((TABLA_AVANCE_METAS[[#This Row],[AVANCE ACUM. TRIM.]]/TABLA_AVANCE_METAS[[#This Row],[PROG. ACUM]])*100,"N/A")</f>
        <v>100</v>
      </c>
      <c r="AI125"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25" s="31">
        <f>TABLA_AVANCE_METAS[[#This Row],[AVANCE ACUM. TRIM.]]-TABLA_AVANCE_METAS[[#This Row],[PROG. ACUM]]</f>
        <v>0</v>
      </c>
      <c r="AK125" s="32">
        <f>IFERROR((TABLA_AVANCE_METAS[[#This Row],[DIFERENCIA ABSOLUTA SEMESTRAL]]/TABLA_AVANCE_METAS[[#This Row],[PROG. ACUM]])*100,"N/A")</f>
        <v>0</v>
      </c>
      <c r="AL125" s="84">
        <f>TABLA_AVANCE_METAS[[#This Row],[AVANCE 1°. TRIM]]+TABLA_AVANCE_METAS[[#This Row],[AVANCE 2°. TRIM]]+TABLA_AVANCE_METAS[[#This Row],[AVANCE 3°. TRIM]]+TABLA_AVANCE_METAS[[#This Row],[AVANCE 4°. TRIM]]</f>
        <v>950</v>
      </c>
      <c r="AM125" s="27">
        <f>IFERROR((TABLA_AVANCE_METAS[[#This Row],[AVANCE ACUM. ANUAL]]/TABLA_AVANCE_METAS[[#This Row],[PROGRAMADO ANUAL]])*100,"N/A")</f>
        <v>50</v>
      </c>
      <c r="AN125"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25" s="31">
        <f>TABLA_AVANCE_METAS[[#This Row],[AVANCE ACUM. ANUAL]]-TABLA_AVANCE_METAS[[#This Row],[PROGRAMADO ANUAL]]</f>
        <v>-950</v>
      </c>
      <c r="AP125" s="33">
        <f>IFERROR((TABLA_AVANCE_METAS[[#This Row],[DIFERENCIA ABSOLUTA ANUAL]]/TABLA_AVANCE_METAS[[#This Row],[PROGRAMADO ANUAL]])*100,"N/A")</f>
        <v>-50</v>
      </c>
      <c r="AQ125" s="34"/>
      <c r="AR125" s="35"/>
      <c r="AS125" s="36"/>
      <c r="AT125" s="36"/>
      <c r="AU125" s="37" t="b">
        <f>TABLA_AVANCE_METAS[[#This Row],[PROGRAMADO ANUAL]]=SUM(TABLA_AVANCE_METAS[[#This Row],[PROGR. 1° TRIM]],TABLA_AVANCE_METAS[[#This Row],[PROGR. 2° TRIM]],TABLA_AVANCE_METAS[[#This Row],[PROGR. 3° TRIM]],TABLA_AVANCE_METAS[[#This Row],[PROGR. 4° TRIM]])</f>
        <v>1</v>
      </c>
      <c r="AV125" s="38"/>
    </row>
    <row r="126" spans="1:48" ht="75" hidden="1" customHeight="1" x14ac:dyDescent="0.35">
      <c r="A126" s="19" t="str">
        <f>CONCATENATE(TABLA_AVANCE_METAS[[#This Row],[ESTRUCTURA]],TABLA_AVANCE_METAS[[#This Row],['#]])</f>
        <v>B0322001050202013</v>
      </c>
      <c r="B126" s="20" t="s">
        <v>399</v>
      </c>
      <c r="C126" s="21" t="s">
        <v>366</v>
      </c>
      <c r="D126" s="20" t="s">
        <v>367</v>
      </c>
      <c r="E126" s="20" t="s">
        <v>400</v>
      </c>
      <c r="F126" s="20" t="s">
        <v>401</v>
      </c>
      <c r="G126" s="22" t="s">
        <v>402</v>
      </c>
      <c r="H126" s="20" t="s">
        <v>279</v>
      </c>
      <c r="I126" s="20" t="s">
        <v>280</v>
      </c>
      <c r="J126" s="20" t="s">
        <v>281</v>
      </c>
      <c r="K126" s="20" t="s">
        <v>282</v>
      </c>
      <c r="L126" s="21">
        <v>3</v>
      </c>
      <c r="M126" s="23" t="s">
        <v>406</v>
      </c>
      <c r="N126" s="22" t="s">
        <v>407</v>
      </c>
      <c r="O126" s="24">
        <v>4000</v>
      </c>
      <c r="P126" s="24">
        <v>1000</v>
      </c>
      <c r="Q126" s="28">
        <v>1000</v>
      </c>
      <c r="R126" s="25">
        <f>IFERROR((TABLA_AVANCE_METAS[[#This Row],[AVANCE 1°. TRIM]]/TABLA_AVANCE_METAS[[#This Row],[PROGR. 1° TRIM]])*100,"0")</f>
        <v>100</v>
      </c>
      <c r="S126"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26" s="24">
        <v>1000</v>
      </c>
      <c r="U126" s="28">
        <v>1000</v>
      </c>
      <c r="V126" s="27">
        <f t="shared" si="3"/>
        <v>100</v>
      </c>
      <c r="W126" s="26" t="str">
        <f t="shared" si="6"/>
        <v>ADECUADO</v>
      </c>
      <c r="X126" s="24">
        <v>1000</v>
      </c>
      <c r="Y126" s="28">
        <v>0</v>
      </c>
      <c r="Z126" s="27">
        <v>0</v>
      </c>
      <c r="AA126" s="26" t="s">
        <v>62</v>
      </c>
      <c r="AB126" s="24">
        <v>1000</v>
      </c>
      <c r="AC126" s="28">
        <v>0</v>
      </c>
      <c r="AD126" s="27">
        <f>IFERROR((TABLA_AVANCE_METAS[[#This Row],[AVANCE 4°. TRIM]]/TABLA_AVANCE_METAS[[#This Row],[PROGR. 4° TRIM]])*100,"0")</f>
        <v>0</v>
      </c>
      <c r="AE126"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26" s="30">
        <f t="array" ref="AF126">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2000</v>
      </c>
      <c r="AG126" s="84">
        <f t="array" ref="AG126">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2000</v>
      </c>
      <c r="AH126" s="27">
        <f>IFERROR((TABLA_AVANCE_METAS[[#This Row],[AVANCE ACUM. TRIM.]]/TABLA_AVANCE_METAS[[#This Row],[PROG. ACUM]])*100,"N/A")</f>
        <v>100</v>
      </c>
      <c r="AI126"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26" s="31">
        <f>TABLA_AVANCE_METAS[[#This Row],[AVANCE ACUM. TRIM.]]-TABLA_AVANCE_METAS[[#This Row],[PROG. ACUM]]</f>
        <v>0</v>
      </c>
      <c r="AK126" s="32">
        <f>IFERROR((TABLA_AVANCE_METAS[[#This Row],[DIFERENCIA ABSOLUTA SEMESTRAL]]/TABLA_AVANCE_METAS[[#This Row],[PROG. ACUM]])*100,"N/A")</f>
        <v>0</v>
      </c>
      <c r="AL126" s="84">
        <f>TABLA_AVANCE_METAS[[#This Row],[AVANCE 1°. TRIM]]+TABLA_AVANCE_METAS[[#This Row],[AVANCE 2°. TRIM]]+TABLA_AVANCE_METAS[[#This Row],[AVANCE 3°. TRIM]]+TABLA_AVANCE_METAS[[#This Row],[AVANCE 4°. TRIM]]</f>
        <v>2000</v>
      </c>
      <c r="AM126" s="27">
        <f>IFERROR((TABLA_AVANCE_METAS[[#This Row],[AVANCE ACUM. ANUAL]]/TABLA_AVANCE_METAS[[#This Row],[PROGRAMADO ANUAL]])*100,"N/A")</f>
        <v>50</v>
      </c>
      <c r="AN126"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26" s="31">
        <f>TABLA_AVANCE_METAS[[#This Row],[AVANCE ACUM. ANUAL]]-TABLA_AVANCE_METAS[[#This Row],[PROGRAMADO ANUAL]]</f>
        <v>-2000</v>
      </c>
      <c r="AP126" s="33">
        <f>IFERROR((TABLA_AVANCE_METAS[[#This Row],[DIFERENCIA ABSOLUTA ANUAL]]/TABLA_AVANCE_METAS[[#This Row],[PROGRAMADO ANUAL]])*100,"N/A")</f>
        <v>-50</v>
      </c>
      <c r="AQ126" s="34"/>
      <c r="AR126" s="35"/>
      <c r="AS126" s="36"/>
      <c r="AT126" s="36"/>
      <c r="AU126" s="37" t="b">
        <f>TABLA_AVANCE_METAS[[#This Row],[PROGRAMADO ANUAL]]=SUM(TABLA_AVANCE_METAS[[#This Row],[PROGR. 1° TRIM]],TABLA_AVANCE_METAS[[#This Row],[PROGR. 2° TRIM]],TABLA_AVANCE_METAS[[#This Row],[PROGR. 3° TRIM]],TABLA_AVANCE_METAS[[#This Row],[PROGR. 4° TRIM]])</f>
        <v>1</v>
      </c>
      <c r="AV126" s="38"/>
    </row>
    <row r="127" spans="1:48" ht="75" hidden="1" customHeight="1" x14ac:dyDescent="0.35">
      <c r="A127" s="19" t="str">
        <f>CONCATENATE(TABLA_AVANCE_METAS[[#This Row],[ESTRUCTURA]],TABLA_AVANCE_METAS[[#This Row],['#]])</f>
        <v>B0320801050202011</v>
      </c>
      <c r="B127" s="20" t="s">
        <v>408</v>
      </c>
      <c r="C127" s="21" t="s">
        <v>366</v>
      </c>
      <c r="D127" s="20" t="s">
        <v>367</v>
      </c>
      <c r="E127" s="20" t="s">
        <v>409</v>
      </c>
      <c r="F127" s="20" t="s">
        <v>410</v>
      </c>
      <c r="G127" s="22" t="s">
        <v>411</v>
      </c>
      <c r="H127" s="20" t="s">
        <v>279</v>
      </c>
      <c r="I127" s="20" t="s">
        <v>280</v>
      </c>
      <c r="J127" s="20" t="s">
        <v>281</v>
      </c>
      <c r="K127" s="20" t="s">
        <v>282</v>
      </c>
      <c r="L127" s="21">
        <v>1</v>
      </c>
      <c r="M127" s="23" t="s">
        <v>412</v>
      </c>
      <c r="N127" s="22" t="s">
        <v>413</v>
      </c>
      <c r="O127" s="24">
        <v>27000</v>
      </c>
      <c r="P127" s="24">
        <v>3000</v>
      </c>
      <c r="Q127" s="28">
        <v>11046</v>
      </c>
      <c r="R127" s="25">
        <f>IFERROR((TABLA_AVANCE_METAS[[#This Row],[AVANCE 1°. TRIM]]/TABLA_AVANCE_METAS[[#This Row],[PROGR. 1° TRIM]])*100,"0")</f>
        <v>368.2</v>
      </c>
      <c r="S127"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SOBREPASADO</v>
      </c>
      <c r="T127" s="24">
        <v>8000</v>
      </c>
      <c r="U127" s="28">
        <v>8000</v>
      </c>
      <c r="V127" s="27">
        <f t="shared" si="3"/>
        <v>100</v>
      </c>
      <c r="W127" s="26" t="str">
        <f t="shared" si="6"/>
        <v>ADECUADO</v>
      </c>
      <c r="X127" s="24">
        <v>8000</v>
      </c>
      <c r="Y127" s="28">
        <v>0</v>
      </c>
      <c r="Z127" s="27">
        <v>0</v>
      </c>
      <c r="AA127" s="26" t="s">
        <v>62</v>
      </c>
      <c r="AB127" s="24">
        <v>8000</v>
      </c>
      <c r="AC127" s="28">
        <v>0</v>
      </c>
      <c r="AD127" s="27">
        <f>IFERROR((TABLA_AVANCE_METAS[[#This Row],[AVANCE 4°. TRIM]]/TABLA_AVANCE_METAS[[#This Row],[PROGR. 4° TRIM]])*100,"0")</f>
        <v>0</v>
      </c>
      <c r="AE127"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27" s="30">
        <f t="array" ref="AF127">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11000</v>
      </c>
      <c r="AG127" s="84">
        <f t="array" ref="AG127">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19046</v>
      </c>
      <c r="AH127" s="27">
        <f>IFERROR((TABLA_AVANCE_METAS[[#This Row],[AVANCE ACUM. TRIM.]]/TABLA_AVANCE_METAS[[#This Row],[PROG. ACUM]])*100,"N/A")</f>
        <v>173.14545454545453</v>
      </c>
      <c r="AI127"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SOBREPASADO</v>
      </c>
      <c r="AJ127" s="31">
        <f>TABLA_AVANCE_METAS[[#This Row],[AVANCE ACUM. TRIM.]]-TABLA_AVANCE_METAS[[#This Row],[PROG. ACUM]]</f>
        <v>8046</v>
      </c>
      <c r="AK127" s="32">
        <f>IFERROR((TABLA_AVANCE_METAS[[#This Row],[DIFERENCIA ABSOLUTA SEMESTRAL]]/TABLA_AVANCE_METAS[[#This Row],[PROG. ACUM]])*100,"N/A")</f>
        <v>73.145454545454541</v>
      </c>
      <c r="AL127" s="84">
        <f>TABLA_AVANCE_METAS[[#This Row],[AVANCE 1°. TRIM]]+TABLA_AVANCE_METAS[[#This Row],[AVANCE 2°. TRIM]]+TABLA_AVANCE_METAS[[#This Row],[AVANCE 3°. TRIM]]+TABLA_AVANCE_METAS[[#This Row],[AVANCE 4°. TRIM]]</f>
        <v>19046</v>
      </c>
      <c r="AM127" s="27">
        <f>IFERROR((TABLA_AVANCE_METAS[[#This Row],[AVANCE ACUM. ANUAL]]/TABLA_AVANCE_METAS[[#This Row],[PROGRAMADO ANUAL]])*100,"N/A")</f>
        <v>70.540740740740731</v>
      </c>
      <c r="AN127"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REGULAR</v>
      </c>
      <c r="AO127" s="31">
        <f>TABLA_AVANCE_METAS[[#This Row],[AVANCE ACUM. ANUAL]]-TABLA_AVANCE_METAS[[#This Row],[PROGRAMADO ANUAL]]</f>
        <v>-7954</v>
      </c>
      <c r="AP127" s="33">
        <f>IFERROR((TABLA_AVANCE_METAS[[#This Row],[DIFERENCIA ABSOLUTA ANUAL]]/TABLA_AVANCE_METAS[[#This Row],[PROGRAMADO ANUAL]])*100,"N/A")</f>
        <v>-29.459259259259259</v>
      </c>
      <c r="AQ127" s="34"/>
      <c r="AR127" s="35"/>
      <c r="AS127" s="36"/>
      <c r="AT127" s="36"/>
      <c r="AU127" s="37" t="b">
        <f>TABLA_AVANCE_METAS[[#This Row],[PROGRAMADO ANUAL]]=SUM(TABLA_AVANCE_METAS[[#This Row],[PROGR. 1° TRIM]],TABLA_AVANCE_METAS[[#This Row],[PROGR. 2° TRIM]],TABLA_AVANCE_METAS[[#This Row],[PROGR. 3° TRIM]],TABLA_AVANCE_METAS[[#This Row],[PROGR. 4° TRIM]])</f>
        <v>1</v>
      </c>
      <c r="AV127" s="38"/>
    </row>
    <row r="128" spans="1:48" ht="75" hidden="1" customHeight="1" x14ac:dyDescent="0.35">
      <c r="A128" s="19" t="str">
        <f>CONCATENATE(TABLA_AVANCE_METAS[[#This Row],[ESTRUCTURA]],TABLA_AVANCE_METAS[[#This Row],['#]])</f>
        <v>B0320801050202012</v>
      </c>
      <c r="B128" s="20" t="s">
        <v>408</v>
      </c>
      <c r="C128" s="21" t="s">
        <v>366</v>
      </c>
      <c r="D128" s="20" t="s">
        <v>367</v>
      </c>
      <c r="E128" s="20" t="s">
        <v>409</v>
      </c>
      <c r="F128" s="20" t="s">
        <v>410</v>
      </c>
      <c r="G128" s="22" t="s">
        <v>411</v>
      </c>
      <c r="H128" s="20" t="s">
        <v>279</v>
      </c>
      <c r="I128" s="20" t="s">
        <v>280</v>
      </c>
      <c r="J128" s="20" t="s">
        <v>281</v>
      </c>
      <c r="K128" s="20" t="s">
        <v>282</v>
      </c>
      <c r="L128" s="21">
        <v>2</v>
      </c>
      <c r="M128" s="23" t="s">
        <v>414</v>
      </c>
      <c r="N128" s="22" t="s">
        <v>415</v>
      </c>
      <c r="O128" s="24">
        <v>21000</v>
      </c>
      <c r="P128" s="24">
        <v>3000</v>
      </c>
      <c r="Q128" s="28">
        <v>10487</v>
      </c>
      <c r="R128" s="25">
        <f>IFERROR((TABLA_AVANCE_METAS[[#This Row],[AVANCE 1°. TRIM]]/TABLA_AVANCE_METAS[[#This Row],[PROGR. 1° TRIM]])*100,"0")</f>
        <v>349.56666666666666</v>
      </c>
      <c r="S128"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SOBREPASADO</v>
      </c>
      <c r="T128" s="24">
        <v>6000</v>
      </c>
      <c r="U128" s="28">
        <v>10320</v>
      </c>
      <c r="V128" s="27">
        <f t="shared" si="3"/>
        <v>172</v>
      </c>
      <c r="W128" s="26" t="str">
        <f t="shared" si="6"/>
        <v>SOBREPASADO</v>
      </c>
      <c r="X128" s="24">
        <v>6000</v>
      </c>
      <c r="Y128" s="28">
        <v>0</v>
      </c>
      <c r="Z128" s="27">
        <v>0</v>
      </c>
      <c r="AA128" s="26" t="s">
        <v>62</v>
      </c>
      <c r="AB128" s="24">
        <v>6000</v>
      </c>
      <c r="AC128" s="28">
        <v>0</v>
      </c>
      <c r="AD128" s="27">
        <f>IFERROR((TABLA_AVANCE_METAS[[#This Row],[AVANCE 4°. TRIM]]/TABLA_AVANCE_METAS[[#This Row],[PROGR. 4° TRIM]])*100,"0")</f>
        <v>0</v>
      </c>
      <c r="AE128"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28" s="30">
        <f t="array" ref="AF128">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9000</v>
      </c>
      <c r="AG128" s="84">
        <f t="array" ref="AG128">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20807</v>
      </c>
      <c r="AH128" s="27">
        <f>IFERROR((TABLA_AVANCE_METAS[[#This Row],[AVANCE ACUM. TRIM.]]/TABLA_AVANCE_METAS[[#This Row],[PROG. ACUM]])*100,"N/A")</f>
        <v>231.1888888888889</v>
      </c>
      <c r="AI128"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SOBREPASADO</v>
      </c>
      <c r="AJ128" s="31">
        <f>TABLA_AVANCE_METAS[[#This Row],[AVANCE ACUM. TRIM.]]-TABLA_AVANCE_METAS[[#This Row],[PROG. ACUM]]</f>
        <v>11807</v>
      </c>
      <c r="AK128" s="32">
        <f>IFERROR((TABLA_AVANCE_METAS[[#This Row],[DIFERENCIA ABSOLUTA SEMESTRAL]]/TABLA_AVANCE_METAS[[#This Row],[PROG. ACUM]])*100,"N/A")</f>
        <v>131.1888888888889</v>
      </c>
      <c r="AL128" s="84">
        <f>TABLA_AVANCE_METAS[[#This Row],[AVANCE 1°. TRIM]]+TABLA_AVANCE_METAS[[#This Row],[AVANCE 2°. TRIM]]+TABLA_AVANCE_METAS[[#This Row],[AVANCE 3°. TRIM]]+TABLA_AVANCE_METAS[[#This Row],[AVANCE 4°. TRIM]]</f>
        <v>20807</v>
      </c>
      <c r="AM128" s="27">
        <f>IFERROR((TABLA_AVANCE_METAS[[#This Row],[AVANCE ACUM. ANUAL]]/TABLA_AVANCE_METAS[[#This Row],[PROGRAMADO ANUAL]])*100,"N/A")</f>
        <v>99.080952380952382</v>
      </c>
      <c r="AN128"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128" s="31">
        <f>TABLA_AVANCE_METAS[[#This Row],[AVANCE ACUM. ANUAL]]-TABLA_AVANCE_METAS[[#This Row],[PROGRAMADO ANUAL]]</f>
        <v>-193</v>
      </c>
      <c r="AP128" s="33">
        <f>IFERROR((TABLA_AVANCE_METAS[[#This Row],[DIFERENCIA ABSOLUTA ANUAL]]/TABLA_AVANCE_METAS[[#This Row],[PROGRAMADO ANUAL]])*100,"N/A")</f>
        <v>-0.919047619047619</v>
      </c>
      <c r="AQ128" s="34"/>
      <c r="AR128" s="35"/>
      <c r="AS128" s="36"/>
      <c r="AT128" s="36"/>
      <c r="AU128" s="37" t="b">
        <f>TABLA_AVANCE_METAS[[#This Row],[PROGRAMADO ANUAL]]=SUM(TABLA_AVANCE_METAS[[#This Row],[PROGR. 1° TRIM]],TABLA_AVANCE_METAS[[#This Row],[PROGR. 2° TRIM]],TABLA_AVANCE_METAS[[#This Row],[PROGR. 3° TRIM]],TABLA_AVANCE_METAS[[#This Row],[PROGR. 4° TRIM]])</f>
        <v>1</v>
      </c>
      <c r="AV128" s="38"/>
    </row>
    <row r="129" spans="1:48" ht="75" hidden="1" customHeight="1" x14ac:dyDescent="0.35">
      <c r="A129" s="19" t="str">
        <f>CONCATENATE(TABLA_AVANCE_METAS[[#This Row],[ESTRUCTURA]],TABLA_AVANCE_METAS[[#This Row],['#]])</f>
        <v>B0320801050202013</v>
      </c>
      <c r="B129" s="20" t="s">
        <v>408</v>
      </c>
      <c r="C129" s="21" t="s">
        <v>366</v>
      </c>
      <c r="D129" s="20" t="s">
        <v>367</v>
      </c>
      <c r="E129" s="20" t="s">
        <v>409</v>
      </c>
      <c r="F129" s="20" t="s">
        <v>410</v>
      </c>
      <c r="G129" s="22" t="s">
        <v>411</v>
      </c>
      <c r="H129" s="20" t="s">
        <v>279</v>
      </c>
      <c r="I129" s="20" t="s">
        <v>280</v>
      </c>
      <c r="J129" s="20" t="s">
        <v>281</v>
      </c>
      <c r="K129" s="20" t="s">
        <v>282</v>
      </c>
      <c r="L129" s="21">
        <v>3</v>
      </c>
      <c r="M129" s="23" t="s">
        <v>416</v>
      </c>
      <c r="N129" s="22" t="s">
        <v>417</v>
      </c>
      <c r="O129" s="24">
        <v>200</v>
      </c>
      <c r="P129" s="24">
        <v>20</v>
      </c>
      <c r="Q129" s="28">
        <v>52</v>
      </c>
      <c r="R129" s="25">
        <f>IFERROR((TABLA_AVANCE_METAS[[#This Row],[AVANCE 1°. TRIM]]/TABLA_AVANCE_METAS[[#This Row],[PROGR. 1° TRIM]])*100,"0")</f>
        <v>260</v>
      </c>
      <c r="S129"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SOBREPASADO</v>
      </c>
      <c r="T129" s="24">
        <v>60</v>
      </c>
      <c r="U129" s="28">
        <v>45</v>
      </c>
      <c r="V129" s="27">
        <f t="shared" si="3"/>
        <v>75</v>
      </c>
      <c r="W129" s="26" t="str">
        <f t="shared" si="6"/>
        <v>REGULAR</v>
      </c>
      <c r="X129" s="24">
        <v>60</v>
      </c>
      <c r="Y129" s="28">
        <v>0</v>
      </c>
      <c r="Z129" s="27">
        <v>0</v>
      </c>
      <c r="AA129" s="26" t="s">
        <v>62</v>
      </c>
      <c r="AB129" s="24">
        <v>60</v>
      </c>
      <c r="AC129" s="28">
        <v>0</v>
      </c>
      <c r="AD129" s="27">
        <f>IFERROR((TABLA_AVANCE_METAS[[#This Row],[AVANCE 4°. TRIM]]/TABLA_AVANCE_METAS[[#This Row],[PROGR. 4° TRIM]])*100,"0")</f>
        <v>0</v>
      </c>
      <c r="AE129"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29" s="30">
        <f t="array" ref="AF129">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80</v>
      </c>
      <c r="AG129" s="84">
        <f t="array" ref="AG129">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97</v>
      </c>
      <c r="AH129" s="27">
        <f>IFERROR((TABLA_AVANCE_METAS[[#This Row],[AVANCE ACUM. TRIM.]]/TABLA_AVANCE_METAS[[#This Row],[PROG. ACUM]])*100,"N/A")</f>
        <v>121.24999999999999</v>
      </c>
      <c r="AI129"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SOBREPASADO</v>
      </c>
      <c r="AJ129" s="31">
        <f>TABLA_AVANCE_METAS[[#This Row],[AVANCE ACUM. TRIM.]]-TABLA_AVANCE_METAS[[#This Row],[PROG. ACUM]]</f>
        <v>17</v>
      </c>
      <c r="AK129" s="32">
        <f>IFERROR((TABLA_AVANCE_METAS[[#This Row],[DIFERENCIA ABSOLUTA SEMESTRAL]]/TABLA_AVANCE_METAS[[#This Row],[PROG. ACUM]])*100,"N/A")</f>
        <v>21.25</v>
      </c>
      <c r="AL129" s="84">
        <f>TABLA_AVANCE_METAS[[#This Row],[AVANCE 1°. TRIM]]+TABLA_AVANCE_METAS[[#This Row],[AVANCE 2°. TRIM]]+TABLA_AVANCE_METAS[[#This Row],[AVANCE 3°. TRIM]]+TABLA_AVANCE_METAS[[#This Row],[AVANCE 4°. TRIM]]</f>
        <v>97</v>
      </c>
      <c r="AM129" s="27">
        <f>IFERROR((TABLA_AVANCE_METAS[[#This Row],[AVANCE ACUM. ANUAL]]/TABLA_AVANCE_METAS[[#This Row],[PROGRAMADO ANUAL]])*100,"N/A")</f>
        <v>48.5</v>
      </c>
      <c r="AN129"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129" s="31">
        <f>TABLA_AVANCE_METAS[[#This Row],[AVANCE ACUM. ANUAL]]-TABLA_AVANCE_METAS[[#This Row],[PROGRAMADO ANUAL]]</f>
        <v>-103</v>
      </c>
      <c r="AP129" s="33">
        <f>IFERROR((TABLA_AVANCE_METAS[[#This Row],[DIFERENCIA ABSOLUTA ANUAL]]/TABLA_AVANCE_METAS[[#This Row],[PROGRAMADO ANUAL]])*100,"N/A")</f>
        <v>-51.5</v>
      </c>
      <c r="AQ129" s="34"/>
      <c r="AR129" s="35"/>
      <c r="AS129" s="36"/>
      <c r="AT129" s="36"/>
      <c r="AU129" s="37" t="b">
        <f>TABLA_AVANCE_METAS[[#This Row],[PROGRAMADO ANUAL]]=SUM(TABLA_AVANCE_METAS[[#This Row],[PROGR. 1° TRIM]],TABLA_AVANCE_METAS[[#This Row],[PROGR. 2° TRIM]],TABLA_AVANCE_METAS[[#This Row],[PROGR. 3° TRIM]],TABLA_AVANCE_METAS[[#This Row],[PROGR. 4° TRIM]])</f>
        <v>1</v>
      </c>
      <c r="AV129" s="38"/>
    </row>
    <row r="130" spans="1:48" ht="75" hidden="1" customHeight="1" x14ac:dyDescent="0.35">
      <c r="A130" s="19" t="str">
        <f>CONCATENATE(TABLA_AVANCE_METAS[[#This Row],[ESTRUCTURA]],TABLA_AVANCE_METAS[[#This Row],['#]])</f>
        <v>B0320801050202014</v>
      </c>
      <c r="B130" s="20" t="s">
        <v>408</v>
      </c>
      <c r="C130" s="48" t="s">
        <v>366</v>
      </c>
      <c r="D130" s="47" t="s">
        <v>367</v>
      </c>
      <c r="E130" s="20" t="s">
        <v>409</v>
      </c>
      <c r="F130" s="47" t="s">
        <v>410</v>
      </c>
      <c r="G130" s="22" t="s">
        <v>411</v>
      </c>
      <c r="H130" s="47" t="s">
        <v>279</v>
      </c>
      <c r="I130" s="47" t="s">
        <v>280</v>
      </c>
      <c r="J130" s="47" t="s">
        <v>281</v>
      </c>
      <c r="K130" s="47" t="s">
        <v>282</v>
      </c>
      <c r="L130" s="21">
        <v>4</v>
      </c>
      <c r="M130" s="43" t="s">
        <v>418</v>
      </c>
      <c r="N130" s="22" t="s">
        <v>419</v>
      </c>
      <c r="O130" s="24">
        <v>50</v>
      </c>
      <c r="P130" s="24">
        <v>5</v>
      </c>
      <c r="Q130" s="28">
        <v>11</v>
      </c>
      <c r="R130" s="25">
        <f>IFERROR((TABLA_AVANCE_METAS[[#This Row],[AVANCE 1°. TRIM]]/TABLA_AVANCE_METAS[[#This Row],[PROGR. 1° TRIM]])*100,"0")</f>
        <v>220.00000000000003</v>
      </c>
      <c r="S130"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SOBREPASADO</v>
      </c>
      <c r="T130" s="24">
        <v>15</v>
      </c>
      <c r="U130" s="28">
        <v>0</v>
      </c>
      <c r="V130" s="27">
        <f t="shared" si="3"/>
        <v>0</v>
      </c>
      <c r="W130" s="26" t="str">
        <f t="shared" si="6"/>
        <v>CRÍTICO</v>
      </c>
      <c r="X130" s="24">
        <v>15</v>
      </c>
      <c r="Y130" s="28">
        <v>0</v>
      </c>
      <c r="Z130" s="27">
        <v>0</v>
      </c>
      <c r="AA130" s="26" t="s">
        <v>62</v>
      </c>
      <c r="AB130" s="24">
        <v>15</v>
      </c>
      <c r="AC130" s="28">
        <v>0</v>
      </c>
      <c r="AD130" s="27">
        <f>IFERROR((TABLA_AVANCE_METAS[[#This Row],[AVANCE 4°. TRIM]]/TABLA_AVANCE_METAS[[#This Row],[PROGR. 4° TRIM]])*100,"0")</f>
        <v>0</v>
      </c>
      <c r="AE130"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30" s="30">
        <f t="array" ref="AF130">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20</v>
      </c>
      <c r="AG130" s="84">
        <f t="array" ref="AG130">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11</v>
      </c>
      <c r="AH130" s="27">
        <f>IFERROR((TABLA_AVANCE_METAS[[#This Row],[AVANCE ACUM. TRIM.]]/TABLA_AVANCE_METAS[[#This Row],[PROG. ACUM]])*100,"N/A")</f>
        <v>55.000000000000007</v>
      </c>
      <c r="AI130"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DEFICIENTE</v>
      </c>
      <c r="AJ130" s="31">
        <f>TABLA_AVANCE_METAS[[#This Row],[AVANCE ACUM. TRIM.]]-TABLA_AVANCE_METAS[[#This Row],[PROG. ACUM]]</f>
        <v>-9</v>
      </c>
      <c r="AK130" s="32">
        <f>IFERROR((TABLA_AVANCE_METAS[[#This Row],[DIFERENCIA ABSOLUTA SEMESTRAL]]/TABLA_AVANCE_METAS[[#This Row],[PROG. ACUM]])*100,"N/A")</f>
        <v>-45</v>
      </c>
      <c r="AL130" s="84">
        <f>TABLA_AVANCE_METAS[[#This Row],[AVANCE 1°. TRIM]]+TABLA_AVANCE_METAS[[#This Row],[AVANCE 2°. TRIM]]+TABLA_AVANCE_METAS[[#This Row],[AVANCE 3°. TRIM]]+TABLA_AVANCE_METAS[[#This Row],[AVANCE 4°. TRIM]]</f>
        <v>11</v>
      </c>
      <c r="AM130" s="27">
        <f>IFERROR((TABLA_AVANCE_METAS[[#This Row],[AVANCE ACUM. ANUAL]]/TABLA_AVANCE_METAS[[#This Row],[PROGRAMADO ANUAL]])*100,"N/A")</f>
        <v>22</v>
      </c>
      <c r="AN130"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130" s="31">
        <f>TABLA_AVANCE_METAS[[#This Row],[AVANCE ACUM. ANUAL]]-TABLA_AVANCE_METAS[[#This Row],[PROGRAMADO ANUAL]]</f>
        <v>-39</v>
      </c>
      <c r="AP130" s="33">
        <f>IFERROR((TABLA_AVANCE_METAS[[#This Row],[DIFERENCIA ABSOLUTA ANUAL]]/TABLA_AVANCE_METAS[[#This Row],[PROGRAMADO ANUAL]])*100,"N/A")</f>
        <v>-78</v>
      </c>
      <c r="AQ130" s="34"/>
      <c r="AR130" s="35"/>
      <c r="AS130" s="36"/>
      <c r="AT130" s="36"/>
      <c r="AU130" s="37" t="b">
        <f>TABLA_AVANCE_METAS[[#This Row],[PROGRAMADO ANUAL]]=SUM(TABLA_AVANCE_METAS[[#This Row],[PROGR. 1° TRIM]],TABLA_AVANCE_METAS[[#This Row],[PROGR. 2° TRIM]],TABLA_AVANCE_METAS[[#This Row],[PROGR. 3° TRIM]],TABLA_AVANCE_METAS[[#This Row],[PROGR. 4° TRIM]])</f>
        <v>1</v>
      </c>
      <c r="AV130" s="38"/>
    </row>
    <row r="131" spans="1:48" ht="75" hidden="1" customHeight="1" x14ac:dyDescent="0.35">
      <c r="A131" s="19" t="str">
        <f>CONCATENATE(TABLA_AVANCE_METAS[[#This Row],[ESTRUCTURA]],TABLA_AVANCE_METAS[[#This Row],['#]])</f>
        <v>B0320801050202015</v>
      </c>
      <c r="B131" s="20" t="s">
        <v>408</v>
      </c>
      <c r="C131" s="21" t="s">
        <v>366</v>
      </c>
      <c r="D131" s="20" t="s">
        <v>367</v>
      </c>
      <c r="E131" s="20" t="s">
        <v>409</v>
      </c>
      <c r="F131" s="20" t="s">
        <v>410</v>
      </c>
      <c r="G131" s="22" t="s">
        <v>411</v>
      </c>
      <c r="H131" s="20" t="s">
        <v>279</v>
      </c>
      <c r="I131" s="20" t="s">
        <v>280</v>
      </c>
      <c r="J131" s="20" t="s">
        <v>281</v>
      </c>
      <c r="K131" s="20" t="s">
        <v>282</v>
      </c>
      <c r="L131" s="21">
        <v>5</v>
      </c>
      <c r="M131" s="23" t="s">
        <v>420</v>
      </c>
      <c r="N131" s="22" t="s">
        <v>421</v>
      </c>
      <c r="O131" s="24">
        <v>21500</v>
      </c>
      <c r="P131" s="24">
        <v>3500</v>
      </c>
      <c r="Q131" s="28">
        <v>3990</v>
      </c>
      <c r="R131" s="25">
        <f>IFERROR((TABLA_AVANCE_METAS[[#This Row],[AVANCE 1°. TRIM]]/TABLA_AVANCE_METAS[[#This Row],[PROGR. 1° TRIM]])*100,"0")</f>
        <v>113.99999999999999</v>
      </c>
      <c r="S131"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SOBREPASADO</v>
      </c>
      <c r="T131" s="24">
        <v>6000</v>
      </c>
      <c r="U131" s="28">
        <v>6644</v>
      </c>
      <c r="V131" s="27">
        <f t="shared" si="3"/>
        <v>110.73333333333333</v>
      </c>
      <c r="W131" s="26" t="str">
        <f t="shared" si="6"/>
        <v>ADECUADO</v>
      </c>
      <c r="X131" s="24">
        <v>6000</v>
      </c>
      <c r="Y131" s="28">
        <v>0</v>
      </c>
      <c r="Z131" s="27">
        <v>0</v>
      </c>
      <c r="AA131" s="26" t="s">
        <v>62</v>
      </c>
      <c r="AB131" s="24">
        <v>6000</v>
      </c>
      <c r="AC131" s="28">
        <v>0</v>
      </c>
      <c r="AD131" s="27">
        <f>IFERROR((TABLA_AVANCE_METAS[[#This Row],[AVANCE 4°. TRIM]]/TABLA_AVANCE_METAS[[#This Row],[PROGR. 4° TRIM]])*100,"0")</f>
        <v>0</v>
      </c>
      <c r="AE131"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31" s="30">
        <f t="array" ref="AF131">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9500</v>
      </c>
      <c r="AG131" s="84">
        <f t="array" ref="AG131">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10634</v>
      </c>
      <c r="AH131" s="27">
        <f>IFERROR((TABLA_AVANCE_METAS[[#This Row],[AVANCE ACUM. TRIM.]]/TABLA_AVANCE_METAS[[#This Row],[PROG. ACUM]])*100,"N/A")</f>
        <v>111.93684210526315</v>
      </c>
      <c r="AI131"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SOBREPASADO</v>
      </c>
      <c r="AJ131" s="31">
        <f>TABLA_AVANCE_METAS[[#This Row],[AVANCE ACUM. TRIM.]]-TABLA_AVANCE_METAS[[#This Row],[PROG. ACUM]]</f>
        <v>1134</v>
      </c>
      <c r="AK131" s="32">
        <f>IFERROR((TABLA_AVANCE_METAS[[#This Row],[DIFERENCIA ABSOLUTA SEMESTRAL]]/TABLA_AVANCE_METAS[[#This Row],[PROG. ACUM]])*100,"N/A")</f>
        <v>11.936842105263159</v>
      </c>
      <c r="AL131" s="84">
        <f>TABLA_AVANCE_METAS[[#This Row],[AVANCE 1°. TRIM]]+TABLA_AVANCE_METAS[[#This Row],[AVANCE 2°. TRIM]]+TABLA_AVANCE_METAS[[#This Row],[AVANCE 3°. TRIM]]+TABLA_AVANCE_METAS[[#This Row],[AVANCE 4°. TRIM]]</f>
        <v>10634</v>
      </c>
      <c r="AM131" s="27">
        <f>IFERROR((TABLA_AVANCE_METAS[[#This Row],[AVANCE ACUM. ANUAL]]/TABLA_AVANCE_METAS[[#This Row],[PROGRAMADO ANUAL]])*100,"N/A")</f>
        <v>49.460465116279067</v>
      </c>
      <c r="AN131"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131" s="31">
        <f>TABLA_AVANCE_METAS[[#This Row],[AVANCE ACUM. ANUAL]]-TABLA_AVANCE_METAS[[#This Row],[PROGRAMADO ANUAL]]</f>
        <v>-10866</v>
      </c>
      <c r="AP131" s="33">
        <f>IFERROR((TABLA_AVANCE_METAS[[#This Row],[DIFERENCIA ABSOLUTA ANUAL]]/TABLA_AVANCE_METAS[[#This Row],[PROGRAMADO ANUAL]])*100,"N/A")</f>
        <v>-50.539534883720926</v>
      </c>
      <c r="AQ131" s="34"/>
      <c r="AR131" s="35"/>
      <c r="AS131" s="36"/>
      <c r="AT131" s="36"/>
      <c r="AU131" s="37" t="b">
        <f>TABLA_AVANCE_METAS[[#This Row],[PROGRAMADO ANUAL]]=SUM(TABLA_AVANCE_METAS[[#This Row],[PROGR. 1° TRIM]],TABLA_AVANCE_METAS[[#This Row],[PROGR. 2° TRIM]],TABLA_AVANCE_METAS[[#This Row],[PROGR. 3° TRIM]],TABLA_AVANCE_METAS[[#This Row],[PROGR. 4° TRIM]])</f>
        <v>1</v>
      </c>
      <c r="AV131" s="38"/>
    </row>
    <row r="132" spans="1:48" ht="75" hidden="1" customHeight="1" x14ac:dyDescent="0.35">
      <c r="A132" s="19" t="str">
        <f>CONCATENATE(TABLA_AVANCE_METAS[[#This Row],[ESTRUCTURA]],TABLA_AVANCE_METAS[[#This Row],['#]])</f>
        <v>B0322301050202011</v>
      </c>
      <c r="B132" s="20" t="s">
        <v>422</v>
      </c>
      <c r="C132" s="21" t="s">
        <v>366</v>
      </c>
      <c r="D132" s="20" t="s">
        <v>367</v>
      </c>
      <c r="E132" s="20" t="s">
        <v>423</v>
      </c>
      <c r="F132" s="20" t="s">
        <v>424</v>
      </c>
      <c r="G132" s="22" t="s">
        <v>425</v>
      </c>
      <c r="H132" s="20" t="s">
        <v>279</v>
      </c>
      <c r="I132" s="20" t="s">
        <v>280</v>
      </c>
      <c r="J132" s="20" t="s">
        <v>281</v>
      </c>
      <c r="K132" s="20" t="s">
        <v>282</v>
      </c>
      <c r="L132" s="21">
        <v>1</v>
      </c>
      <c r="M132" s="23" t="s">
        <v>426</v>
      </c>
      <c r="N132" s="22" t="s">
        <v>427</v>
      </c>
      <c r="O132" s="24">
        <v>150000</v>
      </c>
      <c r="P132" s="24">
        <v>20000</v>
      </c>
      <c r="Q132" s="28">
        <v>59103</v>
      </c>
      <c r="R132" s="25">
        <f>IFERROR((TABLA_AVANCE_METAS[[#This Row],[AVANCE 1°. TRIM]]/TABLA_AVANCE_METAS[[#This Row],[PROGR. 1° TRIM]])*100,"0")</f>
        <v>295.51500000000004</v>
      </c>
      <c r="S132"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SOBREPASADO</v>
      </c>
      <c r="T132" s="24">
        <v>30000</v>
      </c>
      <c r="U132" s="28">
        <v>58804</v>
      </c>
      <c r="V132" s="27">
        <f t="shared" ref="V132:V195" si="7">IFERROR((U132/T132)*100,"0")</f>
        <v>196.01333333333332</v>
      </c>
      <c r="W132" s="26" t="str">
        <f t="shared" si="6"/>
        <v>SOBREPASADO</v>
      </c>
      <c r="X132" s="24">
        <v>50000</v>
      </c>
      <c r="Y132" s="28">
        <v>0</v>
      </c>
      <c r="Z132" s="27">
        <v>0</v>
      </c>
      <c r="AA132" s="26" t="s">
        <v>62</v>
      </c>
      <c r="AB132" s="24">
        <v>50000</v>
      </c>
      <c r="AC132" s="28">
        <v>0</v>
      </c>
      <c r="AD132" s="27">
        <f>IFERROR((TABLA_AVANCE_METAS[[#This Row],[AVANCE 4°. TRIM]]/TABLA_AVANCE_METAS[[#This Row],[PROGR. 4° TRIM]])*100,"0")</f>
        <v>0</v>
      </c>
      <c r="AE132"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32" s="30">
        <f t="array" ref="AF132">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50000</v>
      </c>
      <c r="AG132" s="84">
        <f t="array" ref="AG132">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117907</v>
      </c>
      <c r="AH132" s="27">
        <f>IFERROR((TABLA_AVANCE_METAS[[#This Row],[AVANCE ACUM. TRIM.]]/TABLA_AVANCE_METAS[[#This Row],[PROG. ACUM]])*100,"N/A")</f>
        <v>235.81400000000002</v>
      </c>
      <c r="AI132"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SOBREPASADO</v>
      </c>
      <c r="AJ132" s="31">
        <f>TABLA_AVANCE_METAS[[#This Row],[AVANCE ACUM. TRIM.]]-TABLA_AVANCE_METAS[[#This Row],[PROG. ACUM]]</f>
        <v>67907</v>
      </c>
      <c r="AK132" s="32">
        <f>IFERROR((TABLA_AVANCE_METAS[[#This Row],[DIFERENCIA ABSOLUTA SEMESTRAL]]/TABLA_AVANCE_METAS[[#This Row],[PROG. ACUM]])*100,"N/A")</f>
        <v>135.81399999999999</v>
      </c>
      <c r="AL132" s="84">
        <f>TABLA_AVANCE_METAS[[#This Row],[AVANCE 1°. TRIM]]+TABLA_AVANCE_METAS[[#This Row],[AVANCE 2°. TRIM]]+TABLA_AVANCE_METAS[[#This Row],[AVANCE 3°. TRIM]]+TABLA_AVANCE_METAS[[#This Row],[AVANCE 4°. TRIM]]</f>
        <v>117907</v>
      </c>
      <c r="AM132" s="27">
        <f>IFERROR((TABLA_AVANCE_METAS[[#This Row],[AVANCE ACUM. ANUAL]]/TABLA_AVANCE_METAS[[#This Row],[PROGRAMADO ANUAL]])*100,"N/A")</f>
        <v>78.604666666666674</v>
      </c>
      <c r="AN132"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REGULAR</v>
      </c>
      <c r="AO132" s="31">
        <f>TABLA_AVANCE_METAS[[#This Row],[AVANCE ACUM. ANUAL]]-TABLA_AVANCE_METAS[[#This Row],[PROGRAMADO ANUAL]]</f>
        <v>-32093</v>
      </c>
      <c r="AP132" s="33">
        <f>IFERROR((TABLA_AVANCE_METAS[[#This Row],[DIFERENCIA ABSOLUTA ANUAL]]/TABLA_AVANCE_METAS[[#This Row],[PROGRAMADO ANUAL]])*100,"N/A")</f>
        <v>-21.395333333333333</v>
      </c>
      <c r="AQ132" s="34"/>
      <c r="AR132" s="35"/>
      <c r="AS132" s="36"/>
      <c r="AT132" s="36"/>
      <c r="AU132" s="37" t="b">
        <f>TABLA_AVANCE_METAS[[#This Row],[PROGRAMADO ANUAL]]=SUM(TABLA_AVANCE_METAS[[#This Row],[PROGR. 1° TRIM]],TABLA_AVANCE_METAS[[#This Row],[PROGR. 2° TRIM]],TABLA_AVANCE_METAS[[#This Row],[PROGR. 3° TRIM]],TABLA_AVANCE_METAS[[#This Row],[PROGR. 4° TRIM]])</f>
        <v>1</v>
      </c>
      <c r="AV132" s="38"/>
    </row>
    <row r="133" spans="1:48" ht="75" hidden="1" customHeight="1" x14ac:dyDescent="0.35">
      <c r="A133" s="19" t="str">
        <f>CONCATENATE(TABLA_AVANCE_METAS[[#This Row],[ESTRUCTURA]],TABLA_AVANCE_METAS[[#This Row],['#]])</f>
        <v>B0322301050202012</v>
      </c>
      <c r="B133" s="20" t="s">
        <v>422</v>
      </c>
      <c r="C133" s="21" t="s">
        <v>366</v>
      </c>
      <c r="D133" s="20" t="s">
        <v>367</v>
      </c>
      <c r="E133" s="20" t="s">
        <v>423</v>
      </c>
      <c r="F133" s="20" t="s">
        <v>424</v>
      </c>
      <c r="G133" s="22" t="s">
        <v>425</v>
      </c>
      <c r="H133" s="20" t="s">
        <v>279</v>
      </c>
      <c r="I133" s="20" t="s">
        <v>280</v>
      </c>
      <c r="J133" s="20" t="s">
        <v>281</v>
      </c>
      <c r="K133" s="20" t="s">
        <v>282</v>
      </c>
      <c r="L133" s="21">
        <v>2</v>
      </c>
      <c r="M133" s="23" t="s">
        <v>428</v>
      </c>
      <c r="N133" s="22" t="s">
        <v>429</v>
      </c>
      <c r="O133" s="24">
        <v>2</v>
      </c>
      <c r="P133" s="24">
        <v>1</v>
      </c>
      <c r="Q133" s="28">
        <v>1</v>
      </c>
      <c r="R133" s="25">
        <f>IFERROR((TABLA_AVANCE_METAS[[#This Row],[AVANCE 1°. TRIM]]/TABLA_AVANCE_METAS[[#This Row],[PROGR. 1° TRIM]])*100,"0")</f>
        <v>100</v>
      </c>
      <c r="S133"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33" s="24">
        <v>0</v>
      </c>
      <c r="U133" s="28">
        <v>0</v>
      </c>
      <c r="V133" s="27" t="str">
        <f t="shared" si="7"/>
        <v>0</v>
      </c>
      <c r="W133" s="26" t="str">
        <f t="shared" si="6"/>
        <v>NO PROG.</v>
      </c>
      <c r="X133" s="24">
        <v>1</v>
      </c>
      <c r="Y133" s="28">
        <v>0</v>
      </c>
      <c r="Z133" s="27">
        <v>0</v>
      </c>
      <c r="AA133" s="26" t="s">
        <v>62</v>
      </c>
      <c r="AB133" s="24">
        <v>0</v>
      </c>
      <c r="AC133" s="28">
        <v>0</v>
      </c>
      <c r="AD133" s="27" t="str">
        <f>IFERROR((TABLA_AVANCE_METAS[[#This Row],[AVANCE 4°. TRIM]]/TABLA_AVANCE_METAS[[#This Row],[PROGR. 4° TRIM]])*100,"0")</f>
        <v>0</v>
      </c>
      <c r="AE133"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33" s="30">
        <f t="array" ref="AF133">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133" s="84">
        <f t="array" ref="AG133">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133" s="27">
        <f>IFERROR((TABLA_AVANCE_METAS[[#This Row],[AVANCE ACUM. TRIM.]]/TABLA_AVANCE_METAS[[#This Row],[PROG. ACUM]])*100,"N/A")</f>
        <v>100</v>
      </c>
      <c r="AI133"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33" s="31">
        <f>TABLA_AVANCE_METAS[[#This Row],[AVANCE ACUM. TRIM.]]-TABLA_AVANCE_METAS[[#This Row],[PROG. ACUM]]</f>
        <v>0</v>
      </c>
      <c r="AK133" s="32">
        <f>IFERROR((TABLA_AVANCE_METAS[[#This Row],[DIFERENCIA ABSOLUTA SEMESTRAL]]/TABLA_AVANCE_METAS[[#This Row],[PROG. ACUM]])*100,"N/A")</f>
        <v>0</v>
      </c>
      <c r="AL133" s="84">
        <f>TABLA_AVANCE_METAS[[#This Row],[AVANCE 1°. TRIM]]+TABLA_AVANCE_METAS[[#This Row],[AVANCE 2°. TRIM]]+TABLA_AVANCE_METAS[[#This Row],[AVANCE 3°. TRIM]]+TABLA_AVANCE_METAS[[#This Row],[AVANCE 4°. TRIM]]</f>
        <v>1</v>
      </c>
      <c r="AM133" s="27">
        <f>IFERROR((TABLA_AVANCE_METAS[[#This Row],[AVANCE ACUM. ANUAL]]/TABLA_AVANCE_METAS[[#This Row],[PROGRAMADO ANUAL]])*100,"N/A")</f>
        <v>50</v>
      </c>
      <c r="AN133"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33" s="31">
        <f>TABLA_AVANCE_METAS[[#This Row],[AVANCE ACUM. ANUAL]]-TABLA_AVANCE_METAS[[#This Row],[PROGRAMADO ANUAL]]</f>
        <v>-1</v>
      </c>
      <c r="AP133" s="33">
        <f>IFERROR((TABLA_AVANCE_METAS[[#This Row],[DIFERENCIA ABSOLUTA ANUAL]]/TABLA_AVANCE_METAS[[#This Row],[PROGRAMADO ANUAL]])*100,"N/A")</f>
        <v>-50</v>
      </c>
      <c r="AQ133" s="34"/>
      <c r="AR133" s="35"/>
      <c r="AS133" s="36"/>
      <c r="AT133" s="36"/>
      <c r="AU133" s="37" t="b">
        <f>TABLA_AVANCE_METAS[[#This Row],[PROGRAMADO ANUAL]]=SUM(TABLA_AVANCE_METAS[[#This Row],[PROGR. 1° TRIM]],TABLA_AVANCE_METAS[[#This Row],[PROGR. 2° TRIM]],TABLA_AVANCE_METAS[[#This Row],[PROGR. 3° TRIM]],TABLA_AVANCE_METAS[[#This Row],[PROGR. 4° TRIM]])</f>
        <v>1</v>
      </c>
      <c r="AV133" s="38"/>
    </row>
    <row r="134" spans="1:48" ht="75" hidden="1" customHeight="1" x14ac:dyDescent="0.35">
      <c r="A134" s="19" t="str">
        <f>CONCATENATE(TABLA_AVANCE_METAS[[#This Row],[ESTRUCTURA]],TABLA_AVANCE_METAS[[#This Row],['#]])</f>
        <v>B0322402010301011</v>
      </c>
      <c r="B134" s="20" t="s">
        <v>430</v>
      </c>
      <c r="C134" s="21" t="s">
        <v>366</v>
      </c>
      <c r="D134" s="20" t="s">
        <v>367</v>
      </c>
      <c r="E134" s="20" t="s">
        <v>431</v>
      </c>
      <c r="F134" s="20" t="s">
        <v>432</v>
      </c>
      <c r="G134" s="22" t="s">
        <v>433</v>
      </c>
      <c r="H134" s="20" t="s">
        <v>434</v>
      </c>
      <c r="I134" s="20" t="s">
        <v>435</v>
      </c>
      <c r="J134" s="20" t="s">
        <v>436</v>
      </c>
      <c r="K134" s="20" t="s">
        <v>437</v>
      </c>
      <c r="L134" s="21">
        <v>1</v>
      </c>
      <c r="M134" s="23" t="s">
        <v>438</v>
      </c>
      <c r="N134" s="22" t="s">
        <v>439</v>
      </c>
      <c r="O134" s="24">
        <v>4</v>
      </c>
      <c r="P134" s="24">
        <v>1</v>
      </c>
      <c r="Q134" s="28">
        <v>1</v>
      </c>
      <c r="R134" s="25">
        <f>IFERROR((TABLA_AVANCE_METAS[[#This Row],[AVANCE 1°. TRIM]]/TABLA_AVANCE_METAS[[#This Row],[PROGR. 1° TRIM]])*100,"0")</f>
        <v>100</v>
      </c>
      <c r="S134"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34" s="24">
        <v>1</v>
      </c>
      <c r="U134" s="28">
        <v>1</v>
      </c>
      <c r="V134" s="27">
        <f t="shared" si="7"/>
        <v>100</v>
      </c>
      <c r="W134" s="26" t="str">
        <f t="shared" si="6"/>
        <v>ADECUADO</v>
      </c>
      <c r="X134" s="24">
        <v>1</v>
      </c>
      <c r="Y134" s="28">
        <v>0</v>
      </c>
      <c r="Z134" s="27">
        <v>0</v>
      </c>
      <c r="AA134" s="26" t="s">
        <v>62</v>
      </c>
      <c r="AB134" s="24">
        <v>1</v>
      </c>
      <c r="AC134" s="28">
        <v>0</v>
      </c>
      <c r="AD134" s="27">
        <f>IFERROR((TABLA_AVANCE_METAS[[#This Row],[AVANCE 4°. TRIM]]/TABLA_AVANCE_METAS[[#This Row],[PROGR. 4° TRIM]])*100,"0")</f>
        <v>0</v>
      </c>
      <c r="AE134"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34" s="30">
        <f t="array" ref="AF134">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134" s="84">
        <f t="array" ref="AG134">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134" s="27">
        <f>IFERROR((TABLA_AVANCE_METAS[[#This Row],[AVANCE ACUM. TRIM.]]/TABLA_AVANCE_METAS[[#This Row],[PROG. ACUM]])*100,"N/A")</f>
        <v>100</v>
      </c>
      <c r="AI134"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34" s="31">
        <f>TABLA_AVANCE_METAS[[#This Row],[AVANCE ACUM. TRIM.]]-TABLA_AVANCE_METAS[[#This Row],[PROG. ACUM]]</f>
        <v>0</v>
      </c>
      <c r="AK134" s="32">
        <f>IFERROR((TABLA_AVANCE_METAS[[#This Row],[DIFERENCIA ABSOLUTA SEMESTRAL]]/TABLA_AVANCE_METAS[[#This Row],[PROG. ACUM]])*100,"N/A")</f>
        <v>0</v>
      </c>
      <c r="AL134" s="84">
        <f>TABLA_AVANCE_METAS[[#This Row],[AVANCE 1°. TRIM]]+TABLA_AVANCE_METAS[[#This Row],[AVANCE 2°. TRIM]]+TABLA_AVANCE_METAS[[#This Row],[AVANCE 3°. TRIM]]+TABLA_AVANCE_METAS[[#This Row],[AVANCE 4°. TRIM]]</f>
        <v>2</v>
      </c>
      <c r="AM134" s="27">
        <f>IFERROR((TABLA_AVANCE_METAS[[#This Row],[AVANCE ACUM. ANUAL]]/TABLA_AVANCE_METAS[[#This Row],[PROGRAMADO ANUAL]])*100,"N/A")</f>
        <v>50</v>
      </c>
      <c r="AN134"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34" s="31">
        <f>TABLA_AVANCE_METAS[[#This Row],[AVANCE ACUM. ANUAL]]-TABLA_AVANCE_METAS[[#This Row],[PROGRAMADO ANUAL]]</f>
        <v>-2</v>
      </c>
      <c r="AP134" s="33">
        <f>IFERROR((TABLA_AVANCE_METAS[[#This Row],[DIFERENCIA ABSOLUTA ANUAL]]/TABLA_AVANCE_METAS[[#This Row],[PROGRAMADO ANUAL]])*100,"N/A")</f>
        <v>-50</v>
      </c>
      <c r="AQ134" s="34"/>
      <c r="AR134" s="35"/>
      <c r="AS134" s="36"/>
      <c r="AT134" s="36"/>
      <c r="AU134" s="37" t="b">
        <f>TABLA_AVANCE_METAS[[#This Row],[PROGRAMADO ANUAL]]=SUM(TABLA_AVANCE_METAS[[#This Row],[PROGR. 1° TRIM]],TABLA_AVANCE_METAS[[#This Row],[PROGR. 2° TRIM]],TABLA_AVANCE_METAS[[#This Row],[PROGR. 3° TRIM]],TABLA_AVANCE_METAS[[#This Row],[PROGR. 4° TRIM]])</f>
        <v>1</v>
      </c>
      <c r="AV134" s="38"/>
    </row>
    <row r="135" spans="1:48" ht="75" hidden="1" customHeight="1" x14ac:dyDescent="0.35">
      <c r="A135" s="19" t="str">
        <f>CONCATENATE(TABLA_AVANCE_METAS[[#This Row],[ESTRUCTURA]],TABLA_AVANCE_METAS[[#This Row],['#]])</f>
        <v>B0322402010301012</v>
      </c>
      <c r="B135" s="20" t="s">
        <v>430</v>
      </c>
      <c r="C135" s="21" t="s">
        <v>366</v>
      </c>
      <c r="D135" s="20" t="s">
        <v>367</v>
      </c>
      <c r="E135" s="20" t="s">
        <v>431</v>
      </c>
      <c r="F135" s="20" t="s">
        <v>432</v>
      </c>
      <c r="G135" s="22" t="s">
        <v>433</v>
      </c>
      <c r="H135" s="20" t="s">
        <v>434</v>
      </c>
      <c r="I135" s="20" t="s">
        <v>435</v>
      </c>
      <c r="J135" s="20" t="s">
        <v>436</v>
      </c>
      <c r="K135" s="20" t="s">
        <v>437</v>
      </c>
      <c r="L135" s="21">
        <v>2</v>
      </c>
      <c r="M135" s="23" t="s">
        <v>440</v>
      </c>
      <c r="N135" s="22" t="s">
        <v>407</v>
      </c>
      <c r="O135" s="24">
        <v>130</v>
      </c>
      <c r="P135" s="24">
        <v>30</v>
      </c>
      <c r="Q135" s="28">
        <v>30</v>
      </c>
      <c r="R135" s="25">
        <f>IFERROR((TABLA_AVANCE_METAS[[#This Row],[AVANCE 1°. TRIM]]/TABLA_AVANCE_METAS[[#This Row],[PROGR. 1° TRIM]])*100,"0")</f>
        <v>100</v>
      </c>
      <c r="S135"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35" s="24">
        <v>35</v>
      </c>
      <c r="U135" s="28">
        <v>38</v>
      </c>
      <c r="V135" s="27">
        <f t="shared" si="7"/>
        <v>108.57142857142857</v>
      </c>
      <c r="W135" s="26" t="str">
        <f t="shared" si="6"/>
        <v>ADECUADO</v>
      </c>
      <c r="X135" s="24">
        <v>35</v>
      </c>
      <c r="Y135" s="28">
        <v>0</v>
      </c>
      <c r="Z135" s="27">
        <v>0</v>
      </c>
      <c r="AA135" s="26" t="s">
        <v>62</v>
      </c>
      <c r="AB135" s="24">
        <v>30</v>
      </c>
      <c r="AC135" s="28">
        <v>0</v>
      </c>
      <c r="AD135" s="27">
        <f>IFERROR((TABLA_AVANCE_METAS[[#This Row],[AVANCE 4°. TRIM]]/TABLA_AVANCE_METAS[[#This Row],[PROGR. 4° TRIM]])*100,"0")</f>
        <v>0</v>
      </c>
      <c r="AE135"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35" s="30">
        <f t="array" ref="AF135">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65</v>
      </c>
      <c r="AG135" s="84">
        <f t="array" ref="AG135">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68</v>
      </c>
      <c r="AH135" s="27">
        <f>IFERROR((TABLA_AVANCE_METAS[[#This Row],[AVANCE ACUM. TRIM.]]/TABLA_AVANCE_METAS[[#This Row],[PROG. ACUM]])*100,"N/A")</f>
        <v>104.61538461538463</v>
      </c>
      <c r="AI135"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35" s="31">
        <f>TABLA_AVANCE_METAS[[#This Row],[AVANCE ACUM. TRIM.]]-TABLA_AVANCE_METAS[[#This Row],[PROG. ACUM]]</f>
        <v>3</v>
      </c>
      <c r="AK135" s="32">
        <f>IFERROR((TABLA_AVANCE_METAS[[#This Row],[DIFERENCIA ABSOLUTA SEMESTRAL]]/TABLA_AVANCE_METAS[[#This Row],[PROG. ACUM]])*100,"N/A")</f>
        <v>4.6153846153846159</v>
      </c>
      <c r="AL135" s="84">
        <f>TABLA_AVANCE_METAS[[#This Row],[AVANCE 1°. TRIM]]+TABLA_AVANCE_METAS[[#This Row],[AVANCE 2°. TRIM]]+TABLA_AVANCE_METAS[[#This Row],[AVANCE 3°. TRIM]]+TABLA_AVANCE_METAS[[#This Row],[AVANCE 4°. TRIM]]</f>
        <v>68</v>
      </c>
      <c r="AM135" s="27">
        <f>IFERROR((TABLA_AVANCE_METAS[[#This Row],[AVANCE ACUM. ANUAL]]/TABLA_AVANCE_METAS[[#This Row],[PROGRAMADO ANUAL]])*100,"N/A")</f>
        <v>52.307692307692314</v>
      </c>
      <c r="AN135"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35" s="31">
        <f>TABLA_AVANCE_METAS[[#This Row],[AVANCE ACUM. ANUAL]]-TABLA_AVANCE_METAS[[#This Row],[PROGRAMADO ANUAL]]</f>
        <v>-62</v>
      </c>
      <c r="AP135" s="33">
        <f>IFERROR((TABLA_AVANCE_METAS[[#This Row],[DIFERENCIA ABSOLUTA ANUAL]]/TABLA_AVANCE_METAS[[#This Row],[PROGRAMADO ANUAL]])*100,"N/A")</f>
        <v>-47.692307692307693</v>
      </c>
      <c r="AQ135" s="34"/>
      <c r="AR135" s="35"/>
      <c r="AS135" s="36"/>
      <c r="AT135" s="36"/>
      <c r="AU135" s="37" t="b">
        <f>TABLA_AVANCE_METAS[[#This Row],[PROGRAMADO ANUAL]]=SUM(TABLA_AVANCE_METAS[[#This Row],[PROGR. 1° TRIM]],TABLA_AVANCE_METAS[[#This Row],[PROGR. 2° TRIM]],TABLA_AVANCE_METAS[[#This Row],[PROGR. 3° TRIM]],TABLA_AVANCE_METAS[[#This Row],[PROGR. 4° TRIM]])</f>
        <v>1</v>
      </c>
      <c r="AV135" s="38"/>
    </row>
    <row r="136" spans="1:48" ht="75" hidden="1" customHeight="1" x14ac:dyDescent="0.35">
      <c r="A136" s="19" t="str">
        <f>CONCATENATE(TABLA_AVANCE_METAS[[#This Row],[ESTRUCTURA]],TABLA_AVANCE_METAS[[#This Row],['#]])</f>
        <v>B0322402010301013</v>
      </c>
      <c r="B136" s="20" t="s">
        <v>430</v>
      </c>
      <c r="C136" s="21" t="s">
        <v>366</v>
      </c>
      <c r="D136" s="20" t="s">
        <v>367</v>
      </c>
      <c r="E136" s="20" t="s">
        <v>431</v>
      </c>
      <c r="F136" s="20" t="s">
        <v>432</v>
      </c>
      <c r="G136" s="22" t="s">
        <v>433</v>
      </c>
      <c r="H136" s="20" t="s">
        <v>434</v>
      </c>
      <c r="I136" s="20" t="s">
        <v>435</v>
      </c>
      <c r="J136" s="20" t="s">
        <v>436</v>
      </c>
      <c r="K136" s="20" t="s">
        <v>437</v>
      </c>
      <c r="L136" s="21">
        <v>3</v>
      </c>
      <c r="M136" s="23" t="s">
        <v>441</v>
      </c>
      <c r="N136" s="22" t="s">
        <v>442</v>
      </c>
      <c r="O136" s="24">
        <v>120</v>
      </c>
      <c r="P136" s="24">
        <v>25</v>
      </c>
      <c r="Q136" s="28">
        <v>25</v>
      </c>
      <c r="R136" s="25">
        <f>IFERROR((TABLA_AVANCE_METAS[[#This Row],[AVANCE 1°. TRIM]]/TABLA_AVANCE_METAS[[#This Row],[PROGR. 1° TRIM]])*100,"0")</f>
        <v>100</v>
      </c>
      <c r="S136"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36" s="24">
        <v>35</v>
      </c>
      <c r="U136" s="28">
        <v>35</v>
      </c>
      <c r="V136" s="27">
        <f t="shared" si="7"/>
        <v>100</v>
      </c>
      <c r="W136" s="26" t="str">
        <f t="shared" si="6"/>
        <v>ADECUADO</v>
      </c>
      <c r="X136" s="24">
        <v>35</v>
      </c>
      <c r="Y136" s="28">
        <v>0</v>
      </c>
      <c r="Z136" s="27">
        <v>0</v>
      </c>
      <c r="AA136" s="26" t="s">
        <v>62</v>
      </c>
      <c r="AB136" s="24">
        <v>25</v>
      </c>
      <c r="AC136" s="28">
        <v>0</v>
      </c>
      <c r="AD136" s="27">
        <f>IFERROR((TABLA_AVANCE_METAS[[#This Row],[AVANCE 4°. TRIM]]/TABLA_AVANCE_METAS[[#This Row],[PROGR. 4° TRIM]])*100,"0")</f>
        <v>0</v>
      </c>
      <c r="AE136"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36" s="30">
        <f t="array" ref="AF136">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60</v>
      </c>
      <c r="AG136" s="84">
        <f t="array" ref="AG136">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60</v>
      </c>
      <c r="AH136" s="27">
        <f>IFERROR((TABLA_AVANCE_METAS[[#This Row],[AVANCE ACUM. TRIM.]]/TABLA_AVANCE_METAS[[#This Row],[PROG. ACUM]])*100,"N/A")</f>
        <v>100</v>
      </c>
      <c r="AI136"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36" s="31">
        <f>TABLA_AVANCE_METAS[[#This Row],[AVANCE ACUM. TRIM.]]-TABLA_AVANCE_METAS[[#This Row],[PROG. ACUM]]</f>
        <v>0</v>
      </c>
      <c r="AK136" s="32">
        <f>IFERROR((TABLA_AVANCE_METAS[[#This Row],[DIFERENCIA ABSOLUTA SEMESTRAL]]/TABLA_AVANCE_METAS[[#This Row],[PROG. ACUM]])*100,"N/A")</f>
        <v>0</v>
      </c>
      <c r="AL136" s="84">
        <f>TABLA_AVANCE_METAS[[#This Row],[AVANCE 1°. TRIM]]+TABLA_AVANCE_METAS[[#This Row],[AVANCE 2°. TRIM]]+TABLA_AVANCE_METAS[[#This Row],[AVANCE 3°. TRIM]]+TABLA_AVANCE_METAS[[#This Row],[AVANCE 4°. TRIM]]</f>
        <v>60</v>
      </c>
      <c r="AM136" s="27">
        <f>IFERROR((TABLA_AVANCE_METAS[[#This Row],[AVANCE ACUM. ANUAL]]/TABLA_AVANCE_METAS[[#This Row],[PROGRAMADO ANUAL]])*100,"N/A")</f>
        <v>50</v>
      </c>
      <c r="AN136"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36" s="31">
        <f>TABLA_AVANCE_METAS[[#This Row],[AVANCE ACUM. ANUAL]]-TABLA_AVANCE_METAS[[#This Row],[PROGRAMADO ANUAL]]</f>
        <v>-60</v>
      </c>
      <c r="AP136" s="33">
        <f>IFERROR((TABLA_AVANCE_METAS[[#This Row],[DIFERENCIA ABSOLUTA ANUAL]]/TABLA_AVANCE_METAS[[#This Row],[PROGRAMADO ANUAL]])*100,"N/A")</f>
        <v>-50</v>
      </c>
      <c r="AQ136" s="34"/>
      <c r="AR136" s="35"/>
      <c r="AS136" s="36"/>
      <c r="AT136" s="36"/>
      <c r="AU136" s="37" t="b">
        <f>TABLA_AVANCE_METAS[[#This Row],[PROGRAMADO ANUAL]]=SUM(TABLA_AVANCE_METAS[[#This Row],[PROGR. 1° TRIM]],TABLA_AVANCE_METAS[[#This Row],[PROGR. 2° TRIM]],TABLA_AVANCE_METAS[[#This Row],[PROGR. 3° TRIM]],TABLA_AVANCE_METAS[[#This Row],[PROGR. 4° TRIM]])</f>
        <v>1</v>
      </c>
      <c r="AV136" s="38"/>
    </row>
    <row r="137" spans="1:48" ht="75" hidden="1" customHeight="1" x14ac:dyDescent="0.35">
      <c r="A137" s="19" t="str">
        <f>CONCATENATE(TABLA_AVANCE_METAS[[#This Row],[ESTRUCTURA]],TABLA_AVANCE_METAS[[#This Row],['#]])</f>
        <v>C0023002010301011</v>
      </c>
      <c r="B137" s="20" t="s">
        <v>443</v>
      </c>
      <c r="C137" s="48" t="s">
        <v>444</v>
      </c>
      <c r="D137" s="47" t="s">
        <v>445</v>
      </c>
      <c r="E137" s="20" t="s">
        <v>196</v>
      </c>
      <c r="F137" s="47" t="s">
        <v>197</v>
      </c>
      <c r="G137" s="22" t="s">
        <v>446</v>
      </c>
      <c r="H137" s="47" t="s">
        <v>434</v>
      </c>
      <c r="I137" s="47" t="s">
        <v>435</v>
      </c>
      <c r="J137" s="47" t="s">
        <v>436</v>
      </c>
      <c r="K137" s="47" t="s">
        <v>437</v>
      </c>
      <c r="L137" s="21">
        <v>1</v>
      </c>
      <c r="M137" s="43" t="s">
        <v>447</v>
      </c>
      <c r="N137" s="22" t="s">
        <v>84</v>
      </c>
      <c r="O137" s="24">
        <v>4</v>
      </c>
      <c r="P137" s="24">
        <v>1</v>
      </c>
      <c r="Q137" s="28">
        <v>1</v>
      </c>
      <c r="R137" s="25">
        <f>IFERROR((TABLA_AVANCE_METAS[[#This Row],[AVANCE 1°. TRIM]]/TABLA_AVANCE_METAS[[#This Row],[PROGR. 1° TRIM]])*100,"0")</f>
        <v>100</v>
      </c>
      <c r="S137"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37" s="24">
        <v>1</v>
      </c>
      <c r="U137" s="28">
        <v>1</v>
      </c>
      <c r="V137" s="27">
        <f t="shared" si="7"/>
        <v>100</v>
      </c>
      <c r="W137" s="26" t="str">
        <f t="shared" si="6"/>
        <v>ADECUADO</v>
      </c>
      <c r="X137" s="24">
        <v>1</v>
      </c>
      <c r="Y137" s="28">
        <v>0</v>
      </c>
      <c r="Z137" s="27">
        <v>0</v>
      </c>
      <c r="AA137" s="26" t="s">
        <v>62</v>
      </c>
      <c r="AB137" s="24">
        <v>1</v>
      </c>
      <c r="AC137" s="28">
        <v>0</v>
      </c>
      <c r="AD137" s="27">
        <f>IFERROR((TABLA_AVANCE_METAS[[#This Row],[AVANCE 4°. TRIM]]/TABLA_AVANCE_METAS[[#This Row],[PROGR. 4° TRIM]])*100,"0")</f>
        <v>0</v>
      </c>
      <c r="AE137"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37" s="30">
        <f t="array" ref="AF137">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137" s="84">
        <f t="array" ref="AG137">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137" s="27">
        <f>IFERROR((TABLA_AVANCE_METAS[[#This Row],[AVANCE ACUM. TRIM.]]/TABLA_AVANCE_METAS[[#This Row],[PROG. ACUM]])*100,"N/A")</f>
        <v>100</v>
      </c>
      <c r="AI137"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37" s="31">
        <f>TABLA_AVANCE_METAS[[#This Row],[AVANCE ACUM. TRIM.]]-TABLA_AVANCE_METAS[[#This Row],[PROG. ACUM]]</f>
        <v>0</v>
      </c>
      <c r="AK137" s="32">
        <f>IFERROR((TABLA_AVANCE_METAS[[#This Row],[DIFERENCIA ABSOLUTA SEMESTRAL]]/TABLA_AVANCE_METAS[[#This Row],[PROG. ACUM]])*100,"N/A")</f>
        <v>0</v>
      </c>
      <c r="AL137" s="84">
        <f>TABLA_AVANCE_METAS[[#This Row],[AVANCE 1°. TRIM]]+TABLA_AVANCE_METAS[[#This Row],[AVANCE 2°. TRIM]]+TABLA_AVANCE_METAS[[#This Row],[AVANCE 3°. TRIM]]+TABLA_AVANCE_METAS[[#This Row],[AVANCE 4°. TRIM]]</f>
        <v>2</v>
      </c>
      <c r="AM137" s="27">
        <f>IFERROR((TABLA_AVANCE_METAS[[#This Row],[AVANCE ACUM. ANUAL]]/TABLA_AVANCE_METAS[[#This Row],[PROGRAMADO ANUAL]])*100,"N/A")</f>
        <v>50</v>
      </c>
      <c r="AN137"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37" s="31">
        <f>TABLA_AVANCE_METAS[[#This Row],[AVANCE ACUM. ANUAL]]-TABLA_AVANCE_METAS[[#This Row],[PROGRAMADO ANUAL]]</f>
        <v>-2</v>
      </c>
      <c r="AP137" s="33">
        <f>IFERROR((TABLA_AVANCE_METAS[[#This Row],[DIFERENCIA ABSOLUTA ANUAL]]/TABLA_AVANCE_METAS[[#This Row],[PROGRAMADO ANUAL]])*100,"N/A")</f>
        <v>-50</v>
      </c>
      <c r="AQ137" s="34"/>
      <c r="AR137" s="35"/>
      <c r="AS137" s="36"/>
      <c r="AT137" s="36"/>
      <c r="AU137" s="37" t="b">
        <f>TABLA_AVANCE_METAS[[#This Row],[PROGRAMADO ANUAL]]=SUM(TABLA_AVANCE_METAS[[#This Row],[PROGR. 1° TRIM]],TABLA_AVANCE_METAS[[#This Row],[PROGR. 2° TRIM]],TABLA_AVANCE_METAS[[#This Row],[PROGR. 3° TRIM]],TABLA_AVANCE_METAS[[#This Row],[PROGR. 4° TRIM]])</f>
        <v>1</v>
      </c>
      <c r="AV137" s="38"/>
    </row>
    <row r="138" spans="1:48" ht="75" hidden="1" customHeight="1" x14ac:dyDescent="0.35">
      <c r="A138" s="19" t="str">
        <f>CONCATENATE(TABLA_AVANCE_METAS[[#This Row],[ESTRUCTURA]],TABLA_AVANCE_METAS[[#This Row],['#]])</f>
        <v>C0023002010301012</v>
      </c>
      <c r="B138" s="20" t="s">
        <v>443</v>
      </c>
      <c r="C138" s="21" t="s">
        <v>444</v>
      </c>
      <c r="D138" s="20" t="s">
        <v>445</v>
      </c>
      <c r="E138" s="20" t="s">
        <v>196</v>
      </c>
      <c r="F138" s="20" t="s">
        <v>197</v>
      </c>
      <c r="G138" s="22" t="s">
        <v>446</v>
      </c>
      <c r="H138" s="20" t="s">
        <v>434</v>
      </c>
      <c r="I138" s="20" t="s">
        <v>435</v>
      </c>
      <c r="J138" s="20" t="s">
        <v>436</v>
      </c>
      <c r="K138" s="20" t="s">
        <v>437</v>
      </c>
      <c r="L138" s="21">
        <v>2</v>
      </c>
      <c r="M138" s="23" t="s">
        <v>448</v>
      </c>
      <c r="N138" s="22" t="s">
        <v>84</v>
      </c>
      <c r="O138" s="24">
        <v>12</v>
      </c>
      <c r="P138" s="24">
        <v>3</v>
      </c>
      <c r="Q138" s="28">
        <v>3</v>
      </c>
      <c r="R138" s="25">
        <f>IFERROR((TABLA_AVANCE_METAS[[#This Row],[AVANCE 1°. TRIM]]/TABLA_AVANCE_METAS[[#This Row],[PROGR. 1° TRIM]])*100,"0")</f>
        <v>100</v>
      </c>
      <c r="S138"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38" s="24">
        <v>3</v>
      </c>
      <c r="U138" s="28">
        <v>3</v>
      </c>
      <c r="V138" s="27">
        <f t="shared" si="7"/>
        <v>100</v>
      </c>
      <c r="W138" s="26" t="str">
        <f t="shared" si="6"/>
        <v>ADECUADO</v>
      </c>
      <c r="X138" s="24">
        <v>3</v>
      </c>
      <c r="Y138" s="28">
        <v>0</v>
      </c>
      <c r="Z138" s="27">
        <v>0</v>
      </c>
      <c r="AA138" s="26" t="s">
        <v>62</v>
      </c>
      <c r="AB138" s="24">
        <v>3</v>
      </c>
      <c r="AC138" s="28">
        <v>0</v>
      </c>
      <c r="AD138" s="27">
        <f>IFERROR((TABLA_AVANCE_METAS[[#This Row],[AVANCE 4°. TRIM]]/TABLA_AVANCE_METAS[[#This Row],[PROGR. 4° TRIM]])*100,"0")</f>
        <v>0</v>
      </c>
      <c r="AE138"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38" s="30">
        <f t="array" ref="AF138">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6</v>
      </c>
      <c r="AG138" s="84">
        <f t="array" ref="AG138">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6</v>
      </c>
      <c r="AH138" s="27">
        <f>IFERROR((TABLA_AVANCE_METAS[[#This Row],[AVANCE ACUM. TRIM.]]/TABLA_AVANCE_METAS[[#This Row],[PROG. ACUM]])*100,"N/A")</f>
        <v>100</v>
      </c>
      <c r="AI138"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38" s="31">
        <f>TABLA_AVANCE_METAS[[#This Row],[AVANCE ACUM. TRIM.]]-TABLA_AVANCE_METAS[[#This Row],[PROG. ACUM]]</f>
        <v>0</v>
      </c>
      <c r="AK138" s="32">
        <f>IFERROR((TABLA_AVANCE_METAS[[#This Row],[DIFERENCIA ABSOLUTA SEMESTRAL]]/TABLA_AVANCE_METAS[[#This Row],[PROG. ACUM]])*100,"N/A")</f>
        <v>0</v>
      </c>
      <c r="AL138" s="84">
        <f>TABLA_AVANCE_METAS[[#This Row],[AVANCE 1°. TRIM]]+TABLA_AVANCE_METAS[[#This Row],[AVANCE 2°. TRIM]]+TABLA_AVANCE_METAS[[#This Row],[AVANCE 3°. TRIM]]+TABLA_AVANCE_METAS[[#This Row],[AVANCE 4°. TRIM]]</f>
        <v>6</v>
      </c>
      <c r="AM138" s="27">
        <f>IFERROR((TABLA_AVANCE_METAS[[#This Row],[AVANCE ACUM. ANUAL]]/TABLA_AVANCE_METAS[[#This Row],[PROGRAMADO ANUAL]])*100,"N/A")</f>
        <v>50</v>
      </c>
      <c r="AN138"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38" s="31">
        <f>TABLA_AVANCE_METAS[[#This Row],[AVANCE ACUM. ANUAL]]-TABLA_AVANCE_METAS[[#This Row],[PROGRAMADO ANUAL]]</f>
        <v>-6</v>
      </c>
      <c r="AP138" s="33">
        <f>IFERROR((TABLA_AVANCE_METAS[[#This Row],[DIFERENCIA ABSOLUTA ANUAL]]/TABLA_AVANCE_METAS[[#This Row],[PROGRAMADO ANUAL]])*100,"N/A")</f>
        <v>-50</v>
      </c>
      <c r="AQ138" s="34"/>
      <c r="AR138" s="35"/>
      <c r="AS138" s="36"/>
      <c r="AT138" s="36"/>
      <c r="AU138" s="37" t="b">
        <f>TABLA_AVANCE_METAS[[#This Row],[PROGRAMADO ANUAL]]=SUM(TABLA_AVANCE_METAS[[#This Row],[PROGR. 1° TRIM]],TABLA_AVANCE_METAS[[#This Row],[PROGR. 2° TRIM]],TABLA_AVANCE_METAS[[#This Row],[PROGR. 3° TRIM]],TABLA_AVANCE_METAS[[#This Row],[PROGR. 4° TRIM]])</f>
        <v>1</v>
      </c>
      <c r="AV138" s="38"/>
    </row>
    <row r="139" spans="1:48" ht="75" hidden="1" customHeight="1" x14ac:dyDescent="0.35">
      <c r="A139" s="19" t="str">
        <f>CONCATENATE(TABLA_AVANCE_METAS[[#This Row],[ESTRUCTURA]],TABLA_AVANCE_METAS[[#This Row],['#]])</f>
        <v>C0023002010301013</v>
      </c>
      <c r="B139" s="20" t="s">
        <v>443</v>
      </c>
      <c r="C139" s="21" t="s">
        <v>444</v>
      </c>
      <c r="D139" s="20" t="s">
        <v>445</v>
      </c>
      <c r="E139" s="20" t="s">
        <v>196</v>
      </c>
      <c r="F139" s="20" t="s">
        <v>197</v>
      </c>
      <c r="G139" s="22" t="s">
        <v>446</v>
      </c>
      <c r="H139" s="20" t="s">
        <v>434</v>
      </c>
      <c r="I139" s="20" t="s">
        <v>435</v>
      </c>
      <c r="J139" s="20" t="s">
        <v>436</v>
      </c>
      <c r="K139" s="20" t="s">
        <v>437</v>
      </c>
      <c r="L139" s="21">
        <v>3</v>
      </c>
      <c r="M139" s="23" t="s">
        <v>449</v>
      </c>
      <c r="N139" s="22" t="s">
        <v>154</v>
      </c>
      <c r="O139" s="24">
        <v>2</v>
      </c>
      <c r="P139" s="24">
        <v>1</v>
      </c>
      <c r="Q139" s="28">
        <v>1</v>
      </c>
      <c r="R139" s="25">
        <f>IFERROR((TABLA_AVANCE_METAS[[#This Row],[AVANCE 1°. TRIM]]/TABLA_AVANCE_METAS[[#This Row],[PROGR. 1° TRIM]])*100,"0")</f>
        <v>100</v>
      </c>
      <c r="S139"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39" s="24">
        <v>0</v>
      </c>
      <c r="U139" s="28">
        <v>0</v>
      </c>
      <c r="V139" s="27" t="str">
        <f t="shared" si="7"/>
        <v>0</v>
      </c>
      <c r="W139" s="26" t="str">
        <f t="shared" si="6"/>
        <v>NO PROG.</v>
      </c>
      <c r="X139" s="24">
        <v>1</v>
      </c>
      <c r="Y139" s="28">
        <v>0</v>
      </c>
      <c r="Z139" s="27">
        <v>0</v>
      </c>
      <c r="AA139" s="26" t="s">
        <v>62</v>
      </c>
      <c r="AB139" s="24">
        <v>0</v>
      </c>
      <c r="AC139" s="28">
        <v>0</v>
      </c>
      <c r="AD139" s="27" t="str">
        <f>IFERROR((TABLA_AVANCE_METAS[[#This Row],[AVANCE 4°. TRIM]]/TABLA_AVANCE_METAS[[#This Row],[PROGR. 4° TRIM]])*100,"0")</f>
        <v>0</v>
      </c>
      <c r="AE139"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39" s="30">
        <f t="array" ref="AF139">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139" s="84">
        <f t="array" ref="AG139">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139" s="27">
        <f>IFERROR((TABLA_AVANCE_METAS[[#This Row],[AVANCE ACUM. TRIM.]]/TABLA_AVANCE_METAS[[#This Row],[PROG. ACUM]])*100,"N/A")</f>
        <v>100</v>
      </c>
      <c r="AI139"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39" s="31">
        <f>TABLA_AVANCE_METAS[[#This Row],[AVANCE ACUM. TRIM.]]-TABLA_AVANCE_METAS[[#This Row],[PROG. ACUM]]</f>
        <v>0</v>
      </c>
      <c r="AK139" s="32">
        <f>IFERROR((TABLA_AVANCE_METAS[[#This Row],[DIFERENCIA ABSOLUTA SEMESTRAL]]/TABLA_AVANCE_METAS[[#This Row],[PROG. ACUM]])*100,"N/A")</f>
        <v>0</v>
      </c>
      <c r="AL139" s="84">
        <f>TABLA_AVANCE_METAS[[#This Row],[AVANCE 1°. TRIM]]+TABLA_AVANCE_METAS[[#This Row],[AVANCE 2°. TRIM]]+TABLA_AVANCE_METAS[[#This Row],[AVANCE 3°. TRIM]]+TABLA_AVANCE_METAS[[#This Row],[AVANCE 4°. TRIM]]</f>
        <v>1</v>
      </c>
      <c r="AM139" s="27">
        <f>IFERROR((TABLA_AVANCE_METAS[[#This Row],[AVANCE ACUM. ANUAL]]/TABLA_AVANCE_METAS[[#This Row],[PROGRAMADO ANUAL]])*100,"N/A")</f>
        <v>50</v>
      </c>
      <c r="AN139"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39" s="31">
        <f>TABLA_AVANCE_METAS[[#This Row],[AVANCE ACUM. ANUAL]]-TABLA_AVANCE_METAS[[#This Row],[PROGRAMADO ANUAL]]</f>
        <v>-1</v>
      </c>
      <c r="AP139" s="33">
        <f>IFERROR((TABLA_AVANCE_METAS[[#This Row],[DIFERENCIA ABSOLUTA ANUAL]]/TABLA_AVANCE_METAS[[#This Row],[PROGRAMADO ANUAL]])*100,"N/A")</f>
        <v>-50</v>
      </c>
      <c r="AQ139" s="34"/>
      <c r="AR139" s="35"/>
      <c r="AS139" s="36"/>
      <c r="AT139" s="36"/>
      <c r="AU139" s="37" t="b">
        <f>TABLA_AVANCE_METAS[[#This Row],[PROGRAMADO ANUAL]]=SUM(TABLA_AVANCE_METAS[[#This Row],[PROGR. 1° TRIM]],TABLA_AVANCE_METAS[[#This Row],[PROGR. 2° TRIM]],TABLA_AVANCE_METAS[[#This Row],[PROGR. 3° TRIM]],TABLA_AVANCE_METAS[[#This Row],[PROGR. 4° TRIM]])</f>
        <v>1</v>
      </c>
      <c r="AV139" s="38"/>
    </row>
    <row r="140" spans="1:48" ht="75" hidden="1" customHeight="1" x14ac:dyDescent="0.35">
      <c r="A140" s="19" t="str">
        <f>CONCATENATE(TABLA_AVANCE_METAS[[#This Row],[ESTRUCTURA]],TABLA_AVANCE_METAS[[#This Row],['#]])</f>
        <v>C0023002010301014</v>
      </c>
      <c r="B140" s="20" t="s">
        <v>443</v>
      </c>
      <c r="C140" s="21" t="s">
        <v>444</v>
      </c>
      <c r="D140" s="20" t="s">
        <v>445</v>
      </c>
      <c r="E140" s="20" t="s">
        <v>196</v>
      </c>
      <c r="F140" s="20" t="s">
        <v>197</v>
      </c>
      <c r="G140" s="22" t="s">
        <v>446</v>
      </c>
      <c r="H140" s="20" t="s">
        <v>434</v>
      </c>
      <c r="I140" s="20" t="s">
        <v>435</v>
      </c>
      <c r="J140" s="20" t="s">
        <v>436</v>
      </c>
      <c r="K140" s="20" t="s">
        <v>437</v>
      </c>
      <c r="L140" s="21">
        <v>4</v>
      </c>
      <c r="M140" s="23" t="s">
        <v>450</v>
      </c>
      <c r="N140" s="22" t="s">
        <v>299</v>
      </c>
      <c r="O140" s="24">
        <v>24</v>
      </c>
      <c r="P140" s="24">
        <v>6</v>
      </c>
      <c r="Q140" s="28">
        <v>6</v>
      </c>
      <c r="R140" s="25">
        <f>IFERROR((TABLA_AVANCE_METAS[[#This Row],[AVANCE 1°. TRIM]]/TABLA_AVANCE_METAS[[#This Row],[PROGR. 1° TRIM]])*100,"0")</f>
        <v>100</v>
      </c>
      <c r="S140"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40" s="24">
        <v>6</v>
      </c>
      <c r="U140" s="28">
        <v>6</v>
      </c>
      <c r="V140" s="27">
        <f t="shared" si="7"/>
        <v>100</v>
      </c>
      <c r="W140" s="26" t="str">
        <f t="shared" si="6"/>
        <v>ADECUADO</v>
      </c>
      <c r="X140" s="24">
        <v>6</v>
      </c>
      <c r="Y140" s="28">
        <v>0</v>
      </c>
      <c r="Z140" s="27">
        <v>0</v>
      </c>
      <c r="AA140" s="26" t="s">
        <v>62</v>
      </c>
      <c r="AB140" s="24">
        <v>6</v>
      </c>
      <c r="AC140" s="28">
        <v>0</v>
      </c>
      <c r="AD140" s="27">
        <f>IFERROR((TABLA_AVANCE_METAS[[#This Row],[AVANCE 4°. TRIM]]/TABLA_AVANCE_METAS[[#This Row],[PROGR. 4° TRIM]])*100,"0")</f>
        <v>0</v>
      </c>
      <c r="AE140"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40" s="30">
        <f t="array" ref="AF140">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12</v>
      </c>
      <c r="AG140" s="84">
        <f t="array" ref="AG140">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12</v>
      </c>
      <c r="AH140" s="27">
        <f>IFERROR((TABLA_AVANCE_METAS[[#This Row],[AVANCE ACUM. TRIM.]]/TABLA_AVANCE_METAS[[#This Row],[PROG. ACUM]])*100,"N/A")</f>
        <v>100</v>
      </c>
      <c r="AI140"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40" s="31">
        <f>TABLA_AVANCE_METAS[[#This Row],[AVANCE ACUM. TRIM.]]-TABLA_AVANCE_METAS[[#This Row],[PROG. ACUM]]</f>
        <v>0</v>
      </c>
      <c r="AK140" s="32">
        <f>IFERROR((TABLA_AVANCE_METAS[[#This Row],[DIFERENCIA ABSOLUTA SEMESTRAL]]/TABLA_AVANCE_METAS[[#This Row],[PROG. ACUM]])*100,"N/A")</f>
        <v>0</v>
      </c>
      <c r="AL140" s="84">
        <f>TABLA_AVANCE_METAS[[#This Row],[AVANCE 1°. TRIM]]+TABLA_AVANCE_METAS[[#This Row],[AVANCE 2°. TRIM]]+TABLA_AVANCE_METAS[[#This Row],[AVANCE 3°. TRIM]]+TABLA_AVANCE_METAS[[#This Row],[AVANCE 4°. TRIM]]</f>
        <v>12</v>
      </c>
      <c r="AM140" s="27">
        <f>IFERROR((TABLA_AVANCE_METAS[[#This Row],[AVANCE ACUM. ANUAL]]/TABLA_AVANCE_METAS[[#This Row],[PROGRAMADO ANUAL]])*100,"N/A")</f>
        <v>50</v>
      </c>
      <c r="AN140"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40" s="31">
        <f>TABLA_AVANCE_METAS[[#This Row],[AVANCE ACUM. ANUAL]]-TABLA_AVANCE_METAS[[#This Row],[PROGRAMADO ANUAL]]</f>
        <v>-12</v>
      </c>
      <c r="AP140" s="33">
        <f>IFERROR((TABLA_AVANCE_METAS[[#This Row],[DIFERENCIA ABSOLUTA ANUAL]]/TABLA_AVANCE_METAS[[#This Row],[PROGRAMADO ANUAL]])*100,"N/A")</f>
        <v>-50</v>
      </c>
      <c r="AQ140" s="34"/>
      <c r="AR140" s="35"/>
      <c r="AS140" s="36"/>
      <c r="AT140" s="36"/>
      <c r="AU140" s="37" t="b">
        <f>TABLA_AVANCE_METAS[[#This Row],[PROGRAMADO ANUAL]]=SUM(TABLA_AVANCE_METAS[[#This Row],[PROGR. 1° TRIM]],TABLA_AVANCE_METAS[[#This Row],[PROGR. 2° TRIM]],TABLA_AVANCE_METAS[[#This Row],[PROGR. 3° TRIM]],TABLA_AVANCE_METAS[[#This Row],[PROGR. 4° TRIM]])</f>
        <v>1</v>
      </c>
      <c r="AV140" s="38"/>
    </row>
    <row r="141" spans="1:48" ht="75" hidden="1" customHeight="1" x14ac:dyDescent="0.35">
      <c r="A141" s="19" t="str">
        <f>CONCATENATE(TABLA_AVANCE_METAS[[#This Row],[ESTRUCTURA]],TABLA_AVANCE_METAS[[#This Row],['#]])</f>
        <v>C0023002010301015</v>
      </c>
      <c r="B141" s="20" t="s">
        <v>443</v>
      </c>
      <c r="C141" s="21" t="s">
        <v>444</v>
      </c>
      <c r="D141" s="20" t="s">
        <v>445</v>
      </c>
      <c r="E141" s="20" t="s">
        <v>196</v>
      </c>
      <c r="F141" s="20" t="s">
        <v>197</v>
      </c>
      <c r="G141" s="22" t="s">
        <v>446</v>
      </c>
      <c r="H141" s="20" t="s">
        <v>434</v>
      </c>
      <c r="I141" s="20" t="s">
        <v>435</v>
      </c>
      <c r="J141" s="20" t="s">
        <v>436</v>
      </c>
      <c r="K141" s="20" t="s">
        <v>437</v>
      </c>
      <c r="L141" s="21">
        <v>5</v>
      </c>
      <c r="M141" s="23" t="s">
        <v>451</v>
      </c>
      <c r="N141" s="22" t="s">
        <v>452</v>
      </c>
      <c r="O141" s="24">
        <v>4</v>
      </c>
      <c r="P141" s="24">
        <v>1</v>
      </c>
      <c r="Q141" s="28">
        <v>1</v>
      </c>
      <c r="R141" s="25">
        <f>IFERROR((TABLA_AVANCE_METAS[[#This Row],[AVANCE 1°. TRIM]]/TABLA_AVANCE_METAS[[#This Row],[PROGR. 1° TRIM]])*100,"0")</f>
        <v>100</v>
      </c>
      <c r="S141"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41" s="24">
        <v>1</v>
      </c>
      <c r="U141" s="28">
        <v>2</v>
      </c>
      <c r="V141" s="27">
        <f t="shared" si="7"/>
        <v>200</v>
      </c>
      <c r="W141" s="26" t="str">
        <f t="shared" si="6"/>
        <v>SOBREPASADO</v>
      </c>
      <c r="X141" s="24">
        <v>1</v>
      </c>
      <c r="Y141" s="28">
        <v>0</v>
      </c>
      <c r="Z141" s="27">
        <v>0</v>
      </c>
      <c r="AA141" s="26" t="s">
        <v>62</v>
      </c>
      <c r="AB141" s="24">
        <v>1</v>
      </c>
      <c r="AC141" s="28">
        <v>0</v>
      </c>
      <c r="AD141" s="27">
        <f>IFERROR((TABLA_AVANCE_METAS[[#This Row],[AVANCE 4°. TRIM]]/TABLA_AVANCE_METAS[[#This Row],[PROGR. 4° TRIM]])*100,"0")</f>
        <v>0</v>
      </c>
      <c r="AE141"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41" s="30">
        <f t="array" ref="AF141">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141" s="84">
        <f t="array" ref="AG141">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3</v>
      </c>
      <c r="AH141" s="27">
        <f>IFERROR((TABLA_AVANCE_METAS[[#This Row],[AVANCE ACUM. TRIM.]]/TABLA_AVANCE_METAS[[#This Row],[PROG. ACUM]])*100,"N/A")</f>
        <v>150</v>
      </c>
      <c r="AI141"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SOBREPASADO</v>
      </c>
      <c r="AJ141" s="31">
        <f>TABLA_AVANCE_METAS[[#This Row],[AVANCE ACUM. TRIM.]]-TABLA_AVANCE_METAS[[#This Row],[PROG. ACUM]]</f>
        <v>1</v>
      </c>
      <c r="AK141" s="32">
        <f>IFERROR((TABLA_AVANCE_METAS[[#This Row],[DIFERENCIA ABSOLUTA SEMESTRAL]]/TABLA_AVANCE_METAS[[#This Row],[PROG. ACUM]])*100,"N/A")</f>
        <v>50</v>
      </c>
      <c r="AL141" s="84">
        <f>TABLA_AVANCE_METAS[[#This Row],[AVANCE 1°. TRIM]]+TABLA_AVANCE_METAS[[#This Row],[AVANCE 2°. TRIM]]+TABLA_AVANCE_METAS[[#This Row],[AVANCE 3°. TRIM]]+TABLA_AVANCE_METAS[[#This Row],[AVANCE 4°. TRIM]]</f>
        <v>3</v>
      </c>
      <c r="AM141" s="27">
        <f>IFERROR((TABLA_AVANCE_METAS[[#This Row],[AVANCE ACUM. ANUAL]]/TABLA_AVANCE_METAS[[#This Row],[PROGRAMADO ANUAL]])*100,"N/A")</f>
        <v>75</v>
      </c>
      <c r="AN141"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REGULAR</v>
      </c>
      <c r="AO141" s="31">
        <f>TABLA_AVANCE_METAS[[#This Row],[AVANCE ACUM. ANUAL]]-TABLA_AVANCE_METAS[[#This Row],[PROGRAMADO ANUAL]]</f>
        <v>-1</v>
      </c>
      <c r="AP141" s="33">
        <f>IFERROR((TABLA_AVANCE_METAS[[#This Row],[DIFERENCIA ABSOLUTA ANUAL]]/TABLA_AVANCE_METAS[[#This Row],[PROGRAMADO ANUAL]])*100,"N/A")</f>
        <v>-25</v>
      </c>
      <c r="AQ141" s="34"/>
      <c r="AR141" s="35"/>
      <c r="AS141" s="36"/>
      <c r="AT141" s="36"/>
      <c r="AU141" s="37" t="b">
        <f>TABLA_AVANCE_METAS[[#This Row],[PROGRAMADO ANUAL]]=SUM(TABLA_AVANCE_METAS[[#This Row],[PROGR. 1° TRIM]],TABLA_AVANCE_METAS[[#This Row],[PROGR. 2° TRIM]],TABLA_AVANCE_METAS[[#This Row],[PROGR. 3° TRIM]],TABLA_AVANCE_METAS[[#This Row],[PROGR. 4° TRIM]])</f>
        <v>1</v>
      </c>
      <c r="AV141" s="38"/>
    </row>
    <row r="142" spans="1:48" ht="75" hidden="1" customHeight="1" x14ac:dyDescent="0.35">
      <c r="A142" s="19" t="str">
        <f>CONCATENATE(TABLA_AVANCE_METAS[[#This Row],[ESTRUCTURA]],TABLA_AVANCE_METAS[[#This Row],['#]])</f>
        <v>C0023302010301011</v>
      </c>
      <c r="B142" s="20" t="s">
        <v>443</v>
      </c>
      <c r="C142" s="21" t="s">
        <v>444</v>
      </c>
      <c r="D142" s="20" t="s">
        <v>445</v>
      </c>
      <c r="E142" s="20" t="s">
        <v>453</v>
      </c>
      <c r="F142" s="20" t="s">
        <v>454</v>
      </c>
      <c r="G142" s="22" t="s">
        <v>455</v>
      </c>
      <c r="H142" s="20" t="s">
        <v>434</v>
      </c>
      <c r="I142" s="20" t="s">
        <v>435</v>
      </c>
      <c r="J142" s="20" t="s">
        <v>436</v>
      </c>
      <c r="K142" s="20" t="s">
        <v>437</v>
      </c>
      <c r="L142" s="21">
        <v>1</v>
      </c>
      <c r="M142" s="68" t="s">
        <v>456</v>
      </c>
      <c r="N142" s="22" t="s">
        <v>457</v>
      </c>
      <c r="O142" s="24">
        <v>57</v>
      </c>
      <c r="P142" s="24">
        <v>12</v>
      </c>
      <c r="Q142" s="28">
        <v>12</v>
      </c>
      <c r="R142" s="25">
        <f>IFERROR((TABLA_AVANCE_METAS[[#This Row],[AVANCE 1°. TRIM]]/TABLA_AVANCE_METAS[[#This Row],[PROGR. 1° TRIM]])*100,"0")</f>
        <v>100</v>
      </c>
      <c r="S142"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42" s="24">
        <v>15</v>
      </c>
      <c r="U142" s="28">
        <v>15</v>
      </c>
      <c r="V142" s="27">
        <f t="shared" si="7"/>
        <v>100</v>
      </c>
      <c r="W142" s="26" t="str">
        <f t="shared" si="6"/>
        <v>ADECUADO</v>
      </c>
      <c r="X142" s="24">
        <v>15</v>
      </c>
      <c r="Y142" s="28">
        <v>0</v>
      </c>
      <c r="Z142" s="27">
        <v>0</v>
      </c>
      <c r="AA142" s="26" t="s">
        <v>62</v>
      </c>
      <c r="AB142" s="24">
        <v>15</v>
      </c>
      <c r="AC142" s="28">
        <v>0</v>
      </c>
      <c r="AD142" s="27">
        <f>IFERROR((TABLA_AVANCE_METAS[[#This Row],[AVANCE 4°. TRIM]]/TABLA_AVANCE_METAS[[#This Row],[PROGR. 4° TRIM]])*100,"0")</f>
        <v>0</v>
      </c>
      <c r="AE142"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42" s="30">
        <f t="array" ref="AF142">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27</v>
      </c>
      <c r="AG142" s="84">
        <f t="array" ref="AG142">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27</v>
      </c>
      <c r="AH142" s="27">
        <f>IFERROR((TABLA_AVANCE_METAS[[#This Row],[AVANCE ACUM. TRIM.]]/TABLA_AVANCE_METAS[[#This Row],[PROG. ACUM]])*100,"N/A")</f>
        <v>100</v>
      </c>
      <c r="AI142"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42" s="31">
        <f>TABLA_AVANCE_METAS[[#This Row],[AVANCE ACUM. TRIM.]]-TABLA_AVANCE_METAS[[#This Row],[PROG. ACUM]]</f>
        <v>0</v>
      </c>
      <c r="AK142" s="32">
        <f>IFERROR((TABLA_AVANCE_METAS[[#This Row],[DIFERENCIA ABSOLUTA SEMESTRAL]]/TABLA_AVANCE_METAS[[#This Row],[PROG. ACUM]])*100,"N/A")</f>
        <v>0</v>
      </c>
      <c r="AL142" s="84">
        <f>TABLA_AVANCE_METAS[[#This Row],[AVANCE 1°. TRIM]]+TABLA_AVANCE_METAS[[#This Row],[AVANCE 2°. TRIM]]+TABLA_AVANCE_METAS[[#This Row],[AVANCE 3°. TRIM]]+TABLA_AVANCE_METAS[[#This Row],[AVANCE 4°. TRIM]]</f>
        <v>27</v>
      </c>
      <c r="AM142" s="27">
        <f>IFERROR((TABLA_AVANCE_METAS[[#This Row],[AVANCE ACUM. ANUAL]]/TABLA_AVANCE_METAS[[#This Row],[PROGRAMADO ANUAL]])*100,"N/A")</f>
        <v>47.368421052631575</v>
      </c>
      <c r="AN142"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142" s="31">
        <f>TABLA_AVANCE_METAS[[#This Row],[AVANCE ACUM. ANUAL]]-TABLA_AVANCE_METAS[[#This Row],[PROGRAMADO ANUAL]]</f>
        <v>-30</v>
      </c>
      <c r="AP142" s="33">
        <f>IFERROR((TABLA_AVANCE_METAS[[#This Row],[DIFERENCIA ABSOLUTA ANUAL]]/TABLA_AVANCE_METAS[[#This Row],[PROGRAMADO ANUAL]])*100,"N/A")</f>
        <v>-52.631578947368418</v>
      </c>
      <c r="AQ142" s="34"/>
      <c r="AR142" s="35"/>
      <c r="AS142" s="36"/>
      <c r="AT142" s="36"/>
      <c r="AU142" s="69" t="b">
        <f>TABLA_AVANCE_METAS[[#This Row],[PROGRAMADO ANUAL]]=SUM(TABLA_AVANCE_METAS[[#This Row],[PROGR. 1° TRIM]],TABLA_AVANCE_METAS[[#This Row],[PROGR. 2° TRIM]],TABLA_AVANCE_METAS[[#This Row],[PROGR. 3° TRIM]],TABLA_AVANCE_METAS[[#This Row],[PROGR. 4° TRIM]])</f>
        <v>1</v>
      </c>
      <c r="AV142" s="38"/>
    </row>
    <row r="143" spans="1:48" ht="75" hidden="1" customHeight="1" x14ac:dyDescent="0.35">
      <c r="A143" s="19" t="str">
        <f>CONCATENATE(TABLA_AVANCE_METAS[[#This Row],[ESTRUCTURA]],TABLA_AVANCE_METAS[[#This Row],['#]])</f>
        <v>C0023302010301012</v>
      </c>
      <c r="B143" s="20" t="s">
        <v>443</v>
      </c>
      <c r="C143" s="21" t="s">
        <v>444</v>
      </c>
      <c r="D143" s="20" t="s">
        <v>445</v>
      </c>
      <c r="E143" s="20" t="s">
        <v>453</v>
      </c>
      <c r="F143" s="20" t="s">
        <v>454</v>
      </c>
      <c r="G143" s="22" t="s">
        <v>455</v>
      </c>
      <c r="H143" s="20" t="s">
        <v>434</v>
      </c>
      <c r="I143" s="20" t="s">
        <v>435</v>
      </c>
      <c r="J143" s="20" t="s">
        <v>436</v>
      </c>
      <c r="K143" s="20" t="s">
        <v>437</v>
      </c>
      <c r="L143" s="21">
        <v>2</v>
      </c>
      <c r="M143" s="68" t="s">
        <v>458</v>
      </c>
      <c r="N143" s="22" t="s">
        <v>459</v>
      </c>
      <c r="O143" s="24">
        <v>57</v>
      </c>
      <c r="P143" s="24">
        <v>12</v>
      </c>
      <c r="Q143" s="28">
        <v>12</v>
      </c>
      <c r="R143" s="25">
        <f>IFERROR((TABLA_AVANCE_METAS[[#This Row],[AVANCE 1°. TRIM]]/TABLA_AVANCE_METAS[[#This Row],[PROGR. 1° TRIM]])*100,"0")</f>
        <v>100</v>
      </c>
      <c r="S143"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43" s="24">
        <v>15</v>
      </c>
      <c r="U143" s="28">
        <v>15</v>
      </c>
      <c r="V143" s="27">
        <f t="shared" si="7"/>
        <v>100</v>
      </c>
      <c r="W143" s="26" t="str">
        <f t="shared" si="6"/>
        <v>ADECUADO</v>
      </c>
      <c r="X143" s="24">
        <v>15</v>
      </c>
      <c r="Y143" s="28">
        <v>0</v>
      </c>
      <c r="Z143" s="27">
        <v>0</v>
      </c>
      <c r="AA143" s="26" t="s">
        <v>62</v>
      </c>
      <c r="AB143" s="24">
        <v>15</v>
      </c>
      <c r="AC143" s="28">
        <v>0</v>
      </c>
      <c r="AD143" s="27">
        <f>IFERROR((TABLA_AVANCE_METAS[[#This Row],[AVANCE 4°. TRIM]]/TABLA_AVANCE_METAS[[#This Row],[PROGR. 4° TRIM]])*100,"0")</f>
        <v>0</v>
      </c>
      <c r="AE143"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43" s="30">
        <f t="array" ref="AF143">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27</v>
      </c>
      <c r="AG143" s="84">
        <f t="array" ref="AG143">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27</v>
      </c>
      <c r="AH143" s="27">
        <f>IFERROR((TABLA_AVANCE_METAS[[#This Row],[AVANCE ACUM. TRIM.]]/TABLA_AVANCE_METAS[[#This Row],[PROG. ACUM]])*100,"N/A")</f>
        <v>100</v>
      </c>
      <c r="AI143"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43" s="31">
        <f>TABLA_AVANCE_METAS[[#This Row],[AVANCE ACUM. TRIM.]]-TABLA_AVANCE_METAS[[#This Row],[PROG. ACUM]]</f>
        <v>0</v>
      </c>
      <c r="AK143" s="32">
        <f>IFERROR((TABLA_AVANCE_METAS[[#This Row],[DIFERENCIA ABSOLUTA SEMESTRAL]]/TABLA_AVANCE_METAS[[#This Row],[PROG. ACUM]])*100,"N/A")</f>
        <v>0</v>
      </c>
      <c r="AL143" s="84">
        <f>TABLA_AVANCE_METAS[[#This Row],[AVANCE 1°. TRIM]]+TABLA_AVANCE_METAS[[#This Row],[AVANCE 2°. TRIM]]+TABLA_AVANCE_METAS[[#This Row],[AVANCE 3°. TRIM]]+TABLA_AVANCE_METAS[[#This Row],[AVANCE 4°. TRIM]]</f>
        <v>27</v>
      </c>
      <c r="AM143" s="27">
        <f>IFERROR((TABLA_AVANCE_METAS[[#This Row],[AVANCE ACUM. ANUAL]]/TABLA_AVANCE_METAS[[#This Row],[PROGRAMADO ANUAL]])*100,"N/A")</f>
        <v>47.368421052631575</v>
      </c>
      <c r="AN143"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143" s="31">
        <f>TABLA_AVANCE_METAS[[#This Row],[AVANCE ACUM. ANUAL]]-TABLA_AVANCE_METAS[[#This Row],[PROGRAMADO ANUAL]]</f>
        <v>-30</v>
      </c>
      <c r="AP143" s="33">
        <f>IFERROR((TABLA_AVANCE_METAS[[#This Row],[DIFERENCIA ABSOLUTA ANUAL]]/TABLA_AVANCE_METAS[[#This Row],[PROGRAMADO ANUAL]])*100,"N/A")</f>
        <v>-52.631578947368418</v>
      </c>
      <c r="AQ143" s="34"/>
      <c r="AR143" s="35"/>
      <c r="AS143" s="36"/>
      <c r="AT143" s="36"/>
      <c r="AU143" s="69" t="b">
        <f>TABLA_AVANCE_METAS[[#This Row],[PROGRAMADO ANUAL]]=SUM(TABLA_AVANCE_METAS[[#This Row],[PROGR. 1° TRIM]],TABLA_AVANCE_METAS[[#This Row],[PROGR. 2° TRIM]],TABLA_AVANCE_METAS[[#This Row],[PROGR. 3° TRIM]],TABLA_AVANCE_METAS[[#This Row],[PROGR. 4° TRIM]])</f>
        <v>1</v>
      </c>
      <c r="AV143" s="38"/>
    </row>
    <row r="144" spans="1:48" ht="75" hidden="1" customHeight="1" x14ac:dyDescent="0.35">
      <c r="A144" s="19" t="str">
        <f>CONCATENATE(TABLA_AVANCE_METAS[[#This Row],[ESTRUCTURA]],TABLA_AVANCE_METAS[[#This Row],['#]])</f>
        <v>C0023302010301013</v>
      </c>
      <c r="B144" s="20" t="s">
        <v>443</v>
      </c>
      <c r="C144" s="21" t="s">
        <v>444</v>
      </c>
      <c r="D144" s="20" t="s">
        <v>445</v>
      </c>
      <c r="E144" s="20" t="s">
        <v>453</v>
      </c>
      <c r="F144" s="20" t="s">
        <v>454</v>
      </c>
      <c r="G144" s="22" t="s">
        <v>455</v>
      </c>
      <c r="H144" s="20" t="s">
        <v>434</v>
      </c>
      <c r="I144" s="20" t="s">
        <v>435</v>
      </c>
      <c r="J144" s="20" t="s">
        <v>436</v>
      </c>
      <c r="K144" s="20" t="s">
        <v>437</v>
      </c>
      <c r="L144" s="21">
        <v>3</v>
      </c>
      <c r="M144" s="68" t="s">
        <v>460</v>
      </c>
      <c r="N144" s="22" t="s">
        <v>461</v>
      </c>
      <c r="O144" s="24">
        <v>45</v>
      </c>
      <c r="P144" s="24">
        <v>6</v>
      </c>
      <c r="Q144" s="28">
        <v>6</v>
      </c>
      <c r="R144" s="25">
        <f>IFERROR((TABLA_AVANCE_METAS[[#This Row],[AVANCE 1°. TRIM]]/TABLA_AVANCE_METAS[[#This Row],[PROGR. 1° TRIM]])*100,"0")</f>
        <v>100</v>
      </c>
      <c r="S144"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44" s="24">
        <v>13</v>
      </c>
      <c r="U144" s="28">
        <v>13</v>
      </c>
      <c r="V144" s="27">
        <f t="shared" si="7"/>
        <v>100</v>
      </c>
      <c r="W144" s="26" t="str">
        <f t="shared" si="6"/>
        <v>ADECUADO</v>
      </c>
      <c r="X144" s="24">
        <v>13</v>
      </c>
      <c r="Y144" s="28">
        <v>0</v>
      </c>
      <c r="Z144" s="27">
        <v>0</v>
      </c>
      <c r="AA144" s="26" t="s">
        <v>62</v>
      </c>
      <c r="AB144" s="24">
        <v>13</v>
      </c>
      <c r="AC144" s="28">
        <v>0</v>
      </c>
      <c r="AD144" s="27">
        <f>IFERROR((TABLA_AVANCE_METAS[[#This Row],[AVANCE 4°. TRIM]]/TABLA_AVANCE_METAS[[#This Row],[PROGR. 4° TRIM]])*100,"0")</f>
        <v>0</v>
      </c>
      <c r="AE144"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44" s="30">
        <f t="array" ref="AF144">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19</v>
      </c>
      <c r="AG144" s="84">
        <f t="array" ref="AG144">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19</v>
      </c>
      <c r="AH144" s="27">
        <f>IFERROR((TABLA_AVANCE_METAS[[#This Row],[AVANCE ACUM. TRIM.]]/TABLA_AVANCE_METAS[[#This Row],[PROG. ACUM]])*100,"N/A")</f>
        <v>100</v>
      </c>
      <c r="AI144"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44" s="31">
        <f>TABLA_AVANCE_METAS[[#This Row],[AVANCE ACUM. TRIM.]]-TABLA_AVANCE_METAS[[#This Row],[PROG. ACUM]]</f>
        <v>0</v>
      </c>
      <c r="AK144" s="32">
        <f>IFERROR((TABLA_AVANCE_METAS[[#This Row],[DIFERENCIA ABSOLUTA SEMESTRAL]]/TABLA_AVANCE_METAS[[#This Row],[PROG. ACUM]])*100,"N/A")</f>
        <v>0</v>
      </c>
      <c r="AL144" s="84">
        <f>TABLA_AVANCE_METAS[[#This Row],[AVANCE 1°. TRIM]]+TABLA_AVANCE_METAS[[#This Row],[AVANCE 2°. TRIM]]+TABLA_AVANCE_METAS[[#This Row],[AVANCE 3°. TRIM]]+TABLA_AVANCE_METAS[[#This Row],[AVANCE 4°. TRIM]]</f>
        <v>19</v>
      </c>
      <c r="AM144" s="27">
        <f>IFERROR((TABLA_AVANCE_METAS[[#This Row],[AVANCE ACUM. ANUAL]]/TABLA_AVANCE_METAS[[#This Row],[PROGRAMADO ANUAL]])*100,"N/A")</f>
        <v>42.222222222222221</v>
      </c>
      <c r="AN144"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144" s="31">
        <f>TABLA_AVANCE_METAS[[#This Row],[AVANCE ACUM. ANUAL]]-TABLA_AVANCE_METAS[[#This Row],[PROGRAMADO ANUAL]]</f>
        <v>-26</v>
      </c>
      <c r="AP144" s="33">
        <f>IFERROR((TABLA_AVANCE_METAS[[#This Row],[DIFERENCIA ABSOLUTA ANUAL]]/TABLA_AVANCE_METAS[[#This Row],[PROGRAMADO ANUAL]])*100,"N/A")</f>
        <v>-57.777777777777771</v>
      </c>
      <c r="AQ144" s="34"/>
      <c r="AR144" s="35"/>
      <c r="AS144" s="36"/>
      <c r="AT144" s="36"/>
      <c r="AU144" s="69" t="b">
        <f>TABLA_AVANCE_METAS[[#This Row],[PROGRAMADO ANUAL]]=SUM(TABLA_AVANCE_METAS[[#This Row],[PROGR. 1° TRIM]],TABLA_AVANCE_METAS[[#This Row],[PROGR. 2° TRIM]],TABLA_AVANCE_METAS[[#This Row],[PROGR. 3° TRIM]],TABLA_AVANCE_METAS[[#This Row],[PROGR. 4° TRIM]])</f>
        <v>1</v>
      </c>
      <c r="AV144" s="38"/>
    </row>
    <row r="145" spans="1:48" ht="75" hidden="1" customHeight="1" x14ac:dyDescent="0.35">
      <c r="A145" s="19" t="str">
        <f>CONCATENATE(TABLA_AVANCE_METAS[[#This Row],[ESTRUCTURA]],TABLA_AVANCE_METAS[[#This Row],['#]])</f>
        <v>C0023302010301014</v>
      </c>
      <c r="B145" s="20" t="s">
        <v>443</v>
      </c>
      <c r="C145" s="21" t="s">
        <v>444</v>
      </c>
      <c r="D145" s="20" t="s">
        <v>445</v>
      </c>
      <c r="E145" s="20" t="s">
        <v>453</v>
      </c>
      <c r="F145" s="20" t="s">
        <v>454</v>
      </c>
      <c r="G145" s="22" t="s">
        <v>455</v>
      </c>
      <c r="H145" s="20" t="s">
        <v>434</v>
      </c>
      <c r="I145" s="20" t="s">
        <v>435</v>
      </c>
      <c r="J145" s="20" t="s">
        <v>436</v>
      </c>
      <c r="K145" s="20" t="s">
        <v>437</v>
      </c>
      <c r="L145" s="21">
        <v>4</v>
      </c>
      <c r="M145" s="68" t="s">
        <v>462</v>
      </c>
      <c r="N145" s="22" t="s">
        <v>239</v>
      </c>
      <c r="O145" s="24">
        <v>3</v>
      </c>
      <c r="P145" s="24">
        <v>0</v>
      </c>
      <c r="Q145" s="28">
        <v>0</v>
      </c>
      <c r="R145" s="25" t="str">
        <f>IFERROR((TABLA_AVANCE_METAS[[#This Row],[AVANCE 1°. TRIM]]/TABLA_AVANCE_METAS[[#This Row],[PROGR. 1° TRIM]])*100,"0")</f>
        <v>0</v>
      </c>
      <c r="S145"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145" s="24">
        <v>3</v>
      </c>
      <c r="U145" s="28">
        <v>3</v>
      </c>
      <c r="V145" s="27">
        <f t="shared" si="7"/>
        <v>100</v>
      </c>
      <c r="W145" s="26" t="str">
        <f t="shared" si="6"/>
        <v>ADECUADO</v>
      </c>
      <c r="X145" s="24">
        <v>0</v>
      </c>
      <c r="Y145" s="28">
        <v>0</v>
      </c>
      <c r="Z145" s="27" t="s">
        <v>71</v>
      </c>
      <c r="AA145" s="26" t="s">
        <v>72</v>
      </c>
      <c r="AB145" s="24">
        <v>0</v>
      </c>
      <c r="AC145" s="28">
        <v>0</v>
      </c>
      <c r="AD145" s="27" t="str">
        <f>IFERROR((TABLA_AVANCE_METAS[[#This Row],[AVANCE 4°. TRIM]]/TABLA_AVANCE_METAS[[#This Row],[PROGR. 4° TRIM]])*100,"0")</f>
        <v>0</v>
      </c>
      <c r="AE145"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45" s="30">
        <f t="array" ref="AF145">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3</v>
      </c>
      <c r="AG145" s="84">
        <f t="array" ref="AG145">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3</v>
      </c>
      <c r="AH145" s="27">
        <f>IFERROR((TABLA_AVANCE_METAS[[#This Row],[AVANCE ACUM. TRIM.]]/TABLA_AVANCE_METAS[[#This Row],[PROG. ACUM]])*100,"N/A")</f>
        <v>100</v>
      </c>
      <c r="AI145"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45" s="31">
        <f>TABLA_AVANCE_METAS[[#This Row],[AVANCE ACUM. TRIM.]]-TABLA_AVANCE_METAS[[#This Row],[PROG. ACUM]]</f>
        <v>0</v>
      </c>
      <c r="AK145" s="32">
        <f>IFERROR((TABLA_AVANCE_METAS[[#This Row],[DIFERENCIA ABSOLUTA SEMESTRAL]]/TABLA_AVANCE_METAS[[#This Row],[PROG. ACUM]])*100,"N/A")</f>
        <v>0</v>
      </c>
      <c r="AL145" s="84">
        <f>TABLA_AVANCE_METAS[[#This Row],[AVANCE 1°. TRIM]]+TABLA_AVANCE_METAS[[#This Row],[AVANCE 2°. TRIM]]+TABLA_AVANCE_METAS[[#This Row],[AVANCE 3°. TRIM]]+TABLA_AVANCE_METAS[[#This Row],[AVANCE 4°. TRIM]]</f>
        <v>3</v>
      </c>
      <c r="AM145" s="27">
        <f>IFERROR((TABLA_AVANCE_METAS[[#This Row],[AVANCE ACUM. ANUAL]]/TABLA_AVANCE_METAS[[#This Row],[PROGRAMADO ANUAL]])*100,"N/A")</f>
        <v>100</v>
      </c>
      <c r="AN145"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145" s="31">
        <f>TABLA_AVANCE_METAS[[#This Row],[AVANCE ACUM. ANUAL]]-TABLA_AVANCE_METAS[[#This Row],[PROGRAMADO ANUAL]]</f>
        <v>0</v>
      </c>
      <c r="AP145" s="33">
        <f>IFERROR((TABLA_AVANCE_METAS[[#This Row],[DIFERENCIA ABSOLUTA ANUAL]]/TABLA_AVANCE_METAS[[#This Row],[PROGRAMADO ANUAL]])*100,"N/A")</f>
        <v>0</v>
      </c>
      <c r="AQ145" s="34"/>
      <c r="AR145" s="35"/>
      <c r="AS145" s="36"/>
      <c r="AT145" s="36"/>
      <c r="AU145" s="69" t="b">
        <f>TABLA_AVANCE_METAS[[#This Row],[PROGRAMADO ANUAL]]=SUM(TABLA_AVANCE_METAS[[#This Row],[PROGR. 1° TRIM]],TABLA_AVANCE_METAS[[#This Row],[PROGR. 2° TRIM]],TABLA_AVANCE_METAS[[#This Row],[PROGR. 3° TRIM]],TABLA_AVANCE_METAS[[#This Row],[PROGR. 4° TRIM]])</f>
        <v>1</v>
      </c>
      <c r="AV145" s="38"/>
    </row>
    <row r="146" spans="1:48" ht="75" hidden="1" customHeight="1" x14ac:dyDescent="0.35">
      <c r="A146" s="19" t="str">
        <f>CONCATENATE(TABLA_AVANCE_METAS[[#This Row],[ESTRUCTURA]],TABLA_AVANCE_METAS[[#This Row],['#]])</f>
        <v>C0022002010301021</v>
      </c>
      <c r="B146" s="20" t="s">
        <v>463</v>
      </c>
      <c r="C146" s="21" t="s">
        <v>444</v>
      </c>
      <c r="D146" s="20" t="s">
        <v>445</v>
      </c>
      <c r="E146" s="20" t="s">
        <v>400</v>
      </c>
      <c r="F146" s="20" t="s">
        <v>401</v>
      </c>
      <c r="G146" s="22" t="s">
        <v>464</v>
      </c>
      <c r="H146" s="20" t="s">
        <v>434</v>
      </c>
      <c r="I146" s="20" t="s">
        <v>435</v>
      </c>
      <c r="J146" s="20" t="s">
        <v>465</v>
      </c>
      <c r="K146" s="20" t="s">
        <v>466</v>
      </c>
      <c r="L146" s="21">
        <v>1</v>
      </c>
      <c r="M146" s="23" t="s">
        <v>467</v>
      </c>
      <c r="N146" s="22" t="s">
        <v>468</v>
      </c>
      <c r="O146" s="24">
        <v>40</v>
      </c>
      <c r="P146" s="24">
        <v>10</v>
      </c>
      <c r="Q146" s="28">
        <v>10</v>
      </c>
      <c r="R146" s="25">
        <f>IFERROR((TABLA_AVANCE_METAS[[#This Row],[AVANCE 1°. TRIM]]/TABLA_AVANCE_METAS[[#This Row],[PROGR. 1° TRIM]])*100,"0")</f>
        <v>100</v>
      </c>
      <c r="S146"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46" s="24">
        <v>10</v>
      </c>
      <c r="U146" s="28">
        <v>10</v>
      </c>
      <c r="V146" s="27">
        <f t="shared" si="7"/>
        <v>100</v>
      </c>
      <c r="W146" s="26" t="str">
        <f t="shared" si="6"/>
        <v>ADECUADO</v>
      </c>
      <c r="X146" s="24">
        <v>10</v>
      </c>
      <c r="Y146" s="28">
        <v>0</v>
      </c>
      <c r="Z146" s="27">
        <v>0</v>
      </c>
      <c r="AA146" s="26" t="s">
        <v>62</v>
      </c>
      <c r="AB146" s="24">
        <v>10</v>
      </c>
      <c r="AC146" s="28">
        <v>0</v>
      </c>
      <c r="AD146" s="27">
        <f>IFERROR((TABLA_AVANCE_METAS[[#This Row],[AVANCE 4°. TRIM]]/TABLA_AVANCE_METAS[[#This Row],[PROGR. 4° TRIM]])*100,"0")</f>
        <v>0</v>
      </c>
      <c r="AE146"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46" s="30">
        <f t="array" ref="AF146">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20</v>
      </c>
      <c r="AG146" s="84">
        <f t="array" ref="AG146">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20</v>
      </c>
      <c r="AH146" s="27">
        <f>IFERROR((TABLA_AVANCE_METAS[[#This Row],[AVANCE ACUM. TRIM.]]/TABLA_AVANCE_METAS[[#This Row],[PROG. ACUM]])*100,"N/A")</f>
        <v>100</v>
      </c>
      <c r="AI146"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46" s="31">
        <f>TABLA_AVANCE_METAS[[#This Row],[AVANCE ACUM. TRIM.]]-TABLA_AVANCE_METAS[[#This Row],[PROG. ACUM]]</f>
        <v>0</v>
      </c>
      <c r="AK146" s="32">
        <f>IFERROR((TABLA_AVANCE_METAS[[#This Row],[DIFERENCIA ABSOLUTA SEMESTRAL]]/TABLA_AVANCE_METAS[[#This Row],[PROG. ACUM]])*100,"N/A")</f>
        <v>0</v>
      </c>
      <c r="AL146" s="84">
        <f>TABLA_AVANCE_METAS[[#This Row],[AVANCE 1°. TRIM]]+TABLA_AVANCE_METAS[[#This Row],[AVANCE 2°. TRIM]]+TABLA_AVANCE_METAS[[#This Row],[AVANCE 3°. TRIM]]+TABLA_AVANCE_METAS[[#This Row],[AVANCE 4°. TRIM]]</f>
        <v>20</v>
      </c>
      <c r="AM146" s="27">
        <f>IFERROR((TABLA_AVANCE_METAS[[#This Row],[AVANCE ACUM. ANUAL]]/TABLA_AVANCE_METAS[[#This Row],[PROGRAMADO ANUAL]])*100,"N/A")</f>
        <v>50</v>
      </c>
      <c r="AN146"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46" s="31">
        <f>TABLA_AVANCE_METAS[[#This Row],[AVANCE ACUM. ANUAL]]-TABLA_AVANCE_METAS[[#This Row],[PROGRAMADO ANUAL]]</f>
        <v>-20</v>
      </c>
      <c r="AP146" s="33">
        <f>IFERROR((TABLA_AVANCE_METAS[[#This Row],[DIFERENCIA ABSOLUTA ANUAL]]/TABLA_AVANCE_METAS[[#This Row],[PROGRAMADO ANUAL]])*100,"N/A")</f>
        <v>-50</v>
      </c>
      <c r="AQ146" s="34"/>
      <c r="AR146" s="35"/>
      <c r="AS146" s="36"/>
      <c r="AT146" s="36"/>
      <c r="AU146" s="37" t="b">
        <f>TABLA_AVANCE_METAS[[#This Row],[PROGRAMADO ANUAL]]=SUM(TABLA_AVANCE_METAS[[#This Row],[PROGR. 1° TRIM]],TABLA_AVANCE_METAS[[#This Row],[PROGR. 2° TRIM]],TABLA_AVANCE_METAS[[#This Row],[PROGR. 3° TRIM]],TABLA_AVANCE_METAS[[#This Row],[PROGR. 4° TRIM]])</f>
        <v>1</v>
      </c>
      <c r="AV146" s="38"/>
    </row>
    <row r="147" spans="1:48" ht="75" hidden="1" customHeight="1" x14ac:dyDescent="0.35">
      <c r="A147" s="19" t="str">
        <f>CONCATENATE(TABLA_AVANCE_METAS[[#This Row],[ESTRUCTURA]],TABLA_AVANCE_METAS[[#This Row],['#]])</f>
        <v>C0022002010301022</v>
      </c>
      <c r="B147" s="20" t="s">
        <v>463</v>
      </c>
      <c r="C147" s="21" t="s">
        <v>444</v>
      </c>
      <c r="D147" s="20" t="s">
        <v>445</v>
      </c>
      <c r="E147" s="20" t="s">
        <v>400</v>
      </c>
      <c r="F147" s="20" t="s">
        <v>401</v>
      </c>
      <c r="G147" s="22" t="s">
        <v>464</v>
      </c>
      <c r="H147" s="20" t="s">
        <v>434</v>
      </c>
      <c r="I147" s="20" t="s">
        <v>435</v>
      </c>
      <c r="J147" s="20" t="s">
        <v>465</v>
      </c>
      <c r="K147" s="20" t="s">
        <v>466</v>
      </c>
      <c r="L147" s="21">
        <v>2</v>
      </c>
      <c r="M147" s="23" t="s">
        <v>469</v>
      </c>
      <c r="N147" s="22" t="s">
        <v>470</v>
      </c>
      <c r="O147" s="24">
        <v>2</v>
      </c>
      <c r="P147" s="24">
        <v>1</v>
      </c>
      <c r="Q147" s="28">
        <v>1</v>
      </c>
      <c r="R147" s="25">
        <f>IFERROR((TABLA_AVANCE_METAS[[#This Row],[AVANCE 1°. TRIM]]/TABLA_AVANCE_METAS[[#This Row],[PROGR. 1° TRIM]])*100,"0")</f>
        <v>100</v>
      </c>
      <c r="S147"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47" s="24">
        <v>1</v>
      </c>
      <c r="U147" s="28">
        <v>1</v>
      </c>
      <c r="V147" s="27">
        <f t="shared" si="7"/>
        <v>100</v>
      </c>
      <c r="W147" s="26" t="str">
        <f t="shared" si="6"/>
        <v>ADECUADO</v>
      </c>
      <c r="X147" s="24">
        <v>0</v>
      </c>
      <c r="Y147" s="28">
        <v>0</v>
      </c>
      <c r="Z147" s="27" t="s">
        <v>71</v>
      </c>
      <c r="AA147" s="26" t="s">
        <v>72</v>
      </c>
      <c r="AB147" s="24">
        <v>0</v>
      </c>
      <c r="AC147" s="28">
        <v>0</v>
      </c>
      <c r="AD147" s="27" t="str">
        <f>IFERROR((TABLA_AVANCE_METAS[[#This Row],[AVANCE 4°. TRIM]]/TABLA_AVANCE_METAS[[#This Row],[PROGR. 4° TRIM]])*100,"0")</f>
        <v>0</v>
      </c>
      <c r="AE147"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47" s="30">
        <f t="array" ref="AF147">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147" s="84">
        <f t="array" ref="AG147">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147" s="27">
        <f>IFERROR((TABLA_AVANCE_METAS[[#This Row],[AVANCE ACUM. TRIM.]]/TABLA_AVANCE_METAS[[#This Row],[PROG. ACUM]])*100,"N/A")</f>
        <v>100</v>
      </c>
      <c r="AI147"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47" s="31">
        <f>TABLA_AVANCE_METAS[[#This Row],[AVANCE ACUM. TRIM.]]-TABLA_AVANCE_METAS[[#This Row],[PROG. ACUM]]</f>
        <v>0</v>
      </c>
      <c r="AK147" s="32">
        <f>IFERROR((TABLA_AVANCE_METAS[[#This Row],[DIFERENCIA ABSOLUTA SEMESTRAL]]/TABLA_AVANCE_METAS[[#This Row],[PROG. ACUM]])*100,"N/A")</f>
        <v>0</v>
      </c>
      <c r="AL147" s="84">
        <f>TABLA_AVANCE_METAS[[#This Row],[AVANCE 1°. TRIM]]+TABLA_AVANCE_METAS[[#This Row],[AVANCE 2°. TRIM]]+TABLA_AVANCE_METAS[[#This Row],[AVANCE 3°. TRIM]]+TABLA_AVANCE_METAS[[#This Row],[AVANCE 4°. TRIM]]</f>
        <v>2</v>
      </c>
      <c r="AM147" s="27">
        <f>IFERROR((TABLA_AVANCE_METAS[[#This Row],[AVANCE ACUM. ANUAL]]/TABLA_AVANCE_METAS[[#This Row],[PROGRAMADO ANUAL]])*100,"N/A")</f>
        <v>100</v>
      </c>
      <c r="AN147"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147" s="31">
        <f>TABLA_AVANCE_METAS[[#This Row],[AVANCE ACUM. ANUAL]]-TABLA_AVANCE_METAS[[#This Row],[PROGRAMADO ANUAL]]</f>
        <v>0</v>
      </c>
      <c r="AP147" s="33">
        <f>IFERROR((TABLA_AVANCE_METAS[[#This Row],[DIFERENCIA ABSOLUTA ANUAL]]/TABLA_AVANCE_METAS[[#This Row],[PROGRAMADO ANUAL]])*100,"N/A")</f>
        <v>0</v>
      </c>
      <c r="AQ147" s="34"/>
      <c r="AR147" s="35"/>
      <c r="AS147" s="36"/>
      <c r="AT147" s="36"/>
      <c r="AU147" s="37" t="b">
        <f>TABLA_AVANCE_METAS[[#This Row],[PROGRAMADO ANUAL]]=SUM(TABLA_AVANCE_METAS[[#This Row],[PROGR. 1° TRIM]],TABLA_AVANCE_METAS[[#This Row],[PROGR. 2° TRIM]],TABLA_AVANCE_METAS[[#This Row],[PROGR. 3° TRIM]],TABLA_AVANCE_METAS[[#This Row],[PROGR. 4° TRIM]])</f>
        <v>1</v>
      </c>
      <c r="AV147" s="38"/>
    </row>
    <row r="148" spans="1:48" ht="75" hidden="1" customHeight="1" x14ac:dyDescent="0.35">
      <c r="A148" s="19" t="str">
        <f>CONCATENATE(TABLA_AVANCE_METAS[[#This Row],[ESTRUCTURA]],TABLA_AVANCE_METAS[[#This Row],['#]])</f>
        <v>C0022002010301023</v>
      </c>
      <c r="B148" s="20" t="s">
        <v>463</v>
      </c>
      <c r="C148" s="21" t="s">
        <v>444</v>
      </c>
      <c r="D148" s="20" t="s">
        <v>445</v>
      </c>
      <c r="E148" s="20" t="s">
        <v>400</v>
      </c>
      <c r="F148" s="20" t="s">
        <v>401</v>
      </c>
      <c r="G148" s="22" t="s">
        <v>464</v>
      </c>
      <c r="H148" s="20" t="s">
        <v>434</v>
      </c>
      <c r="I148" s="20" t="s">
        <v>435</v>
      </c>
      <c r="J148" s="20" t="s">
        <v>465</v>
      </c>
      <c r="K148" s="20" t="s">
        <v>466</v>
      </c>
      <c r="L148" s="21">
        <v>3</v>
      </c>
      <c r="M148" s="23" t="s">
        <v>471</v>
      </c>
      <c r="N148" s="22" t="s">
        <v>84</v>
      </c>
      <c r="O148" s="24">
        <v>4</v>
      </c>
      <c r="P148" s="24">
        <v>1</v>
      </c>
      <c r="Q148" s="28">
        <v>1</v>
      </c>
      <c r="R148" s="25">
        <f>IFERROR((TABLA_AVANCE_METAS[[#This Row],[AVANCE 1°. TRIM]]/TABLA_AVANCE_METAS[[#This Row],[PROGR. 1° TRIM]])*100,"0")</f>
        <v>100</v>
      </c>
      <c r="S148"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48" s="24">
        <v>1</v>
      </c>
      <c r="U148" s="28">
        <v>1</v>
      </c>
      <c r="V148" s="27">
        <f t="shared" si="7"/>
        <v>100</v>
      </c>
      <c r="W148" s="26" t="str">
        <f t="shared" si="6"/>
        <v>ADECUADO</v>
      </c>
      <c r="X148" s="24">
        <v>1</v>
      </c>
      <c r="Y148" s="28">
        <v>0</v>
      </c>
      <c r="Z148" s="27">
        <v>0</v>
      </c>
      <c r="AA148" s="26" t="s">
        <v>62</v>
      </c>
      <c r="AB148" s="24">
        <v>1</v>
      </c>
      <c r="AC148" s="28">
        <v>0</v>
      </c>
      <c r="AD148" s="27">
        <f>IFERROR((TABLA_AVANCE_METAS[[#This Row],[AVANCE 4°. TRIM]]/TABLA_AVANCE_METAS[[#This Row],[PROGR. 4° TRIM]])*100,"0")</f>
        <v>0</v>
      </c>
      <c r="AE148"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48" s="30">
        <f t="array" ref="AF148">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148" s="84">
        <f t="array" ref="AG148">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148" s="27">
        <f>IFERROR((TABLA_AVANCE_METAS[[#This Row],[AVANCE ACUM. TRIM.]]/TABLA_AVANCE_METAS[[#This Row],[PROG. ACUM]])*100,"N/A")</f>
        <v>100</v>
      </c>
      <c r="AI148"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48" s="31">
        <f>TABLA_AVANCE_METAS[[#This Row],[AVANCE ACUM. TRIM.]]-TABLA_AVANCE_METAS[[#This Row],[PROG. ACUM]]</f>
        <v>0</v>
      </c>
      <c r="AK148" s="32">
        <f>IFERROR((TABLA_AVANCE_METAS[[#This Row],[DIFERENCIA ABSOLUTA SEMESTRAL]]/TABLA_AVANCE_METAS[[#This Row],[PROG. ACUM]])*100,"N/A")</f>
        <v>0</v>
      </c>
      <c r="AL148" s="84">
        <f>TABLA_AVANCE_METAS[[#This Row],[AVANCE 1°. TRIM]]+TABLA_AVANCE_METAS[[#This Row],[AVANCE 2°. TRIM]]+TABLA_AVANCE_METAS[[#This Row],[AVANCE 3°. TRIM]]+TABLA_AVANCE_METAS[[#This Row],[AVANCE 4°. TRIM]]</f>
        <v>2</v>
      </c>
      <c r="AM148" s="27">
        <f>IFERROR((TABLA_AVANCE_METAS[[#This Row],[AVANCE ACUM. ANUAL]]/TABLA_AVANCE_METAS[[#This Row],[PROGRAMADO ANUAL]])*100,"N/A")</f>
        <v>50</v>
      </c>
      <c r="AN148"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48" s="31">
        <f>TABLA_AVANCE_METAS[[#This Row],[AVANCE ACUM. ANUAL]]-TABLA_AVANCE_METAS[[#This Row],[PROGRAMADO ANUAL]]</f>
        <v>-2</v>
      </c>
      <c r="AP148" s="33">
        <f>IFERROR((TABLA_AVANCE_METAS[[#This Row],[DIFERENCIA ABSOLUTA ANUAL]]/TABLA_AVANCE_METAS[[#This Row],[PROGRAMADO ANUAL]])*100,"N/A")</f>
        <v>-50</v>
      </c>
      <c r="AQ148" s="34"/>
      <c r="AR148" s="35"/>
      <c r="AS148" s="36"/>
      <c r="AT148" s="36"/>
      <c r="AU148" s="37" t="b">
        <f>TABLA_AVANCE_METAS[[#This Row],[PROGRAMADO ANUAL]]=SUM(TABLA_AVANCE_METAS[[#This Row],[PROGR. 1° TRIM]],TABLA_AVANCE_METAS[[#This Row],[PROGR. 2° TRIM]],TABLA_AVANCE_METAS[[#This Row],[PROGR. 3° TRIM]],TABLA_AVANCE_METAS[[#This Row],[PROGR. 4° TRIM]])</f>
        <v>1</v>
      </c>
      <c r="AV148" s="38"/>
    </row>
    <row r="149" spans="1:48" ht="75" hidden="1" customHeight="1" x14ac:dyDescent="0.35">
      <c r="A149" s="19" t="str">
        <f>CONCATENATE(TABLA_AVANCE_METAS[[#This Row],[ESTRUCTURA]],TABLA_AVANCE_METAS[[#This Row],['#]])</f>
        <v>C0022002010301024</v>
      </c>
      <c r="B149" s="20" t="s">
        <v>463</v>
      </c>
      <c r="C149" s="21" t="s">
        <v>444</v>
      </c>
      <c r="D149" s="20" t="s">
        <v>445</v>
      </c>
      <c r="E149" s="20" t="s">
        <v>400</v>
      </c>
      <c r="F149" s="20" t="s">
        <v>401</v>
      </c>
      <c r="G149" s="22" t="s">
        <v>464</v>
      </c>
      <c r="H149" s="20" t="s">
        <v>434</v>
      </c>
      <c r="I149" s="20" t="s">
        <v>435</v>
      </c>
      <c r="J149" s="20" t="s">
        <v>465</v>
      </c>
      <c r="K149" s="20" t="s">
        <v>466</v>
      </c>
      <c r="L149" s="21">
        <v>4</v>
      </c>
      <c r="M149" s="23" t="s">
        <v>472</v>
      </c>
      <c r="N149" s="22" t="s">
        <v>84</v>
      </c>
      <c r="O149" s="24">
        <v>12</v>
      </c>
      <c r="P149" s="24">
        <v>3</v>
      </c>
      <c r="Q149" s="28">
        <v>3</v>
      </c>
      <c r="R149" s="25">
        <f>IFERROR((TABLA_AVANCE_METAS[[#This Row],[AVANCE 1°. TRIM]]/TABLA_AVANCE_METAS[[#This Row],[PROGR. 1° TRIM]])*100,"0")</f>
        <v>100</v>
      </c>
      <c r="S149"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49" s="24">
        <v>3</v>
      </c>
      <c r="U149" s="28">
        <v>3</v>
      </c>
      <c r="V149" s="27">
        <f t="shared" si="7"/>
        <v>100</v>
      </c>
      <c r="W149" s="26" t="str">
        <f t="shared" ref="W149:W180" si="8">IF(AND(V149&gt;=0,V149&lt;=49.9999999999999),"CRÍTICO",IF(AND(V149&gt;=50,V149&lt;=69.9999999999999),"DEFICIENTE",IF(AND(V149&gt;=70,V149&lt;=89.9999999999999),"REGULAR",IF(AND(V149&gt;=90,V149&lt;=110.999999999999),"ADECUADO",IF(AND(V149&gt;=111,V149&lt;=999999),"SOBREPASADO","NO PROG.")))))</f>
        <v>ADECUADO</v>
      </c>
      <c r="X149" s="24">
        <v>3</v>
      </c>
      <c r="Y149" s="28">
        <v>0</v>
      </c>
      <c r="Z149" s="27">
        <v>0</v>
      </c>
      <c r="AA149" s="26" t="s">
        <v>62</v>
      </c>
      <c r="AB149" s="24">
        <v>3</v>
      </c>
      <c r="AC149" s="28">
        <v>0</v>
      </c>
      <c r="AD149" s="27">
        <f>IFERROR((TABLA_AVANCE_METAS[[#This Row],[AVANCE 4°. TRIM]]/TABLA_AVANCE_METAS[[#This Row],[PROGR. 4° TRIM]])*100,"0")</f>
        <v>0</v>
      </c>
      <c r="AE149"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49" s="30">
        <f t="array" ref="AF149">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6</v>
      </c>
      <c r="AG149" s="84">
        <f t="array" ref="AG149">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6</v>
      </c>
      <c r="AH149" s="27">
        <f>IFERROR((TABLA_AVANCE_METAS[[#This Row],[AVANCE ACUM. TRIM.]]/TABLA_AVANCE_METAS[[#This Row],[PROG. ACUM]])*100,"N/A")</f>
        <v>100</v>
      </c>
      <c r="AI149"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49" s="31">
        <f>TABLA_AVANCE_METAS[[#This Row],[AVANCE ACUM. TRIM.]]-TABLA_AVANCE_METAS[[#This Row],[PROG. ACUM]]</f>
        <v>0</v>
      </c>
      <c r="AK149" s="32">
        <f>IFERROR((TABLA_AVANCE_METAS[[#This Row],[DIFERENCIA ABSOLUTA SEMESTRAL]]/TABLA_AVANCE_METAS[[#This Row],[PROG. ACUM]])*100,"N/A")</f>
        <v>0</v>
      </c>
      <c r="AL149" s="84">
        <f>TABLA_AVANCE_METAS[[#This Row],[AVANCE 1°. TRIM]]+TABLA_AVANCE_METAS[[#This Row],[AVANCE 2°. TRIM]]+TABLA_AVANCE_METAS[[#This Row],[AVANCE 3°. TRIM]]+TABLA_AVANCE_METAS[[#This Row],[AVANCE 4°. TRIM]]</f>
        <v>6</v>
      </c>
      <c r="AM149" s="27">
        <f>IFERROR((TABLA_AVANCE_METAS[[#This Row],[AVANCE ACUM. ANUAL]]/TABLA_AVANCE_METAS[[#This Row],[PROGRAMADO ANUAL]])*100,"N/A")</f>
        <v>50</v>
      </c>
      <c r="AN149"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49" s="31">
        <f>TABLA_AVANCE_METAS[[#This Row],[AVANCE ACUM. ANUAL]]-TABLA_AVANCE_METAS[[#This Row],[PROGRAMADO ANUAL]]</f>
        <v>-6</v>
      </c>
      <c r="AP149" s="33">
        <f>IFERROR((TABLA_AVANCE_METAS[[#This Row],[DIFERENCIA ABSOLUTA ANUAL]]/TABLA_AVANCE_METAS[[#This Row],[PROGRAMADO ANUAL]])*100,"N/A")</f>
        <v>-50</v>
      </c>
      <c r="AQ149" s="34"/>
      <c r="AR149" s="35"/>
      <c r="AS149" s="36"/>
      <c r="AT149" s="36"/>
      <c r="AU149" s="37" t="b">
        <f>TABLA_AVANCE_METAS[[#This Row],[PROGRAMADO ANUAL]]=SUM(TABLA_AVANCE_METAS[[#This Row],[PROGR. 1° TRIM]],TABLA_AVANCE_METAS[[#This Row],[PROGR. 2° TRIM]],TABLA_AVANCE_METAS[[#This Row],[PROGR. 3° TRIM]],TABLA_AVANCE_METAS[[#This Row],[PROGR. 4° TRIM]])</f>
        <v>1</v>
      </c>
      <c r="AV149" s="38"/>
    </row>
    <row r="150" spans="1:48" ht="75" hidden="1" customHeight="1" x14ac:dyDescent="0.35">
      <c r="A150" s="19" t="str">
        <f>CONCATENATE(TABLA_AVANCE_METAS[[#This Row],[ESTRUCTURA]],TABLA_AVANCE_METAS[[#This Row],['#]])</f>
        <v>C0022002010301025</v>
      </c>
      <c r="B150" s="20" t="s">
        <v>463</v>
      </c>
      <c r="C150" s="21" t="s">
        <v>444</v>
      </c>
      <c r="D150" s="20" t="s">
        <v>445</v>
      </c>
      <c r="E150" s="20" t="s">
        <v>400</v>
      </c>
      <c r="F150" s="20" t="s">
        <v>401</v>
      </c>
      <c r="G150" s="22" t="s">
        <v>464</v>
      </c>
      <c r="H150" s="20" t="s">
        <v>434</v>
      </c>
      <c r="I150" s="20" t="s">
        <v>435</v>
      </c>
      <c r="J150" s="20" t="s">
        <v>465</v>
      </c>
      <c r="K150" s="20" t="s">
        <v>466</v>
      </c>
      <c r="L150" s="21">
        <v>5</v>
      </c>
      <c r="M150" s="23" t="s">
        <v>473</v>
      </c>
      <c r="N150" s="22" t="s">
        <v>84</v>
      </c>
      <c r="O150" s="24">
        <v>55</v>
      </c>
      <c r="P150" s="24">
        <v>33</v>
      </c>
      <c r="Q150" s="28">
        <v>0</v>
      </c>
      <c r="R150" s="25">
        <f>IFERROR((TABLA_AVANCE_METAS[[#This Row],[AVANCE 1°. TRIM]]/TABLA_AVANCE_METAS[[#This Row],[PROGR. 1° TRIM]])*100,"0")</f>
        <v>0</v>
      </c>
      <c r="S150"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CRÍTICO</v>
      </c>
      <c r="T150" s="24">
        <v>22</v>
      </c>
      <c r="U150" s="28">
        <v>55</v>
      </c>
      <c r="V150" s="27">
        <f t="shared" si="7"/>
        <v>250</v>
      </c>
      <c r="W150" s="26" t="str">
        <f t="shared" si="8"/>
        <v>SOBREPASADO</v>
      </c>
      <c r="X150" s="24">
        <v>0</v>
      </c>
      <c r="Y150" s="28">
        <v>0</v>
      </c>
      <c r="Z150" s="27" t="s">
        <v>71</v>
      </c>
      <c r="AA150" s="26" t="s">
        <v>72</v>
      </c>
      <c r="AB150" s="24">
        <v>0</v>
      </c>
      <c r="AC150" s="28">
        <v>0</v>
      </c>
      <c r="AD150" s="27" t="str">
        <f>IFERROR((TABLA_AVANCE_METAS[[#This Row],[AVANCE 4°. TRIM]]/TABLA_AVANCE_METAS[[#This Row],[PROGR. 4° TRIM]])*100,"0")</f>
        <v>0</v>
      </c>
      <c r="AE150"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50" s="30">
        <f t="array" ref="AF150">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55</v>
      </c>
      <c r="AG150" s="84">
        <f t="array" ref="AG150">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55</v>
      </c>
      <c r="AH150" s="27">
        <f>IFERROR((TABLA_AVANCE_METAS[[#This Row],[AVANCE ACUM. TRIM.]]/TABLA_AVANCE_METAS[[#This Row],[PROG. ACUM]])*100,"N/A")</f>
        <v>100</v>
      </c>
      <c r="AI150"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50" s="31">
        <f>TABLA_AVANCE_METAS[[#This Row],[AVANCE ACUM. TRIM.]]-TABLA_AVANCE_METAS[[#This Row],[PROG. ACUM]]</f>
        <v>0</v>
      </c>
      <c r="AK150" s="32">
        <f>IFERROR((TABLA_AVANCE_METAS[[#This Row],[DIFERENCIA ABSOLUTA SEMESTRAL]]/TABLA_AVANCE_METAS[[#This Row],[PROG. ACUM]])*100,"N/A")</f>
        <v>0</v>
      </c>
      <c r="AL150" s="84">
        <f>TABLA_AVANCE_METAS[[#This Row],[AVANCE 1°. TRIM]]+TABLA_AVANCE_METAS[[#This Row],[AVANCE 2°. TRIM]]+TABLA_AVANCE_METAS[[#This Row],[AVANCE 3°. TRIM]]+TABLA_AVANCE_METAS[[#This Row],[AVANCE 4°. TRIM]]</f>
        <v>55</v>
      </c>
      <c r="AM150" s="27">
        <f>IFERROR((TABLA_AVANCE_METAS[[#This Row],[AVANCE ACUM. ANUAL]]/TABLA_AVANCE_METAS[[#This Row],[PROGRAMADO ANUAL]])*100,"N/A")</f>
        <v>100</v>
      </c>
      <c r="AN150"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150" s="31">
        <f>TABLA_AVANCE_METAS[[#This Row],[AVANCE ACUM. ANUAL]]-TABLA_AVANCE_METAS[[#This Row],[PROGRAMADO ANUAL]]</f>
        <v>0</v>
      </c>
      <c r="AP150" s="33">
        <f>IFERROR((TABLA_AVANCE_METAS[[#This Row],[DIFERENCIA ABSOLUTA ANUAL]]/TABLA_AVANCE_METAS[[#This Row],[PROGRAMADO ANUAL]])*100,"N/A")</f>
        <v>0</v>
      </c>
      <c r="AQ150" s="34" t="s">
        <v>474</v>
      </c>
      <c r="AR150" s="35"/>
      <c r="AS150" s="36"/>
      <c r="AT150" s="36"/>
      <c r="AU150" s="37" t="b">
        <f>TABLA_AVANCE_METAS[[#This Row],[PROGRAMADO ANUAL]]=SUM(TABLA_AVANCE_METAS[[#This Row],[PROGR. 1° TRIM]],TABLA_AVANCE_METAS[[#This Row],[PROGR. 2° TRIM]],TABLA_AVANCE_METAS[[#This Row],[PROGR. 3° TRIM]],TABLA_AVANCE_METAS[[#This Row],[PROGR. 4° TRIM]])</f>
        <v>1</v>
      </c>
      <c r="AV150" s="38"/>
    </row>
    <row r="151" spans="1:48" ht="75" hidden="1" customHeight="1" x14ac:dyDescent="0.35">
      <c r="A151" s="19" t="str">
        <f>CONCATENATE(TABLA_AVANCE_METAS[[#This Row],[ESTRUCTURA]],TABLA_AVANCE_METAS[[#This Row],['#]])</f>
        <v>C0022202010301021</v>
      </c>
      <c r="B151" s="20" t="s">
        <v>475</v>
      </c>
      <c r="C151" s="21" t="s">
        <v>444</v>
      </c>
      <c r="D151" s="20" t="s">
        <v>445</v>
      </c>
      <c r="E151" s="20" t="s">
        <v>476</v>
      </c>
      <c r="F151" s="20" t="s">
        <v>477</v>
      </c>
      <c r="G151" s="22" t="s">
        <v>478</v>
      </c>
      <c r="H151" s="20" t="s">
        <v>434</v>
      </c>
      <c r="I151" s="20" t="s">
        <v>435</v>
      </c>
      <c r="J151" s="20" t="s">
        <v>465</v>
      </c>
      <c r="K151" s="20" t="s">
        <v>466</v>
      </c>
      <c r="L151" s="21">
        <v>1</v>
      </c>
      <c r="M151" s="70" t="s">
        <v>479</v>
      </c>
      <c r="N151" s="22" t="s">
        <v>480</v>
      </c>
      <c r="O151" s="24">
        <v>450</v>
      </c>
      <c r="P151" s="24">
        <v>150</v>
      </c>
      <c r="Q151" s="28">
        <v>116</v>
      </c>
      <c r="R151" s="25">
        <f>IFERROR((TABLA_AVANCE_METAS[[#This Row],[AVANCE 1°. TRIM]]/TABLA_AVANCE_METAS[[#This Row],[PROGR. 1° TRIM]])*100,"0")</f>
        <v>77.333333333333329</v>
      </c>
      <c r="S151"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REGULAR</v>
      </c>
      <c r="T151" s="24">
        <v>100</v>
      </c>
      <c r="U151" s="28">
        <v>121</v>
      </c>
      <c r="V151" s="27">
        <f t="shared" si="7"/>
        <v>121</v>
      </c>
      <c r="W151" s="26" t="str">
        <f t="shared" si="8"/>
        <v>SOBREPASADO</v>
      </c>
      <c r="X151" s="24">
        <v>100</v>
      </c>
      <c r="Y151" s="28">
        <v>0</v>
      </c>
      <c r="Z151" s="27">
        <v>0</v>
      </c>
      <c r="AA151" s="26" t="s">
        <v>62</v>
      </c>
      <c r="AB151" s="24">
        <v>100</v>
      </c>
      <c r="AC151" s="28">
        <v>0</v>
      </c>
      <c r="AD151" s="27">
        <f>IFERROR((TABLA_AVANCE_METAS[[#This Row],[AVANCE 4°. TRIM]]/TABLA_AVANCE_METAS[[#This Row],[PROGR. 4° TRIM]])*100,"0")</f>
        <v>0</v>
      </c>
      <c r="AE151"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51" s="30">
        <f t="array" ref="AF151">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250</v>
      </c>
      <c r="AG151" s="84">
        <f t="array" ref="AG151">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237</v>
      </c>
      <c r="AH151" s="27">
        <f>IFERROR((TABLA_AVANCE_METAS[[#This Row],[AVANCE ACUM. TRIM.]]/TABLA_AVANCE_METAS[[#This Row],[PROG. ACUM]])*100,"N/A")</f>
        <v>94.8</v>
      </c>
      <c r="AI151"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51" s="31">
        <f>TABLA_AVANCE_METAS[[#This Row],[AVANCE ACUM. TRIM.]]-TABLA_AVANCE_METAS[[#This Row],[PROG. ACUM]]</f>
        <v>-13</v>
      </c>
      <c r="AK151" s="32">
        <f>IFERROR((TABLA_AVANCE_METAS[[#This Row],[DIFERENCIA ABSOLUTA SEMESTRAL]]/TABLA_AVANCE_METAS[[#This Row],[PROG. ACUM]])*100,"N/A")</f>
        <v>-5.2</v>
      </c>
      <c r="AL151" s="84">
        <f>TABLA_AVANCE_METAS[[#This Row],[AVANCE 1°. TRIM]]+TABLA_AVANCE_METAS[[#This Row],[AVANCE 2°. TRIM]]+TABLA_AVANCE_METAS[[#This Row],[AVANCE 3°. TRIM]]+TABLA_AVANCE_METAS[[#This Row],[AVANCE 4°. TRIM]]</f>
        <v>237</v>
      </c>
      <c r="AM151" s="27">
        <f>IFERROR((TABLA_AVANCE_METAS[[#This Row],[AVANCE ACUM. ANUAL]]/TABLA_AVANCE_METAS[[#This Row],[PROGRAMADO ANUAL]])*100,"N/A")</f>
        <v>52.666666666666664</v>
      </c>
      <c r="AN151"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51" s="31">
        <f>TABLA_AVANCE_METAS[[#This Row],[AVANCE ACUM. ANUAL]]-TABLA_AVANCE_METAS[[#This Row],[PROGRAMADO ANUAL]]</f>
        <v>-213</v>
      </c>
      <c r="AP151" s="33">
        <f>IFERROR((TABLA_AVANCE_METAS[[#This Row],[DIFERENCIA ABSOLUTA ANUAL]]/TABLA_AVANCE_METAS[[#This Row],[PROGRAMADO ANUAL]])*100,"N/A")</f>
        <v>-47.333333333333336</v>
      </c>
      <c r="AQ151" s="34" t="s">
        <v>481</v>
      </c>
      <c r="AR151" s="35"/>
      <c r="AS151" s="36"/>
      <c r="AT151" s="36"/>
      <c r="AU151" s="69" t="b">
        <f>TABLA_AVANCE_METAS[[#This Row],[PROGRAMADO ANUAL]]=SUM(TABLA_AVANCE_METAS[[#This Row],[PROGR. 1° TRIM]],TABLA_AVANCE_METAS[[#This Row],[PROGR. 2° TRIM]],TABLA_AVANCE_METAS[[#This Row],[PROGR. 3° TRIM]],TABLA_AVANCE_METAS[[#This Row],[PROGR. 4° TRIM]])</f>
        <v>1</v>
      </c>
      <c r="AV151" s="38"/>
    </row>
    <row r="152" spans="1:48" ht="75" hidden="1" customHeight="1" x14ac:dyDescent="0.35">
      <c r="A152" s="19" t="str">
        <f>CONCATENATE(TABLA_AVANCE_METAS[[#This Row],[ESTRUCTURA]],TABLA_AVANCE_METAS[[#This Row],['#]])</f>
        <v>C0022202010301022</v>
      </c>
      <c r="B152" s="20" t="s">
        <v>475</v>
      </c>
      <c r="C152" s="21" t="s">
        <v>444</v>
      </c>
      <c r="D152" s="20" t="s">
        <v>445</v>
      </c>
      <c r="E152" s="20" t="s">
        <v>476</v>
      </c>
      <c r="F152" s="20" t="s">
        <v>477</v>
      </c>
      <c r="G152" s="22" t="s">
        <v>478</v>
      </c>
      <c r="H152" s="20" t="s">
        <v>434</v>
      </c>
      <c r="I152" s="20" t="s">
        <v>435</v>
      </c>
      <c r="J152" s="20" t="s">
        <v>465</v>
      </c>
      <c r="K152" s="20" t="s">
        <v>466</v>
      </c>
      <c r="L152" s="21">
        <v>2</v>
      </c>
      <c r="M152" s="70" t="s">
        <v>482</v>
      </c>
      <c r="N152" s="22" t="s">
        <v>483</v>
      </c>
      <c r="O152" s="24">
        <v>190930</v>
      </c>
      <c r="P152" s="24">
        <v>90000</v>
      </c>
      <c r="Q152" s="28">
        <v>37465</v>
      </c>
      <c r="R152" s="25">
        <f>IFERROR((TABLA_AVANCE_METAS[[#This Row],[AVANCE 1°. TRIM]]/TABLA_AVANCE_METAS[[#This Row],[PROGR. 1° TRIM]])*100,"0")</f>
        <v>41.62777777777778</v>
      </c>
      <c r="S152"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CRÍTICO</v>
      </c>
      <c r="T152" s="24">
        <v>20000</v>
      </c>
      <c r="U152" s="28">
        <v>59093</v>
      </c>
      <c r="V152" s="27">
        <f t="shared" si="7"/>
        <v>295.46499999999997</v>
      </c>
      <c r="W152" s="26" t="str">
        <f t="shared" si="8"/>
        <v>SOBREPASADO</v>
      </c>
      <c r="X152" s="24">
        <v>40465</v>
      </c>
      <c r="Y152" s="28">
        <v>0</v>
      </c>
      <c r="Z152" s="27">
        <v>0</v>
      </c>
      <c r="AA152" s="26" t="s">
        <v>62</v>
      </c>
      <c r="AB152" s="24">
        <v>40465</v>
      </c>
      <c r="AC152" s="28">
        <v>0</v>
      </c>
      <c r="AD152" s="27">
        <f>IFERROR((TABLA_AVANCE_METAS[[#This Row],[AVANCE 4°. TRIM]]/TABLA_AVANCE_METAS[[#This Row],[PROGR. 4° TRIM]])*100,"0")</f>
        <v>0</v>
      </c>
      <c r="AE152"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52" s="30">
        <f t="array" ref="AF152">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110000</v>
      </c>
      <c r="AG152" s="84">
        <f t="array" ref="AG152">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96558</v>
      </c>
      <c r="AH152" s="27">
        <f>IFERROR((TABLA_AVANCE_METAS[[#This Row],[AVANCE ACUM. TRIM.]]/TABLA_AVANCE_METAS[[#This Row],[PROG. ACUM]])*100,"N/A")</f>
        <v>87.78</v>
      </c>
      <c r="AI152"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REGULAR</v>
      </c>
      <c r="AJ152" s="31">
        <f>TABLA_AVANCE_METAS[[#This Row],[AVANCE ACUM. TRIM.]]-TABLA_AVANCE_METAS[[#This Row],[PROG. ACUM]]</f>
        <v>-13442</v>
      </c>
      <c r="AK152" s="32">
        <f>IFERROR((TABLA_AVANCE_METAS[[#This Row],[DIFERENCIA ABSOLUTA SEMESTRAL]]/TABLA_AVANCE_METAS[[#This Row],[PROG. ACUM]])*100,"N/A")</f>
        <v>-12.22</v>
      </c>
      <c r="AL152" s="84">
        <f>TABLA_AVANCE_METAS[[#This Row],[AVANCE 1°. TRIM]]+TABLA_AVANCE_METAS[[#This Row],[AVANCE 2°. TRIM]]+TABLA_AVANCE_METAS[[#This Row],[AVANCE 3°. TRIM]]+TABLA_AVANCE_METAS[[#This Row],[AVANCE 4°. TRIM]]</f>
        <v>96558</v>
      </c>
      <c r="AM152" s="27">
        <f>IFERROR((TABLA_AVANCE_METAS[[#This Row],[AVANCE ACUM. ANUAL]]/TABLA_AVANCE_METAS[[#This Row],[PROGRAMADO ANUAL]])*100,"N/A")</f>
        <v>50.572461111402092</v>
      </c>
      <c r="AN152"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52" s="31">
        <f>TABLA_AVANCE_METAS[[#This Row],[AVANCE ACUM. ANUAL]]-TABLA_AVANCE_METAS[[#This Row],[PROGRAMADO ANUAL]]</f>
        <v>-94372</v>
      </c>
      <c r="AP152" s="33">
        <f>IFERROR((TABLA_AVANCE_METAS[[#This Row],[DIFERENCIA ABSOLUTA ANUAL]]/TABLA_AVANCE_METAS[[#This Row],[PROGRAMADO ANUAL]])*100,"N/A")</f>
        <v>-49.427538888597915</v>
      </c>
      <c r="AQ152" s="34" t="s">
        <v>484</v>
      </c>
      <c r="AR152" s="35"/>
      <c r="AS152" s="36"/>
      <c r="AT152" s="36"/>
      <c r="AU152" s="69" t="b">
        <f>TABLA_AVANCE_METAS[[#This Row],[PROGRAMADO ANUAL]]=SUM(TABLA_AVANCE_METAS[[#This Row],[PROGR. 1° TRIM]],TABLA_AVANCE_METAS[[#This Row],[PROGR. 2° TRIM]],TABLA_AVANCE_METAS[[#This Row],[PROGR. 3° TRIM]],TABLA_AVANCE_METAS[[#This Row],[PROGR. 4° TRIM]])</f>
        <v>1</v>
      </c>
      <c r="AV152" s="38"/>
    </row>
    <row r="153" spans="1:48" ht="75" hidden="1" customHeight="1" x14ac:dyDescent="0.35">
      <c r="A153" s="19" t="str">
        <f>CONCATENATE(TABLA_AVANCE_METAS[[#This Row],[ESTRUCTURA]],TABLA_AVANCE_METAS[[#This Row],['#]])</f>
        <v>C0022202010301023</v>
      </c>
      <c r="B153" s="20" t="s">
        <v>475</v>
      </c>
      <c r="C153" s="21" t="s">
        <v>444</v>
      </c>
      <c r="D153" s="20" t="s">
        <v>445</v>
      </c>
      <c r="E153" s="20" t="s">
        <v>476</v>
      </c>
      <c r="F153" s="20" t="s">
        <v>477</v>
      </c>
      <c r="G153" s="22" t="s">
        <v>478</v>
      </c>
      <c r="H153" s="20" t="s">
        <v>434</v>
      </c>
      <c r="I153" s="20" t="s">
        <v>435</v>
      </c>
      <c r="J153" s="20" t="s">
        <v>465</v>
      </c>
      <c r="K153" s="20" t="s">
        <v>466</v>
      </c>
      <c r="L153" s="21">
        <v>3</v>
      </c>
      <c r="M153" s="70" t="s">
        <v>485</v>
      </c>
      <c r="N153" s="22" t="s">
        <v>486</v>
      </c>
      <c r="O153" s="24">
        <v>200</v>
      </c>
      <c r="P153" s="24">
        <v>200</v>
      </c>
      <c r="Q153" s="28">
        <v>0</v>
      </c>
      <c r="R153" s="25">
        <f>IFERROR((TABLA_AVANCE_METAS[[#This Row],[AVANCE 1°. TRIM]]/TABLA_AVANCE_METAS[[#This Row],[PROGR. 1° TRIM]])*100,"0")</f>
        <v>0</v>
      </c>
      <c r="S153"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CRÍTICO</v>
      </c>
      <c r="T153" s="24">
        <v>0</v>
      </c>
      <c r="U153" s="28">
        <v>4</v>
      </c>
      <c r="V153" s="27" t="str">
        <f t="shared" si="7"/>
        <v>0</v>
      </c>
      <c r="W153" s="26" t="str">
        <f t="shared" si="8"/>
        <v>NO PROG.</v>
      </c>
      <c r="X153" s="24">
        <v>0</v>
      </c>
      <c r="Y153" s="28">
        <v>0</v>
      </c>
      <c r="Z153" s="27" t="s">
        <v>71</v>
      </c>
      <c r="AA153" s="26" t="s">
        <v>72</v>
      </c>
      <c r="AB153" s="24">
        <v>0</v>
      </c>
      <c r="AC153" s="28">
        <v>0</v>
      </c>
      <c r="AD153" s="27" t="str">
        <f>IFERROR((TABLA_AVANCE_METAS[[#This Row],[AVANCE 4°. TRIM]]/TABLA_AVANCE_METAS[[#This Row],[PROGR. 4° TRIM]])*100,"0")</f>
        <v>0</v>
      </c>
      <c r="AE153"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53" s="30">
        <f t="array" ref="AF153">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200</v>
      </c>
      <c r="AG153" s="84">
        <f t="array" ref="AG153">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4</v>
      </c>
      <c r="AH153" s="27">
        <f>IFERROR((TABLA_AVANCE_METAS[[#This Row],[AVANCE ACUM. TRIM.]]/TABLA_AVANCE_METAS[[#This Row],[PROG. ACUM]])*100,"N/A")</f>
        <v>2</v>
      </c>
      <c r="AI153"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CRÍTICO</v>
      </c>
      <c r="AJ153" s="31">
        <f>TABLA_AVANCE_METAS[[#This Row],[AVANCE ACUM. TRIM.]]-TABLA_AVANCE_METAS[[#This Row],[PROG. ACUM]]</f>
        <v>-196</v>
      </c>
      <c r="AK153" s="32">
        <f>IFERROR((TABLA_AVANCE_METAS[[#This Row],[DIFERENCIA ABSOLUTA SEMESTRAL]]/TABLA_AVANCE_METAS[[#This Row],[PROG. ACUM]])*100,"N/A")</f>
        <v>-98</v>
      </c>
      <c r="AL153" s="84">
        <f>TABLA_AVANCE_METAS[[#This Row],[AVANCE 1°. TRIM]]+TABLA_AVANCE_METAS[[#This Row],[AVANCE 2°. TRIM]]+TABLA_AVANCE_METAS[[#This Row],[AVANCE 3°. TRIM]]+TABLA_AVANCE_METAS[[#This Row],[AVANCE 4°. TRIM]]</f>
        <v>4</v>
      </c>
      <c r="AM153" s="27">
        <f>IFERROR((TABLA_AVANCE_METAS[[#This Row],[AVANCE ACUM. ANUAL]]/TABLA_AVANCE_METAS[[#This Row],[PROGRAMADO ANUAL]])*100,"N/A")</f>
        <v>2</v>
      </c>
      <c r="AN153"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153" s="31">
        <f>TABLA_AVANCE_METAS[[#This Row],[AVANCE ACUM. ANUAL]]-TABLA_AVANCE_METAS[[#This Row],[PROGRAMADO ANUAL]]</f>
        <v>-196</v>
      </c>
      <c r="AP153" s="33">
        <f>IFERROR((TABLA_AVANCE_METAS[[#This Row],[DIFERENCIA ABSOLUTA ANUAL]]/TABLA_AVANCE_METAS[[#This Row],[PROGRAMADO ANUAL]])*100,"N/A")</f>
        <v>-98</v>
      </c>
      <c r="AQ153" s="34"/>
      <c r="AR153" s="35"/>
      <c r="AS153" s="36"/>
      <c r="AT153" s="36"/>
      <c r="AU153" s="69" t="b">
        <f>TABLA_AVANCE_METAS[[#This Row],[PROGRAMADO ANUAL]]=SUM(TABLA_AVANCE_METAS[[#This Row],[PROGR. 1° TRIM]],TABLA_AVANCE_METAS[[#This Row],[PROGR. 2° TRIM]],TABLA_AVANCE_METAS[[#This Row],[PROGR. 3° TRIM]],TABLA_AVANCE_METAS[[#This Row],[PROGR. 4° TRIM]])</f>
        <v>1</v>
      </c>
      <c r="AV153" s="38"/>
    </row>
    <row r="154" spans="1:48" ht="75" hidden="1" customHeight="1" x14ac:dyDescent="0.35">
      <c r="A154" s="19" t="str">
        <f>CONCATENATE(TABLA_AVANCE_METAS[[#This Row],[ESTRUCTURA]],TABLA_AVANCE_METAS[[#This Row],['#]])</f>
        <v>C0022202010301024</v>
      </c>
      <c r="B154" s="20" t="s">
        <v>475</v>
      </c>
      <c r="C154" s="21" t="s">
        <v>444</v>
      </c>
      <c r="D154" s="20" t="s">
        <v>445</v>
      </c>
      <c r="E154" s="20" t="s">
        <v>476</v>
      </c>
      <c r="F154" s="20" t="s">
        <v>477</v>
      </c>
      <c r="G154" s="22" t="s">
        <v>478</v>
      </c>
      <c r="H154" s="20" t="s">
        <v>434</v>
      </c>
      <c r="I154" s="20" t="s">
        <v>435</v>
      </c>
      <c r="J154" s="20" t="s">
        <v>465</v>
      </c>
      <c r="K154" s="20" t="s">
        <v>466</v>
      </c>
      <c r="L154" s="21">
        <v>4</v>
      </c>
      <c r="M154" s="70" t="s">
        <v>487</v>
      </c>
      <c r="N154" s="22" t="s">
        <v>488</v>
      </c>
      <c r="O154" s="24">
        <v>30</v>
      </c>
      <c r="P154" s="24">
        <v>30</v>
      </c>
      <c r="Q154" s="28">
        <v>9</v>
      </c>
      <c r="R154" s="25">
        <f>IFERROR((TABLA_AVANCE_METAS[[#This Row],[AVANCE 1°. TRIM]]/TABLA_AVANCE_METAS[[#This Row],[PROGR. 1° TRIM]])*100,"0")</f>
        <v>30</v>
      </c>
      <c r="S154"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CRÍTICO</v>
      </c>
      <c r="T154" s="24">
        <v>0</v>
      </c>
      <c r="U154" s="28">
        <v>11</v>
      </c>
      <c r="V154" s="27" t="str">
        <f t="shared" si="7"/>
        <v>0</v>
      </c>
      <c r="W154" s="26" t="str">
        <f t="shared" si="8"/>
        <v>NO PROG.</v>
      </c>
      <c r="X154" s="24">
        <v>0</v>
      </c>
      <c r="Y154" s="28">
        <v>0</v>
      </c>
      <c r="Z154" s="27" t="s">
        <v>71</v>
      </c>
      <c r="AA154" s="26" t="s">
        <v>72</v>
      </c>
      <c r="AB154" s="24">
        <v>0</v>
      </c>
      <c r="AC154" s="28">
        <v>0</v>
      </c>
      <c r="AD154" s="27" t="str">
        <f>IFERROR((TABLA_AVANCE_METAS[[#This Row],[AVANCE 4°. TRIM]]/TABLA_AVANCE_METAS[[#This Row],[PROGR. 4° TRIM]])*100,"0")</f>
        <v>0</v>
      </c>
      <c r="AE154"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54" s="30">
        <f t="array" ref="AF154">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30</v>
      </c>
      <c r="AG154" s="84">
        <f t="array" ref="AG154">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20</v>
      </c>
      <c r="AH154" s="27">
        <f>IFERROR((TABLA_AVANCE_METAS[[#This Row],[AVANCE ACUM. TRIM.]]/TABLA_AVANCE_METAS[[#This Row],[PROG. ACUM]])*100,"N/A")</f>
        <v>66.666666666666657</v>
      </c>
      <c r="AI154"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DEFICIENTE</v>
      </c>
      <c r="AJ154" s="31">
        <f>TABLA_AVANCE_METAS[[#This Row],[AVANCE ACUM. TRIM.]]-TABLA_AVANCE_METAS[[#This Row],[PROG. ACUM]]</f>
        <v>-10</v>
      </c>
      <c r="AK154" s="32">
        <f>IFERROR((TABLA_AVANCE_METAS[[#This Row],[DIFERENCIA ABSOLUTA SEMESTRAL]]/TABLA_AVANCE_METAS[[#This Row],[PROG. ACUM]])*100,"N/A")</f>
        <v>-33.333333333333329</v>
      </c>
      <c r="AL154" s="84">
        <f>TABLA_AVANCE_METAS[[#This Row],[AVANCE 1°. TRIM]]+TABLA_AVANCE_METAS[[#This Row],[AVANCE 2°. TRIM]]+TABLA_AVANCE_METAS[[#This Row],[AVANCE 3°. TRIM]]+TABLA_AVANCE_METAS[[#This Row],[AVANCE 4°. TRIM]]</f>
        <v>20</v>
      </c>
      <c r="AM154" s="27">
        <f>IFERROR((TABLA_AVANCE_METAS[[#This Row],[AVANCE ACUM. ANUAL]]/TABLA_AVANCE_METAS[[#This Row],[PROGRAMADO ANUAL]])*100,"N/A")</f>
        <v>66.666666666666657</v>
      </c>
      <c r="AN154"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54" s="31">
        <f>TABLA_AVANCE_METAS[[#This Row],[AVANCE ACUM. ANUAL]]-TABLA_AVANCE_METAS[[#This Row],[PROGRAMADO ANUAL]]</f>
        <v>-10</v>
      </c>
      <c r="AP154" s="33">
        <f>IFERROR((TABLA_AVANCE_METAS[[#This Row],[DIFERENCIA ABSOLUTA ANUAL]]/TABLA_AVANCE_METAS[[#This Row],[PROGRAMADO ANUAL]])*100,"N/A")</f>
        <v>-33.333333333333329</v>
      </c>
      <c r="AQ154" s="34" t="s">
        <v>489</v>
      </c>
      <c r="AR154" s="35"/>
      <c r="AS154" s="36"/>
      <c r="AT154" s="36"/>
      <c r="AU154" s="69" t="b">
        <f>TABLA_AVANCE_METAS[[#This Row],[PROGRAMADO ANUAL]]=SUM(TABLA_AVANCE_METAS[[#This Row],[PROGR. 1° TRIM]],TABLA_AVANCE_METAS[[#This Row],[PROGR. 2° TRIM]],TABLA_AVANCE_METAS[[#This Row],[PROGR. 3° TRIM]],TABLA_AVANCE_METAS[[#This Row],[PROGR. 4° TRIM]])</f>
        <v>1</v>
      </c>
      <c r="AV154" s="38"/>
    </row>
    <row r="155" spans="1:48" ht="75" hidden="1" customHeight="1" x14ac:dyDescent="0.35">
      <c r="A155" s="19" t="str">
        <f>CONCATENATE(TABLA_AVANCE_METAS[[#This Row],[ESTRUCTURA]],TABLA_AVANCE_METAS[[#This Row],['#]])</f>
        <v>C0022202010301025</v>
      </c>
      <c r="B155" s="20" t="s">
        <v>475</v>
      </c>
      <c r="C155" s="21" t="s">
        <v>444</v>
      </c>
      <c r="D155" s="20" t="s">
        <v>445</v>
      </c>
      <c r="E155" s="20" t="s">
        <v>476</v>
      </c>
      <c r="F155" s="20" t="s">
        <v>477</v>
      </c>
      <c r="G155" s="22" t="s">
        <v>478</v>
      </c>
      <c r="H155" s="20" t="s">
        <v>434</v>
      </c>
      <c r="I155" s="20" t="s">
        <v>435</v>
      </c>
      <c r="J155" s="20" t="s">
        <v>465</v>
      </c>
      <c r="K155" s="20" t="s">
        <v>466</v>
      </c>
      <c r="L155" s="21">
        <v>5</v>
      </c>
      <c r="M155" s="68" t="s">
        <v>490</v>
      </c>
      <c r="N155" s="22" t="s">
        <v>491</v>
      </c>
      <c r="O155" s="24">
        <v>280</v>
      </c>
      <c r="P155" s="24">
        <v>60</v>
      </c>
      <c r="Q155" s="28">
        <v>91</v>
      </c>
      <c r="R155" s="25">
        <f>IFERROR((TABLA_AVANCE_METAS[[#This Row],[AVANCE 1°. TRIM]]/TABLA_AVANCE_METAS[[#This Row],[PROGR. 1° TRIM]])*100,"0")</f>
        <v>151.66666666666666</v>
      </c>
      <c r="S155"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SOBREPASADO</v>
      </c>
      <c r="T155" s="24">
        <v>80</v>
      </c>
      <c r="U155" s="28">
        <v>72</v>
      </c>
      <c r="V155" s="27">
        <f t="shared" si="7"/>
        <v>90</v>
      </c>
      <c r="W155" s="26" t="str">
        <f t="shared" si="8"/>
        <v>ADECUADO</v>
      </c>
      <c r="X155" s="24">
        <v>70</v>
      </c>
      <c r="Y155" s="28">
        <v>0</v>
      </c>
      <c r="Z155" s="27">
        <v>0</v>
      </c>
      <c r="AA155" s="26" t="s">
        <v>62</v>
      </c>
      <c r="AB155" s="24">
        <v>70</v>
      </c>
      <c r="AC155" s="28">
        <v>0</v>
      </c>
      <c r="AD155" s="27">
        <f>IFERROR((TABLA_AVANCE_METAS[[#This Row],[AVANCE 4°. TRIM]]/TABLA_AVANCE_METAS[[#This Row],[PROGR. 4° TRIM]])*100,"0")</f>
        <v>0</v>
      </c>
      <c r="AE155"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55" s="30">
        <f t="array" ref="AF155">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140</v>
      </c>
      <c r="AG155" s="84">
        <f t="array" ref="AG155">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163</v>
      </c>
      <c r="AH155" s="27">
        <f>IFERROR((TABLA_AVANCE_METAS[[#This Row],[AVANCE ACUM. TRIM.]]/TABLA_AVANCE_METAS[[#This Row],[PROG. ACUM]])*100,"N/A")</f>
        <v>116.42857142857143</v>
      </c>
      <c r="AI155"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SOBREPASADO</v>
      </c>
      <c r="AJ155" s="31">
        <f>TABLA_AVANCE_METAS[[#This Row],[AVANCE ACUM. TRIM.]]-TABLA_AVANCE_METAS[[#This Row],[PROG. ACUM]]</f>
        <v>23</v>
      </c>
      <c r="AK155" s="32">
        <f>IFERROR((TABLA_AVANCE_METAS[[#This Row],[DIFERENCIA ABSOLUTA SEMESTRAL]]/TABLA_AVANCE_METAS[[#This Row],[PROG. ACUM]])*100,"N/A")</f>
        <v>16.428571428571427</v>
      </c>
      <c r="AL155" s="84">
        <f>TABLA_AVANCE_METAS[[#This Row],[AVANCE 1°. TRIM]]+TABLA_AVANCE_METAS[[#This Row],[AVANCE 2°. TRIM]]+TABLA_AVANCE_METAS[[#This Row],[AVANCE 3°. TRIM]]+TABLA_AVANCE_METAS[[#This Row],[AVANCE 4°. TRIM]]</f>
        <v>163</v>
      </c>
      <c r="AM155" s="27">
        <f>IFERROR((TABLA_AVANCE_METAS[[#This Row],[AVANCE ACUM. ANUAL]]/TABLA_AVANCE_METAS[[#This Row],[PROGRAMADO ANUAL]])*100,"N/A")</f>
        <v>58.214285714285715</v>
      </c>
      <c r="AN155"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55" s="31">
        <f>TABLA_AVANCE_METAS[[#This Row],[AVANCE ACUM. ANUAL]]-TABLA_AVANCE_METAS[[#This Row],[PROGRAMADO ANUAL]]</f>
        <v>-117</v>
      </c>
      <c r="AP155" s="33">
        <f>IFERROR((TABLA_AVANCE_METAS[[#This Row],[DIFERENCIA ABSOLUTA ANUAL]]/TABLA_AVANCE_METAS[[#This Row],[PROGRAMADO ANUAL]])*100,"N/A")</f>
        <v>-41.785714285714285</v>
      </c>
      <c r="AQ155" s="34" t="s">
        <v>492</v>
      </c>
      <c r="AR155" s="35"/>
      <c r="AS155" s="36"/>
      <c r="AT155" s="36"/>
      <c r="AU155" s="69" t="b">
        <f>TABLA_AVANCE_METAS[[#This Row],[PROGRAMADO ANUAL]]=SUM(TABLA_AVANCE_METAS[[#This Row],[PROGR. 1° TRIM]],TABLA_AVANCE_METAS[[#This Row],[PROGR. 2° TRIM]],TABLA_AVANCE_METAS[[#This Row],[PROGR. 3° TRIM]],TABLA_AVANCE_METAS[[#This Row],[PROGR. 4° TRIM]])</f>
        <v>1</v>
      </c>
      <c r="AV155" s="38"/>
    </row>
    <row r="156" spans="1:48" ht="75" hidden="1" customHeight="1" x14ac:dyDescent="0.35">
      <c r="A156" s="19" t="str">
        <f>CONCATENATE(TABLA_AVANCE_METAS[[#This Row],[ESTRUCTURA]],TABLA_AVANCE_METAS[[#This Row],['#]])</f>
        <v>C0022502010301041</v>
      </c>
      <c r="B156" s="20" t="s">
        <v>493</v>
      </c>
      <c r="C156" s="21" t="s">
        <v>444</v>
      </c>
      <c r="D156" s="20" t="s">
        <v>445</v>
      </c>
      <c r="E156" s="20" t="s">
        <v>494</v>
      </c>
      <c r="F156" s="20" t="s">
        <v>495</v>
      </c>
      <c r="G156" s="22" t="s">
        <v>496</v>
      </c>
      <c r="H156" s="20" t="s">
        <v>434</v>
      </c>
      <c r="I156" s="20" t="s">
        <v>435</v>
      </c>
      <c r="J156" s="20" t="s">
        <v>497</v>
      </c>
      <c r="K156" s="20" t="s">
        <v>498</v>
      </c>
      <c r="L156" s="21">
        <v>1</v>
      </c>
      <c r="M156" s="70" t="s">
        <v>499</v>
      </c>
      <c r="N156" s="22" t="s">
        <v>500</v>
      </c>
      <c r="O156" s="24">
        <v>128</v>
      </c>
      <c r="P156" s="24">
        <v>88</v>
      </c>
      <c r="Q156" s="28">
        <v>123</v>
      </c>
      <c r="R156" s="25">
        <f>IFERROR((TABLA_AVANCE_METAS[[#This Row],[AVANCE 1°. TRIM]]/TABLA_AVANCE_METAS[[#This Row],[PROGR. 1° TRIM]])*100,"0")</f>
        <v>139.77272727272728</v>
      </c>
      <c r="S156"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SOBREPASADO</v>
      </c>
      <c r="T156" s="24">
        <v>40</v>
      </c>
      <c r="U156" s="28">
        <v>0</v>
      </c>
      <c r="V156" s="27">
        <f t="shared" si="7"/>
        <v>0</v>
      </c>
      <c r="W156" s="26" t="str">
        <f t="shared" si="8"/>
        <v>CRÍTICO</v>
      </c>
      <c r="X156" s="24">
        <v>0</v>
      </c>
      <c r="Y156" s="28">
        <v>0</v>
      </c>
      <c r="Z156" s="27" t="s">
        <v>71</v>
      </c>
      <c r="AA156" s="26" t="s">
        <v>72</v>
      </c>
      <c r="AB156" s="24">
        <v>0</v>
      </c>
      <c r="AC156" s="28">
        <v>0</v>
      </c>
      <c r="AD156" s="27" t="str">
        <f>IFERROR((TABLA_AVANCE_METAS[[#This Row],[AVANCE 4°. TRIM]]/TABLA_AVANCE_METAS[[#This Row],[PROGR. 4° TRIM]])*100,"0")</f>
        <v>0</v>
      </c>
      <c r="AE156"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56" s="30">
        <f t="array" ref="AF156">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128</v>
      </c>
      <c r="AG156" s="84">
        <f t="array" ref="AG156">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123</v>
      </c>
      <c r="AH156" s="27">
        <f>IFERROR((TABLA_AVANCE_METAS[[#This Row],[AVANCE ACUM. TRIM.]]/TABLA_AVANCE_METAS[[#This Row],[PROG. ACUM]])*100,"N/A")</f>
        <v>96.09375</v>
      </c>
      <c r="AI156"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56" s="31">
        <f>TABLA_AVANCE_METAS[[#This Row],[AVANCE ACUM. TRIM.]]-TABLA_AVANCE_METAS[[#This Row],[PROG. ACUM]]</f>
        <v>-5</v>
      </c>
      <c r="AK156" s="32">
        <f>IFERROR((TABLA_AVANCE_METAS[[#This Row],[DIFERENCIA ABSOLUTA SEMESTRAL]]/TABLA_AVANCE_METAS[[#This Row],[PROG. ACUM]])*100,"N/A")</f>
        <v>-3.90625</v>
      </c>
      <c r="AL156" s="84">
        <f>TABLA_AVANCE_METAS[[#This Row],[AVANCE 1°. TRIM]]+TABLA_AVANCE_METAS[[#This Row],[AVANCE 2°. TRIM]]+TABLA_AVANCE_METAS[[#This Row],[AVANCE 3°. TRIM]]+TABLA_AVANCE_METAS[[#This Row],[AVANCE 4°. TRIM]]</f>
        <v>123</v>
      </c>
      <c r="AM156" s="27">
        <f>IFERROR((TABLA_AVANCE_METAS[[#This Row],[AVANCE ACUM. ANUAL]]/TABLA_AVANCE_METAS[[#This Row],[PROGRAMADO ANUAL]])*100,"N/A")</f>
        <v>96.09375</v>
      </c>
      <c r="AN156"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156" s="31">
        <f>TABLA_AVANCE_METAS[[#This Row],[AVANCE ACUM. ANUAL]]-TABLA_AVANCE_METAS[[#This Row],[PROGRAMADO ANUAL]]</f>
        <v>-5</v>
      </c>
      <c r="AP156" s="33">
        <f>IFERROR((TABLA_AVANCE_METAS[[#This Row],[DIFERENCIA ABSOLUTA ANUAL]]/TABLA_AVANCE_METAS[[#This Row],[PROGRAMADO ANUAL]])*100,"N/A")</f>
        <v>-3.90625</v>
      </c>
      <c r="AQ156" s="34" t="s">
        <v>501</v>
      </c>
      <c r="AR156" s="35"/>
      <c r="AS156" s="36"/>
      <c r="AT156" s="36"/>
      <c r="AU156" s="37" t="b">
        <f>TABLA_AVANCE_METAS[[#This Row],[PROGRAMADO ANUAL]]=SUM(TABLA_AVANCE_METAS[[#This Row],[PROGR. 1° TRIM]],TABLA_AVANCE_METAS[[#This Row],[PROGR. 2° TRIM]],TABLA_AVANCE_METAS[[#This Row],[PROGR. 3° TRIM]],TABLA_AVANCE_METAS[[#This Row],[PROGR. 4° TRIM]])</f>
        <v>1</v>
      </c>
      <c r="AV156" s="38"/>
    </row>
    <row r="157" spans="1:48" ht="75" hidden="1" customHeight="1" x14ac:dyDescent="0.35">
      <c r="A157" s="19" t="str">
        <f>CONCATENATE(TABLA_AVANCE_METAS[[#This Row],[ESTRUCTURA]],TABLA_AVANCE_METAS[[#This Row],['#]])</f>
        <v>C0022502010301042</v>
      </c>
      <c r="B157" s="20" t="s">
        <v>493</v>
      </c>
      <c r="C157" s="21" t="s">
        <v>444</v>
      </c>
      <c r="D157" s="20" t="s">
        <v>445</v>
      </c>
      <c r="E157" s="20" t="s">
        <v>494</v>
      </c>
      <c r="F157" s="20" t="s">
        <v>495</v>
      </c>
      <c r="G157" s="22" t="s">
        <v>496</v>
      </c>
      <c r="H157" s="20" t="s">
        <v>434</v>
      </c>
      <c r="I157" s="20" t="s">
        <v>435</v>
      </c>
      <c r="J157" s="20" t="s">
        <v>497</v>
      </c>
      <c r="K157" s="20" t="s">
        <v>498</v>
      </c>
      <c r="L157" s="21">
        <v>2</v>
      </c>
      <c r="M157" s="70" t="s">
        <v>502</v>
      </c>
      <c r="N157" s="22" t="s">
        <v>503</v>
      </c>
      <c r="O157" s="24">
        <v>128</v>
      </c>
      <c r="P157" s="24">
        <v>88</v>
      </c>
      <c r="Q157" s="28">
        <v>133</v>
      </c>
      <c r="R157" s="25">
        <f>IFERROR((TABLA_AVANCE_METAS[[#This Row],[AVANCE 1°. TRIM]]/TABLA_AVANCE_METAS[[#This Row],[PROGR. 1° TRIM]])*100,"0")</f>
        <v>151.13636363636365</v>
      </c>
      <c r="S157"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SOBREPASADO</v>
      </c>
      <c r="T157" s="24">
        <v>40</v>
      </c>
      <c r="U157" s="28">
        <v>0</v>
      </c>
      <c r="V157" s="27">
        <f t="shared" si="7"/>
        <v>0</v>
      </c>
      <c r="W157" s="26" t="str">
        <f t="shared" si="8"/>
        <v>CRÍTICO</v>
      </c>
      <c r="X157" s="24">
        <v>0</v>
      </c>
      <c r="Y157" s="28">
        <v>0</v>
      </c>
      <c r="Z157" s="27" t="s">
        <v>71</v>
      </c>
      <c r="AA157" s="26" t="s">
        <v>72</v>
      </c>
      <c r="AB157" s="24">
        <v>0</v>
      </c>
      <c r="AC157" s="28">
        <v>0</v>
      </c>
      <c r="AD157" s="27" t="str">
        <f>IFERROR((TABLA_AVANCE_METAS[[#This Row],[AVANCE 4°. TRIM]]/TABLA_AVANCE_METAS[[#This Row],[PROGR. 4° TRIM]])*100,"0")</f>
        <v>0</v>
      </c>
      <c r="AE157"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57" s="30">
        <f t="array" ref="AF157">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128</v>
      </c>
      <c r="AG157" s="84">
        <f t="array" ref="AG157">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133</v>
      </c>
      <c r="AH157" s="27">
        <f>IFERROR((TABLA_AVANCE_METAS[[#This Row],[AVANCE ACUM. TRIM.]]/TABLA_AVANCE_METAS[[#This Row],[PROG. ACUM]])*100,"N/A")</f>
        <v>103.90625</v>
      </c>
      <c r="AI157"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57" s="31">
        <f>TABLA_AVANCE_METAS[[#This Row],[AVANCE ACUM. TRIM.]]-TABLA_AVANCE_METAS[[#This Row],[PROG. ACUM]]</f>
        <v>5</v>
      </c>
      <c r="AK157" s="32">
        <f>IFERROR((TABLA_AVANCE_METAS[[#This Row],[DIFERENCIA ABSOLUTA SEMESTRAL]]/TABLA_AVANCE_METAS[[#This Row],[PROG. ACUM]])*100,"N/A")</f>
        <v>3.90625</v>
      </c>
      <c r="AL157" s="84">
        <f>TABLA_AVANCE_METAS[[#This Row],[AVANCE 1°. TRIM]]+TABLA_AVANCE_METAS[[#This Row],[AVANCE 2°. TRIM]]+TABLA_AVANCE_METAS[[#This Row],[AVANCE 3°. TRIM]]+TABLA_AVANCE_METAS[[#This Row],[AVANCE 4°. TRIM]]</f>
        <v>133</v>
      </c>
      <c r="AM157" s="27">
        <f>IFERROR((TABLA_AVANCE_METAS[[#This Row],[AVANCE ACUM. ANUAL]]/TABLA_AVANCE_METAS[[#This Row],[PROGRAMADO ANUAL]])*100,"N/A")</f>
        <v>103.90625</v>
      </c>
      <c r="AN157"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157" s="31">
        <f>TABLA_AVANCE_METAS[[#This Row],[AVANCE ACUM. ANUAL]]-TABLA_AVANCE_METAS[[#This Row],[PROGRAMADO ANUAL]]</f>
        <v>5</v>
      </c>
      <c r="AP157" s="33">
        <f>IFERROR((TABLA_AVANCE_METAS[[#This Row],[DIFERENCIA ABSOLUTA ANUAL]]/TABLA_AVANCE_METAS[[#This Row],[PROGRAMADO ANUAL]])*100,"N/A")</f>
        <v>3.90625</v>
      </c>
      <c r="AQ157" s="34" t="s">
        <v>501</v>
      </c>
      <c r="AR157" s="35"/>
      <c r="AS157" s="36"/>
      <c r="AT157" s="36"/>
      <c r="AU157" s="69" t="b">
        <f>TABLA_AVANCE_METAS[[#This Row],[PROGRAMADO ANUAL]]=SUM(TABLA_AVANCE_METAS[[#This Row],[PROGR. 1° TRIM]],TABLA_AVANCE_METAS[[#This Row],[PROGR. 2° TRIM]],TABLA_AVANCE_METAS[[#This Row],[PROGR. 3° TRIM]],TABLA_AVANCE_METAS[[#This Row],[PROGR. 4° TRIM]])</f>
        <v>1</v>
      </c>
      <c r="AV157" s="38"/>
    </row>
    <row r="158" spans="1:48" ht="75" hidden="1" customHeight="1" x14ac:dyDescent="0.35">
      <c r="A158" s="19" t="str">
        <f>CONCATENATE(TABLA_AVANCE_METAS[[#This Row],[ESTRUCTURA]],TABLA_AVANCE_METAS[[#This Row],['#]])</f>
        <v>C0022502010301043</v>
      </c>
      <c r="B158" s="20" t="s">
        <v>493</v>
      </c>
      <c r="C158" s="21" t="s">
        <v>444</v>
      </c>
      <c r="D158" s="20" t="s">
        <v>445</v>
      </c>
      <c r="E158" s="20" t="s">
        <v>494</v>
      </c>
      <c r="F158" s="20" t="s">
        <v>495</v>
      </c>
      <c r="G158" s="22" t="s">
        <v>496</v>
      </c>
      <c r="H158" s="20" t="s">
        <v>434</v>
      </c>
      <c r="I158" s="20" t="s">
        <v>435</v>
      </c>
      <c r="J158" s="20" t="s">
        <v>497</v>
      </c>
      <c r="K158" s="20" t="s">
        <v>498</v>
      </c>
      <c r="L158" s="21">
        <v>3</v>
      </c>
      <c r="M158" s="70" t="s">
        <v>504</v>
      </c>
      <c r="N158" s="22" t="s">
        <v>505</v>
      </c>
      <c r="O158" s="24">
        <v>98</v>
      </c>
      <c r="P158" s="24">
        <v>35</v>
      </c>
      <c r="Q158" s="28">
        <v>27</v>
      </c>
      <c r="R158" s="25">
        <f>IFERROR((TABLA_AVANCE_METAS[[#This Row],[AVANCE 1°. TRIM]]/TABLA_AVANCE_METAS[[#This Row],[PROGR. 1° TRIM]])*100,"0")</f>
        <v>77.142857142857153</v>
      </c>
      <c r="S158"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REGULAR</v>
      </c>
      <c r="T158" s="24">
        <v>20</v>
      </c>
      <c r="U158" s="28">
        <v>22</v>
      </c>
      <c r="V158" s="27">
        <f t="shared" si="7"/>
        <v>110.00000000000001</v>
      </c>
      <c r="W158" s="26" t="str">
        <f t="shared" si="8"/>
        <v>ADECUADO</v>
      </c>
      <c r="X158" s="24">
        <v>22</v>
      </c>
      <c r="Y158" s="28">
        <v>0</v>
      </c>
      <c r="Z158" s="27">
        <v>0</v>
      </c>
      <c r="AA158" s="26" t="s">
        <v>62</v>
      </c>
      <c r="AB158" s="24">
        <v>21</v>
      </c>
      <c r="AC158" s="28">
        <v>0</v>
      </c>
      <c r="AD158" s="27">
        <f>IFERROR((TABLA_AVANCE_METAS[[#This Row],[AVANCE 4°. TRIM]]/TABLA_AVANCE_METAS[[#This Row],[PROGR. 4° TRIM]])*100,"0")</f>
        <v>0</v>
      </c>
      <c r="AE158"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58" s="30">
        <f t="array" ref="AF158">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55</v>
      </c>
      <c r="AG158" s="84">
        <f t="array" ref="AG158">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49</v>
      </c>
      <c r="AH158" s="27">
        <f>IFERROR((TABLA_AVANCE_METAS[[#This Row],[AVANCE ACUM. TRIM.]]/TABLA_AVANCE_METAS[[#This Row],[PROG. ACUM]])*100,"N/A")</f>
        <v>89.090909090909093</v>
      </c>
      <c r="AI158"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REGULAR</v>
      </c>
      <c r="AJ158" s="31">
        <f>TABLA_AVANCE_METAS[[#This Row],[AVANCE ACUM. TRIM.]]-TABLA_AVANCE_METAS[[#This Row],[PROG. ACUM]]</f>
        <v>-6</v>
      </c>
      <c r="AK158" s="32">
        <f>IFERROR((TABLA_AVANCE_METAS[[#This Row],[DIFERENCIA ABSOLUTA SEMESTRAL]]/TABLA_AVANCE_METAS[[#This Row],[PROG. ACUM]])*100,"N/A")</f>
        <v>-10.909090909090908</v>
      </c>
      <c r="AL158" s="84">
        <f>TABLA_AVANCE_METAS[[#This Row],[AVANCE 1°. TRIM]]+TABLA_AVANCE_METAS[[#This Row],[AVANCE 2°. TRIM]]+TABLA_AVANCE_METAS[[#This Row],[AVANCE 3°. TRIM]]+TABLA_AVANCE_METAS[[#This Row],[AVANCE 4°. TRIM]]</f>
        <v>49</v>
      </c>
      <c r="AM158" s="27">
        <f>IFERROR((TABLA_AVANCE_METAS[[#This Row],[AVANCE ACUM. ANUAL]]/TABLA_AVANCE_METAS[[#This Row],[PROGRAMADO ANUAL]])*100,"N/A")</f>
        <v>50</v>
      </c>
      <c r="AN158"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58" s="31">
        <f>TABLA_AVANCE_METAS[[#This Row],[AVANCE ACUM. ANUAL]]-TABLA_AVANCE_METAS[[#This Row],[PROGRAMADO ANUAL]]</f>
        <v>-49</v>
      </c>
      <c r="AP158" s="33">
        <f>IFERROR((TABLA_AVANCE_METAS[[#This Row],[DIFERENCIA ABSOLUTA ANUAL]]/TABLA_AVANCE_METAS[[#This Row],[PROGRAMADO ANUAL]])*100,"N/A")</f>
        <v>-50</v>
      </c>
      <c r="AQ158" s="34" t="s">
        <v>506</v>
      </c>
      <c r="AR158" s="35"/>
      <c r="AS158" s="36"/>
      <c r="AT158" s="36"/>
      <c r="AU158" s="37" t="b">
        <f>TABLA_AVANCE_METAS[[#This Row],[PROGRAMADO ANUAL]]=SUM(TABLA_AVANCE_METAS[[#This Row],[PROGR. 1° TRIM]],TABLA_AVANCE_METAS[[#This Row],[PROGR. 2° TRIM]],TABLA_AVANCE_METAS[[#This Row],[PROGR. 3° TRIM]],TABLA_AVANCE_METAS[[#This Row],[PROGR. 4° TRIM]])</f>
        <v>1</v>
      </c>
      <c r="AV158" s="38"/>
    </row>
    <row r="159" spans="1:48" ht="75" hidden="1" customHeight="1" x14ac:dyDescent="0.35">
      <c r="A159" s="19" t="str">
        <f>CONCATENATE(TABLA_AVANCE_METAS[[#This Row],[ESTRUCTURA]],TABLA_AVANCE_METAS[[#This Row],['#]])</f>
        <v>C0022502010301044</v>
      </c>
      <c r="B159" s="20" t="s">
        <v>493</v>
      </c>
      <c r="C159" s="21" t="s">
        <v>444</v>
      </c>
      <c r="D159" s="20" t="s">
        <v>445</v>
      </c>
      <c r="E159" s="20" t="s">
        <v>494</v>
      </c>
      <c r="F159" s="20" t="s">
        <v>495</v>
      </c>
      <c r="G159" s="22" t="s">
        <v>496</v>
      </c>
      <c r="H159" s="20" t="s">
        <v>434</v>
      </c>
      <c r="I159" s="20" t="s">
        <v>435</v>
      </c>
      <c r="J159" s="20" t="s">
        <v>497</v>
      </c>
      <c r="K159" s="20" t="s">
        <v>498</v>
      </c>
      <c r="L159" s="21">
        <v>4</v>
      </c>
      <c r="M159" s="70" t="s">
        <v>507</v>
      </c>
      <c r="N159" s="22" t="s">
        <v>505</v>
      </c>
      <c r="O159" s="24">
        <v>45</v>
      </c>
      <c r="P159" s="24">
        <v>15</v>
      </c>
      <c r="Q159" s="28">
        <v>9</v>
      </c>
      <c r="R159" s="25">
        <f>IFERROR((TABLA_AVANCE_METAS[[#This Row],[AVANCE 1°. TRIM]]/TABLA_AVANCE_METAS[[#This Row],[PROGR. 1° TRIM]])*100,"0")</f>
        <v>60</v>
      </c>
      <c r="S159"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DEFICIENTE</v>
      </c>
      <c r="T159" s="24">
        <v>6</v>
      </c>
      <c r="U159" s="28">
        <v>12</v>
      </c>
      <c r="V159" s="27">
        <f t="shared" si="7"/>
        <v>200</v>
      </c>
      <c r="W159" s="26" t="str">
        <f t="shared" si="8"/>
        <v>SOBREPASADO</v>
      </c>
      <c r="X159" s="24">
        <v>12</v>
      </c>
      <c r="Y159" s="28">
        <v>0</v>
      </c>
      <c r="Z159" s="27">
        <v>0</v>
      </c>
      <c r="AA159" s="26" t="s">
        <v>62</v>
      </c>
      <c r="AB159" s="24">
        <v>12</v>
      </c>
      <c r="AC159" s="28">
        <v>0</v>
      </c>
      <c r="AD159" s="27">
        <f>IFERROR((TABLA_AVANCE_METAS[[#This Row],[AVANCE 4°. TRIM]]/TABLA_AVANCE_METAS[[#This Row],[PROGR. 4° TRIM]])*100,"0")</f>
        <v>0</v>
      </c>
      <c r="AE159"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59" s="30">
        <f t="array" ref="AF159">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21</v>
      </c>
      <c r="AG159" s="84">
        <f t="array" ref="AG159">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21</v>
      </c>
      <c r="AH159" s="27">
        <f>IFERROR((TABLA_AVANCE_METAS[[#This Row],[AVANCE ACUM. TRIM.]]/TABLA_AVANCE_METAS[[#This Row],[PROG. ACUM]])*100,"N/A")</f>
        <v>100</v>
      </c>
      <c r="AI159"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59" s="31">
        <f>TABLA_AVANCE_METAS[[#This Row],[AVANCE ACUM. TRIM.]]-TABLA_AVANCE_METAS[[#This Row],[PROG. ACUM]]</f>
        <v>0</v>
      </c>
      <c r="AK159" s="32">
        <f>IFERROR((TABLA_AVANCE_METAS[[#This Row],[DIFERENCIA ABSOLUTA SEMESTRAL]]/TABLA_AVANCE_METAS[[#This Row],[PROG. ACUM]])*100,"N/A")</f>
        <v>0</v>
      </c>
      <c r="AL159" s="84">
        <f>TABLA_AVANCE_METAS[[#This Row],[AVANCE 1°. TRIM]]+TABLA_AVANCE_METAS[[#This Row],[AVANCE 2°. TRIM]]+TABLA_AVANCE_METAS[[#This Row],[AVANCE 3°. TRIM]]+TABLA_AVANCE_METAS[[#This Row],[AVANCE 4°. TRIM]]</f>
        <v>21</v>
      </c>
      <c r="AM159" s="27">
        <f>IFERROR((TABLA_AVANCE_METAS[[#This Row],[AVANCE ACUM. ANUAL]]/TABLA_AVANCE_METAS[[#This Row],[PROGRAMADO ANUAL]])*100,"N/A")</f>
        <v>46.666666666666664</v>
      </c>
      <c r="AN159"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159" s="31">
        <f>TABLA_AVANCE_METAS[[#This Row],[AVANCE ACUM. ANUAL]]-TABLA_AVANCE_METAS[[#This Row],[PROGRAMADO ANUAL]]</f>
        <v>-24</v>
      </c>
      <c r="AP159" s="33">
        <f>IFERROR((TABLA_AVANCE_METAS[[#This Row],[DIFERENCIA ABSOLUTA ANUAL]]/TABLA_AVANCE_METAS[[#This Row],[PROGRAMADO ANUAL]])*100,"N/A")</f>
        <v>-53.333333333333336</v>
      </c>
      <c r="AQ159" s="34" t="s">
        <v>508</v>
      </c>
      <c r="AR159" s="35"/>
      <c r="AS159" s="36"/>
      <c r="AT159" s="36"/>
      <c r="AU159" s="37" t="b">
        <f>TABLA_AVANCE_METAS[[#This Row],[PROGRAMADO ANUAL]]=SUM(TABLA_AVANCE_METAS[[#This Row],[PROGR. 1° TRIM]],TABLA_AVANCE_METAS[[#This Row],[PROGR. 2° TRIM]],TABLA_AVANCE_METAS[[#This Row],[PROGR. 3° TRIM]],TABLA_AVANCE_METAS[[#This Row],[PROGR. 4° TRIM]])</f>
        <v>1</v>
      </c>
      <c r="AV159" s="38"/>
    </row>
    <row r="160" spans="1:48" ht="75" hidden="1" customHeight="1" x14ac:dyDescent="0.35">
      <c r="A160" s="19" t="str">
        <f>CONCATENATE(TABLA_AVANCE_METAS[[#This Row],[ESTRUCTURA]],TABLA_AVANCE_METAS[[#This Row],['#]])</f>
        <v>C0022502010301045</v>
      </c>
      <c r="B160" s="20" t="s">
        <v>493</v>
      </c>
      <c r="C160" s="21" t="s">
        <v>444</v>
      </c>
      <c r="D160" s="20" t="s">
        <v>445</v>
      </c>
      <c r="E160" s="20" t="s">
        <v>494</v>
      </c>
      <c r="F160" s="20" t="s">
        <v>495</v>
      </c>
      <c r="G160" s="22" t="s">
        <v>496</v>
      </c>
      <c r="H160" s="20" t="s">
        <v>434</v>
      </c>
      <c r="I160" s="20" t="s">
        <v>435</v>
      </c>
      <c r="J160" s="20" t="s">
        <v>497</v>
      </c>
      <c r="K160" s="20" t="s">
        <v>498</v>
      </c>
      <c r="L160" s="21">
        <v>5</v>
      </c>
      <c r="M160" s="70" t="s">
        <v>509</v>
      </c>
      <c r="N160" s="22" t="s">
        <v>510</v>
      </c>
      <c r="O160" s="24">
        <v>783316</v>
      </c>
      <c r="P160" s="24">
        <v>241056</v>
      </c>
      <c r="Q160" s="28">
        <v>211627</v>
      </c>
      <c r="R160" s="25">
        <f>IFERROR((TABLA_AVANCE_METAS[[#This Row],[AVANCE 1°. TRIM]]/TABLA_AVANCE_METAS[[#This Row],[PROGR. 1° TRIM]])*100,"0")</f>
        <v>87.791633479357486</v>
      </c>
      <c r="S160"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REGULAR</v>
      </c>
      <c r="T160" s="24">
        <v>180780</v>
      </c>
      <c r="U160" s="28">
        <v>175779</v>
      </c>
      <c r="V160" s="27">
        <f t="shared" si="7"/>
        <v>97.233654165283767</v>
      </c>
      <c r="W160" s="26" t="str">
        <f t="shared" si="8"/>
        <v>ADECUADO</v>
      </c>
      <c r="X160" s="24">
        <v>180780</v>
      </c>
      <c r="Y160" s="28">
        <v>0</v>
      </c>
      <c r="Z160" s="27">
        <v>0</v>
      </c>
      <c r="AA160" s="26" t="s">
        <v>62</v>
      </c>
      <c r="AB160" s="24">
        <v>180700</v>
      </c>
      <c r="AC160" s="28">
        <v>0</v>
      </c>
      <c r="AD160" s="27">
        <f>IFERROR((TABLA_AVANCE_METAS[[#This Row],[AVANCE 4°. TRIM]]/TABLA_AVANCE_METAS[[#This Row],[PROGR. 4° TRIM]])*100,"0")</f>
        <v>0</v>
      </c>
      <c r="AE160"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60" s="30">
        <f t="array" ref="AF160">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421836</v>
      </c>
      <c r="AG160" s="84">
        <f t="array" ref="AG160">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387406</v>
      </c>
      <c r="AH160" s="27">
        <f>IFERROR((TABLA_AVANCE_METAS[[#This Row],[AVANCE ACUM. TRIM.]]/TABLA_AVANCE_METAS[[#This Row],[PROG. ACUM]])*100,"N/A")</f>
        <v>91.838060288832622</v>
      </c>
      <c r="AI160"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60" s="31">
        <f>TABLA_AVANCE_METAS[[#This Row],[AVANCE ACUM. TRIM.]]-TABLA_AVANCE_METAS[[#This Row],[PROG. ACUM]]</f>
        <v>-34430</v>
      </c>
      <c r="AK160" s="32">
        <f>IFERROR((TABLA_AVANCE_METAS[[#This Row],[DIFERENCIA ABSOLUTA SEMESTRAL]]/TABLA_AVANCE_METAS[[#This Row],[PROG. ACUM]])*100,"N/A")</f>
        <v>-8.1619397111673742</v>
      </c>
      <c r="AL160" s="84">
        <f>TABLA_AVANCE_METAS[[#This Row],[AVANCE 1°. TRIM]]+TABLA_AVANCE_METAS[[#This Row],[AVANCE 2°. TRIM]]+TABLA_AVANCE_METAS[[#This Row],[AVANCE 3°. TRIM]]+TABLA_AVANCE_METAS[[#This Row],[AVANCE 4°. TRIM]]</f>
        <v>387406</v>
      </c>
      <c r="AM160" s="27">
        <f>IFERROR((TABLA_AVANCE_METAS[[#This Row],[AVANCE ACUM. ANUAL]]/TABLA_AVANCE_METAS[[#This Row],[PROGRAMADO ANUAL]])*100,"N/A")</f>
        <v>49.457179478013977</v>
      </c>
      <c r="AN160"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160" s="31">
        <f>TABLA_AVANCE_METAS[[#This Row],[AVANCE ACUM. ANUAL]]-TABLA_AVANCE_METAS[[#This Row],[PROGRAMADO ANUAL]]</f>
        <v>-395910</v>
      </c>
      <c r="AP160" s="33">
        <f>IFERROR((TABLA_AVANCE_METAS[[#This Row],[DIFERENCIA ABSOLUTA ANUAL]]/TABLA_AVANCE_METAS[[#This Row],[PROGRAMADO ANUAL]])*100,"N/A")</f>
        <v>-50.542820521986023</v>
      </c>
      <c r="AQ160" s="34"/>
      <c r="AR160" s="35"/>
      <c r="AS160" s="36"/>
      <c r="AT160" s="36"/>
      <c r="AU160" s="37" t="b">
        <f>TABLA_AVANCE_METAS[[#This Row],[PROGRAMADO ANUAL]]=SUM(TABLA_AVANCE_METAS[[#This Row],[PROGR. 1° TRIM]],TABLA_AVANCE_METAS[[#This Row],[PROGR. 2° TRIM]],TABLA_AVANCE_METAS[[#This Row],[PROGR. 3° TRIM]],TABLA_AVANCE_METAS[[#This Row],[PROGR. 4° TRIM]])</f>
        <v>1</v>
      </c>
      <c r="AV160" s="38"/>
    </row>
    <row r="161" spans="1:48" ht="75" hidden="1" customHeight="1" x14ac:dyDescent="0.35">
      <c r="A161" s="19" t="str">
        <f>CONCATENATE(TABLA_AVANCE_METAS[[#This Row],[ESTRUCTURA]],TABLA_AVANCE_METAS[[#This Row],['#]])</f>
        <v>C0022502010301046</v>
      </c>
      <c r="B161" s="20" t="s">
        <v>493</v>
      </c>
      <c r="C161" s="21" t="s">
        <v>444</v>
      </c>
      <c r="D161" s="20" t="s">
        <v>445</v>
      </c>
      <c r="E161" s="20" t="s">
        <v>494</v>
      </c>
      <c r="F161" s="20" t="s">
        <v>495</v>
      </c>
      <c r="G161" s="22" t="s">
        <v>496</v>
      </c>
      <c r="H161" s="20" t="s">
        <v>434</v>
      </c>
      <c r="I161" s="20" t="s">
        <v>435</v>
      </c>
      <c r="J161" s="20" t="s">
        <v>497</v>
      </c>
      <c r="K161" s="20" t="s">
        <v>498</v>
      </c>
      <c r="L161" s="21">
        <v>6</v>
      </c>
      <c r="M161" s="70" t="s">
        <v>511</v>
      </c>
      <c r="N161" s="22" t="s">
        <v>512</v>
      </c>
      <c r="O161" s="24">
        <v>1</v>
      </c>
      <c r="P161" s="24">
        <v>0</v>
      </c>
      <c r="Q161" s="28">
        <v>0</v>
      </c>
      <c r="R161" s="25" t="str">
        <f>IFERROR((TABLA_AVANCE_METAS[[#This Row],[AVANCE 1°. TRIM]]/TABLA_AVANCE_METAS[[#This Row],[PROGR. 1° TRIM]])*100,"0")</f>
        <v>0</v>
      </c>
      <c r="S161"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161" s="24">
        <v>0</v>
      </c>
      <c r="U161" s="28">
        <v>0</v>
      </c>
      <c r="V161" s="27" t="str">
        <f t="shared" si="7"/>
        <v>0</v>
      </c>
      <c r="W161" s="26" t="str">
        <f t="shared" si="8"/>
        <v>NO PROG.</v>
      </c>
      <c r="X161" s="24">
        <v>1</v>
      </c>
      <c r="Y161" s="28">
        <v>0</v>
      </c>
      <c r="Z161" s="27">
        <v>0</v>
      </c>
      <c r="AA161" s="26" t="s">
        <v>62</v>
      </c>
      <c r="AB161" s="24">
        <v>0</v>
      </c>
      <c r="AC161" s="28">
        <v>0</v>
      </c>
      <c r="AD161" s="27" t="str">
        <f>IFERROR((TABLA_AVANCE_METAS[[#This Row],[AVANCE 4°. TRIM]]/TABLA_AVANCE_METAS[[#This Row],[PROGR. 4° TRIM]])*100,"0")</f>
        <v>0</v>
      </c>
      <c r="AE161"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61" s="30">
        <f t="array" ref="AF161">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161" s="84">
        <f t="array" ref="AG161">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161" s="27" t="str">
        <f>IFERROR((TABLA_AVANCE_METAS[[#This Row],[AVANCE ACUM. TRIM.]]/TABLA_AVANCE_METAS[[#This Row],[PROG. ACUM]])*100,"N/A")</f>
        <v>N/A</v>
      </c>
      <c r="AI161"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161" s="31">
        <f>TABLA_AVANCE_METAS[[#This Row],[AVANCE ACUM. TRIM.]]-TABLA_AVANCE_METAS[[#This Row],[PROG. ACUM]]</f>
        <v>0</v>
      </c>
      <c r="AK161" s="32" t="str">
        <f>IFERROR((TABLA_AVANCE_METAS[[#This Row],[DIFERENCIA ABSOLUTA SEMESTRAL]]/TABLA_AVANCE_METAS[[#This Row],[PROG. ACUM]])*100,"N/A")</f>
        <v>N/A</v>
      </c>
      <c r="AL161" s="84">
        <f>TABLA_AVANCE_METAS[[#This Row],[AVANCE 1°. TRIM]]+TABLA_AVANCE_METAS[[#This Row],[AVANCE 2°. TRIM]]+TABLA_AVANCE_METAS[[#This Row],[AVANCE 3°. TRIM]]+TABLA_AVANCE_METAS[[#This Row],[AVANCE 4°. TRIM]]</f>
        <v>0</v>
      </c>
      <c r="AM161" s="27">
        <f>IFERROR((TABLA_AVANCE_METAS[[#This Row],[AVANCE ACUM. ANUAL]]/TABLA_AVANCE_METAS[[#This Row],[PROGRAMADO ANUAL]])*100,"N/A")</f>
        <v>0</v>
      </c>
      <c r="AN161"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161" s="31">
        <f>TABLA_AVANCE_METAS[[#This Row],[AVANCE ACUM. ANUAL]]-TABLA_AVANCE_METAS[[#This Row],[PROGRAMADO ANUAL]]</f>
        <v>-1</v>
      </c>
      <c r="AP161" s="33">
        <f>IFERROR((TABLA_AVANCE_METAS[[#This Row],[DIFERENCIA ABSOLUTA ANUAL]]/TABLA_AVANCE_METAS[[#This Row],[PROGRAMADO ANUAL]])*100,"N/A")</f>
        <v>-100</v>
      </c>
      <c r="AQ161" s="34"/>
      <c r="AR161" s="35"/>
      <c r="AS161" s="36"/>
      <c r="AT161" s="36"/>
      <c r="AU161" s="37" t="b">
        <f>TABLA_AVANCE_METAS[[#This Row],[PROGRAMADO ANUAL]]=SUM(TABLA_AVANCE_METAS[[#This Row],[PROGR. 1° TRIM]],TABLA_AVANCE_METAS[[#This Row],[PROGR. 2° TRIM]],TABLA_AVANCE_METAS[[#This Row],[PROGR. 3° TRIM]],TABLA_AVANCE_METAS[[#This Row],[PROGR. 4° TRIM]])</f>
        <v>1</v>
      </c>
      <c r="AV161" s="38"/>
    </row>
    <row r="162" spans="1:48" ht="75" hidden="1" customHeight="1" x14ac:dyDescent="0.35">
      <c r="A162" s="19" t="str">
        <f>CONCATENATE(TABLA_AVANCE_METAS[[#This Row],[ESTRUCTURA]],TABLA_AVANCE_METAS[[#This Row],['#]])</f>
        <v>C0022502010301047</v>
      </c>
      <c r="B162" s="20" t="s">
        <v>493</v>
      </c>
      <c r="C162" s="21" t="s">
        <v>444</v>
      </c>
      <c r="D162" s="20" t="s">
        <v>445</v>
      </c>
      <c r="E162" s="20" t="s">
        <v>494</v>
      </c>
      <c r="F162" s="20" t="s">
        <v>495</v>
      </c>
      <c r="G162" s="22" t="s">
        <v>496</v>
      </c>
      <c r="H162" s="20" t="s">
        <v>434</v>
      </c>
      <c r="I162" s="20" t="s">
        <v>435</v>
      </c>
      <c r="J162" s="20" t="s">
        <v>497</v>
      </c>
      <c r="K162" s="20" t="s">
        <v>498</v>
      </c>
      <c r="L162" s="21">
        <v>7</v>
      </c>
      <c r="M162" s="23" t="s">
        <v>513</v>
      </c>
      <c r="N162" s="22" t="s">
        <v>150</v>
      </c>
      <c r="O162" s="24">
        <v>1</v>
      </c>
      <c r="P162" s="24">
        <v>1</v>
      </c>
      <c r="Q162" s="28">
        <v>0</v>
      </c>
      <c r="R162" s="25">
        <f>IFERROR((TABLA_AVANCE_METAS[[#This Row],[AVANCE 1°. TRIM]]/TABLA_AVANCE_METAS[[#This Row],[PROGR. 1° TRIM]])*100,"0")</f>
        <v>0</v>
      </c>
      <c r="S162"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CRÍTICO</v>
      </c>
      <c r="T162" s="24">
        <v>0</v>
      </c>
      <c r="U162" s="28">
        <v>1</v>
      </c>
      <c r="V162" s="27" t="str">
        <f t="shared" si="7"/>
        <v>0</v>
      </c>
      <c r="W162" s="26" t="str">
        <f t="shared" si="8"/>
        <v>NO PROG.</v>
      </c>
      <c r="X162" s="24">
        <v>0</v>
      </c>
      <c r="Y162" s="28">
        <v>0</v>
      </c>
      <c r="Z162" s="27" t="s">
        <v>71</v>
      </c>
      <c r="AA162" s="26" t="s">
        <v>72</v>
      </c>
      <c r="AB162" s="24">
        <v>0</v>
      </c>
      <c r="AC162" s="28">
        <v>0</v>
      </c>
      <c r="AD162" s="27" t="str">
        <f>IFERROR((TABLA_AVANCE_METAS[[#This Row],[AVANCE 4°. TRIM]]/TABLA_AVANCE_METAS[[#This Row],[PROGR. 4° TRIM]])*100,"0")</f>
        <v>0</v>
      </c>
      <c r="AE162"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62" s="30">
        <f t="array" ref="AF162">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162" s="84">
        <f t="array" ref="AG162">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162" s="27">
        <f>IFERROR((TABLA_AVANCE_METAS[[#This Row],[AVANCE ACUM. TRIM.]]/TABLA_AVANCE_METAS[[#This Row],[PROG. ACUM]])*100,"N/A")</f>
        <v>100</v>
      </c>
      <c r="AI162"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62" s="31">
        <f>TABLA_AVANCE_METAS[[#This Row],[AVANCE ACUM. TRIM.]]-TABLA_AVANCE_METAS[[#This Row],[PROG. ACUM]]</f>
        <v>0</v>
      </c>
      <c r="AK162" s="32">
        <f>IFERROR((TABLA_AVANCE_METAS[[#This Row],[DIFERENCIA ABSOLUTA SEMESTRAL]]/TABLA_AVANCE_METAS[[#This Row],[PROG. ACUM]])*100,"N/A")</f>
        <v>0</v>
      </c>
      <c r="AL162" s="84">
        <f>TABLA_AVANCE_METAS[[#This Row],[AVANCE 1°. TRIM]]+TABLA_AVANCE_METAS[[#This Row],[AVANCE 2°. TRIM]]+TABLA_AVANCE_METAS[[#This Row],[AVANCE 3°. TRIM]]+TABLA_AVANCE_METAS[[#This Row],[AVANCE 4°. TRIM]]</f>
        <v>1</v>
      </c>
      <c r="AM162" s="27">
        <f>IFERROR((TABLA_AVANCE_METAS[[#This Row],[AVANCE ACUM. ANUAL]]/TABLA_AVANCE_METAS[[#This Row],[PROGRAMADO ANUAL]])*100,"N/A")</f>
        <v>100</v>
      </c>
      <c r="AN162"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162" s="31">
        <f>TABLA_AVANCE_METAS[[#This Row],[AVANCE ACUM. ANUAL]]-TABLA_AVANCE_METAS[[#This Row],[PROGRAMADO ANUAL]]</f>
        <v>0</v>
      </c>
      <c r="AP162" s="33">
        <f>IFERROR((TABLA_AVANCE_METAS[[#This Row],[DIFERENCIA ABSOLUTA ANUAL]]/TABLA_AVANCE_METAS[[#This Row],[PROGRAMADO ANUAL]])*100,"N/A")</f>
        <v>0</v>
      </c>
      <c r="AQ162" s="34" t="s">
        <v>514</v>
      </c>
      <c r="AR162" s="35"/>
      <c r="AS162" s="36"/>
      <c r="AT162" s="36"/>
      <c r="AU162" s="37" t="b">
        <f>TABLA_AVANCE_METAS[[#This Row],[PROGRAMADO ANUAL]]=SUM(TABLA_AVANCE_METAS[[#This Row],[PROGR. 1° TRIM]],TABLA_AVANCE_METAS[[#This Row],[PROGR. 2° TRIM]],TABLA_AVANCE_METAS[[#This Row],[PROGR. 3° TRIM]],TABLA_AVANCE_METAS[[#This Row],[PROGR. 4° TRIM]])</f>
        <v>1</v>
      </c>
      <c r="AV162" s="38"/>
    </row>
    <row r="163" spans="1:48" ht="75" hidden="1" customHeight="1" x14ac:dyDescent="0.35">
      <c r="A163" s="19" t="str">
        <f>CONCATENATE(TABLA_AVANCE_METAS[[#This Row],[ESTRUCTURA]],TABLA_AVANCE_METAS[[#This Row],['#]])</f>
        <v>C0022002020301071</v>
      </c>
      <c r="B163" s="20" t="s">
        <v>515</v>
      </c>
      <c r="C163" s="21" t="s">
        <v>444</v>
      </c>
      <c r="D163" s="20" t="s">
        <v>445</v>
      </c>
      <c r="E163" s="20" t="s">
        <v>400</v>
      </c>
      <c r="F163" s="20" t="s">
        <v>401</v>
      </c>
      <c r="G163" s="22" t="s">
        <v>516</v>
      </c>
      <c r="H163" s="20" t="s">
        <v>176</v>
      </c>
      <c r="I163" s="20" t="s">
        <v>177</v>
      </c>
      <c r="J163" s="20" t="s">
        <v>517</v>
      </c>
      <c r="K163" s="20" t="s">
        <v>518</v>
      </c>
      <c r="L163" s="21">
        <v>1</v>
      </c>
      <c r="M163" s="23" t="s">
        <v>519</v>
      </c>
      <c r="N163" s="22" t="s">
        <v>468</v>
      </c>
      <c r="O163" s="24">
        <v>40</v>
      </c>
      <c r="P163" s="24">
        <v>10</v>
      </c>
      <c r="Q163" s="28">
        <v>10</v>
      </c>
      <c r="R163" s="25">
        <f>IFERROR((TABLA_AVANCE_METAS[[#This Row],[AVANCE 1°. TRIM]]/TABLA_AVANCE_METAS[[#This Row],[PROGR. 1° TRIM]])*100,"0")</f>
        <v>100</v>
      </c>
      <c r="S163"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63" s="24">
        <v>10</v>
      </c>
      <c r="U163" s="28">
        <v>10</v>
      </c>
      <c r="V163" s="27">
        <f t="shared" si="7"/>
        <v>100</v>
      </c>
      <c r="W163" s="26" t="str">
        <f t="shared" si="8"/>
        <v>ADECUADO</v>
      </c>
      <c r="X163" s="24">
        <v>10</v>
      </c>
      <c r="Y163" s="28">
        <v>0</v>
      </c>
      <c r="Z163" s="27">
        <v>0</v>
      </c>
      <c r="AA163" s="26" t="s">
        <v>62</v>
      </c>
      <c r="AB163" s="24">
        <v>10</v>
      </c>
      <c r="AC163" s="28">
        <v>0</v>
      </c>
      <c r="AD163" s="27">
        <f>IFERROR((TABLA_AVANCE_METAS[[#This Row],[AVANCE 4°. TRIM]]/TABLA_AVANCE_METAS[[#This Row],[PROGR. 4° TRIM]])*100,"0")</f>
        <v>0</v>
      </c>
      <c r="AE163"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63" s="30">
        <f t="array" ref="AF163">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20</v>
      </c>
      <c r="AG163" s="84">
        <f t="array" ref="AG163">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20</v>
      </c>
      <c r="AH163" s="27">
        <f>IFERROR((TABLA_AVANCE_METAS[[#This Row],[AVANCE ACUM. TRIM.]]/TABLA_AVANCE_METAS[[#This Row],[PROG. ACUM]])*100,"N/A")</f>
        <v>100</v>
      </c>
      <c r="AI163"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63" s="31">
        <f>TABLA_AVANCE_METAS[[#This Row],[AVANCE ACUM. TRIM.]]-TABLA_AVANCE_METAS[[#This Row],[PROG. ACUM]]</f>
        <v>0</v>
      </c>
      <c r="AK163" s="32">
        <f>IFERROR((TABLA_AVANCE_METAS[[#This Row],[DIFERENCIA ABSOLUTA SEMESTRAL]]/TABLA_AVANCE_METAS[[#This Row],[PROG. ACUM]])*100,"N/A")</f>
        <v>0</v>
      </c>
      <c r="AL163" s="84">
        <f>TABLA_AVANCE_METAS[[#This Row],[AVANCE 1°. TRIM]]+TABLA_AVANCE_METAS[[#This Row],[AVANCE 2°. TRIM]]+TABLA_AVANCE_METAS[[#This Row],[AVANCE 3°. TRIM]]+TABLA_AVANCE_METAS[[#This Row],[AVANCE 4°. TRIM]]</f>
        <v>20</v>
      </c>
      <c r="AM163" s="27">
        <f>IFERROR((TABLA_AVANCE_METAS[[#This Row],[AVANCE ACUM. ANUAL]]/TABLA_AVANCE_METAS[[#This Row],[PROGRAMADO ANUAL]])*100,"N/A")</f>
        <v>50</v>
      </c>
      <c r="AN163"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63" s="31">
        <f>TABLA_AVANCE_METAS[[#This Row],[AVANCE ACUM. ANUAL]]-TABLA_AVANCE_METAS[[#This Row],[PROGRAMADO ANUAL]]</f>
        <v>-20</v>
      </c>
      <c r="AP163" s="33">
        <f>IFERROR((TABLA_AVANCE_METAS[[#This Row],[DIFERENCIA ABSOLUTA ANUAL]]/TABLA_AVANCE_METAS[[#This Row],[PROGRAMADO ANUAL]])*100,"N/A")</f>
        <v>-50</v>
      </c>
      <c r="AQ163" s="34"/>
      <c r="AR163" s="35"/>
      <c r="AS163" s="36"/>
      <c r="AT163" s="36"/>
      <c r="AU163" s="37" t="b">
        <f>TABLA_AVANCE_METAS[[#This Row],[PROGRAMADO ANUAL]]=SUM(TABLA_AVANCE_METAS[[#This Row],[PROGR. 1° TRIM]],TABLA_AVANCE_METAS[[#This Row],[PROGR. 2° TRIM]],TABLA_AVANCE_METAS[[#This Row],[PROGR. 3° TRIM]],TABLA_AVANCE_METAS[[#This Row],[PROGR. 4° TRIM]])</f>
        <v>1</v>
      </c>
      <c r="AV163" s="38"/>
    </row>
    <row r="164" spans="1:48" ht="75" hidden="1" customHeight="1" x14ac:dyDescent="0.35">
      <c r="A164" s="19" t="str">
        <f>CONCATENATE(TABLA_AVANCE_METAS[[#This Row],[ESTRUCTURA]],TABLA_AVANCE_METAS[[#This Row],['#]])</f>
        <v>C0022002020301072</v>
      </c>
      <c r="B164" s="20" t="s">
        <v>515</v>
      </c>
      <c r="C164" s="21" t="s">
        <v>444</v>
      </c>
      <c r="D164" s="20" t="s">
        <v>445</v>
      </c>
      <c r="E164" s="20" t="s">
        <v>400</v>
      </c>
      <c r="F164" s="20" t="s">
        <v>401</v>
      </c>
      <c r="G164" s="22" t="s">
        <v>516</v>
      </c>
      <c r="H164" s="20" t="s">
        <v>176</v>
      </c>
      <c r="I164" s="20" t="s">
        <v>177</v>
      </c>
      <c r="J164" s="20" t="s">
        <v>517</v>
      </c>
      <c r="K164" s="20" t="s">
        <v>518</v>
      </c>
      <c r="L164" s="21">
        <v>2</v>
      </c>
      <c r="M164" s="23" t="s">
        <v>520</v>
      </c>
      <c r="N164" s="22" t="s">
        <v>521</v>
      </c>
      <c r="O164" s="24">
        <v>12</v>
      </c>
      <c r="P164" s="24">
        <v>3</v>
      </c>
      <c r="Q164" s="28">
        <v>3</v>
      </c>
      <c r="R164" s="25">
        <f>IFERROR((TABLA_AVANCE_METAS[[#This Row],[AVANCE 1°. TRIM]]/TABLA_AVANCE_METAS[[#This Row],[PROGR. 1° TRIM]])*100,"0")</f>
        <v>100</v>
      </c>
      <c r="S164"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64" s="24">
        <v>3</v>
      </c>
      <c r="U164" s="28">
        <v>3</v>
      </c>
      <c r="V164" s="27">
        <f t="shared" si="7"/>
        <v>100</v>
      </c>
      <c r="W164" s="26" t="str">
        <f t="shared" si="8"/>
        <v>ADECUADO</v>
      </c>
      <c r="X164" s="24">
        <v>3</v>
      </c>
      <c r="Y164" s="28">
        <v>0</v>
      </c>
      <c r="Z164" s="27">
        <v>0</v>
      </c>
      <c r="AA164" s="26" t="s">
        <v>62</v>
      </c>
      <c r="AB164" s="24">
        <v>3</v>
      </c>
      <c r="AC164" s="28">
        <v>0</v>
      </c>
      <c r="AD164" s="27">
        <f>IFERROR((TABLA_AVANCE_METAS[[#This Row],[AVANCE 4°. TRIM]]/TABLA_AVANCE_METAS[[#This Row],[PROGR. 4° TRIM]])*100,"0")</f>
        <v>0</v>
      </c>
      <c r="AE164"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64" s="30">
        <f t="array" ref="AF164">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6</v>
      </c>
      <c r="AG164" s="84">
        <f t="array" ref="AG164">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6</v>
      </c>
      <c r="AH164" s="27">
        <f>IFERROR((TABLA_AVANCE_METAS[[#This Row],[AVANCE ACUM. TRIM.]]/TABLA_AVANCE_METAS[[#This Row],[PROG. ACUM]])*100,"N/A")</f>
        <v>100</v>
      </c>
      <c r="AI164"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64" s="31">
        <f>TABLA_AVANCE_METAS[[#This Row],[AVANCE ACUM. TRIM.]]-TABLA_AVANCE_METAS[[#This Row],[PROG. ACUM]]</f>
        <v>0</v>
      </c>
      <c r="AK164" s="32">
        <f>IFERROR((TABLA_AVANCE_METAS[[#This Row],[DIFERENCIA ABSOLUTA SEMESTRAL]]/TABLA_AVANCE_METAS[[#This Row],[PROG. ACUM]])*100,"N/A")</f>
        <v>0</v>
      </c>
      <c r="AL164" s="84">
        <f>TABLA_AVANCE_METAS[[#This Row],[AVANCE 1°. TRIM]]+TABLA_AVANCE_METAS[[#This Row],[AVANCE 2°. TRIM]]+TABLA_AVANCE_METAS[[#This Row],[AVANCE 3°. TRIM]]+TABLA_AVANCE_METAS[[#This Row],[AVANCE 4°. TRIM]]</f>
        <v>6</v>
      </c>
      <c r="AM164" s="27">
        <f>IFERROR((TABLA_AVANCE_METAS[[#This Row],[AVANCE ACUM. ANUAL]]/TABLA_AVANCE_METAS[[#This Row],[PROGRAMADO ANUAL]])*100,"N/A")</f>
        <v>50</v>
      </c>
      <c r="AN164"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64" s="31">
        <f>TABLA_AVANCE_METAS[[#This Row],[AVANCE ACUM. ANUAL]]-TABLA_AVANCE_METAS[[#This Row],[PROGRAMADO ANUAL]]</f>
        <v>-6</v>
      </c>
      <c r="AP164" s="33">
        <f>IFERROR((TABLA_AVANCE_METAS[[#This Row],[DIFERENCIA ABSOLUTA ANUAL]]/TABLA_AVANCE_METAS[[#This Row],[PROGRAMADO ANUAL]])*100,"N/A")</f>
        <v>-50</v>
      </c>
      <c r="AQ164" s="34"/>
      <c r="AR164" s="35"/>
      <c r="AS164" s="36"/>
      <c r="AT164" s="36"/>
      <c r="AU164" s="37" t="b">
        <f>TABLA_AVANCE_METAS[[#This Row],[PROGRAMADO ANUAL]]=SUM(TABLA_AVANCE_METAS[[#This Row],[PROGR. 1° TRIM]],TABLA_AVANCE_METAS[[#This Row],[PROGR. 2° TRIM]],TABLA_AVANCE_METAS[[#This Row],[PROGR. 3° TRIM]],TABLA_AVANCE_METAS[[#This Row],[PROGR. 4° TRIM]])</f>
        <v>1</v>
      </c>
      <c r="AV164" s="38"/>
    </row>
    <row r="165" spans="1:48" ht="75" hidden="1" customHeight="1" x14ac:dyDescent="0.35">
      <c r="A165" s="19" t="str">
        <f>CONCATENATE(TABLA_AVANCE_METAS[[#This Row],[ESTRUCTURA]],TABLA_AVANCE_METAS[[#This Row],['#]])</f>
        <v>C0022002020301073</v>
      </c>
      <c r="B165" s="20" t="s">
        <v>515</v>
      </c>
      <c r="C165" s="41" t="s">
        <v>444</v>
      </c>
      <c r="D165" s="40" t="s">
        <v>445</v>
      </c>
      <c r="E165" s="20" t="s">
        <v>400</v>
      </c>
      <c r="F165" s="40" t="s">
        <v>401</v>
      </c>
      <c r="G165" s="42" t="s">
        <v>516</v>
      </c>
      <c r="H165" s="40" t="s">
        <v>176</v>
      </c>
      <c r="I165" s="40" t="s">
        <v>177</v>
      </c>
      <c r="J165" s="40" t="s">
        <v>517</v>
      </c>
      <c r="K165" s="40" t="s">
        <v>518</v>
      </c>
      <c r="L165" s="41">
        <v>3</v>
      </c>
      <c r="M165" s="43" t="s">
        <v>522</v>
      </c>
      <c r="N165" s="42" t="s">
        <v>523</v>
      </c>
      <c r="O165" s="24">
        <v>12</v>
      </c>
      <c r="P165" s="24">
        <v>3</v>
      </c>
      <c r="Q165" s="28">
        <v>3</v>
      </c>
      <c r="R165" s="25">
        <f>IFERROR((TABLA_AVANCE_METAS[[#This Row],[AVANCE 1°. TRIM]]/TABLA_AVANCE_METAS[[#This Row],[PROGR. 1° TRIM]])*100,"0")</f>
        <v>100</v>
      </c>
      <c r="S165"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65" s="24">
        <v>3</v>
      </c>
      <c r="U165" s="28">
        <v>3</v>
      </c>
      <c r="V165" s="27">
        <f t="shared" si="7"/>
        <v>100</v>
      </c>
      <c r="W165" s="26" t="str">
        <f t="shared" si="8"/>
        <v>ADECUADO</v>
      </c>
      <c r="X165" s="24">
        <v>3</v>
      </c>
      <c r="Y165" s="28">
        <v>0</v>
      </c>
      <c r="Z165" s="27">
        <v>0</v>
      </c>
      <c r="AA165" s="26" t="s">
        <v>62</v>
      </c>
      <c r="AB165" s="24">
        <v>3</v>
      </c>
      <c r="AC165" s="28">
        <v>0</v>
      </c>
      <c r="AD165" s="27">
        <f>IFERROR((TABLA_AVANCE_METAS[[#This Row],[AVANCE 4°. TRIM]]/TABLA_AVANCE_METAS[[#This Row],[PROGR. 4° TRIM]])*100,"0")</f>
        <v>0</v>
      </c>
      <c r="AE165"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65" s="30">
        <f t="array" ref="AF165">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6</v>
      </c>
      <c r="AG165" s="84">
        <f t="array" ref="AG165">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6</v>
      </c>
      <c r="AH165" s="27">
        <f>IFERROR((TABLA_AVANCE_METAS[[#This Row],[AVANCE ACUM. TRIM.]]/TABLA_AVANCE_METAS[[#This Row],[PROG. ACUM]])*100,"N/A")</f>
        <v>100</v>
      </c>
      <c r="AI165"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65" s="31">
        <f>TABLA_AVANCE_METAS[[#This Row],[AVANCE ACUM. TRIM.]]-TABLA_AVANCE_METAS[[#This Row],[PROG. ACUM]]</f>
        <v>0</v>
      </c>
      <c r="AK165" s="32">
        <f>IFERROR((TABLA_AVANCE_METAS[[#This Row],[DIFERENCIA ABSOLUTA SEMESTRAL]]/TABLA_AVANCE_METAS[[#This Row],[PROG. ACUM]])*100,"N/A")</f>
        <v>0</v>
      </c>
      <c r="AL165" s="84">
        <f>TABLA_AVANCE_METAS[[#This Row],[AVANCE 1°. TRIM]]+TABLA_AVANCE_METAS[[#This Row],[AVANCE 2°. TRIM]]+TABLA_AVANCE_METAS[[#This Row],[AVANCE 3°. TRIM]]+TABLA_AVANCE_METAS[[#This Row],[AVANCE 4°. TRIM]]</f>
        <v>6</v>
      </c>
      <c r="AM165" s="27">
        <f>IFERROR((TABLA_AVANCE_METAS[[#This Row],[AVANCE ACUM. ANUAL]]/TABLA_AVANCE_METAS[[#This Row],[PROGRAMADO ANUAL]])*100,"N/A")</f>
        <v>50</v>
      </c>
      <c r="AN165"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65" s="31">
        <f>TABLA_AVANCE_METAS[[#This Row],[AVANCE ACUM. ANUAL]]-TABLA_AVANCE_METAS[[#This Row],[PROGRAMADO ANUAL]]</f>
        <v>-6</v>
      </c>
      <c r="AP165" s="33">
        <f>IFERROR((TABLA_AVANCE_METAS[[#This Row],[DIFERENCIA ABSOLUTA ANUAL]]/TABLA_AVANCE_METAS[[#This Row],[PROGRAMADO ANUAL]])*100,"N/A")</f>
        <v>-50</v>
      </c>
      <c r="AQ165" s="34"/>
      <c r="AR165" s="35"/>
      <c r="AS165" s="36"/>
      <c r="AT165" s="36"/>
      <c r="AU165" s="37" t="b">
        <f>TABLA_AVANCE_METAS[[#This Row],[PROGRAMADO ANUAL]]=SUM(TABLA_AVANCE_METAS[[#This Row],[PROGR. 1° TRIM]],TABLA_AVANCE_METAS[[#This Row],[PROGR. 2° TRIM]],TABLA_AVANCE_METAS[[#This Row],[PROGR. 3° TRIM]],TABLA_AVANCE_METAS[[#This Row],[PROGR. 4° TRIM]])</f>
        <v>1</v>
      </c>
      <c r="AV165" s="38"/>
    </row>
    <row r="166" spans="1:48" ht="75" hidden="1" customHeight="1" x14ac:dyDescent="0.35">
      <c r="A166" s="51" t="str">
        <f>CONCATENATE(TABLA_AVANCE_METAS[[#This Row],[ESTRUCTURA]],TABLA_AVANCE_METAS[[#This Row],['#]])</f>
        <v>C0021902020301101</v>
      </c>
      <c r="B166" s="52" t="s">
        <v>524</v>
      </c>
      <c r="C166" s="65" t="s">
        <v>444</v>
      </c>
      <c r="D166" s="71" t="s">
        <v>445</v>
      </c>
      <c r="E166" s="52" t="s">
        <v>525</v>
      </c>
      <c r="F166" s="71" t="s">
        <v>526</v>
      </c>
      <c r="G166" s="72" t="s">
        <v>527</v>
      </c>
      <c r="H166" s="71" t="s">
        <v>176</v>
      </c>
      <c r="I166" s="71" t="s">
        <v>177</v>
      </c>
      <c r="J166" s="71" t="s">
        <v>528</v>
      </c>
      <c r="K166" s="71" t="s">
        <v>529</v>
      </c>
      <c r="L166" s="65">
        <v>1</v>
      </c>
      <c r="M166" s="73" t="s">
        <v>530</v>
      </c>
      <c r="N166" s="72" t="s">
        <v>531</v>
      </c>
      <c r="O166" s="56">
        <v>1140</v>
      </c>
      <c r="P166" s="24">
        <v>1140</v>
      </c>
      <c r="Q166" s="28">
        <v>868</v>
      </c>
      <c r="R166" s="25">
        <f>IFERROR((TABLA_AVANCE_METAS[[#This Row],[AVANCE 1°. TRIM]]/TABLA_AVANCE_METAS[[#This Row],[PROGR. 1° TRIM]])*100,"0")</f>
        <v>76.140350877192986</v>
      </c>
      <c r="S166"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REGULAR</v>
      </c>
      <c r="T166" s="24">
        <v>0</v>
      </c>
      <c r="U166" s="28">
        <v>0</v>
      </c>
      <c r="V166" s="27" t="str">
        <f t="shared" si="7"/>
        <v>0</v>
      </c>
      <c r="W166" s="26"/>
      <c r="X166" s="24">
        <v>0</v>
      </c>
      <c r="Y166" s="28">
        <v>0</v>
      </c>
      <c r="Z166" s="59" t="s">
        <v>71</v>
      </c>
      <c r="AA166" s="58" t="s">
        <v>72</v>
      </c>
      <c r="AB166" s="24">
        <v>0</v>
      </c>
      <c r="AC166" s="28">
        <v>0</v>
      </c>
      <c r="AD166" s="59" t="str">
        <f>IFERROR((TABLA_AVANCE_METAS[[#This Row],[AVANCE 4°. TRIM]]/TABLA_AVANCE_METAS[[#This Row],[PROGR. 4° TRIM]])*100,"0")</f>
        <v>0</v>
      </c>
      <c r="AE166" s="60"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66" s="30">
        <f t="array" ref="AF166">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1140</v>
      </c>
      <c r="AG166" s="84">
        <f t="array" ref="AG166">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868</v>
      </c>
      <c r="AH166" s="27">
        <f>IFERROR((TABLA_AVANCE_METAS[[#This Row],[AVANCE ACUM. TRIM.]]/TABLA_AVANCE_METAS[[#This Row],[PROG. ACUM]])*100,"N/A")</f>
        <v>76.140350877192986</v>
      </c>
      <c r="AI166"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REGULAR</v>
      </c>
      <c r="AJ166" s="31">
        <f>TABLA_AVANCE_METAS[[#This Row],[AVANCE ACUM. TRIM.]]-TABLA_AVANCE_METAS[[#This Row],[PROG. ACUM]]</f>
        <v>-272</v>
      </c>
      <c r="AK166" s="32">
        <f>IFERROR((TABLA_AVANCE_METAS[[#This Row],[DIFERENCIA ABSOLUTA SEMESTRAL]]/TABLA_AVANCE_METAS[[#This Row],[PROG. ACUM]])*100,"N/A")</f>
        <v>-23.859649122807017</v>
      </c>
      <c r="AL166" s="84">
        <f>TABLA_AVANCE_METAS[[#This Row],[AVANCE 1°. TRIM]]+TABLA_AVANCE_METAS[[#This Row],[AVANCE 2°. TRIM]]+TABLA_AVANCE_METAS[[#This Row],[AVANCE 3°. TRIM]]+TABLA_AVANCE_METAS[[#This Row],[AVANCE 4°. TRIM]]</f>
        <v>868</v>
      </c>
      <c r="AM166" s="27">
        <f>IFERROR((TABLA_AVANCE_METAS[[#This Row],[AVANCE ACUM. ANUAL]]/TABLA_AVANCE_METAS[[#This Row],[PROGRAMADO ANUAL]])*100,"N/A")</f>
        <v>76.140350877192986</v>
      </c>
      <c r="AN166"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REGULAR</v>
      </c>
      <c r="AO166" s="31">
        <f>TABLA_AVANCE_METAS[[#This Row],[AVANCE ACUM. ANUAL]]-TABLA_AVANCE_METAS[[#This Row],[PROGRAMADO ANUAL]]</f>
        <v>-272</v>
      </c>
      <c r="AP166" s="33">
        <f>IFERROR((TABLA_AVANCE_METAS[[#This Row],[DIFERENCIA ABSOLUTA ANUAL]]/TABLA_AVANCE_METAS[[#This Row],[PROGRAMADO ANUAL]])*100,"N/A")</f>
        <v>-23.859649122807017</v>
      </c>
      <c r="AQ166" s="34" t="s">
        <v>532</v>
      </c>
      <c r="AR166" s="35"/>
      <c r="AS166" s="36"/>
      <c r="AT166" s="36"/>
      <c r="AU166" s="74" t="b">
        <f>TABLA_AVANCE_METAS[[#This Row],[PROGRAMADO ANUAL]]=SUM(TABLA_AVANCE_METAS[[#This Row],[PROGR. 1° TRIM]],TABLA_AVANCE_METAS[[#This Row],[PROGR. 2° TRIM]],TABLA_AVANCE_METAS[[#This Row],[PROGR. 3° TRIM]],TABLA_AVANCE_METAS[[#This Row],[PROGR. 4° TRIM]])</f>
        <v>1</v>
      </c>
      <c r="AV166" s="38"/>
    </row>
    <row r="167" spans="1:48" ht="75" hidden="1" customHeight="1" x14ac:dyDescent="0.35">
      <c r="A167" s="51" t="str">
        <f>CONCATENATE(TABLA_AVANCE_METAS[[#This Row],[ESTRUCTURA]],TABLA_AVANCE_METAS[[#This Row],['#]])</f>
        <v>C0021902020301102</v>
      </c>
      <c r="B167" s="52" t="s">
        <v>524</v>
      </c>
      <c r="C167" s="65" t="s">
        <v>444</v>
      </c>
      <c r="D167" s="71" t="s">
        <v>445</v>
      </c>
      <c r="E167" s="52" t="s">
        <v>525</v>
      </c>
      <c r="F167" s="71" t="s">
        <v>526</v>
      </c>
      <c r="G167" s="72" t="s">
        <v>527</v>
      </c>
      <c r="H167" s="71" t="s">
        <v>176</v>
      </c>
      <c r="I167" s="71" t="s">
        <v>177</v>
      </c>
      <c r="J167" s="71" t="s">
        <v>528</v>
      </c>
      <c r="K167" s="71" t="s">
        <v>529</v>
      </c>
      <c r="L167" s="65">
        <v>2</v>
      </c>
      <c r="M167" s="73" t="s">
        <v>533</v>
      </c>
      <c r="N167" s="72" t="s">
        <v>512</v>
      </c>
      <c r="O167" s="56">
        <v>100</v>
      </c>
      <c r="P167" s="24">
        <v>100</v>
      </c>
      <c r="Q167" s="28">
        <v>73</v>
      </c>
      <c r="R167" s="25">
        <f>IFERROR((TABLA_AVANCE_METAS[[#This Row],[AVANCE 1°. TRIM]]/TABLA_AVANCE_METAS[[#This Row],[PROGR. 1° TRIM]])*100,"0")</f>
        <v>73</v>
      </c>
      <c r="S167"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REGULAR</v>
      </c>
      <c r="T167" s="24">
        <v>0</v>
      </c>
      <c r="U167" s="28">
        <v>0</v>
      </c>
      <c r="V167" s="27" t="str">
        <f t="shared" si="7"/>
        <v>0</v>
      </c>
      <c r="W167" s="26"/>
      <c r="X167" s="24">
        <v>0</v>
      </c>
      <c r="Y167" s="28">
        <v>0</v>
      </c>
      <c r="Z167" s="59" t="s">
        <v>71</v>
      </c>
      <c r="AA167" s="58" t="s">
        <v>72</v>
      </c>
      <c r="AB167" s="24">
        <v>0</v>
      </c>
      <c r="AC167" s="28">
        <v>0</v>
      </c>
      <c r="AD167" s="59" t="str">
        <f>IFERROR((TABLA_AVANCE_METAS[[#This Row],[AVANCE 4°. TRIM]]/TABLA_AVANCE_METAS[[#This Row],[PROGR. 4° TRIM]])*100,"0")</f>
        <v>0</v>
      </c>
      <c r="AE167" s="60"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67" s="30">
        <f t="array" ref="AF167">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100</v>
      </c>
      <c r="AG167" s="84">
        <f t="array" ref="AG167">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73</v>
      </c>
      <c r="AH167" s="27">
        <f>IFERROR((TABLA_AVANCE_METAS[[#This Row],[AVANCE ACUM. TRIM.]]/TABLA_AVANCE_METAS[[#This Row],[PROG. ACUM]])*100,"N/A")</f>
        <v>73</v>
      </c>
      <c r="AI167"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REGULAR</v>
      </c>
      <c r="AJ167" s="31">
        <f>TABLA_AVANCE_METAS[[#This Row],[AVANCE ACUM. TRIM.]]-TABLA_AVANCE_METAS[[#This Row],[PROG. ACUM]]</f>
        <v>-27</v>
      </c>
      <c r="AK167" s="32">
        <f>IFERROR((TABLA_AVANCE_METAS[[#This Row],[DIFERENCIA ABSOLUTA SEMESTRAL]]/TABLA_AVANCE_METAS[[#This Row],[PROG. ACUM]])*100,"N/A")</f>
        <v>-27</v>
      </c>
      <c r="AL167" s="84">
        <f>TABLA_AVANCE_METAS[[#This Row],[AVANCE 1°. TRIM]]+TABLA_AVANCE_METAS[[#This Row],[AVANCE 2°. TRIM]]+TABLA_AVANCE_METAS[[#This Row],[AVANCE 3°. TRIM]]+TABLA_AVANCE_METAS[[#This Row],[AVANCE 4°. TRIM]]</f>
        <v>73</v>
      </c>
      <c r="AM167" s="27">
        <f>IFERROR((TABLA_AVANCE_METAS[[#This Row],[AVANCE ACUM. ANUAL]]/TABLA_AVANCE_METAS[[#This Row],[PROGRAMADO ANUAL]])*100,"N/A")</f>
        <v>73</v>
      </c>
      <c r="AN167"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REGULAR</v>
      </c>
      <c r="AO167" s="31">
        <f>TABLA_AVANCE_METAS[[#This Row],[AVANCE ACUM. ANUAL]]-TABLA_AVANCE_METAS[[#This Row],[PROGRAMADO ANUAL]]</f>
        <v>-27</v>
      </c>
      <c r="AP167" s="33">
        <f>IFERROR((TABLA_AVANCE_METAS[[#This Row],[DIFERENCIA ABSOLUTA ANUAL]]/TABLA_AVANCE_METAS[[#This Row],[PROGRAMADO ANUAL]])*100,"N/A")</f>
        <v>-27</v>
      </c>
      <c r="AQ167" s="34" t="s">
        <v>534</v>
      </c>
      <c r="AR167" s="35"/>
      <c r="AS167" s="36"/>
      <c r="AT167" s="36"/>
      <c r="AU167" s="74" t="b">
        <f>TABLA_AVANCE_METAS[[#This Row],[PROGRAMADO ANUAL]]=SUM(TABLA_AVANCE_METAS[[#This Row],[PROGR. 1° TRIM]],TABLA_AVANCE_METAS[[#This Row],[PROGR. 2° TRIM]],TABLA_AVANCE_METAS[[#This Row],[PROGR. 3° TRIM]],TABLA_AVANCE_METAS[[#This Row],[PROGR. 4° TRIM]])</f>
        <v>1</v>
      </c>
      <c r="AV167" s="38"/>
    </row>
    <row r="168" spans="1:48" ht="75" hidden="1" customHeight="1" x14ac:dyDescent="0.35">
      <c r="A168" s="51" t="str">
        <f>CONCATENATE(TABLA_AVANCE_METAS[[#This Row],[ESTRUCTURA]],TABLA_AVANCE_METAS[[#This Row],['#]])</f>
        <v>C0021902020301103</v>
      </c>
      <c r="B168" s="52" t="s">
        <v>524</v>
      </c>
      <c r="C168" s="65" t="s">
        <v>444</v>
      </c>
      <c r="D168" s="71" t="s">
        <v>445</v>
      </c>
      <c r="E168" s="52" t="s">
        <v>525</v>
      </c>
      <c r="F168" s="71" t="s">
        <v>526</v>
      </c>
      <c r="G168" s="72" t="s">
        <v>527</v>
      </c>
      <c r="H168" s="71" t="s">
        <v>176</v>
      </c>
      <c r="I168" s="71" t="s">
        <v>177</v>
      </c>
      <c r="J168" s="71" t="s">
        <v>528</v>
      </c>
      <c r="K168" s="71" t="s">
        <v>529</v>
      </c>
      <c r="L168" s="65">
        <v>3</v>
      </c>
      <c r="M168" s="73" t="s">
        <v>535</v>
      </c>
      <c r="N168" s="72" t="s">
        <v>488</v>
      </c>
      <c r="O168" s="56">
        <v>19</v>
      </c>
      <c r="P168" s="24">
        <v>19</v>
      </c>
      <c r="Q168" s="28">
        <v>19</v>
      </c>
      <c r="R168" s="25">
        <f>IFERROR((TABLA_AVANCE_METAS[[#This Row],[AVANCE 1°. TRIM]]/TABLA_AVANCE_METAS[[#This Row],[PROGR. 1° TRIM]])*100,"0")</f>
        <v>100</v>
      </c>
      <c r="S168"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68" s="24">
        <v>0</v>
      </c>
      <c r="U168" s="28">
        <v>0</v>
      </c>
      <c r="V168" s="27" t="str">
        <f t="shared" si="7"/>
        <v>0</v>
      </c>
      <c r="W168" s="26"/>
      <c r="X168" s="24">
        <v>0</v>
      </c>
      <c r="Y168" s="28">
        <v>0</v>
      </c>
      <c r="Z168" s="59" t="s">
        <v>71</v>
      </c>
      <c r="AA168" s="58" t="s">
        <v>72</v>
      </c>
      <c r="AB168" s="24">
        <v>0</v>
      </c>
      <c r="AC168" s="28">
        <v>0</v>
      </c>
      <c r="AD168" s="59" t="str">
        <f>IFERROR((TABLA_AVANCE_METAS[[#This Row],[AVANCE 4°. TRIM]]/TABLA_AVANCE_METAS[[#This Row],[PROGR. 4° TRIM]])*100,"0")</f>
        <v>0</v>
      </c>
      <c r="AE168" s="60"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68" s="30">
        <f t="array" ref="AF168">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19</v>
      </c>
      <c r="AG168" s="84">
        <f t="array" ref="AG168">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19</v>
      </c>
      <c r="AH168" s="27">
        <f>IFERROR((TABLA_AVANCE_METAS[[#This Row],[AVANCE ACUM. TRIM.]]/TABLA_AVANCE_METAS[[#This Row],[PROG. ACUM]])*100,"N/A")</f>
        <v>100</v>
      </c>
      <c r="AI168"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68" s="31">
        <f>TABLA_AVANCE_METAS[[#This Row],[AVANCE ACUM. TRIM.]]-TABLA_AVANCE_METAS[[#This Row],[PROG. ACUM]]</f>
        <v>0</v>
      </c>
      <c r="AK168" s="32">
        <f>IFERROR((TABLA_AVANCE_METAS[[#This Row],[DIFERENCIA ABSOLUTA SEMESTRAL]]/TABLA_AVANCE_METAS[[#This Row],[PROG. ACUM]])*100,"N/A")</f>
        <v>0</v>
      </c>
      <c r="AL168" s="84">
        <f>TABLA_AVANCE_METAS[[#This Row],[AVANCE 1°. TRIM]]+TABLA_AVANCE_METAS[[#This Row],[AVANCE 2°. TRIM]]+TABLA_AVANCE_METAS[[#This Row],[AVANCE 3°. TRIM]]+TABLA_AVANCE_METAS[[#This Row],[AVANCE 4°. TRIM]]</f>
        <v>19</v>
      </c>
      <c r="AM168" s="27">
        <f>IFERROR((TABLA_AVANCE_METAS[[#This Row],[AVANCE ACUM. ANUAL]]/TABLA_AVANCE_METAS[[#This Row],[PROGRAMADO ANUAL]])*100,"N/A")</f>
        <v>100</v>
      </c>
      <c r="AN168"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168" s="31">
        <f>TABLA_AVANCE_METAS[[#This Row],[AVANCE ACUM. ANUAL]]-TABLA_AVANCE_METAS[[#This Row],[PROGRAMADO ANUAL]]</f>
        <v>0</v>
      </c>
      <c r="AP168" s="33">
        <f>IFERROR((TABLA_AVANCE_METAS[[#This Row],[DIFERENCIA ABSOLUTA ANUAL]]/TABLA_AVANCE_METAS[[#This Row],[PROGRAMADO ANUAL]])*100,"N/A")</f>
        <v>0</v>
      </c>
      <c r="AQ168" s="34"/>
      <c r="AR168" s="35"/>
      <c r="AS168" s="36"/>
      <c r="AT168" s="36"/>
      <c r="AU168" s="74" t="b">
        <f>TABLA_AVANCE_METAS[[#This Row],[PROGRAMADO ANUAL]]=SUM(TABLA_AVANCE_METAS[[#This Row],[PROGR. 1° TRIM]],TABLA_AVANCE_METAS[[#This Row],[PROGR. 2° TRIM]],TABLA_AVANCE_METAS[[#This Row],[PROGR. 3° TRIM]],TABLA_AVANCE_METAS[[#This Row],[PROGR. 4° TRIM]])</f>
        <v>1</v>
      </c>
      <c r="AV168" s="38"/>
    </row>
    <row r="169" spans="1:48" ht="75" hidden="1" customHeight="1" x14ac:dyDescent="0.35">
      <c r="A169" s="51" t="str">
        <f>CONCATENATE(TABLA_AVANCE_METAS[[#This Row],[ESTRUCTURA]],TABLA_AVANCE_METAS[[#This Row],['#]])</f>
        <v>C0021902020301104</v>
      </c>
      <c r="B169" s="52" t="s">
        <v>524</v>
      </c>
      <c r="C169" s="65" t="s">
        <v>444</v>
      </c>
      <c r="D169" s="71" t="s">
        <v>445</v>
      </c>
      <c r="E169" s="52" t="s">
        <v>525</v>
      </c>
      <c r="F169" s="71" t="s">
        <v>526</v>
      </c>
      <c r="G169" s="72" t="s">
        <v>527</v>
      </c>
      <c r="H169" s="71" t="s">
        <v>176</v>
      </c>
      <c r="I169" s="71" t="s">
        <v>177</v>
      </c>
      <c r="J169" s="71" t="s">
        <v>528</v>
      </c>
      <c r="K169" s="71" t="s">
        <v>529</v>
      </c>
      <c r="L169" s="65">
        <v>4</v>
      </c>
      <c r="M169" s="73" t="s">
        <v>536</v>
      </c>
      <c r="N169" s="72" t="s">
        <v>537</v>
      </c>
      <c r="O169" s="56">
        <v>160</v>
      </c>
      <c r="P169" s="24">
        <v>160</v>
      </c>
      <c r="Q169" s="28">
        <v>228</v>
      </c>
      <c r="R169" s="25">
        <f>IFERROR((TABLA_AVANCE_METAS[[#This Row],[AVANCE 1°. TRIM]]/TABLA_AVANCE_METAS[[#This Row],[PROGR. 1° TRIM]])*100,"0")</f>
        <v>142.5</v>
      </c>
      <c r="S169"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SOBREPASADO</v>
      </c>
      <c r="T169" s="24">
        <v>0</v>
      </c>
      <c r="U169" s="28">
        <v>0</v>
      </c>
      <c r="V169" s="27" t="str">
        <f t="shared" si="7"/>
        <v>0</v>
      </c>
      <c r="W169" s="26"/>
      <c r="X169" s="24">
        <v>0</v>
      </c>
      <c r="Y169" s="28">
        <v>0</v>
      </c>
      <c r="Z169" s="59" t="s">
        <v>71</v>
      </c>
      <c r="AA169" s="58" t="s">
        <v>72</v>
      </c>
      <c r="AB169" s="24">
        <v>0</v>
      </c>
      <c r="AC169" s="28">
        <v>0</v>
      </c>
      <c r="AD169" s="59" t="str">
        <f>IFERROR((TABLA_AVANCE_METAS[[#This Row],[AVANCE 4°. TRIM]]/TABLA_AVANCE_METAS[[#This Row],[PROGR. 4° TRIM]])*100,"0")</f>
        <v>0</v>
      </c>
      <c r="AE169" s="60"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69" s="30">
        <f t="array" ref="AF169">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160</v>
      </c>
      <c r="AG169" s="84">
        <f t="array" ref="AG169">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228</v>
      </c>
      <c r="AH169" s="27">
        <f>IFERROR((TABLA_AVANCE_METAS[[#This Row],[AVANCE ACUM. TRIM.]]/TABLA_AVANCE_METAS[[#This Row],[PROG. ACUM]])*100,"N/A")</f>
        <v>142.5</v>
      </c>
      <c r="AI169"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SOBREPASADO</v>
      </c>
      <c r="AJ169" s="31">
        <f>TABLA_AVANCE_METAS[[#This Row],[AVANCE ACUM. TRIM.]]-TABLA_AVANCE_METAS[[#This Row],[PROG. ACUM]]</f>
        <v>68</v>
      </c>
      <c r="AK169" s="32">
        <f>IFERROR((TABLA_AVANCE_METAS[[#This Row],[DIFERENCIA ABSOLUTA SEMESTRAL]]/TABLA_AVANCE_METAS[[#This Row],[PROG. ACUM]])*100,"N/A")</f>
        <v>42.5</v>
      </c>
      <c r="AL169" s="84">
        <f>TABLA_AVANCE_METAS[[#This Row],[AVANCE 1°. TRIM]]+TABLA_AVANCE_METAS[[#This Row],[AVANCE 2°. TRIM]]+TABLA_AVANCE_METAS[[#This Row],[AVANCE 3°. TRIM]]+TABLA_AVANCE_METAS[[#This Row],[AVANCE 4°. TRIM]]</f>
        <v>228</v>
      </c>
      <c r="AM169" s="27">
        <f>IFERROR((TABLA_AVANCE_METAS[[#This Row],[AVANCE ACUM. ANUAL]]/TABLA_AVANCE_METAS[[#This Row],[PROGRAMADO ANUAL]])*100,"N/A")</f>
        <v>142.5</v>
      </c>
      <c r="AN169"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SOBREPASADO</v>
      </c>
      <c r="AO169" s="31">
        <f>TABLA_AVANCE_METAS[[#This Row],[AVANCE ACUM. ANUAL]]-TABLA_AVANCE_METAS[[#This Row],[PROGRAMADO ANUAL]]</f>
        <v>68</v>
      </c>
      <c r="AP169" s="33">
        <f>IFERROR((TABLA_AVANCE_METAS[[#This Row],[DIFERENCIA ABSOLUTA ANUAL]]/TABLA_AVANCE_METAS[[#This Row],[PROGRAMADO ANUAL]])*100,"N/A")</f>
        <v>42.5</v>
      </c>
      <c r="AQ169" s="34" t="s">
        <v>538</v>
      </c>
      <c r="AR169" s="35"/>
      <c r="AS169" s="36"/>
      <c r="AT169" s="36"/>
      <c r="AU169" s="74" t="b">
        <f>TABLA_AVANCE_METAS[[#This Row],[PROGRAMADO ANUAL]]=SUM(TABLA_AVANCE_METAS[[#This Row],[PROGR. 1° TRIM]],TABLA_AVANCE_METAS[[#This Row],[PROGR. 2° TRIM]],TABLA_AVANCE_METAS[[#This Row],[PROGR. 3° TRIM]],TABLA_AVANCE_METAS[[#This Row],[PROGR. 4° TRIM]])</f>
        <v>1</v>
      </c>
      <c r="AV169" s="38"/>
    </row>
    <row r="170" spans="1:48" ht="75" hidden="1" customHeight="1" x14ac:dyDescent="0.35">
      <c r="A170" s="51" t="str">
        <f>CONCATENATE(TABLA_AVANCE_METAS[[#This Row],[ESTRUCTURA]],TABLA_AVANCE_METAS[[#This Row],['#]])</f>
        <v>C0021902020301105</v>
      </c>
      <c r="B170" s="52" t="s">
        <v>524</v>
      </c>
      <c r="C170" s="65" t="s">
        <v>444</v>
      </c>
      <c r="D170" s="71" t="s">
        <v>445</v>
      </c>
      <c r="E170" s="52" t="s">
        <v>525</v>
      </c>
      <c r="F170" s="71" t="s">
        <v>526</v>
      </c>
      <c r="G170" s="72" t="s">
        <v>527</v>
      </c>
      <c r="H170" s="71" t="s">
        <v>176</v>
      </c>
      <c r="I170" s="71" t="s">
        <v>177</v>
      </c>
      <c r="J170" s="71" t="s">
        <v>528</v>
      </c>
      <c r="K170" s="71" t="s">
        <v>529</v>
      </c>
      <c r="L170" s="65">
        <v>5</v>
      </c>
      <c r="M170" s="73" t="s">
        <v>539</v>
      </c>
      <c r="N170" s="72" t="s">
        <v>540</v>
      </c>
      <c r="O170" s="56">
        <v>17</v>
      </c>
      <c r="P170" s="24">
        <v>17</v>
      </c>
      <c r="Q170" s="28">
        <v>19</v>
      </c>
      <c r="R170" s="25">
        <f>IFERROR((TABLA_AVANCE_METAS[[#This Row],[AVANCE 1°. TRIM]]/TABLA_AVANCE_METAS[[#This Row],[PROGR. 1° TRIM]])*100,"0")</f>
        <v>111.76470588235294</v>
      </c>
      <c r="S170"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SOBREPASADO</v>
      </c>
      <c r="T170" s="24">
        <v>0</v>
      </c>
      <c r="U170" s="28">
        <v>0</v>
      </c>
      <c r="V170" s="27" t="str">
        <f t="shared" si="7"/>
        <v>0</v>
      </c>
      <c r="W170" s="26"/>
      <c r="X170" s="24">
        <v>0</v>
      </c>
      <c r="Y170" s="28">
        <v>0</v>
      </c>
      <c r="Z170" s="59" t="s">
        <v>71</v>
      </c>
      <c r="AA170" s="58" t="s">
        <v>72</v>
      </c>
      <c r="AB170" s="24">
        <v>0</v>
      </c>
      <c r="AC170" s="28">
        <v>0</v>
      </c>
      <c r="AD170" s="59" t="str">
        <f>IFERROR((TABLA_AVANCE_METAS[[#This Row],[AVANCE 4°. TRIM]]/TABLA_AVANCE_METAS[[#This Row],[PROGR. 4° TRIM]])*100,"0")</f>
        <v>0</v>
      </c>
      <c r="AE170" s="60"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70" s="30">
        <f t="array" ref="AF170">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17</v>
      </c>
      <c r="AG170" s="84">
        <f t="array" ref="AG170">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19</v>
      </c>
      <c r="AH170" s="27">
        <f>IFERROR((TABLA_AVANCE_METAS[[#This Row],[AVANCE ACUM. TRIM.]]/TABLA_AVANCE_METAS[[#This Row],[PROG. ACUM]])*100,"N/A")</f>
        <v>111.76470588235294</v>
      </c>
      <c r="AI170"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SOBREPASADO</v>
      </c>
      <c r="AJ170" s="31">
        <f>TABLA_AVANCE_METAS[[#This Row],[AVANCE ACUM. TRIM.]]-TABLA_AVANCE_METAS[[#This Row],[PROG. ACUM]]</f>
        <v>2</v>
      </c>
      <c r="AK170" s="32">
        <f>IFERROR((TABLA_AVANCE_METAS[[#This Row],[DIFERENCIA ABSOLUTA SEMESTRAL]]/TABLA_AVANCE_METAS[[#This Row],[PROG. ACUM]])*100,"N/A")</f>
        <v>11.76470588235294</v>
      </c>
      <c r="AL170" s="84">
        <f>TABLA_AVANCE_METAS[[#This Row],[AVANCE 1°. TRIM]]+TABLA_AVANCE_METAS[[#This Row],[AVANCE 2°. TRIM]]+TABLA_AVANCE_METAS[[#This Row],[AVANCE 3°. TRIM]]+TABLA_AVANCE_METAS[[#This Row],[AVANCE 4°. TRIM]]</f>
        <v>19</v>
      </c>
      <c r="AM170" s="27">
        <f>IFERROR((TABLA_AVANCE_METAS[[#This Row],[AVANCE ACUM. ANUAL]]/TABLA_AVANCE_METAS[[#This Row],[PROGRAMADO ANUAL]])*100,"N/A")</f>
        <v>111.76470588235294</v>
      </c>
      <c r="AN170"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SOBREPASADO</v>
      </c>
      <c r="AO170" s="31">
        <f>TABLA_AVANCE_METAS[[#This Row],[AVANCE ACUM. ANUAL]]-TABLA_AVANCE_METAS[[#This Row],[PROGRAMADO ANUAL]]</f>
        <v>2</v>
      </c>
      <c r="AP170" s="33">
        <f>IFERROR((TABLA_AVANCE_METAS[[#This Row],[DIFERENCIA ABSOLUTA ANUAL]]/TABLA_AVANCE_METAS[[#This Row],[PROGRAMADO ANUAL]])*100,"N/A")</f>
        <v>11.76470588235294</v>
      </c>
      <c r="AQ170" s="34"/>
      <c r="AR170" s="35"/>
      <c r="AS170" s="36"/>
      <c r="AT170" s="36"/>
      <c r="AU170" s="74" t="b">
        <f>TABLA_AVANCE_METAS[[#This Row],[PROGRAMADO ANUAL]]=SUM(TABLA_AVANCE_METAS[[#This Row],[PROGR. 1° TRIM]],TABLA_AVANCE_METAS[[#This Row],[PROGR. 2° TRIM]],TABLA_AVANCE_METAS[[#This Row],[PROGR. 3° TRIM]],TABLA_AVANCE_METAS[[#This Row],[PROGR. 4° TRIM]])</f>
        <v>1</v>
      </c>
      <c r="AV170" s="38"/>
    </row>
    <row r="171" spans="1:48" ht="75" hidden="1" customHeight="1" x14ac:dyDescent="0.35">
      <c r="A171" s="51" t="str">
        <f>CONCATENATE(TABLA_AVANCE_METAS[[#This Row],[ESTRUCTURA]],TABLA_AVANCE_METAS[[#This Row],['#]])</f>
        <v>C0021902020301106</v>
      </c>
      <c r="B171" s="52" t="s">
        <v>524</v>
      </c>
      <c r="C171" s="65" t="s">
        <v>444</v>
      </c>
      <c r="D171" s="71" t="s">
        <v>445</v>
      </c>
      <c r="E171" s="52" t="s">
        <v>525</v>
      </c>
      <c r="F171" s="71" t="s">
        <v>526</v>
      </c>
      <c r="G171" s="72" t="s">
        <v>527</v>
      </c>
      <c r="H171" s="71" t="s">
        <v>176</v>
      </c>
      <c r="I171" s="71" t="s">
        <v>177</v>
      </c>
      <c r="J171" s="71" t="s">
        <v>528</v>
      </c>
      <c r="K171" s="71" t="s">
        <v>529</v>
      </c>
      <c r="L171" s="65">
        <v>6</v>
      </c>
      <c r="M171" s="73" t="s">
        <v>541</v>
      </c>
      <c r="N171" s="72" t="s">
        <v>542</v>
      </c>
      <c r="O171" s="56">
        <v>0</v>
      </c>
      <c r="P171" s="56">
        <v>0</v>
      </c>
      <c r="Q171" s="28">
        <v>0</v>
      </c>
      <c r="R171" s="57" t="str">
        <f>IFERROR((TABLA_AVANCE_METAS[[#This Row],[AVANCE 1°. TRIM]]/TABLA_AVANCE_METAS[[#This Row],[PROGR. 1° TRIM]])*100,"0")</f>
        <v>0</v>
      </c>
      <c r="S171" s="58"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171" s="56">
        <v>0</v>
      </c>
      <c r="U171" s="28">
        <v>0</v>
      </c>
      <c r="V171" s="59" t="str">
        <f t="shared" si="7"/>
        <v>0</v>
      </c>
      <c r="W171" s="58"/>
      <c r="X171" s="56">
        <v>0</v>
      </c>
      <c r="Y171" s="28">
        <v>0</v>
      </c>
      <c r="Z171" s="59" t="s">
        <v>71</v>
      </c>
      <c r="AA171" s="58" t="s">
        <v>72</v>
      </c>
      <c r="AB171" s="56">
        <v>0</v>
      </c>
      <c r="AC171" s="28">
        <v>0</v>
      </c>
      <c r="AD171" s="59" t="str">
        <f>IFERROR((TABLA_AVANCE_METAS[[#This Row],[AVANCE 4°. TRIM]]/TABLA_AVANCE_METAS[[#This Row],[PROGR. 4° TRIM]])*100,"0")</f>
        <v>0</v>
      </c>
      <c r="AE171" s="60"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71" s="75">
        <f t="array" ref="AF171">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171" s="63">
        <f t="array" ref="AG171">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171" s="59" t="str">
        <f>IFERROR((TABLA_AVANCE_METAS[[#This Row],[AVANCE ACUM. TRIM.]]/TABLA_AVANCE_METAS[[#This Row],[PROG. ACUM]])*100,"N/A")</f>
        <v>N/A</v>
      </c>
      <c r="AI171" s="58"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171" s="61">
        <f>TABLA_AVANCE_METAS[[#This Row],[AVANCE ACUM. TRIM.]]-TABLA_AVANCE_METAS[[#This Row],[PROG. ACUM]]</f>
        <v>0</v>
      </c>
      <c r="AK171" s="62" t="str">
        <f>IFERROR((TABLA_AVANCE_METAS[[#This Row],[DIFERENCIA ABSOLUTA SEMESTRAL]]/TABLA_AVANCE_METAS[[#This Row],[PROG. ACUM]])*100,"N/A")</f>
        <v>N/A</v>
      </c>
      <c r="AL171" s="63">
        <f>TABLA_AVANCE_METAS[[#This Row],[AVANCE 1°. TRIM]]+TABLA_AVANCE_METAS[[#This Row],[AVANCE 2°. TRIM]]+TABLA_AVANCE_METAS[[#This Row],[AVANCE 3°. TRIM]]+TABLA_AVANCE_METAS[[#This Row],[AVANCE 4°. TRIM]]</f>
        <v>0</v>
      </c>
      <c r="AM171" s="59" t="str">
        <f>IFERROR((TABLA_AVANCE_METAS[[#This Row],[AVANCE ACUM. ANUAL]]/TABLA_AVANCE_METAS[[#This Row],[PROGRAMADO ANUAL]])*100,"N/A")</f>
        <v>N/A</v>
      </c>
      <c r="AN171" s="58"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NO PROG.</v>
      </c>
      <c r="AO171" s="61">
        <f>TABLA_AVANCE_METAS[[#This Row],[AVANCE ACUM. ANUAL]]-TABLA_AVANCE_METAS[[#This Row],[PROGRAMADO ANUAL]]</f>
        <v>0</v>
      </c>
      <c r="AP171" s="64" t="str">
        <f>IFERROR((TABLA_AVANCE_METAS[[#This Row],[DIFERENCIA ABSOLUTA ANUAL]]/TABLA_AVANCE_METAS[[#This Row],[PROGRAMADO ANUAL]])*100,"N/A")</f>
        <v>N/A</v>
      </c>
      <c r="AQ171" s="34" t="s">
        <v>543</v>
      </c>
      <c r="AR171" s="66"/>
      <c r="AS171" s="36"/>
      <c r="AT171" s="36"/>
      <c r="AU171" s="67" t="b">
        <f>TABLA_AVANCE_METAS[[#This Row],[PROGRAMADO ANUAL]]=SUM(TABLA_AVANCE_METAS[[#This Row],[PROGR. 1° TRIM]],TABLA_AVANCE_METAS[[#This Row],[PROGR. 2° TRIM]],TABLA_AVANCE_METAS[[#This Row],[PROGR. 3° TRIM]],TABLA_AVANCE_METAS[[#This Row],[PROGR. 4° TRIM]])</f>
        <v>1</v>
      </c>
      <c r="AV171" s="38"/>
    </row>
    <row r="172" spans="1:48" ht="75" hidden="1" customHeight="1" x14ac:dyDescent="0.35">
      <c r="A172" s="19" t="str">
        <f>CONCATENATE(TABLA_AVANCE_METAS[[#This Row],[ESTRUCTURA]],TABLA_AVANCE_METAS[[#This Row],['#]])</f>
        <v>C0021702020301071</v>
      </c>
      <c r="B172" s="20" t="s">
        <v>544</v>
      </c>
      <c r="C172" s="41" t="s">
        <v>444</v>
      </c>
      <c r="D172" s="40" t="s">
        <v>445</v>
      </c>
      <c r="E172" s="20" t="s">
        <v>545</v>
      </c>
      <c r="F172" s="40" t="s">
        <v>546</v>
      </c>
      <c r="G172" s="42" t="s">
        <v>547</v>
      </c>
      <c r="H172" s="40" t="s">
        <v>176</v>
      </c>
      <c r="I172" s="40" t="s">
        <v>177</v>
      </c>
      <c r="J172" s="40" t="s">
        <v>517</v>
      </c>
      <c r="K172" s="40" t="s">
        <v>518</v>
      </c>
      <c r="L172" s="41">
        <v>1</v>
      </c>
      <c r="M172" s="76" t="s">
        <v>548</v>
      </c>
      <c r="N172" s="42" t="s">
        <v>549</v>
      </c>
      <c r="O172" s="24">
        <v>11350</v>
      </c>
      <c r="P172" s="24">
        <v>3650</v>
      </c>
      <c r="Q172" s="28">
        <v>2769</v>
      </c>
      <c r="R172" s="25">
        <f>IFERROR((TABLA_AVANCE_METAS[[#This Row],[AVANCE 1°. TRIM]]/TABLA_AVANCE_METAS[[#This Row],[PROGR. 1° TRIM]])*100,"0")</f>
        <v>75.863013698630127</v>
      </c>
      <c r="S172"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REGULAR</v>
      </c>
      <c r="T172" s="24">
        <v>3000</v>
      </c>
      <c r="U172" s="28">
        <v>2921</v>
      </c>
      <c r="V172" s="27">
        <f t="shared" si="7"/>
        <v>97.366666666666674</v>
      </c>
      <c r="W172" s="26" t="str">
        <f t="shared" ref="W172:W198" si="9">IF(AND(V172&gt;=0,V172&lt;=49.9999999999999),"CRÍTICO",IF(AND(V172&gt;=50,V172&lt;=69.9999999999999),"DEFICIENTE",IF(AND(V172&gt;=70,V172&lt;=89.9999999999999),"REGULAR",IF(AND(V172&gt;=90,V172&lt;=110.999999999999),"ADECUADO",IF(AND(V172&gt;=111,V172&lt;=999999),"SOBREPASADO","NO PROG.")))))</f>
        <v>ADECUADO</v>
      </c>
      <c r="X172" s="24">
        <v>2350</v>
      </c>
      <c r="Y172" s="28">
        <v>0</v>
      </c>
      <c r="Z172" s="27">
        <v>0</v>
      </c>
      <c r="AA172" s="26" t="s">
        <v>62</v>
      </c>
      <c r="AB172" s="24">
        <v>2350</v>
      </c>
      <c r="AC172" s="28">
        <v>0</v>
      </c>
      <c r="AD172" s="27">
        <f>IFERROR((TABLA_AVANCE_METAS[[#This Row],[AVANCE 4°. TRIM]]/TABLA_AVANCE_METAS[[#This Row],[PROGR. 4° TRIM]])*100,"0")</f>
        <v>0</v>
      </c>
      <c r="AE172"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72" s="30">
        <f t="array" ref="AF172">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6650</v>
      </c>
      <c r="AG172" s="84">
        <f t="array" ref="AG172">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5690</v>
      </c>
      <c r="AH172" s="27">
        <f>IFERROR((TABLA_AVANCE_METAS[[#This Row],[AVANCE ACUM. TRIM.]]/TABLA_AVANCE_METAS[[#This Row],[PROG. ACUM]])*100,"N/A")</f>
        <v>85.563909774436084</v>
      </c>
      <c r="AI172"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REGULAR</v>
      </c>
      <c r="AJ172" s="31">
        <f>TABLA_AVANCE_METAS[[#This Row],[AVANCE ACUM. TRIM.]]-TABLA_AVANCE_METAS[[#This Row],[PROG. ACUM]]</f>
        <v>-960</v>
      </c>
      <c r="AK172" s="32">
        <f>IFERROR((TABLA_AVANCE_METAS[[#This Row],[DIFERENCIA ABSOLUTA SEMESTRAL]]/TABLA_AVANCE_METAS[[#This Row],[PROG. ACUM]])*100,"N/A")</f>
        <v>-14.436090225563911</v>
      </c>
      <c r="AL172" s="84">
        <f>TABLA_AVANCE_METAS[[#This Row],[AVANCE 1°. TRIM]]+TABLA_AVANCE_METAS[[#This Row],[AVANCE 2°. TRIM]]+TABLA_AVANCE_METAS[[#This Row],[AVANCE 3°. TRIM]]+TABLA_AVANCE_METAS[[#This Row],[AVANCE 4°. TRIM]]</f>
        <v>5690</v>
      </c>
      <c r="AM172" s="27">
        <f>IFERROR((TABLA_AVANCE_METAS[[#This Row],[AVANCE ACUM. ANUAL]]/TABLA_AVANCE_METAS[[#This Row],[PROGRAMADO ANUAL]])*100,"N/A")</f>
        <v>50.132158590308372</v>
      </c>
      <c r="AN172"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72" s="31">
        <f>TABLA_AVANCE_METAS[[#This Row],[AVANCE ACUM. ANUAL]]-TABLA_AVANCE_METAS[[#This Row],[PROGRAMADO ANUAL]]</f>
        <v>-5660</v>
      </c>
      <c r="AP172" s="33">
        <f>IFERROR((TABLA_AVANCE_METAS[[#This Row],[DIFERENCIA ABSOLUTA ANUAL]]/TABLA_AVANCE_METAS[[#This Row],[PROGRAMADO ANUAL]])*100,"N/A")</f>
        <v>-49.867841409691636</v>
      </c>
      <c r="AQ172" s="34" t="s">
        <v>550</v>
      </c>
      <c r="AR172" s="35"/>
      <c r="AS172" s="36"/>
      <c r="AT172" s="36"/>
      <c r="AU172" s="69" t="b">
        <f>TABLA_AVANCE_METAS[[#This Row],[PROGRAMADO ANUAL]]=SUM(TABLA_AVANCE_METAS[[#This Row],[PROGR. 1° TRIM]],TABLA_AVANCE_METAS[[#This Row],[PROGR. 2° TRIM]],TABLA_AVANCE_METAS[[#This Row],[PROGR. 3° TRIM]],TABLA_AVANCE_METAS[[#This Row],[PROGR. 4° TRIM]])</f>
        <v>1</v>
      </c>
      <c r="AV172" s="38"/>
    </row>
    <row r="173" spans="1:48" ht="75" hidden="1" customHeight="1" x14ac:dyDescent="0.35">
      <c r="A173" s="19" t="str">
        <f>CONCATENATE(TABLA_AVANCE_METAS[[#This Row],[ESTRUCTURA]],TABLA_AVANCE_METAS[[#This Row],['#]])</f>
        <v>C0021702020301072</v>
      </c>
      <c r="B173" s="20" t="s">
        <v>544</v>
      </c>
      <c r="C173" s="41" t="s">
        <v>444</v>
      </c>
      <c r="D173" s="40" t="s">
        <v>445</v>
      </c>
      <c r="E173" s="20" t="s">
        <v>545</v>
      </c>
      <c r="F173" s="40" t="s">
        <v>546</v>
      </c>
      <c r="G173" s="42" t="s">
        <v>547</v>
      </c>
      <c r="H173" s="40" t="s">
        <v>176</v>
      </c>
      <c r="I173" s="40" t="s">
        <v>177</v>
      </c>
      <c r="J173" s="40" t="s">
        <v>517</v>
      </c>
      <c r="K173" s="40" t="s">
        <v>518</v>
      </c>
      <c r="L173" s="41">
        <v>2</v>
      </c>
      <c r="M173" s="76" t="s">
        <v>551</v>
      </c>
      <c r="N173" s="42" t="s">
        <v>503</v>
      </c>
      <c r="O173" s="24">
        <v>7100</v>
      </c>
      <c r="P173" s="24">
        <v>2300</v>
      </c>
      <c r="Q173" s="28">
        <v>1850</v>
      </c>
      <c r="R173" s="25">
        <f>IFERROR((TABLA_AVANCE_METAS[[#This Row],[AVANCE 1°. TRIM]]/TABLA_AVANCE_METAS[[#This Row],[PROGR. 1° TRIM]])*100,"0")</f>
        <v>80.434782608695656</v>
      </c>
      <c r="S173"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REGULAR</v>
      </c>
      <c r="T173" s="24">
        <v>1800</v>
      </c>
      <c r="U173" s="28">
        <v>1813</v>
      </c>
      <c r="V173" s="27">
        <f t="shared" si="7"/>
        <v>100.72222222222223</v>
      </c>
      <c r="W173" s="26" t="str">
        <f t="shared" si="9"/>
        <v>ADECUADO</v>
      </c>
      <c r="X173" s="24">
        <v>1500</v>
      </c>
      <c r="Y173" s="28">
        <v>0</v>
      </c>
      <c r="Z173" s="27">
        <v>0</v>
      </c>
      <c r="AA173" s="26" t="s">
        <v>62</v>
      </c>
      <c r="AB173" s="24">
        <v>1500</v>
      </c>
      <c r="AC173" s="28">
        <v>0</v>
      </c>
      <c r="AD173" s="27">
        <f>IFERROR((TABLA_AVANCE_METAS[[#This Row],[AVANCE 4°. TRIM]]/TABLA_AVANCE_METAS[[#This Row],[PROGR. 4° TRIM]])*100,"0")</f>
        <v>0</v>
      </c>
      <c r="AE173"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73" s="30">
        <f t="array" ref="AF173">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4100</v>
      </c>
      <c r="AG173" s="84">
        <f t="array" ref="AG173">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3663</v>
      </c>
      <c r="AH173" s="27">
        <f>IFERROR((TABLA_AVANCE_METAS[[#This Row],[AVANCE ACUM. TRIM.]]/TABLA_AVANCE_METAS[[#This Row],[PROG. ACUM]])*100,"N/A")</f>
        <v>89.341463414634148</v>
      </c>
      <c r="AI173"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REGULAR</v>
      </c>
      <c r="AJ173" s="31">
        <f>TABLA_AVANCE_METAS[[#This Row],[AVANCE ACUM. TRIM.]]-TABLA_AVANCE_METAS[[#This Row],[PROG. ACUM]]</f>
        <v>-437</v>
      </c>
      <c r="AK173" s="32">
        <f>IFERROR((TABLA_AVANCE_METAS[[#This Row],[DIFERENCIA ABSOLUTA SEMESTRAL]]/TABLA_AVANCE_METAS[[#This Row],[PROG. ACUM]])*100,"N/A")</f>
        <v>-10.658536585365853</v>
      </c>
      <c r="AL173" s="84">
        <f>TABLA_AVANCE_METAS[[#This Row],[AVANCE 1°. TRIM]]+TABLA_AVANCE_METAS[[#This Row],[AVANCE 2°. TRIM]]+TABLA_AVANCE_METAS[[#This Row],[AVANCE 3°. TRIM]]+TABLA_AVANCE_METAS[[#This Row],[AVANCE 4°. TRIM]]</f>
        <v>3663</v>
      </c>
      <c r="AM173" s="27">
        <f>IFERROR((TABLA_AVANCE_METAS[[#This Row],[AVANCE ACUM. ANUAL]]/TABLA_AVANCE_METAS[[#This Row],[PROGRAMADO ANUAL]])*100,"N/A")</f>
        <v>51.591549295774655</v>
      </c>
      <c r="AN173"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73" s="31">
        <f>TABLA_AVANCE_METAS[[#This Row],[AVANCE ACUM. ANUAL]]-TABLA_AVANCE_METAS[[#This Row],[PROGRAMADO ANUAL]]</f>
        <v>-3437</v>
      </c>
      <c r="AP173" s="33">
        <f>IFERROR((TABLA_AVANCE_METAS[[#This Row],[DIFERENCIA ABSOLUTA ANUAL]]/TABLA_AVANCE_METAS[[#This Row],[PROGRAMADO ANUAL]])*100,"N/A")</f>
        <v>-48.408450704225352</v>
      </c>
      <c r="AQ173" s="34" t="s">
        <v>552</v>
      </c>
      <c r="AR173" s="35"/>
      <c r="AS173" s="36"/>
      <c r="AT173" s="36"/>
      <c r="AU173" s="69" t="b">
        <f>TABLA_AVANCE_METAS[[#This Row],[PROGRAMADO ANUAL]]=SUM(TABLA_AVANCE_METAS[[#This Row],[PROGR. 1° TRIM]],TABLA_AVANCE_METAS[[#This Row],[PROGR. 2° TRIM]],TABLA_AVANCE_METAS[[#This Row],[PROGR. 3° TRIM]],TABLA_AVANCE_METAS[[#This Row],[PROGR. 4° TRIM]])</f>
        <v>1</v>
      </c>
      <c r="AV173" s="38"/>
    </row>
    <row r="174" spans="1:48" ht="75" hidden="1" customHeight="1" x14ac:dyDescent="0.35">
      <c r="A174" s="19" t="str">
        <f>CONCATENATE(TABLA_AVANCE_METAS[[#This Row],[ESTRUCTURA]],TABLA_AVANCE_METAS[[#This Row],['#]])</f>
        <v>C0021702020301073</v>
      </c>
      <c r="B174" s="20" t="s">
        <v>544</v>
      </c>
      <c r="C174" s="41" t="s">
        <v>444</v>
      </c>
      <c r="D174" s="40" t="s">
        <v>445</v>
      </c>
      <c r="E174" s="20" t="s">
        <v>545</v>
      </c>
      <c r="F174" s="40" t="s">
        <v>546</v>
      </c>
      <c r="G174" s="42" t="s">
        <v>547</v>
      </c>
      <c r="H174" s="40" t="s">
        <v>176</v>
      </c>
      <c r="I174" s="40" t="s">
        <v>177</v>
      </c>
      <c r="J174" s="40" t="s">
        <v>517</v>
      </c>
      <c r="K174" s="40" t="s">
        <v>518</v>
      </c>
      <c r="L174" s="41">
        <v>3</v>
      </c>
      <c r="M174" s="76" t="s">
        <v>553</v>
      </c>
      <c r="N174" s="42" t="s">
        <v>503</v>
      </c>
      <c r="O174" s="24">
        <v>4350</v>
      </c>
      <c r="P174" s="24">
        <v>1350</v>
      </c>
      <c r="Q174" s="28">
        <v>919</v>
      </c>
      <c r="R174" s="25">
        <f>IFERROR((TABLA_AVANCE_METAS[[#This Row],[AVANCE 1°. TRIM]]/TABLA_AVANCE_METAS[[#This Row],[PROGR. 1° TRIM]])*100,"0")</f>
        <v>68.074074074074076</v>
      </c>
      <c r="S174"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DEFICIENTE</v>
      </c>
      <c r="T174" s="24">
        <v>1100</v>
      </c>
      <c r="U174" s="28">
        <v>1108</v>
      </c>
      <c r="V174" s="27">
        <f t="shared" si="7"/>
        <v>100.72727272727273</v>
      </c>
      <c r="W174" s="26" t="str">
        <f t="shared" si="9"/>
        <v>ADECUADO</v>
      </c>
      <c r="X174" s="24">
        <v>1050</v>
      </c>
      <c r="Y174" s="28">
        <v>0</v>
      </c>
      <c r="Z174" s="27">
        <v>0</v>
      </c>
      <c r="AA174" s="26" t="s">
        <v>62</v>
      </c>
      <c r="AB174" s="24">
        <v>850</v>
      </c>
      <c r="AC174" s="28">
        <v>0</v>
      </c>
      <c r="AD174" s="27">
        <f>IFERROR((TABLA_AVANCE_METAS[[#This Row],[AVANCE 4°. TRIM]]/TABLA_AVANCE_METAS[[#This Row],[PROGR. 4° TRIM]])*100,"0")</f>
        <v>0</v>
      </c>
      <c r="AE174"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74" s="30">
        <f t="array" ref="AF174">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2450</v>
      </c>
      <c r="AG174" s="84">
        <f t="array" ref="AG174">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2027</v>
      </c>
      <c r="AH174" s="27">
        <f>IFERROR((TABLA_AVANCE_METAS[[#This Row],[AVANCE ACUM. TRIM.]]/TABLA_AVANCE_METAS[[#This Row],[PROG. ACUM]])*100,"N/A")</f>
        <v>82.734693877551024</v>
      </c>
      <c r="AI174"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REGULAR</v>
      </c>
      <c r="AJ174" s="31">
        <f>TABLA_AVANCE_METAS[[#This Row],[AVANCE ACUM. TRIM.]]-TABLA_AVANCE_METAS[[#This Row],[PROG. ACUM]]</f>
        <v>-423</v>
      </c>
      <c r="AK174" s="32">
        <f>IFERROR((TABLA_AVANCE_METAS[[#This Row],[DIFERENCIA ABSOLUTA SEMESTRAL]]/TABLA_AVANCE_METAS[[#This Row],[PROG. ACUM]])*100,"N/A")</f>
        <v>-17.26530612244898</v>
      </c>
      <c r="AL174" s="84">
        <f>TABLA_AVANCE_METAS[[#This Row],[AVANCE 1°. TRIM]]+TABLA_AVANCE_METAS[[#This Row],[AVANCE 2°. TRIM]]+TABLA_AVANCE_METAS[[#This Row],[AVANCE 3°. TRIM]]+TABLA_AVANCE_METAS[[#This Row],[AVANCE 4°. TRIM]]</f>
        <v>2027</v>
      </c>
      <c r="AM174" s="27">
        <f>IFERROR((TABLA_AVANCE_METAS[[#This Row],[AVANCE ACUM. ANUAL]]/TABLA_AVANCE_METAS[[#This Row],[PROGRAMADO ANUAL]])*100,"N/A")</f>
        <v>46.597701149425284</v>
      </c>
      <c r="AN174"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174" s="31">
        <f>TABLA_AVANCE_METAS[[#This Row],[AVANCE ACUM. ANUAL]]-TABLA_AVANCE_METAS[[#This Row],[PROGRAMADO ANUAL]]</f>
        <v>-2323</v>
      </c>
      <c r="AP174" s="33">
        <f>IFERROR((TABLA_AVANCE_METAS[[#This Row],[DIFERENCIA ABSOLUTA ANUAL]]/TABLA_AVANCE_METAS[[#This Row],[PROGRAMADO ANUAL]])*100,"N/A")</f>
        <v>-53.402298850574716</v>
      </c>
      <c r="AQ174" s="34" t="s">
        <v>554</v>
      </c>
      <c r="AR174" s="35"/>
      <c r="AS174" s="36"/>
      <c r="AT174" s="36"/>
      <c r="AU174" s="69" t="b">
        <f>TABLA_AVANCE_METAS[[#This Row],[PROGRAMADO ANUAL]]=SUM(TABLA_AVANCE_METAS[[#This Row],[PROGR. 1° TRIM]],TABLA_AVANCE_METAS[[#This Row],[PROGR. 2° TRIM]],TABLA_AVANCE_METAS[[#This Row],[PROGR. 3° TRIM]],TABLA_AVANCE_METAS[[#This Row],[PROGR. 4° TRIM]])</f>
        <v>1</v>
      </c>
      <c r="AV174" s="38"/>
    </row>
    <row r="175" spans="1:48" ht="75" hidden="1" customHeight="1" x14ac:dyDescent="0.35">
      <c r="A175" s="19" t="str">
        <f>CONCATENATE(TABLA_AVANCE_METAS[[#This Row],[ESTRUCTURA]],TABLA_AVANCE_METAS[[#This Row],['#]])</f>
        <v>C0022602020301071</v>
      </c>
      <c r="B175" s="20" t="s">
        <v>555</v>
      </c>
      <c r="C175" s="41" t="s">
        <v>444</v>
      </c>
      <c r="D175" s="40" t="s">
        <v>445</v>
      </c>
      <c r="E175" s="20" t="s">
        <v>556</v>
      </c>
      <c r="F175" s="40" t="s">
        <v>557</v>
      </c>
      <c r="G175" s="42" t="s">
        <v>558</v>
      </c>
      <c r="H175" s="40" t="s">
        <v>176</v>
      </c>
      <c r="I175" s="40" t="s">
        <v>177</v>
      </c>
      <c r="J175" s="40" t="s">
        <v>517</v>
      </c>
      <c r="K175" s="40" t="s">
        <v>518</v>
      </c>
      <c r="L175" s="41">
        <v>1</v>
      </c>
      <c r="M175" s="43" t="s">
        <v>559</v>
      </c>
      <c r="N175" s="42" t="s">
        <v>560</v>
      </c>
      <c r="O175" s="24">
        <v>1100</v>
      </c>
      <c r="P175" s="24">
        <v>273</v>
      </c>
      <c r="Q175" s="28">
        <v>293</v>
      </c>
      <c r="R175" s="25">
        <f>IFERROR((TABLA_AVANCE_METAS[[#This Row],[AVANCE 1°. TRIM]]/TABLA_AVANCE_METAS[[#This Row],[PROGR. 1° TRIM]])*100,"0")</f>
        <v>107.32600732600733</v>
      </c>
      <c r="S175"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75" s="24">
        <v>275</v>
      </c>
      <c r="U175" s="28">
        <v>305</v>
      </c>
      <c r="V175" s="27">
        <f t="shared" si="7"/>
        <v>110.90909090909091</v>
      </c>
      <c r="W175" s="26" t="str">
        <f t="shared" si="9"/>
        <v>ADECUADO</v>
      </c>
      <c r="X175" s="24">
        <v>276</v>
      </c>
      <c r="Y175" s="28">
        <v>0</v>
      </c>
      <c r="Z175" s="27">
        <v>0</v>
      </c>
      <c r="AA175" s="26" t="s">
        <v>62</v>
      </c>
      <c r="AB175" s="24">
        <v>276</v>
      </c>
      <c r="AC175" s="28">
        <v>0</v>
      </c>
      <c r="AD175" s="27">
        <f>IFERROR((TABLA_AVANCE_METAS[[#This Row],[AVANCE 4°. TRIM]]/TABLA_AVANCE_METAS[[#This Row],[PROGR. 4° TRIM]])*100,"0")</f>
        <v>0</v>
      </c>
      <c r="AE175"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75" s="30">
        <f t="array" ref="AF175">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548</v>
      </c>
      <c r="AG175" s="84">
        <f t="array" ref="AG175">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598</v>
      </c>
      <c r="AH175" s="27">
        <f>IFERROR((TABLA_AVANCE_METAS[[#This Row],[AVANCE ACUM. TRIM.]]/TABLA_AVANCE_METAS[[#This Row],[PROG. ACUM]])*100,"N/A")</f>
        <v>109.12408759124088</v>
      </c>
      <c r="AI175"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75" s="31">
        <f>TABLA_AVANCE_METAS[[#This Row],[AVANCE ACUM. TRIM.]]-TABLA_AVANCE_METAS[[#This Row],[PROG. ACUM]]</f>
        <v>50</v>
      </c>
      <c r="AK175" s="32">
        <f>IFERROR((TABLA_AVANCE_METAS[[#This Row],[DIFERENCIA ABSOLUTA SEMESTRAL]]/TABLA_AVANCE_METAS[[#This Row],[PROG. ACUM]])*100,"N/A")</f>
        <v>9.1240875912408761</v>
      </c>
      <c r="AL175" s="84">
        <f>TABLA_AVANCE_METAS[[#This Row],[AVANCE 1°. TRIM]]+TABLA_AVANCE_METAS[[#This Row],[AVANCE 2°. TRIM]]+TABLA_AVANCE_METAS[[#This Row],[AVANCE 3°. TRIM]]+TABLA_AVANCE_METAS[[#This Row],[AVANCE 4°. TRIM]]</f>
        <v>598</v>
      </c>
      <c r="AM175" s="27">
        <f>IFERROR((TABLA_AVANCE_METAS[[#This Row],[AVANCE ACUM. ANUAL]]/TABLA_AVANCE_METAS[[#This Row],[PROGRAMADO ANUAL]])*100,"N/A")</f>
        <v>54.36363636363636</v>
      </c>
      <c r="AN175"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75" s="31">
        <f>TABLA_AVANCE_METAS[[#This Row],[AVANCE ACUM. ANUAL]]-TABLA_AVANCE_METAS[[#This Row],[PROGRAMADO ANUAL]]</f>
        <v>-502</v>
      </c>
      <c r="AP175" s="33">
        <f>IFERROR((TABLA_AVANCE_METAS[[#This Row],[DIFERENCIA ABSOLUTA ANUAL]]/TABLA_AVANCE_METAS[[#This Row],[PROGRAMADO ANUAL]])*100,"N/A")</f>
        <v>-45.636363636363633</v>
      </c>
      <c r="AQ175" s="34"/>
      <c r="AR175" s="35"/>
      <c r="AS175" s="36"/>
      <c r="AT175" s="36"/>
      <c r="AU175" s="69" t="b">
        <f>TABLA_AVANCE_METAS[[#This Row],[PROGRAMADO ANUAL]]=SUM(TABLA_AVANCE_METAS[[#This Row],[PROGR. 1° TRIM]],TABLA_AVANCE_METAS[[#This Row],[PROGR. 2° TRIM]],TABLA_AVANCE_METAS[[#This Row],[PROGR. 3° TRIM]],TABLA_AVANCE_METAS[[#This Row],[PROGR. 4° TRIM]])</f>
        <v>1</v>
      </c>
      <c r="AV175" s="38"/>
    </row>
    <row r="176" spans="1:48" ht="75" hidden="1" customHeight="1" x14ac:dyDescent="0.35">
      <c r="A176" s="19" t="str">
        <f>CONCATENATE(TABLA_AVANCE_METAS[[#This Row],[ESTRUCTURA]],TABLA_AVANCE_METAS[[#This Row],['#]])</f>
        <v>C0022602020301072</v>
      </c>
      <c r="B176" s="20" t="s">
        <v>555</v>
      </c>
      <c r="C176" s="41" t="s">
        <v>444</v>
      </c>
      <c r="D176" s="40" t="s">
        <v>445</v>
      </c>
      <c r="E176" s="20" t="s">
        <v>556</v>
      </c>
      <c r="F176" s="40" t="s">
        <v>557</v>
      </c>
      <c r="G176" s="42" t="s">
        <v>558</v>
      </c>
      <c r="H176" s="40" t="s">
        <v>176</v>
      </c>
      <c r="I176" s="40" t="s">
        <v>177</v>
      </c>
      <c r="J176" s="40" t="s">
        <v>517</v>
      </c>
      <c r="K176" s="40" t="s">
        <v>518</v>
      </c>
      <c r="L176" s="41">
        <v>2</v>
      </c>
      <c r="M176" s="76" t="s">
        <v>561</v>
      </c>
      <c r="N176" s="42" t="s">
        <v>500</v>
      </c>
      <c r="O176" s="24">
        <v>20</v>
      </c>
      <c r="P176" s="24">
        <v>0</v>
      </c>
      <c r="Q176" s="28">
        <v>9</v>
      </c>
      <c r="R176" s="25" t="str">
        <f>IFERROR((TABLA_AVANCE_METAS[[#This Row],[AVANCE 1°. TRIM]]/TABLA_AVANCE_METAS[[#This Row],[PROGR. 1° TRIM]])*100,"0")</f>
        <v>0</v>
      </c>
      <c r="S176"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176" s="24">
        <v>0</v>
      </c>
      <c r="U176" s="28">
        <v>0</v>
      </c>
      <c r="V176" s="27" t="str">
        <f t="shared" si="7"/>
        <v>0</v>
      </c>
      <c r="W176" s="26" t="str">
        <f t="shared" si="9"/>
        <v>NO PROG.</v>
      </c>
      <c r="X176" s="24">
        <v>10</v>
      </c>
      <c r="Y176" s="28">
        <v>0</v>
      </c>
      <c r="Z176" s="27">
        <v>0</v>
      </c>
      <c r="AA176" s="26" t="s">
        <v>62</v>
      </c>
      <c r="AB176" s="24">
        <v>10</v>
      </c>
      <c r="AC176" s="28">
        <v>0</v>
      </c>
      <c r="AD176" s="27">
        <f>IFERROR((TABLA_AVANCE_METAS[[#This Row],[AVANCE 4°. TRIM]]/TABLA_AVANCE_METAS[[#This Row],[PROGR. 4° TRIM]])*100,"0")</f>
        <v>0</v>
      </c>
      <c r="AE176"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76" s="30">
        <f t="array" ref="AF176">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176" s="84">
        <f t="array" ref="AG176">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9</v>
      </c>
      <c r="AH176" s="27" t="str">
        <f>IFERROR((TABLA_AVANCE_METAS[[#This Row],[AVANCE ACUM. TRIM.]]/TABLA_AVANCE_METAS[[#This Row],[PROG. ACUM]])*100,"N/A")</f>
        <v>N/A</v>
      </c>
      <c r="AI176"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176" s="31">
        <f>TABLA_AVANCE_METAS[[#This Row],[AVANCE ACUM. TRIM.]]-TABLA_AVANCE_METAS[[#This Row],[PROG. ACUM]]</f>
        <v>9</v>
      </c>
      <c r="AK176" s="32" t="str">
        <f>IFERROR((TABLA_AVANCE_METAS[[#This Row],[DIFERENCIA ABSOLUTA SEMESTRAL]]/TABLA_AVANCE_METAS[[#This Row],[PROG. ACUM]])*100,"N/A")</f>
        <v>N/A</v>
      </c>
      <c r="AL176" s="84">
        <f>TABLA_AVANCE_METAS[[#This Row],[AVANCE 1°. TRIM]]+TABLA_AVANCE_METAS[[#This Row],[AVANCE 2°. TRIM]]+TABLA_AVANCE_METAS[[#This Row],[AVANCE 3°. TRIM]]+TABLA_AVANCE_METAS[[#This Row],[AVANCE 4°. TRIM]]</f>
        <v>9</v>
      </c>
      <c r="AM176" s="27">
        <f>IFERROR((TABLA_AVANCE_METAS[[#This Row],[AVANCE ACUM. ANUAL]]/TABLA_AVANCE_METAS[[#This Row],[PROGRAMADO ANUAL]])*100,"N/A")</f>
        <v>45</v>
      </c>
      <c r="AN176"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176" s="31">
        <f>TABLA_AVANCE_METAS[[#This Row],[AVANCE ACUM. ANUAL]]-TABLA_AVANCE_METAS[[#This Row],[PROGRAMADO ANUAL]]</f>
        <v>-11</v>
      </c>
      <c r="AP176" s="33">
        <f>IFERROR((TABLA_AVANCE_METAS[[#This Row],[DIFERENCIA ABSOLUTA ANUAL]]/TABLA_AVANCE_METAS[[#This Row],[PROGRAMADO ANUAL]])*100,"N/A")</f>
        <v>-55.000000000000007</v>
      </c>
      <c r="AQ176" s="34" t="s">
        <v>562</v>
      </c>
      <c r="AR176" s="35"/>
      <c r="AS176" s="36"/>
      <c r="AT176" s="36"/>
      <c r="AU176" s="69" t="b">
        <f>TABLA_AVANCE_METAS[[#This Row],[PROGRAMADO ANUAL]]=SUM(TABLA_AVANCE_METAS[[#This Row],[PROGR. 1° TRIM]],TABLA_AVANCE_METAS[[#This Row],[PROGR. 2° TRIM]],TABLA_AVANCE_METAS[[#This Row],[PROGR. 3° TRIM]],TABLA_AVANCE_METAS[[#This Row],[PROGR. 4° TRIM]])</f>
        <v>1</v>
      </c>
      <c r="AV176" s="38"/>
    </row>
    <row r="177" spans="1:48" ht="75" hidden="1" customHeight="1" x14ac:dyDescent="0.35">
      <c r="A177" s="19" t="str">
        <f>CONCATENATE(TABLA_AVANCE_METAS[[#This Row],[ESTRUCTURA]],TABLA_AVANCE_METAS[[#This Row],['#]])</f>
        <v>C0022602020301073</v>
      </c>
      <c r="B177" s="20" t="s">
        <v>555</v>
      </c>
      <c r="C177" s="41" t="s">
        <v>444</v>
      </c>
      <c r="D177" s="40" t="s">
        <v>445</v>
      </c>
      <c r="E177" s="20" t="s">
        <v>556</v>
      </c>
      <c r="F177" s="40" t="s">
        <v>557</v>
      </c>
      <c r="G177" s="42" t="s">
        <v>558</v>
      </c>
      <c r="H177" s="40" t="s">
        <v>176</v>
      </c>
      <c r="I177" s="40" t="s">
        <v>177</v>
      </c>
      <c r="J177" s="40" t="s">
        <v>517</v>
      </c>
      <c r="K177" s="40" t="s">
        <v>518</v>
      </c>
      <c r="L177" s="41">
        <v>3</v>
      </c>
      <c r="M177" s="43" t="s">
        <v>563</v>
      </c>
      <c r="N177" s="42" t="s">
        <v>510</v>
      </c>
      <c r="O177" s="24">
        <v>52912215.799999997</v>
      </c>
      <c r="P177" s="24">
        <v>12937327.49</v>
      </c>
      <c r="Q177" s="28">
        <v>11682016.84</v>
      </c>
      <c r="R177" s="25">
        <f>IFERROR((TABLA_AVANCE_METAS[[#This Row],[AVANCE 1°. TRIM]]/TABLA_AVANCE_METAS[[#This Row],[PROGR. 1° TRIM]])*100,"0")</f>
        <v>90.296986367777251</v>
      </c>
      <c r="S177"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77" s="24">
        <v>13228053.949999999</v>
      </c>
      <c r="U177" s="28">
        <v>12593069.039999999</v>
      </c>
      <c r="V177" s="27">
        <f t="shared" si="7"/>
        <v>95.199710309618141</v>
      </c>
      <c r="W177" s="26" t="str">
        <f t="shared" si="9"/>
        <v>ADECUADO</v>
      </c>
      <c r="X177" s="24">
        <v>13373417.18</v>
      </c>
      <c r="Y177" s="28">
        <v>0</v>
      </c>
      <c r="Z177" s="27">
        <v>0</v>
      </c>
      <c r="AA177" s="26" t="s">
        <v>62</v>
      </c>
      <c r="AB177" s="24">
        <v>13373417.18</v>
      </c>
      <c r="AC177" s="28">
        <v>0</v>
      </c>
      <c r="AD177" s="27">
        <f>IFERROR((TABLA_AVANCE_METAS[[#This Row],[AVANCE 4°. TRIM]]/TABLA_AVANCE_METAS[[#This Row],[PROGR. 4° TRIM]])*100,"0")</f>
        <v>0</v>
      </c>
      <c r="AE177"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77" s="30">
        <f t="array" ref="AF177">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26165381.439999998</v>
      </c>
      <c r="AG177" s="84">
        <f t="array" ref="AG177">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24275085.879999999</v>
      </c>
      <c r="AH177" s="27">
        <f>IFERROR((TABLA_AVANCE_METAS[[#This Row],[AVANCE ACUM. TRIM.]]/TABLA_AVANCE_METAS[[#This Row],[PROG. ACUM]])*100,"N/A")</f>
        <v>92.775585693888516</v>
      </c>
      <c r="AI177"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77" s="31">
        <f>TABLA_AVANCE_METAS[[#This Row],[AVANCE ACUM. TRIM.]]-TABLA_AVANCE_METAS[[#This Row],[PROG. ACUM]]</f>
        <v>-1890295.5599999987</v>
      </c>
      <c r="AK177" s="32">
        <f>IFERROR((TABLA_AVANCE_METAS[[#This Row],[DIFERENCIA ABSOLUTA SEMESTRAL]]/TABLA_AVANCE_METAS[[#This Row],[PROG. ACUM]])*100,"N/A")</f>
        <v>-7.2244143061114832</v>
      </c>
      <c r="AL177" s="84">
        <f>TABLA_AVANCE_METAS[[#This Row],[AVANCE 1°. TRIM]]+TABLA_AVANCE_METAS[[#This Row],[AVANCE 2°. TRIM]]+TABLA_AVANCE_METAS[[#This Row],[AVANCE 3°. TRIM]]+TABLA_AVANCE_METAS[[#This Row],[AVANCE 4°. TRIM]]</f>
        <v>24275085.879999999</v>
      </c>
      <c r="AM177" s="27">
        <f>IFERROR((TABLA_AVANCE_METAS[[#This Row],[AVANCE ACUM. ANUAL]]/TABLA_AVANCE_METAS[[#This Row],[PROGRAMADO ANUAL]])*100,"N/A")</f>
        <v>45.878036882363944</v>
      </c>
      <c r="AN177"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177" s="31">
        <f>TABLA_AVANCE_METAS[[#This Row],[AVANCE ACUM. ANUAL]]-TABLA_AVANCE_METAS[[#This Row],[PROGRAMADO ANUAL]]</f>
        <v>-28637129.919999998</v>
      </c>
      <c r="AP177" s="33">
        <f>IFERROR((TABLA_AVANCE_METAS[[#This Row],[DIFERENCIA ABSOLUTA ANUAL]]/TABLA_AVANCE_METAS[[#This Row],[PROGRAMADO ANUAL]])*100,"N/A")</f>
        <v>-54.121963117636064</v>
      </c>
      <c r="AQ177" s="34"/>
      <c r="AR177" s="35"/>
      <c r="AS177" s="36"/>
      <c r="AT177" s="36"/>
      <c r="AU177" s="37" t="b">
        <f>TABLA_AVANCE_METAS[[#This Row],[PROGRAMADO ANUAL]]=SUM(TABLA_AVANCE_METAS[[#This Row],[PROGR. 1° TRIM]],TABLA_AVANCE_METAS[[#This Row],[PROGR. 2° TRIM]],TABLA_AVANCE_METAS[[#This Row],[PROGR. 3° TRIM]],TABLA_AVANCE_METAS[[#This Row],[PROGR. 4° TRIM]])</f>
        <v>1</v>
      </c>
      <c r="AV177" s="38"/>
    </row>
    <row r="178" spans="1:48" ht="75" hidden="1" customHeight="1" x14ac:dyDescent="0.35">
      <c r="A178" s="19" t="str">
        <f>CONCATENATE(TABLA_AVANCE_METAS[[#This Row],[ESTRUCTURA]],TABLA_AVANCE_METAS[[#This Row],['#]])</f>
        <v>C0022602020301074</v>
      </c>
      <c r="B178" s="20" t="s">
        <v>555</v>
      </c>
      <c r="C178" s="41" t="s">
        <v>444</v>
      </c>
      <c r="D178" s="40" t="s">
        <v>445</v>
      </c>
      <c r="E178" s="20" t="s">
        <v>556</v>
      </c>
      <c r="F178" s="40" t="s">
        <v>557</v>
      </c>
      <c r="G178" s="42" t="s">
        <v>558</v>
      </c>
      <c r="H178" s="40" t="s">
        <v>176</v>
      </c>
      <c r="I178" s="40" t="s">
        <v>177</v>
      </c>
      <c r="J178" s="40" t="s">
        <v>517</v>
      </c>
      <c r="K178" s="40" t="s">
        <v>518</v>
      </c>
      <c r="L178" s="41">
        <v>4</v>
      </c>
      <c r="M178" s="43" t="s">
        <v>564</v>
      </c>
      <c r="N178" s="42" t="s">
        <v>505</v>
      </c>
      <c r="O178" s="24">
        <v>20</v>
      </c>
      <c r="P178" s="24">
        <v>5</v>
      </c>
      <c r="Q178" s="28">
        <v>5</v>
      </c>
      <c r="R178" s="25">
        <f>IFERROR((TABLA_AVANCE_METAS[[#This Row],[AVANCE 1°. TRIM]]/TABLA_AVANCE_METAS[[#This Row],[PROGR. 1° TRIM]])*100,"0")</f>
        <v>100</v>
      </c>
      <c r="S178"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78" s="24">
        <v>5</v>
      </c>
      <c r="U178" s="28">
        <v>5</v>
      </c>
      <c r="V178" s="27">
        <f t="shared" si="7"/>
        <v>100</v>
      </c>
      <c r="W178" s="26" t="str">
        <f t="shared" si="9"/>
        <v>ADECUADO</v>
      </c>
      <c r="X178" s="24">
        <v>5</v>
      </c>
      <c r="Y178" s="28">
        <v>0</v>
      </c>
      <c r="Z178" s="27">
        <v>0</v>
      </c>
      <c r="AA178" s="26" t="s">
        <v>62</v>
      </c>
      <c r="AB178" s="24">
        <v>5</v>
      </c>
      <c r="AC178" s="28">
        <v>0</v>
      </c>
      <c r="AD178" s="27">
        <f>IFERROR((TABLA_AVANCE_METAS[[#This Row],[AVANCE 4°. TRIM]]/TABLA_AVANCE_METAS[[#This Row],[PROGR. 4° TRIM]])*100,"0")</f>
        <v>0</v>
      </c>
      <c r="AE178"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78" s="30">
        <f t="array" ref="AF178">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10</v>
      </c>
      <c r="AG178" s="84">
        <f t="array" ref="AG178">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10</v>
      </c>
      <c r="AH178" s="27">
        <f>IFERROR((TABLA_AVANCE_METAS[[#This Row],[AVANCE ACUM. TRIM.]]/TABLA_AVANCE_METAS[[#This Row],[PROG. ACUM]])*100,"N/A")</f>
        <v>100</v>
      </c>
      <c r="AI178"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78" s="31">
        <f>TABLA_AVANCE_METAS[[#This Row],[AVANCE ACUM. TRIM.]]-TABLA_AVANCE_METAS[[#This Row],[PROG. ACUM]]</f>
        <v>0</v>
      </c>
      <c r="AK178" s="32">
        <f>IFERROR((TABLA_AVANCE_METAS[[#This Row],[DIFERENCIA ABSOLUTA SEMESTRAL]]/TABLA_AVANCE_METAS[[#This Row],[PROG. ACUM]])*100,"N/A")</f>
        <v>0</v>
      </c>
      <c r="AL178" s="84">
        <f>TABLA_AVANCE_METAS[[#This Row],[AVANCE 1°. TRIM]]+TABLA_AVANCE_METAS[[#This Row],[AVANCE 2°. TRIM]]+TABLA_AVANCE_METAS[[#This Row],[AVANCE 3°. TRIM]]+TABLA_AVANCE_METAS[[#This Row],[AVANCE 4°. TRIM]]</f>
        <v>10</v>
      </c>
      <c r="AM178" s="27">
        <f>IFERROR((TABLA_AVANCE_METAS[[#This Row],[AVANCE ACUM. ANUAL]]/TABLA_AVANCE_METAS[[#This Row],[PROGRAMADO ANUAL]])*100,"N/A")</f>
        <v>50</v>
      </c>
      <c r="AN178"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78" s="31">
        <f>TABLA_AVANCE_METAS[[#This Row],[AVANCE ACUM. ANUAL]]-TABLA_AVANCE_METAS[[#This Row],[PROGRAMADO ANUAL]]</f>
        <v>-10</v>
      </c>
      <c r="AP178" s="33">
        <f>IFERROR((TABLA_AVANCE_METAS[[#This Row],[DIFERENCIA ABSOLUTA ANUAL]]/TABLA_AVANCE_METAS[[#This Row],[PROGRAMADO ANUAL]])*100,"N/A")</f>
        <v>-50</v>
      </c>
      <c r="AQ178" s="34"/>
      <c r="AR178" s="35"/>
      <c r="AS178" s="36"/>
      <c r="AT178" s="36"/>
      <c r="AU178" s="37" t="b">
        <f>TABLA_AVANCE_METAS[[#This Row],[PROGRAMADO ANUAL]]=SUM(TABLA_AVANCE_METAS[[#This Row],[PROGR. 1° TRIM]],TABLA_AVANCE_METAS[[#This Row],[PROGR. 2° TRIM]],TABLA_AVANCE_METAS[[#This Row],[PROGR. 3° TRIM]],TABLA_AVANCE_METAS[[#This Row],[PROGR. 4° TRIM]])</f>
        <v>1</v>
      </c>
      <c r="AV178" s="38"/>
    </row>
    <row r="179" spans="1:48" ht="75" hidden="1" customHeight="1" x14ac:dyDescent="0.35">
      <c r="A179" s="19" t="str">
        <f>CONCATENATE(TABLA_AVANCE_METAS[[#This Row],[ESTRUCTURA]],TABLA_AVANCE_METAS[[#This Row],['#]])</f>
        <v>C0023302020301051</v>
      </c>
      <c r="B179" s="20" t="s">
        <v>565</v>
      </c>
      <c r="C179" s="41" t="s">
        <v>444</v>
      </c>
      <c r="D179" s="40" t="s">
        <v>445</v>
      </c>
      <c r="E179" s="20" t="s">
        <v>453</v>
      </c>
      <c r="F179" s="40" t="s">
        <v>454</v>
      </c>
      <c r="G179" s="42" t="s">
        <v>566</v>
      </c>
      <c r="H179" s="40" t="s">
        <v>176</v>
      </c>
      <c r="I179" s="40" t="s">
        <v>177</v>
      </c>
      <c r="J179" s="40" t="s">
        <v>567</v>
      </c>
      <c r="K179" s="40" t="s">
        <v>568</v>
      </c>
      <c r="L179" s="41">
        <v>1</v>
      </c>
      <c r="M179" s="43" t="s">
        <v>569</v>
      </c>
      <c r="N179" s="42" t="s">
        <v>246</v>
      </c>
      <c r="O179" s="24">
        <v>1</v>
      </c>
      <c r="P179" s="24">
        <v>0</v>
      </c>
      <c r="Q179" s="28">
        <v>0</v>
      </c>
      <c r="R179" s="25" t="str">
        <f>IFERROR((TABLA_AVANCE_METAS[[#This Row],[AVANCE 1°. TRIM]]/TABLA_AVANCE_METAS[[#This Row],[PROGR. 1° TRIM]])*100,"0")</f>
        <v>0</v>
      </c>
      <c r="S179"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179" s="24">
        <v>1</v>
      </c>
      <c r="U179" s="28">
        <v>1</v>
      </c>
      <c r="V179" s="27">
        <f t="shared" si="7"/>
        <v>100</v>
      </c>
      <c r="W179" s="26" t="str">
        <f t="shared" si="9"/>
        <v>ADECUADO</v>
      </c>
      <c r="X179" s="24">
        <v>0</v>
      </c>
      <c r="Y179" s="28">
        <v>0</v>
      </c>
      <c r="Z179" s="27" t="s">
        <v>71</v>
      </c>
      <c r="AA179" s="26" t="s">
        <v>72</v>
      </c>
      <c r="AB179" s="24">
        <v>0</v>
      </c>
      <c r="AC179" s="28">
        <v>0</v>
      </c>
      <c r="AD179" s="27" t="str">
        <f>IFERROR((TABLA_AVANCE_METAS[[#This Row],[AVANCE 4°. TRIM]]/TABLA_AVANCE_METAS[[#This Row],[PROGR. 4° TRIM]])*100,"0")</f>
        <v>0</v>
      </c>
      <c r="AE179"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79" s="30">
        <f t="array" ref="AF179">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179" s="84">
        <f t="array" ref="AG179">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179" s="27">
        <f>IFERROR((TABLA_AVANCE_METAS[[#This Row],[AVANCE ACUM. TRIM.]]/TABLA_AVANCE_METAS[[#This Row],[PROG. ACUM]])*100,"N/A")</f>
        <v>100</v>
      </c>
      <c r="AI179"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79" s="31">
        <f>TABLA_AVANCE_METAS[[#This Row],[AVANCE ACUM. TRIM.]]-TABLA_AVANCE_METAS[[#This Row],[PROG. ACUM]]</f>
        <v>0</v>
      </c>
      <c r="AK179" s="32">
        <f>IFERROR((TABLA_AVANCE_METAS[[#This Row],[DIFERENCIA ABSOLUTA SEMESTRAL]]/TABLA_AVANCE_METAS[[#This Row],[PROG. ACUM]])*100,"N/A")</f>
        <v>0</v>
      </c>
      <c r="AL179" s="84">
        <f>TABLA_AVANCE_METAS[[#This Row],[AVANCE 1°. TRIM]]+TABLA_AVANCE_METAS[[#This Row],[AVANCE 2°. TRIM]]+TABLA_AVANCE_METAS[[#This Row],[AVANCE 3°. TRIM]]+TABLA_AVANCE_METAS[[#This Row],[AVANCE 4°. TRIM]]</f>
        <v>1</v>
      </c>
      <c r="AM179" s="27">
        <f>IFERROR((TABLA_AVANCE_METAS[[#This Row],[AVANCE ACUM. ANUAL]]/TABLA_AVANCE_METAS[[#This Row],[PROGRAMADO ANUAL]])*100,"N/A")</f>
        <v>100</v>
      </c>
      <c r="AN179"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179" s="31">
        <f>TABLA_AVANCE_METAS[[#This Row],[AVANCE ACUM. ANUAL]]-TABLA_AVANCE_METAS[[#This Row],[PROGRAMADO ANUAL]]</f>
        <v>0</v>
      </c>
      <c r="AP179" s="33">
        <f>IFERROR((TABLA_AVANCE_METAS[[#This Row],[DIFERENCIA ABSOLUTA ANUAL]]/TABLA_AVANCE_METAS[[#This Row],[PROGRAMADO ANUAL]])*100,"N/A")</f>
        <v>0</v>
      </c>
      <c r="AQ179" s="34"/>
      <c r="AR179" s="35"/>
      <c r="AS179" s="36"/>
      <c r="AT179" s="36"/>
      <c r="AU179" s="37" t="b">
        <f>TABLA_AVANCE_METAS[[#This Row],[PROGRAMADO ANUAL]]=SUM(TABLA_AVANCE_METAS[[#This Row],[PROGR. 1° TRIM]],TABLA_AVANCE_METAS[[#This Row],[PROGR. 2° TRIM]],TABLA_AVANCE_METAS[[#This Row],[PROGR. 3° TRIM]],TABLA_AVANCE_METAS[[#This Row],[PROGR. 4° TRIM]])</f>
        <v>1</v>
      </c>
      <c r="AV179" s="38"/>
    </row>
    <row r="180" spans="1:48" ht="75" hidden="1" customHeight="1" x14ac:dyDescent="0.35">
      <c r="A180" s="19" t="str">
        <f>CONCATENATE(TABLA_AVANCE_METAS[[#This Row],[ESTRUCTURA]],TABLA_AVANCE_METAS[[#This Row],['#]])</f>
        <v>C0023302020301052</v>
      </c>
      <c r="B180" s="20" t="s">
        <v>565</v>
      </c>
      <c r="C180" s="41" t="s">
        <v>444</v>
      </c>
      <c r="D180" s="40" t="s">
        <v>445</v>
      </c>
      <c r="E180" s="20" t="s">
        <v>453</v>
      </c>
      <c r="F180" s="40" t="s">
        <v>454</v>
      </c>
      <c r="G180" s="42" t="s">
        <v>566</v>
      </c>
      <c r="H180" s="40" t="s">
        <v>176</v>
      </c>
      <c r="I180" s="40" t="s">
        <v>177</v>
      </c>
      <c r="J180" s="40" t="s">
        <v>567</v>
      </c>
      <c r="K180" s="40" t="s">
        <v>568</v>
      </c>
      <c r="L180" s="41">
        <v>2</v>
      </c>
      <c r="M180" s="77" t="s">
        <v>570</v>
      </c>
      <c r="N180" s="42" t="s">
        <v>301</v>
      </c>
      <c r="O180" s="24">
        <v>45</v>
      </c>
      <c r="P180" s="24">
        <v>6</v>
      </c>
      <c r="Q180" s="28">
        <v>13</v>
      </c>
      <c r="R180" s="25">
        <f>IFERROR((TABLA_AVANCE_METAS[[#This Row],[AVANCE 1°. TRIM]]/TABLA_AVANCE_METAS[[#This Row],[PROGR. 1° TRIM]])*100,"0")</f>
        <v>216.66666666666666</v>
      </c>
      <c r="S180"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SOBREPASADO</v>
      </c>
      <c r="T180" s="24">
        <v>13</v>
      </c>
      <c r="U180" s="28">
        <v>11</v>
      </c>
      <c r="V180" s="27">
        <f t="shared" si="7"/>
        <v>84.615384615384613</v>
      </c>
      <c r="W180" s="26" t="str">
        <f t="shared" si="9"/>
        <v>REGULAR</v>
      </c>
      <c r="X180" s="24">
        <v>13</v>
      </c>
      <c r="Y180" s="28">
        <v>0</v>
      </c>
      <c r="Z180" s="27">
        <v>0</v>
      </c>
      <c r="AA180" s="26" t="s">
        <v>62</v>
      </c>
      <c r="AB180" s="24">
        <v>13</v>
      </c>
      <c r="AC180" s="28">
        <v>0</v>
      </c>
      <c r="AD180" s="27">
        <f>IFERROR((TABLA_AVANCE_METAS[[#This Row],[AVANCE 4°. TRIM]]/TABLA_AVANCE_METAS[[#This Row],[PROGR. 4° TRIM]])*100,"0")</f>
        <v>0</v>
      </c>
      <c r="AE180"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80" s="30">
        <f t="array" ref="AF180">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19</v>
      </c>
      <c r="AG180" s="84">
        <f t="array" ref="AG180">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24</v>
      </c>
      <c r="AH180" s="27">
        <f>IFERROR((TABLA_AVANCE_METAS[[#This Row],[AVANCE ACUM. TRIM.]]/TABLA_AVANCE_METAS[[#This Row],[PROG. ACUM]])*100,"N/A")</f>
        <v>126.31578947368421</v>
      </c>
      <c r="AI180"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SOBREPASADO</v>
      </c>
      <c r="AJ180" s="31">
        <f>TABLA_AVANCE_METAS[[#This Row],[AVANCE ACUM. TRIM.]]-TABLA_AVANCE_METAS[[#This Row],[PROG. ACUM]]</f>
        <v>5</v>
      </c>
      <c r="AK180" s="32">
        <f>IFERROR((TABLA_AVANCE_METAS[[#This Row],[DIFERENCIA ABSOLUTA SEMESTRAL]]/TABLA_AVANCE_METAS[[#This Row],[PROG. ACUM]])*100,"N/A")</f>
        <v>26.315789473684209</v>
      </c>
      <c r="AL180" s="84">
        <f>TABLA_AVANCE_METAS[[#This Row],[AVANCE 1°. TRIM]]+TABLA_AVANCE_METAS[[#This Row],[AVANCE 2°. TRIM]]+TABLA_AVANCE_METAS[[#This Row],[AVANCE 3°. TRIM]]+TABLA_AVANCE_METAS[[#This Row],[AVANCE 4°. TRIM]]</f>
        <v>24</v>
      </c>
      <c r="AM180" s="27">
        <f>IFERROR((TABLA_AVANCE_METAS[[#This Row],[AVANCE ACUM. ANUAL]]/TABLA_AVANCE_METAS[[#This Row],[PROGRAMADO ANUAL]])*100,"N/A")</f>
        <v>53.333333333333336</v>
      </c>
      <c r="AN180"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80" s="31">
        <f>TABLA_AVANCE_METAS[[#This Row],[AVANCE ACUM. ANUAL]]-TABLA_AVANCE_METAS[[#This Row],[PROGRAMADO ANUAL]]</f>
        <v>-21</v>
      </c>
      <c r="AP180" s="33">
        <f>IFERROR((TABLA_AVANCE_METAS[[#This Row],[DIFERENCIA ABSOLUTA ANUAL]]/TABLA_AVANCE_METAS[[#This Row],[PROGRAMADO ANUAL]])*100,"N/A")</f>
        <v>-46.666666666666664</v>
      </c>
      <c r="AQ180" s="34" t="s">
        <v>571</v>
      </c>
      <c r="AR180" s="35"/>
      <c r="AS180" s="36"/>
      <c r="AT180" s="36"/>
      <c r="AU180" s="69" t="b">
        <f>TABLA_AVANCE_METAS[[#This Row],[PROGRAMADO ANUAL]]=SUM(TABLA_AVANCE_METAS[[#This Row],[PROGR. 1° TRIM]],TABLA_AVANCE_METAS[[#This Row],[PROGR. 2° TRIM]],TABLA_AVANCE_METAS[[#This Row],[PROGR. 3° TRIM]],TABLA_AVANCE_METAS[[#This Row],[PROGR. 4° TRIM]])</f>
        <v>1</v>
      </c>
      <c r="AV180" s="38"/>
    </row>
    <row r="181" spans="1:48" ht="75" hidden="1" customHeight="1" x14ac:dyDescent="0.35">
      <c r="A181" s="19" t="str">
        <f>CONCATENATE(TABLA_AVANCE_METAS[[#This Row],[ESTRUCTURA]],TABLA_AVANCE_METAS[[#This Row],['#]])</f>
        <v>C0023302020301053</v>
      </c>
      <c r="B181" s="20" t="s">
        <v>565</v>
      </c>
      <c r="C181" s="41" t="s">
        <v>444</v>
      </c>
      <c r="D181" s="40" t="s">
        <v>445</v>
      </c>
      <c r="E181" s="20" t="s">
        <v>453</v>
      </c>
      <c r="F181" s="40" t="s">
        <v>454</v>
      </c>
      <c r="G181" s="42" t="s">
        <v>566</v>
      </c>
      <c r="H181" s="40" t="s">
        <v>176</v>
      </c>
      <c r="I181" s="40" t="s">
        <v>177</v>
      </c>
      <c r="J181" s="40" t="s">
        <v>567</v>
      </c>
      <c r="K181" s="40" t="s">
        <v>568</v>
      </c>
      <c r="L181" s="41">
        <v>3</v>
      </c>
      <c r="M181" s="77" t="s">
        <v>572</v>
      </c>
      <c r="N181" s="42" t="s">
        <v>573</v>
      </c>
      <c r="O181" s="24">
        <v>3</v>
      </c>
      <c r="P181" s="24">
        <v>0</v>
      </c>
      <c r="Q181" s="28">
        <v>0</v>
      </c>
      <c r="R181" s="25" t="str">
        <f>IFERROR((TABLA_AVANCE_METAS[[#This Row],[AVANCE 1°. TRIM]]/TABLA_AVANCE_METAS[[#This Row],[PROGR. 1° TRIM]])*100,"0")</f>
        <v>0</v>
      </c>
      <c r="S181"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181" s="24">
        <v>3</v>
      </c>
      <c r="U181" s="28">
        <v>3</v>
      </c>
      <c r="V181" s="27">
        <f t="shared" si="7"/>
        <v>100</v>
      </c>
      <c r="W181" s="26" t="str">
        <f t="shared" si="9"/>
        <v>ADECUADO</v>
      </c>
      <c r="X181" s="24">
        <v>0</v>
      </c>
      <c r="Y181" s="28">
        <v>0</v>
      </c>
      <c r="Z181" s="27" t="s">
        <v>71</v>
      </c>
      <c r="AA181" s="26" t="s">
        <v>72</v>
      </c>
      <c r="AB181" s="24">
        <v>0</v>
      </c>
      <c r="AC181" s="28">
        <v>0</v>
      </c>
      <c r="AD181" s="27" t="str">
        <f>IFERROR((TABLA_AVANCE_METAS[[#This Row],[AVANCE 4°. TRIM]]/TABLA_AVANCE_METAS[[#This Row],[PROGR. 4° TRIM]])*100,"0")</f>
        <v>0</v>
      </c>
      <c r="AE181"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81" s="30">
        <f t="array" ref="AF181">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3</v>
      </c>
      <c r="AG181" s="84">
        <f t="array" ref="AG181">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3</v>
      </c>
      <c r="AH181" s="27">
        <f>IFERROR((TABLA_AVANCE_METAS[[#This Row],[AVANCE ACUM. TRIM.]]/TABLA_AVANCE_METAS[[#This Row],[PROG. ACUM]])*100,"N/A")</f>
        <v>100</v>
      </c>
      <c r="AI181"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81" s="31">
        <f>TABLA_AVANCE_METAS[[#This Row],[AVANCE ACUM. TRIM.]]-TABLA_AVANCE_METAS[[#This Row],[PROG. ACUM]]</f>
        <v>0</v>
      </c>
      <c r="AK181" s="32">
        <f>IFERROR((TABLA_AVANCE_METAS[[#This Row],[DIFERENCIA ABSOLUTA SEMESTRAL]]/TABLA_AVANCE_METAS[[#This Row],[PROG. ACUM]])*100,"N/A")</f>
        <v>0</v>
      </c>
      <c r="AL181" s="84">
        <f>TABLA_AVANCE_METAS[[#This Row],[AVANCE 1°. TRIM]]+TABLA_AVANCE_METAS[[#This Row],[AVANCE 2°. TRIM]]+TABLA_AVANCE_METAS[[#This Row],[AVANCE 3°. TRIM]]+TABLA_AVANCE_METAS[[#This Row],[AVANCE 4°. TRIM]]</f>
        <v>3</v>
      </c>
      <c r="AM181" s="27">
        <f>IFERROR((TABLA_AVANCE_METAS[[#This Row],[AVANCE ACUM. ANUAL]]/TABLA_AVANCE_METAS[[#This Row],[PROGRAMADO ANUAL]])*100,"N/A")</f>
        <v>100</v>
      </c>
      <c r="AN181"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181" s="31">
        <f>TABLA_AVANCE_METAS[[#This Row],[AVANCE ACUM. ANUAL]]-TABLA_AVANCE_METAS[[#This Row],[PROGRAMADO ANUAL]]</f>
        <v>0</v>
      </c>
      <c r="AP181" s="33">
        <f>IFERROR((TABLA_AVANCE_METAS[[#This Row],[DIFERENCIA ABSOLUTA ANUAL]]/TABLA_AVANCE_METAS[[#This Row],[PROGRAMADO ANUAL]])*100,"N/A")</f>
        <v>0</v>
      </c>
      <c r="AQ181" s="34"/>
      <c r="AR181" s="35"/>
      <c r="AS181" s="36"/>
      <c r="AT181" s="36"/>
      <c r="AU181" s="69" t="b">
        <f>TABLA_AVANCE_METAS[[#This Row],[PROGRAMADO ANUAL]]=SUM(TABLA_AVANCE_METAS[[#This Row],[PROGR. 1° TRIM]],TABLA_AVANCE_METAS[[#This Row],[PROGR. 2° TRIM]],TABLA_AVANCE_METAS[[#This Row],[PROGR. 3° TRIM]],TABLA_AVANCE_METAS[[#This Row],[PROGR. 4° TRIM]])</f>
        <v>1</v>
      </c>
      <c r="AV181" s="38"/>
    </row>
    <row r="182" spans="1:48" ht="75" hidden="1" customHeight="1" x14ac:dyDescent="0.35">
      <c r="A182" s="19" t="str">
        <f>CONCATENATE(TABLA_AVANCE_METAS[[#This Row],[ESTRUCTURA]],TABLA_AVANCE_METAS[[#This Row],['#]])</f>
        <v>C0021802020301051</v>
      </c>
      <c r="B182" s="20" t="s">
        <v>574</v>
      </c>
      <c r="C182" s="41" t="s">
        <v>444</v>
      </c>
      <c r="D182" s="40" t="s">
        <v>445</v>
      </c>
      <c r="E182" s="20" t="s">
        <v>575</v>
      </c>
      <c r="F182" s="40" t="s">
        <v>576</v>
      </c>
      <c r="G182" s="42" t="s">
        <v>577</v>
      </c>
      <c r="H182" s="40" t="s">
        <v>176</v>
      </c>
      <c r="I182" s="40" t="s">
        <v>177</v>
      </c>
      <c r="J182" s="40" t="s">
        <v>567</v>
      </c>
      <c r="K182" s="40" t="s">
        <v>568</v>
      </c>
      <c r="L182" s="41">
        <v>1</v>
      </c>
      <c r="M182" s="43" t="s">
        <v>578</v>
      </c>
      <c r="N182" s="42" t="s">
        <v>84</v>
      </c>
      <c r="O182" s="24">
        <v>4</v>
      </c>
      <c r="P182" s="24">
        <v>1</v>
      </c>
      <c r="Q182" s="28">
        <v>1</v>
      </c>
      <c r="R182" s="25">
        <f>IFERROR((TABLA_AVANCE_METAS[[#This Row],[AVANCE 1°. TRIM]]/TABLA_AVANCE_METAS[[#This Row],[PROGR. 1° TRIM]])*100,"0")</f>
        <v>100</v>
      </c>
      <c r="S182"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82" s="24">
        <v>1</v>
      </c>
      <c r="U182" s="28">
        <v>1</v>
      </c>
      <c r="V182" s="27">
        <f t="shared" si="7"/>
        <v>100</v>
      </c>
      <c r="W182" s="26" t="str">
        <f t="shared" si="9"/>
        <v>ADECUADO</v>
      </c>
      <c r="X182" s="24">
        <v>1</v>
      </c>
      <c r="Y182" s="28">
        <v>0</v>
      </c>
      <c r="Z182" s="27">
        <v>0</v>
      </c>
      <c r="AA182" s="26" t="s">
        <v>62</v>
      </c>
      <c r="AB182" s="24">
        <v>1</v>
      </c>
      <c r="AC182" s="28">
        <v>0</v>
      </c>
      <c r="AD182" s="27">
        <f>IFERROR((TABLA_AVANCE_METAS[[#This Row],[AVANCE 4°. TRIM]]/TABLA_AVANCE_METAS[[#This Row],[PROGR. 4° TRIM]])*100,"0")</f>
        <v>0</v>
      </c>
      <c r="AE182"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82" s="30">
        <f t="array" ref="AF182">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182" s="84">
        <f t="array" ref="AG182">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182" s="27">
        <f>IFERROR((TABLA_AVANCE_METAS[[#This Row],[AVANCE ACUM. TRIM.]]/TABLA_AVANCE_METAS[[#This Row],[PROG. ACUM]])*100,"N/A")</f>
        <v>100</v>
      </c>
      <c r="AI182"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82" s="31">
        <f>TABLA_AVANCE_METAS[[#This Row],[AVANCE ACUM. TRIM.]]-TABLA_AVANCE_METAS[[#This Row],[PROG. ACUM]]</f>
        <v>0</v>
      </c>
      <c r="AK182" s="32">
        <f>IFERROR((TABLA_AVANCE_METAS[[#This Row],[DIFERENCIA ABSOLUTA SEMESTRAL]]/TABLA_AVANCE_METAS[[#This Row],[PROG. ACUM]])*100,"N/A")</f>
        <v>0</v>
      </c>
      <c r="AL182" s="84">
        <f>TABLA_AVANCE_METAS[[#This Row],[AVANCE 1°. TRIM]]+TABLA_AVANCE_METAS[[#This Row],[AVANCE 2°. TRIM]]+TABLA_AVANCE_METAS[[#This Row],[AVANCE 3°. TRIM]]+TABLA_AVANCE_METAS[[#This Row],[AVANCE 4°. TRIM]]</f>
        <v>2</v>
      </c>
      <c r="AM182" s="27">
        <f>IFERROR((TABLA_AVANCE_METAS[[#This Row],[AVANCE ACUM. ANUAL]]/TABLA_AVANCE_METAS[[#This Row],[PROGRAMADO ANUAL]])*100,"N/A")</f>
        <v>50</v>
      </c>
      <c r="AN182"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82" s="31">
        <f>TABLA_AVANCE_METAS[[#This Row],[AVANCE ACUM. ANUAL]]-TABLA_AVANCE_METAS[[#This Row],[PROGRAMADO ANUAL]]</f>
        <v>-2</v>
      </c>
      <c r="AP182" s="33">
        <f>IFERROR((TABLA_AVANCE_METAS[[#This Row],[DIFERENCIA ABSOLUTA ANUAL]]/TABLA_AVANCE_METAS[[#This Row],[PROGRAMADO ANUAL]])*100,"N/A")</f>
        <v>-50</v>
      </c>
      <c r="AQ182" s="34"/>
      <c r="AR182" s="35"/>
      <c r="AS182" s="36"/>
      <c r="AT182" s="36"/>
      <c r="AU182" s="37" t="b">
        <f>TABLA_AVANCE_METAS[[#This Row],[PROGRAMADO ANUAL]]=SUM(TABLA_AVANCE_METAS[[#This Row],[PROGR. 1° TRIM]],TABLA_AVANCE_METAS[[#This Row],[PROGR. 2° TRIM]],TABLA_AVANCE_METAS[[#This Row],[PROGR. 3° TRIM]],TABLA_AVANCE_METAS[[#This Row],[PROGR. 4° TRIM]])</f>
        <v>1</v>
      </c>
      <c r="AV182" s="38"/>
    </row>
    <row r="183" spans="1:48" ht="75" hidden="1" customHeight="1" x14ac:dyDescent="0.35">
      <c r="A183" s="19" t="str">
        <f>CONCATENATE(TABLA_AVANCE_METAS[[#This Row],[ESTRUCTURA]],TABLA_AVANCE_METAS[[#This Row],['#]])</f>
        <v>C0021802020301052</v>
      </c>
      <c r="B183" s="20" t="s">
        <v>574</v>
      </c>
      <c r="C183" s="41" t="s">
        <v>444</v>
      </c>
      <c r="D183" s="40" t="s">
        <v>445</v>
      </c>
      <c r="E183" s="20" t="s">
        <v>575</v>
      </c>
      <c r="F183" s="40" t="s">
        <v>576</v>
      </c>
      <c r="G183" s="42" t="s">
        <v>577</v>
      </c>
      <c r="H183" s="40" t="s">
        <v>176</v>
      </c>
      <c r="I183" s="40" t="s">
        <v>177</v>
      </c>
      <c r="J183" s="40" t="s">
        <v>567</v>
      </c>
      <c r="K183" s="40" t="s">
        <v>568</v>
      </c>
      <c r="L183" s="41">
        <v>2</v>
      </c>
      <c r="M183" s="43" t="s">
        <v>579</v>
      </c>
      <c r="N183" s="42" t="s">
        <v>84</v>
      </c>
      <c r="O183" s="24">
        <v>4</v>
      </c>
      <c r="P183" s="24">
        <v>1</v>
      </c>
      <c r="Q183" s="28">
        <v>1</v>
      </c>
      <c r="R183" s="25">
        <f>IFERROR((TABLA_AVANCE_METAS[[#This Row],[AVANCE 1°. TRIM]]/TABLA_AVANCE_METAS[[#This Row],[PROGR. 1° TRIM]])*100,"0")</f>
        <v>100</v>
      </c>
      <c r="S183"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83" s="24">
        <v>1</v>
      </c>
      <c r="U183" s="28">
        <v>1</v>
      </c>
      <c r="V183" s="27">
        <f t="shared" si="7"/>
        <v>100</v>
      </c>
      <c r="W183" s="26" t="str">
        <f t="shared" si="9"/>
        <v>ADECUADO</v>
      </c>
      <c r="X183" s="24">
        <v>1</v>
      </c>
      <c r="Y183" s="28">
        <v>0</v>
      </c>
      <c r="Z183" s="27">
        <v>0</v>
      </c>
      <c r="AA183" s="26" t="s">
        <v>62</v>
      </c>
      <c r="AB183" s="24">
        <v>1</v>
      </c>
      <c r="AC183" s="28">
        <v>0</v>
      </c>
      <c r="AD183" s="27">
        <f>IFERROR((TABLA_AVANCE_METAS[[#This Row],[AVANCE 4°. TRIM]]/TABLA_AVANCE_METAS[[#This Row],[PROGR. 4° TRIM]])*100,"0")</f>
        <v>0</v>
      </c>
      <c r="AE183"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83" s="30">
        <f t="array" ref="AF183">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183" s="84">
        <f t="array" ref="AG183">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183" s="27">
        <f>IFERROR((TABLA_AVANCE_METAS[[#This Row],[AVANCE ACUM. TRIM.]]/TABLA_AVANCE_METAS[[#This Row],[PROG. ACUM]])*100,"N/A")</f>
        <v>100</v>
      </c>
      <c r="AI183"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83" s="31">
        <f>TABLA_AVANCE_METAS[[#This Row],[AVANCE ACUM. TRIM.]]-TABLA_AVANCE_METAS[[#This Row],[PROG. ACUM]]</f>
        <v>0</v>
      </c>
      <c r="AK183" s="32">
        <f>IFERROR((TABLA_AVANCE_METAS[[#This Row],[DIFERENCIA ABSOLUTA SEMESTRAL]]/TABLA_AVANCE_METAS[[#This Row],[PROG. ACUM]])*100,"N/A")</f>
        <v>0</v>
      </c>
      <c r="AL183" s="84">
        <f>TABLA_AVANCE_METAS[[#This Row],[AVANCE 1°. TRIM]]+TABLA_AVANCE_METAS[[#This Row],[AVANCE 2°. TRIM]]+TABLA_AVANCE_METAS[[#This Row],[AVANCE 3°. TRIM]]+TABLA_AVANCE_METAS[[#This Row],[AVANCE 4°. TRIM]]</f>
        <v>2</v>
      </c>
      <c r="AM183" s="27">
        <f>IFERROR((TABLA_AVANCE_METAS[[#This Row],[AVANCE ACUM. ANUAL]]/TABLA_AVANCE_METAS[[#This Row],[PROGRAMADO ANUAL]])*100,"N/A")</f>
        <v>50</v>
      </c>
      <c r="AN183"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83" s="31">
        <f>TABLA_AVANCE_METAS[[#This Row],[AVANCE ACUM. ANUAL]]-TABLA_AVANCE_METAS[[#This Row],[PROGRAMADO ANUAL]]</f>
        <v>-2</v>
      </c>
      <c r="AP183" s="33">
        <f>IFERROR((TABLA_AVANCE_METAS[[#This Row],[DIFERENCIA ABSOLUTA ANUAL]]/TABLA_AVANCE_METAS[[#This Row],[PROGRAMADO ANUAL]])*100,"N/A")</f>
        <v>-50</v>
      </c>
      <c r="AQ183" s="34"/>
      <c r="AR183" s="35"/>
      <c r="AS183" s="36"/>
      <c r="AT183" s="36"/>
      <c r="AU183" s="37" t="b">
        <f>TABLA_AVANCE_METAS[[#This Row],[PROGRAMADO ANUAL]]=SUM(TABLA_AVANCE_METAS[[#This Row],[PROGR. 1° TRIM]],TABLA_AVANCE_METAS[[#This Row],[PROGR. 2° TRIM]],TABLA_AVANCE_METAS[[#This Row],[PROGR. 3° TRIM]],TABLA_AVANCE_METAS[[#This Row],[PROGR. 4° TRIM]])</f>
        <v>1</v>
      </c>
      <c r="AV183" s="38"/>
    </row>
    <row r="184" spans="1:48" ht="75" hidden="1" customHeight="1" x14ac:dyDescent="0.35">
      <c r="A184" s="19" t="str">
        <f>CONCATENATE(TABLA_AVANCE_METAS[[#This Row],[ESTRUCTURA]],TABLA_AVANCE_METAS[[#This Row],['#]])</f>
        <v>C0021802020301053</v>
      </c>
      <c r="B184" s="20" t="s">
        <v>574</v>
      </c>
      <c r="C184" s="41" t="s">
        <v>444</v>
      </c>
      <c r="D184" s="40" t="s">
        <v>445</v>
      </c>
      <c r="E184" s="20" t="s">
        <v>575</v>
      </c>
      <c r="F184" s="40" t="s">
        <v>576</v>
      </c>
      <c r="G184" s="42" t="s">
        <v>577</v>
      </c>
      <c r="H184" s="40" t="s">
        <v>176</v>
      </c>
      <c r="I184" s="40" t="s">
        <v>177</v>
      </c>
      <c r="J184" s="40" t="s">
        <v>567</v>
      </c>
      <c r="K184" s="40" t="s">
        <v>568</v>
      </c>
      <c r="L184" s="41">
        <v>3</v>
      </c>
      <c r="M184" s="43" t="s">
        <v>580</v>
      </c>
      <c r="N184" s="42" t="s">
        <v>84</v>
      </c>
      <c r="O184" s="24">
        <v>12</v>
      </c>
      <c r="P184" s="24">
        <v>3</v>
      </c>
      <c r="Q184" s="28">
        <v>1</v>
      </c>
      <c r="R184" s="25">
        <f>IFERROR((TABLA_AVANCE_METAS[[#This Row],[AVANCE 1°. TRIM]]/TABLA_AVANCE_METAS[[#This Row],[PROGR. 1° TRIM]])*100,"0")</f>
        <v>33.333333333333329</v>
      </c>
      <c r="S184"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CRÍTICO</v>
      </c>
      <c r="T184" s="24">
        <v>3</v>
      </c>
      <c r="U184" s="28">
        <v>5</v>
      </c>
      <c r="V184" s="27">
        <f t="shared" si="7"/>
        <v>166.66666666666669</v>
      </c>
      <c r="W184" s="26" t="str">
        <f t="shared" si="9"/>
        <v>SOBREPASADO</v>
      </c>
      <c r="X184" s="24">
        <v>3</v>
      </c>
      <c r="Y184" s="28">
        <v>0</v>
      </c>
      <c r="Z184" s="27">
        <v>0</v>
      </c>
      <c r="AA184" s="26" t="s">
        <v>62</v>
      </c>
      <c r="AB184" s="24">
        <v>3</v>
      </c>
      <c r="AC184" s="28">
        <v>0</v>
      </c>
      <c r="AD184" s="27">
        <f>IFERROR((TABLA_AVANCE_METAS[[#This Row],[AVANCE 4°. TRIM]]/TABLA_AVANCE_METAS[[#This Row],[PROGR. 4° TRIM]])*100,"0")</f>
        <v>0</v>
      </c>
      <c r="AE184"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84" s="30">
        <f t="array" ref="AF184">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6</v>
      </c>
      <c r="AG184" s="84">
        <f t="array" ref="AG184">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6</v>
      </c>
      <c r="AH184" s="27">
        <f>IFERROR((TABLA_AVANCE_METAS[[#This Row],[AVANCE ACUM. TRIM.]]/TABLA_AVANCE_METAS[[#This Row],[PROG. ACUM]])*100,"N/A")</f>
        <v>100</v>
      </c>
      <c r="AI184"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84" s="31">
        <f>TABLA_AVANCE_METAS[[#This Row],[AVANCE ACUM. TRIM.]]-TABLA_AVANCE_METAS[[#This Row],[PROG. ACUM]]</f>
        <v>0</v>
      </c>
      <c r="AK184" s="32">
        <f>IFERROR((TABLA_AVANCE_METAS[[#This Row],[DIFERENCIA ABSOLUTA SEMESTRAL]]/TABLA_AVANCE_METAS[[#This Row],[PROG. ACUM]])*100,"N/A")</f>
        <v>0</v>
      </c>
      <c r="AL184" s="84">
        <f>TABLA_AVANCE_METAS[[#This Row],[AVANCE 1°. TRIM]]+TABLA_AVANCE_METAS[[#This Row],[AVANCE 2°. TRIM]]+TABLA_AVANCE_METAS[[#This Row],[AVANCE 3°. TRIM]]+TABLA_AVANCE_METAS[[#This Row],[AVANCE 4°. TRIM]]</f>
        <v>6</v>
      </c>
      <c r="AM184" s="27">
        <f>IFERROR((TABLA_AVANCE_METAS[[#This Row],[AVANCE ACUM. ANUAL]]/TABLA_AVANCE_METAS[[#This Row],[PROGRAMADO ANUAL]])*100,"N/A")</f>
        <v>50</v>
      </c>
      <c r="AN184"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84" s="31">
        <f>TABLA_AVANCE_METAS[[#This Row],[AVANCE ACUM. ANUAL]]-TABLA_AVANCE_METAS[[#This Row],[PROGRAMADO ANUAL]]</f>
        <v>-6</v>
      </c>
      <c r="AP184" s="33">
        <f>IFERROR((TABLA_AVANCE_METAS[[#This Row],[DIFERENCIA ABSOLUTA ANUAL]]/TABLA_AVANCE_METAS[[#This Row],[PROGRAMADO ANUAL]])*100,"N/A")</f>
        <v>-50</v>
      </c>
      <c r="AQ184" s="34" t="s">
        <v>581</v>
      </c>
      <c r="AR184" s="35"/>
      <c r="AS184" s="36"/>
      <c r="AT184" s="36"/>
      <c r="AU184" s="69" t="b">
        <f>TABLA_AVANCE_METAS[[#This Row],[PROGRAMADO ANUAL]]=SUM(TABLA_AVANCE_METAS[[#This Row],[PROGR. 1° TRIM]],TABLA_AVANCE_METAS[[#This Row],[PROGR. 2° TRIM]],TABLA_AVANCE_METAS[[#This Row],[PROGR. 3° TRIM]],TABLA_AVANCE_METAS[[#This Row],[PROGR. 4° TRIM]])</f>
        <v>1</v>
      </c>
      <c r="AV184" s="38"/>
    </row>
    <row r="185" spans="1:48" ht="75" hidden="1" customHeight="1" x14ac:dyDescent="0.35">
      <c r="A185" s="19" t="str">
        <f>CONCATENATE(TABLA_AVANCE_METAS[[#This Row],[ESTRUCTURA]],TABLA_AVANCE_METAS[[#This Row],['#]])</f>
        <v>C0021802020301054</v>
      </c>
      <c r="B185" s="20" t="s">
        <v>574</v>
      </c>
      <c r="C185" s="41" t="s">
        <v>444</v>
      </c>
      <c r="D185" s="40" t="s">
        <v>445</v>
      </c>
      <c r="E185" s="20" t="s">
        <v>575</v>
      </c>
      <c r="F185" s="40" t="s">
        <v>576</v>
      </c>
      <c r="G185" s="42" t="s">
        <v>577</v>
      </c>
      <c r="H185" s="40" t="s">
        <v>176</v>
      </c>
      <c r="I185" s="40" t="s">
        <v>177</v>
      </c>
      <c r="J185" s="40" t="s">
        <v>567</v>
      </c>
      <c r="K185" s="40" t="s">
        <v>568</v>
      </c>
      <c r="L185" s="41">
        <v>4</v>
      </c>
      <c r="M185" s="43" t="s">
        <v>582</v>
      </c>
      <c r="N185" s="42" t="s">
        <v>84</v>
      </c>
      <c r="O185" s="24">
        <v>12</v>
      </c>
      <c r="P185" s="24">
        <v>3</v>
      </c>
      <c r="Q185" s="28">
        <v>1</v>
      </c>
      <c r="R185" s="25">
        <f>IFERROR((TABLA_AVANCE_METAS[[#This Row],[AVANCE 1°. TRIM]]/TABLA_AVANCE_METAS[[#This Row],[PROGR. 1° TRIM]])*100,"0")</f>
        <v>33.333333333333329</v>
      </c>
      <c r="S185"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CRÍTICO</v>
      </c>
      <c r="T185" s="24">
        <v>3</v>
      </c>
      <c r="U185" s="28">
        <v>5</v>
      </c>
      <c r="V185" s="27">
        <f t="shared" si="7"/>
        <v>166.66666666666669</v>
      </c>
      <c r="W185" s="26" t="str">
        <f t="shared" si="9"/>
        <v>SOBREPASADO</v>
      </c>
      <c r="X185" s="24">
        <v>3</v>
      </c>
      <c r="Y185" s="28">
        <v>0</v>
      </c>
      <c r="Z185" s="27">
        <v>0</v>
      </c>
      <c r="AA185" s="26" t="s">
        <v>62</v>
      </c>
      <c r="AB185" s="24">
        <v>3</v>
      </c>
      <c r="AC185" s="28">
        <v>0</v>
      </c>
      <c r="AD185" s="27">
        <f>IFERROR((TABLA_AVANCE_METAS[[#This Row],[AVANCE 4°. TRIM]]/TABLA_AVANCE_METAS[[#This Row],[PROGR. 4° TRIM]])*100,"0")</f>
        <v>0</v>
      </c>
      <c r="AE185"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85" s="30">
        <f t="array" ref="AF185">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6</v>
      </c>
      <c r="AG185" s="84">
        <f t="array" ref="AG185">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6</v>
      </c>
      <c r="AH185" s="27">
        <f>IFERROR((TABLA_AVANCE_METAS[[#This Row],[AVANCE ACUM. TRIM.]]/TABLA_AVANCE_METAS[[#This Row],[PROG. ACUM]])*100,"N/A")</f>
        <v>100</v>
      </c>
      <c r="AI185"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85" s="31">
        <f>TABLA_AVANCE_METAS[[#This Row],[AVANCE ACUM. TRIM.]]-TABLA_AVANCE_METAS[[#This Row],[PROG. ACUM]]</f>
        <v>0</v>
      </c>
      <c r="AK185" s="32">
        <f>IFERROR((TABLA_AVANCE_METAS[[#This Row],[DIFERENCIA ABSOLUTA SEMESTRAL]]/TABLA_AVANCE_METAS[[#This Row],[PROG. ACUM]])*100,"N/A")</f>
        <v>0</v>
      </c>
      <c r="AL185" s="84">
        <f>TABLA_AVANCE_METAS[[#This Row],[AVANCE 1°. TRIM]]+TABLA_AVANCE_METAS[[#This Row],[AVANCE 2°. TRIM]]+TABLA_AVANCE_METAS[[#This Row],[AVANCE 3°. TRIM]]+TABLA_AVANCE_METAS[[#This Row],[AVANCE 4°. TRIM]]</f>
        <v>6</v>
      </c>
      <c r="AM185" s="27">
        <f>IFERROR((TABLA_AVANCE_METAS[[#This Row],[AVANCE ACUM. ANUAL]]/TABLA_AVANCE_METAS[[#This Row],[PROGRAMADO ANUAL]])*100,"N/A")</f>
        <v>50</v>
      </c>
      <c r="AN185"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85" s="31">
        <f>TABLA_AVANCE_METAS[[#This Row],[AVANCE ACUM. ANUAL]]-TABLA_AVANCE_METAS[[#This Row],[PROGRAMADO ANUAL]]</f>
        <v>-6</v>
      </c>
      <c r="AP185" s="33">
        <f>IFERROR((TABLA_AVANCE_METAS[[#This Row],[DIFERENCIA ABSOLUTA ANUAL]]/TABLA_AVANCE_METAS[[#This Row],[PROGRAMADO ANUAL]])*100,"N/A")</f>
        <v>-50</v>
      </c>
      <c r="AQ185" s="34" t="s">
        <v>581</v>
      </c>
      <c r="AR185" s="35"/>
      <c r="AS185" s="36"/>
      <c r="AT185" s="36"/>
      <c r="AU185" s="69" t="b">
        <f>TABLA_AVANCE_METAS[[#This Row],[PROGRAMADO ANUAL]]=SUM(TABLA_AVANCE_METAS[[#This Row],[PROGR. 1° TRIM]],TABLA_AVANCE_METAS[[#This Row],[PROGR. 2° TRIM]],TABLA_AVANCE_METAS[[#This Row],[PROGR. 3° TRIM]],TABLA_AVANCE_METAS[[#This Row],[PROGR. 4° TRIM]])</f>
        <v>1</v>
      </c>
      <c r="AV185" s="38"/>
    </row>
    <row r="186" spans="1:48" ht="75" hidden="1" customHeight="1" x14ac:dyDescent="0.35">
      <c r="A186" s="19" t="str">
        <f>CONCATENATE(TABLA_AVANCE_METAS[[#This Row],[ESTRUCTURA]],TABLA_AVANCE_METAS[[#This Row],['#]])</f>
        <v>C0021802020301055</v>
      </c>
      <c r="B186" s="20" t="s">
        <v>574</v>
      </c>
      <c r="C186" s="41" t="s">
        <v>444</v>
      </c>
      <c r="D186" s="40" t="s">
        <v>445</v>
      </c>
      <c r="E186" s="20" t="s">
        <v>575</v>
      </c>
      <c r="F186" s="40" t="s">
        <v>576</v>
      </c>
      <c r="G186" s="42" t="s">
        <v>577</v>
      </c>
      <c r="H186" s="40" t="s">
        <v>176</v>
      </c>
      <c r="I186" s="40" t="s">
        <v>177</v>
      </c>
      <c r="J186" s="40" t="s">
        <v>567</v>
      </c>
      <c r="K186" s="40" t="s">
        <v>568</v>
      </c>
      <c r="L186" s="41">
        <v>5</v>
      </c>
      <c r="M186" s="43" t="s">
        <v>583</v>
      </c>
      <c r="N186" s="42" t="s">
        <v>305</v>
      </c>
      <c r="O186" s="24">
        <v>4</v>
      </c>
      <c r="P186" s="24">
        <v>1</v>
      </c>
      <c r="Q186" s="28">
        <v>1</v>
      </c>
      <c r="R186" s="25">
        <f>IFERROR((TABLA_AVANCE_METAS[[#This Row],[AVANCE 1°. TRIM]]/TABLA_AVANCE_METAS[[#This Row],[PROGR. 1° TRIM]])*100,"0")</f>
        <v>100</v>
      </c>
      <c r="S186"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86" s="24">
        <v>1</v>
      </c>
      <c r="U186" s="28">
        <v>1</v>
      </c>
      <c r="V186" s="27">
        <f t="shared" si="7"/>
        <v>100</v>
      </c>
      <c r="W186" s="26" t="str">
        <f t="shared" si="9"/>
        <v>ADECUADO</v>
      </c>
      <c r="X186" s="24">
        <v>1</v>
      </c>
      <c r="Y186" s="28">
        <v>0</v>
      </c>
      <c r="Z186" s="27">
        <v>0</v>
      </c>
      <c r="AA186" s="26" t="s">
        <v>62</v>
      </c>
      <c r="AB186" s="24">
        <v>1</v>
      </c>
      <c r="AC186" s="28">
        <v>0</v>
      </c>
      <c r="AD186" s="27">
        <f>IFERROR((TABLA_AVANCE_METAS[[#This Row],[AVANCE 4°. TRIM]]/TABLA_AVANCE_METAS[[#This Row],[PROGR. 4° TRIM]])*100,"0")</f>
        <v>0</v>
      </c>
      <c r="AE186"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86" s="30">
        <f t="array" ref="AF186">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186" s="84">
        <f t="array" ref="AG186">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186" s="27">
        <f>IFERROR((TABLA_AVANCE_METAS[[#This Row],[AVANCE ACUM. TRIM.]]/TABLA_AVANCE_METAS[[#This Row],[PROG. ACUM]])*100,"N/A")</f>
        <v>100</v>
      </c>
      <c r="AI186"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86" s="31">
        <f>TABLA_AVANCE_METAS[[#This Row],[AVANCE ACUM. TRIM.]]-TABLA_AVANCE_METAS[[#This Row],[PROG. ACUM]]</f>
        <v>0</v>
      </c>
      <c r="AK186" s="32">
        <f>IFERROR((TABLA_AVANCE_METAS[[#This Row],[DIFERENCIA ABSOLUTA SEMESTRAL]]/TABLA_AVANCE_METAS[[#This Row],[PROG. ACUM]])*100,"N/A")</f>
        <v>0</v>
      </c>
      <c r="AL186" s="84">
        <f>TABLA_AVANCE_METAS[[#This Row],[AVANCE 1°. TRIM]]+TABLA_AVANCE_METAS[[#This Row],[AVANCE 2°. TRIM]]+TABLA_AVANCE_METAS[[#This Row],[AVANCE 3°. TRIM]]+TABLA_AVANCE_METAS[[#This Row],[AVANCE 4°. TRIM]]</f>
        <v>2</v>
      </c>
      <c r="AM186" s="27">
        <f>IFERROR((TABLA_AVANCE_METAS[[#This Row],[AVANCE ACUM. ANUAL]]/TABLA_AVANCE_METAS[[#This Row],[PROGRAMADO ANUAL]])*100,"N/A")</f>
        <v>50</v>
      </c>
      <c r="AN186"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86" s="31">
        <f>TABLA_AVANCE_METAS[[#This Row],[AVANCE ACUM. ANUAL]]-TABLA_AVANCE_METAS[[#This Row],[PROGRAMADO ANUAL]]</f>
        <v>-2</v>
      </c>
      <c r="AP186" s="33">
        <f>IFERROR((TABLA_AVANCE_METAS[[#This Row],[DIFERENCIA ABSOLUTA ANUAL]]/TABLA_AVANCE_METAS[[#This Row],[PROGRAMADO ANUAL]])*100,"N/A")</f>
        <v>-50</v>
      </c>
      <c r="AQ186" s="34"/>
      <c r="AR186" s="35"/>
      <c r="AS186" s="36"/>
      <c r="AT186" s="36"/>
      <c r="AU186" s="37" t="b">
        <f>TABLA_AVANCE_METAS[[#This Row],[PROGRAMADO ANUAL]]=SUM(TABLA_AVANCE_METAS[[#This Row],[PROGR. 1° TRIM]],TABLA_AVANCE_METAS[[#This Row],[PROGR. 2° TRIM]],TABLA_AVANCE_METAS[[#This Row],[PROGR. 3° TRIM]],TABLA_AVANCE_METAS[[#This Row],[PROGR. 4° TRIM]])</f>
        <v>1</v>
      </c>
      <c r="AV186" s="38"/>
    </row>
    <row r="187" spans="1:48" ht="75" hidden="1" customHeight="1" x14ac:dyDescent="0.35">
      <c r="A187" s="19" t="str">
        <f>CONCATENATE(TABLA_AVANCE_METAS[[#This Row],[ESTRUCTURA]],TABLA_AVANCE_METAS[[#This Row],['#]])</f>
        <v>C0021802020301056</v>
      </c>
      <c r="B187" s="20" t="s">
        <v>574</v>
      </c>
      <c r="C187" s="41" t="s">
        <v>444</v>
      </c>
      <c r="D187" s="40" t="s">
        <v>445</v>
      </c>
      <c r="E187" s="20" t="s">
        <v>575</v>
      </c>
      <c r="F187" s="40" t="s">
        <v>576</v>
      </c>
      <c r="G187" s="42" t="s">
        <v>577</v>
      </c>
      <c r="H187" s="40" t="s">
        <v>176</v>
      </c>
      <c r="I187" s="40" t="s">
        <v>177</v>
      </c>
      <c r="J187" s="40" t="s">
        <v>567</v>
      </c>
      <c r="K187" s="40" t="s">
        <v>568</v>
      </c>
      <c r="L187" s="41">
        <v>6</v>
      </c>
      <c r="M187" s="43" t="s">
        <v>584</v>
      </c>
      <c r="N187" s="42" t="s">
        <v>585</v>
      </c>
      <c r="O187" s="24">
        <v>4</v>
      </c>
      <c r="P187" s="24">
        <v>1</v>
      </c>
      <c r="Q187" s="28">
        <v>1</v>
      </c>
      <c r="R187" s="25">
        <f>IFERROR((TABLA_AVANCE_METAS[[#This Row],[AVANCE 1°. TRIM]]/TABLA_AVANCE_METAS[[#This Row],[PROGR. 1° TRIM]])*100,"0")</f>
        <v>100</v>
      </c>
      <c r="S187"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87" s="24">
        <v>1</v>
      </c>
      <c r="U187" s="28">
        <v>1</v>
      </c>
      <c r="V187" s="27">
        <f t="shared" si="7"/>
        <v>100</v>
      </c>
      <c r="W187" s="26" t="str">
        <f t="shared" si="9"/>
        <v>ADECUADO</v>
      </c>
      <c r="X187" s="24">
        <v>1</v>
      </c>
      <c r="Y187" s="28">
        <v>0</v>
      </c>
      <c r="Z187" s="27">
        <v>0</v>
      </c>
      <c r="AA187" s="26" t="s">
        <v>62</v>
      </c>
      <c r="AB187" s="24">
        <v>1</v>
      </c>
      <c r="AC187" s="28">
        <v>0</v>
      </c>
      <c r="AD187" s="27">
        <f>IFERROR((TABLA_AVANCE_METAS[[#This Row],[AVANCE 4°. TRIM]]/TABLA_AVANCE_METAS[[#This Row],[PROGR. 4° TRIM]])*100,"0")</f>
        <v>0</v>
      </c>
      <c r="AE187"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87" s="30">
        <f t="array" ref="AF187">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187" s="84">
        <f t="array" ref="AG187">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187" s="27">
        <f>IFERROR((TABLA_AVANCE_METAS[[#This Row],[AVANCE ACUM. TRIM.]]/TABLA_AVANCE_METAS[[#This Row],[PROG. ACUM]])*100,"N/A")</f>
        <v>100</v>
      </c>
      <c r="AI187"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87" s="31">
        <f>TABLA_AVANCE_METAS[[#This Row],[AVANCE ACUM. TRIM.]]-TABLA_AVANCE_METAS[[#This Row],[PROG. ACUM]]</f>
        <v>0</v>
      </c>
      <c r="AK187" s="32">
        <f>IFERROR((TABLA_AVANCE_METAS[[#This Row],[DIFERENCIA ABSOLUTA SEMESTRAL]]/TABLA_AVANCE_METAS[[#This Row],[PROG. ACUM]])*100,"N/A")</f>
        <v>0</v>
      </c>
      <c r="AL187" s="84">
        <f>TABLA_AVANCE_METAS[[#This Row],[AVANCE 1°. TRIM]]+TABLA_AVANCE_METAS[[#This Row],[AVANCE 2°. TRIM]]+TABLA_AVANCE_METAS[[#This Row],[AVANCE 3°. TRIM]]+TABLA_AVANCE_METAS[[#This Row],[AVANCE 4°. TRIM]]</f>
        <v>2</v>
      </c>
      <c r="AM187" s="27">
        <f>IFERROR((TABLA_AVANCE_METAS[[#This Row],[AVANCE ACUM. ANUAL]]/TABLA_AVANCE_METAS[[#This Row],[PROGRAMADO ANUAL]])*100,"N/A")</f>
        <v>50</v>
      </c>
      <c r="AN187"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87" s="31">
        <f>TABLA_AVANCE_METAS[[#This Row],[AVANCE ACUM. ANUAL]]-TABLA_AVANCE_METAS[[#This Row],[PROGRAMADO ANUAL]]</f>
        <v>-2</v>
      </c>
      <c r="AP187" s="33">
        <f>IFERROR((TABLA_AVANCE_METAS[[#This Row],[DIFERENCIA ABSOLUTA ANUAL]]/TABLA_AVANCE_METAS[[#This Row],[PROGRAMADO ANUAL]])*100,"N/A")</f>
        <v>-50</v>
      </c>
      <c r="AQ187" s="34"/>
      <c r="AR187" s="35"/>
      <c r="AS187" s="36"/>
      <c r="AT187" s="36"/>
      <c r="AU187" s="37" t="b">
        <f>TABLA_AVANCE_METAS[[#This Row],[PROGRAMADO ANUAL]]=SUM(TABLA_AVANCE_METAS[[#This Row],[PROGR. 1° TRIM]],TABLA_AVANCE_METAS[[#This Row],[PROGR. 2° TRIM]],TABLA_AVANCE_METAS[[#This Row],[PROGR. 3° TRIM]],TABLA_AVANCE_METAS[[#This Row],[PROGR. 4° TRIM]])</f>
        <v>1</v>
      </c>
      <c r="AV187" s="38"/>
    </row>
    <row r="188" spans="1:48" ht="75" hidden="1" customHeight="1" x14ac:dyDescent="0.35">
      <c r="A188" s="19" t="str">
        <f>CONCATENATE(TABLA_AVANCE_METAS[[#This Row],[ESTRUCTURA]],TABLA_AVANCE_METAS[[#This Row],['#]])</f>
        <v>C0021802020301057</v>
      </c>
      <c r="B188" s="20" t="s">
        <v>574</v>
      </c>
      <c r="C188" s="48" t="s">
        <v>444</v>
      </c>
      <c r="D188" s="47" t="s">
        <v>445</v>
      </c>
      <c r="E188" s="20" t="s">
        <v>575</v>
      </c>
      <c r="F188" s="47" t="s">
        <v>576</v>
      </c>
      <c r="G188" s="22" t="s">
        <v>577</v>
      </c>
      <c r="H188" s="47" t="s">
        <v>176</v>
      </c>
      <c r="I188" s="78" t="s">
        <v>177</v>
      </c>
      <c r="J188" s="47" t="s">
        <v>567</v>
      </c>
      <c r="K188" s="47" t="s">
        <v>568</v>
      </c>
      <c r="L188" s="21">
        <v>7</v>
      </c>
      <c r="M188" s="43" t="s">
        <v>586</v>
      </c>
      <c r="N188" s="22" t="s">
        <v>205</v>
      </c>
      <c r="O188" s="24">
        <v>12</v>
      </c>
      <c r="P188" s="24">
        <v>3</v>
      </c>
      <c r="Q188" s="28">
        <v>1</v>
      </c>
      <c r="R188" s="25">
        <f>IFERROR((TABLA_AVANCE_METAS[[#This Row],[AVANCE 1°. TRIM]]/TABLA_AVANCE_METAS[[#This Row],[PROGR. 1° TRIM]])*100,"0")</f>
        <v>33.333333333333329</v>
      </c>
      <c r="S188"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CRÍTICO</v>
      </c>
      <c r="T188" s="24">
        <v>3</v>
      </c>
      <c r="U188" s="28">
        <v>3</v>
      </c>
      <c r="V188" s="27">
        <f t="shared" si="7"/>
        <v>100</v>
      </c>
      <c r="W188" s="26" t="str">
        <f t="shared" si="9"/>
        <v>ADECUADO</v>
      </c>
      <c r="X188" s="24">
        <v>3</v>
      </c>
      <c r="Y188" s="28">
        <v>0</v>
      </c>
      <c r="Z188" s="27">
        <v>0</v>
      </c>
      <c r="AA188" s="26" t="s">
        <v>62</v>
      </c>
      <c r="AB188" s="24">
        <v>3</v>
      </c>
      <c r="AC188" s="28">
        <v>0</v>
      </c>
      <c r="AD188" s="27">
        <f>IFERROR((TABLA_AVANCE_METAS[[#This Row],[AVANCE 4°. TRIM]]/TABLA_AVANCE_METAS[[#This Row],[PROGR. 4° TRIM]])*100,"0")</f>
        <v>0</v>
      </c>
      <c r="AE188"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88" s="30">
        <f t="array" ref="AF188">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6</v>
      </c>
      <c r="AG188" s="84">
        <f t="array" ref="AG188">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4</v>
      </c>
      <c r="AH188" s="27">
        <f>IFERROR((TABLA_AVANCE_METAS[[#This Row],[AVANCE ACUM. TRIM.]]/TABLA_AVANCE_METAS[[#This Row],[PROG. ACUM]])*100,"N/A")</f>
        <v>66.666666666666657</v>
      </c>
      <c r="AI188"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DEFICIENTE</v>
      </c>
      <c r="AJ188" s="31">
        <f>TABLA_AVANCE_METAS[[#This Row],[AVANCE ACUM. TRIM.]]-TABLA_AVANCE_METAS[[#This Row],[PROG. ACUM]]</f>
        <v>-2</v>
      </c>
      <c r="AK188" s="32">
        <f>IFERROR((TABLA_AVANCE_METAS[[#This Row],[DIFERENCIA ABSOLUTA SEMESTRAL]]/TABLA_AVANCE_METAS[[#This Row],[PROG. ACUM]])*100,"N/A")</f>
        <v>-33.333333333333329</v>
      </c>
      <c r="AL188" s="84">
        <f>TABLA_AVANCE_METAS[[#This Row],[AVANCE 1°. TRIM]]+TABLA_AVANCE_METAS[[#This Row],[AVANCE 2°. TRIM]]+TABLA_AVANCE_METAS[[#This Row],[AVANCE 3°. TRIM]]+TABLA_AVANCE_METAS[[#This Row],[AVANCE 4°. TRIM]]</f>
        <v>4</v>
      </c>
      <c r="AM188" s="27">
        <f>IFERROR((TABLA_AVANCE_METAS[[#This Row],[AVANCE ACUM. ANUAL]]/TABLA_AVANCE_METAS[[#This Row],[PROGRAMADO ANUAL]])*100,"N/A")</f>
        <v>33.333333333333329</v>
      </c>
      <c r="AN188"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188" s="31">
        <f>TABLA_AVANCE_METAS[[#This Row],[AVANCE ACUM. ANUAL]]-TABLA_AVANCE_METAS[[#This Row],[PROGRAMADO ANUAL]]</f>
        <v>-8</v>
      </c>
      <c r="AP188" s="33">
        <f>IFERROR((TABLA_AVANCE_METAS[[#This Row],[DIFERENCIA ABSOLUTA ANUAL]]/TABLA_AVANCE_METAS[[#This Row],[PROGRAMADO ANUAL]])*100,"N/A")</f>
        <v>-66.666666666666657</v>
      </c>
      <c r="AQ188" s="34" t="s">
        <v>587</v>
      </c>
      <c r="AR188" s="35"/>
      <c r="AS188" s="36"/>
      <c r="AT188" s="36"/>
      <c r="AU188" s="69" t="b">
        <f>TABLA_AVANCE_METAS[[#This Row],[PROGRAMADO ANUAL]]=SUM(TABLA_AVANCE_METAS[[#This Row],[PROGR. 1° TRIM]],TABLA_AVANCE_METAS[[#This Row],[PROGR. 2° TRIM]],TABLA_AVANCE_METAS[[#This Row],[PROGR. 3° TRIM]],TABLA_AVANCE_METAS[[#This Row],[PROGR. 4° TRIM]])</f>
        <v>1</v>
      </c>
      <c r="AV188" s="38"/>
    </row>
    <row r="189" spans="1:48" ht="75" hidden="1" customHeight="1" x14ac:dyDescent="0.35">
      <c r="A189" s="19" t="str">
        <f>CONCATENATE(TABLA_AVANCE_METAS[[#This Row],[ESTRUCTURA]],TABLA_AVANCE_METAS[[#This Row],['#]])</f>
        <v>C0021802020301058</v>
      </c>
      <c r="B189" s="20" t="s">
        <v>574</v>
      </c>
      <c r="C189" s="41" t="s">
        <v>444</v>
      </c>
      <c r="D189" s="40" t="s">
        <v>445</v>
      </c>
      <c r="E189" s="20" t="s">
        <v>575</v>
      </c>
      <c r="F189" s="40" t="s">
        <v>576</v>
      </c>
      <c r="G189" s="42" t="s">
        <v>577</v>
      </c>
      <c r="H189" s="40" t="s">
        <v>176</v>
      </c>
      <c r="I189" s="40" t="s">
        <v>177</v>
      </c>
      <c r="J189" s="40" t="s">
        <v>567</v>
      </c>
      <c r="K189" s="40" t="s">
        <v>568</v>
      </c>
      <c r="L189" s="41">
        <v>8</v>
      </c>
      <c r="M189" s="76" t="s">
        <v>588</v>
      </c>
      <c r="N189" s="42" t="s">
        <v>239</v>
      </c>
      <c r="O189" s="24">
        <v>2</v>
      </c>
      <c r="P189" s="24">
        <v>0</v>
      </c>
      <c r="Q189" s="28">
        <v>0</v>
      </c>
      <c r="R189" s="25" t="str">
        <f>IFERROR((TABLA_AVANCE_METAS[[#This Row],[AVANCE 1°. TRIM]]/TABLA_AVANCE_METAS[[#This Row],[PROGR. 1° TRIM]])*100,"0")</f>
        <v>0</v>
      </c>
      <c r="S189"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189" s="24">
        <v>0</v>
      </c>
      <c r="U189" s="28">
        <v>0</v>
      </c>
      <c r="V189" s="27" t="str">
        <f t="shared" si="7"/>
        <v>0</v>
      </c>
      <c r="W189" s="26" t="str">
        <f t="shared" si="9"/>
        <v>NO PROG.</v>
      </c>
      <c r="X189" s="24">
        <v>1</v>
      </c>
      <c r="Y189" s="28">
        <v>0</v>
      </c>
      <c r="Z189" s="27">
        <v>0</v>
      </c>
      <c r="AA189" s="26" t="s">
        <v>62</v>
      </c>
      <c r="AB189" s="24">
        <v>1</v>
      </c>
      <c r="AC189" s="28">
        <v>0</v>
      </c>
      <c r="AD189" s="27">
        <f>IFERROR((TABLA_AVANCE_METAS[[#This Row],[AVANCE 4°. TRIM]]/TABLA_AVANCE_METAS[[#This Row],[PROGR. 4° TRIM]])*100,"0")</f>
        <v>0</v>
      </c>
      <c r="AE189"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89" s="30">
        <f t="array" ref="AF189">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189" s="84">
        <f t="array" ref="AG189">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189" s="27" t="str">
        <f>IFERROR((TABLA_AVANCE_METAS[[#This Row],[AVANCE ACUM. TRIM.]]/TABLA_AVANCE_METAS[[#This Row],[PROG. ACUM]])*100,"N/A")</f>
        <v>N/A</v>
      </c>
      <c r="AI189"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189" s="31">
        <f>TABLA_AVANCE_METAS[[#This Row],[AVANCE ACUM. TRIM.]]-TABLA_AVANCE_METAS[[#This Row],[PROG. ACUM]]</f>
        <v>0</v>
      </c>
      <c r="AK189" s="32" t="str">
        <f>IFERROR((TABLA_AVANCE_METAS[[#This Row],[DIFERENCIA ABSOLUTA SEMESTRAL]]/TABLA_AVANCE_METAS[[#This Row],[PROG. ACUM]])*100,"N/A")</f>
        <v>N/A</v>
      </c>
      <c r="AL189" s="84">
        <f>TABLA_AVANCE_METAS[[#This Row],[AVANCE 1°. TRIM]]+TABLA_AVANCE_METAS[[#This Row],[AVANCE 2°. TRIM]]+TABLA_AVANCE_METAS[[#This Row],[AVANCE 3°. TRIM]]+TABLA_AVANCE_METAS[[#This Row],[AVANCE 4°. TRIM]]</f>
        <v>0</v>
      </c>
      <c r="AM189" s="27">
        <f>IFERROR((TABLA_AVANCE_METAS[[#This Row],[AVANCE ACUM. ANUAL]]/TABLA_AVANCE_METAS[[#This Row],[PROGRAMADO ANUAL]])*100,"N/A")</f>
        <v>0</v>
      </c>
      <c r="AN189"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189" s="31">
        <f>TABLA_AVANCE_METAS[[#This Row],[AVANCE ACUM. ANUAL]]-TABLA_AVANCE_METAS[[#This Row],[PROGRAMADO ANUAL]]</f>
        <v>-2</v>
      </c>
      <c r="AP189" s="33">
        <f>IFERROR((TABLA_AVANCE_METAS[[#This Row],[DIFERENCIA ABSOLUTA ANUAL]]/TABLA_AVANCE_METAS[[#This Row],[PROGRAMADO ANUAL]])*100,"N/A")</f>
        <v>-100</v>
      </c>
      <c r="AQ189" s="34"/>
      <c r="AR189" s="35"/>
      <c r="AS189" s="36"/>
      <c r="AT189" s="36"/>
      <c r="AU189" s="37" t="b">
        <f>TABLA_AVANCE_METAS[[#This Row],[PROGRAMADO ANUAL]]=SUM(TABLA_AVANCE_METAS[[#This Row],[PROGR. 1° TRIM]],TABLA_AVANCE_METAS[[#This Row],[PROGR. 2° TRIM]],TABLA_AVANCE_METAS[[#This Row],[PROGR. 3° TRIM]],TABLA_AVANCE_METAS[[#This Row],[PROGR. 4° TRIM]])</f>
        <v>1</v>
      </c>
      <c r="AV189" s="38"/>
    </row>
    <row r="190" spans="1:48" ht="75" hidden="1" customHeight="1" x14ac:dyDescent="0.35">
      <c r="A190" s="19" t="str">
        <f>CONCATENATE(TABLA_AVANCE_METAS[[#This Row],[ESTRUCTURA]],TABLA_AVANCE_METAS[[#This Row],['#]])</f>
        <v>C0021802020301059</v>
      </c>
      <c r="B190" s="20" t="s">
        <v>574</v>
      </c>
      <c r="C190" s="41" t="s">
        <v>444</v>
      </c>
      <c r="D190" s="40" t="s">
        <v>445</v>
      </c>
      <c r="E190" s="20" t="s">
        <v>575</v>
      </c>
      <c r="F190" s="40" t="s">
        <v>576</v>
      </c>
      <c r="G190" s="42" t="s">
        <v>577</v>
      </c>
      <c r="H190" s="40" t="s">
        <v>176</v>
      </c>
      <c r="I190" s="40" t="s">
        <v>177</v>
      </c>
      <c r="J190" s="40" t="s">
        <v>567</v>
      </c>
      <c r="K190" s="40" t="s">
        <v>568</v>
      </c>
      <c r="L190" s="41">
        <v>9</v>
      </c>
      <c r="M190" s="43" t="s">
        <v>589</v>
      </c>
      <c r="N190" s="42" t="s">
        <v>84</v>
      </c>
      <c r="O190" s="24">
        <v>12</v>
      </c>
      <c r="P190" s="24">
        <v>3</v>
      </c>
      <c r="Q190" s="28">
        <v>0</v>
      </c>
      <c r="R190" s="25">
        <f>IFERROR((TABLA_AVANCE_METAS[[#This Row],[AVANCE 1°. TRIM]]/TABLA_AVANCE_METAS[[#This Row],[PROGR. 1° TRIM]])*100,"0")</f>
        <v>0</v>
      </c>
      <c r="S190"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CRÍTICO</v>
      </c>
      <c r="T190" s="24">
        <v>3</v>
      </c>
      <c r="U190" s="28">
        <v>6</v>
      </c>
      <c r="V190" s="27">
        <f t="shared" si="7"/>
        <v>200</v>
      </c>
      <c r="W190" s="26" t="str">
        <f t="shared" si="9"/>
        <v>SOBREPASADO</v>
      </c>
      <c r="X190" s="24">
        <v>3</v>
      </c>
      <c r="Y190" s="28">
        <v>0</v>
      </c>
      <c r="Z190" s="27">
        <v>0</v>
      </c>
      <c r="AA190" s="26" t="s">
        <v>62</v>
      </c>
      <c r="AB190" s="24">
        <v>3</v>
      </c>
      <c r="AC190" s="28">
        <v>0</v>
      </c>
      <c r="AD190" s="27">
        <f>IFERROR((TABLA_AVANCE_METAS[[#This Row],[AVANCE 4°. TRIM]]/TABLA_AVANCE_METAS[[#This Row],[PROGR. 4° TRIM]])*100,"0")</f>
        <v>0</v>
      </c>
      <c r="AE190"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90" s="30">
        <f t="array" ref="AF190">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6</v>
      </c>
      <c r="AG190" s="84">
        <f t="array" ref="AG190">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6</v>
      </c>
      <c r="AH190" s="27">
        <f>IFERROR((TABLA_AVANCE_METAS[[#This Row],[AVANCE ACUM. TRIM.]]/TABLA_AVANCE_METAS[[#This Row],[PROG. ACUM]])*100,"N/A")</f>
        <v>100</v>
      </c>
      <c r="AI190"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90" s="31">
        <f>TABLA_AVANCE_METAS[[#This Row],[AVANCE ACUM. TRIM.]]-TABLA_AVANCE_METAS[[#This Row],[PROG. ACUM]]</f>
        <v>0</v>
      </c>
      <c r="AK190" s="32">
        <f>IFERROR((TABLA_AVANCE_METAS[[#This Row],[DIFERENCIA ABSOLUTA SEMESTRAL]]/TABLA_AVANCE_METAS[[#This Row],[PROG. ACUM]])*100,"N/A")</f>
        <v>0</v>
      </c>
      <c r="AL190" s="84">
        <f>TABLA_AVANCE_METAS[[#This Row],[AVANCE 1°. TRIM]]+TABLA_AVANCE_METAS[[#This Row],[AVANCE 2°. TRIM]]+TABLA_AVANCE_METAS[[#This Row],[AVANCE 3°. TRIM]]+TABLA_AVANCE_METAS[[#This Row],[AVANCE 4°. TRIM]]</f>
        <v>6</v>
      </c>
      <c r="AM190" s="27">
        <f>IFERROR((TABLA_AVANCE_METAS[[#This Row],[AVANCE ACUM. ANUAL]]/TABLA_AVANCE_METAS[[#This Row],[PROGRAMADO ANUAL]])*100,"N/A")</f>
        <v>50</v>
      </c>
      <c r="AN190"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90" s="31">
        <f>TABLA_AVANCE_METAS[[#This Row],[AVANCE ACUM. ANUAL]]-TABLA_AVANCE_METAS[[#This Row],[PROGRAMADO ANUAL]]</f>
        <v>-6</v>
      </c>
      <c r="AP190" s="33">
        <f>IFERROR((TABLA_AVANCE_METAS[[#This Row],[DIFERENCIA ABSOLUTA ANUAL]]/TABLA_AVANCE_METAS[[#This Row],[PROGRAMADO ANUAL]])*100,"N/A")</f>
        <v>-50</v>
      </c>
      <c r="AQ190" s="34" t="s">
        <v>587</v>
      </c>
      <c r="AR190" s="35"/>
      <c r="AS190" s="36"/>
      <c r="AT190" s="36"/>
      <c r="AU190" s="37" t="b">
        <f>TABLA_AVANCE_METAS[[#This Row],[PROGRAMADO ANUAL]]=SUM(TABLA_AVANCE_METAS[[#This Row],[PROGR. 1° TRIM]],TABLA_AVANCE_METAS[[#This Row],[PROGR. 2° TRIM]],TABLA_AVANCE_METAS[[#This Row],[PROGR. 3° TRIM]],TABLA_AVANCE_METAS[[#This Row],[PROGR. 4° TRIM]])</f>
        <v>1</v>
      </c>
      <c r="AV190" s="38"/>
    </row>
    <row r="191" spans="1:48" ht="75" hidden="1" customHeight="1" x14ac:dyDescent="0.35">
      <c r="A191" s="19" t="str">
        <f>CONCATENATE(TABLA_AVANCE_METAS[[#This Row],[ESTRUCTURA]],TABLA_AVANCE_METAS[[#This Row],['#]])</f>
        <v>C0022502020301101</v>
      </c>
      <c r="B191" s="20" t="s">
        <v>493</v>
      </c>
      <c r="C191" s="41" t="s">
        <v>444</v>
      </c>
      <c r="D191" s="40" t="s">
        <v>445</v>
      </c>
      <c r="E191" s="20" t="s">
        <v>494</v>
      </c>
      <c r="F191" s="40" t="s">
        <v>495</v>
      </c>
      <c r="G191" s="42" t="s">
        <v>590</v>
      </c>
      <c r="H191" s="40" t="s">
        <v>176</v>
      </c>
      <c r="I191" s="40" t="s">
        <v>177</v>
      </c>
      <c r="J191" s="40" t="s">
        <v>528</v>
      </c>
      <c r="K191" s="40" t="s">
        <v>529</v>
      </c>
      <c r="L191" s="41">
        <v>1</v>
      </c>
      <c r="M191" s="76" t="s">
        <v>591</v>
      </c>
      <c r="N191" s="42" t="s">
        <v>505</v>
      </c>
      <c r="O191" s="24">
        <v>520</v>
      </c>
      <c r="P191" s="24">
        <v>165</v>
      </c>
      <c r="Q191" s="28">
        <v>117</v>
      </c>
      <c r="R191" s="25">
        <f>IFERROR((TABLA_AVANCE_METAS[[#This Row],[AVANCE 1°. TRIM]]/TABLA_AVANCE_METAS[[#This Row],[PROGR. 1° TRIM]])*100,"0")</f>
        <v>70.909090909090907</v>
      </c>
      <c r="S191"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REGULAR</v>
      </c>
      <c r="T191" s="24">
        <v>95</v>
      </c>
      <c r="U191" s="28">
        <v>91</v>
      </c>
      <c r="V191" s="27">
        <f t="shared" si="7"/>
        <v>95.78947368421052</v>
      </c>
      <c r="W191" s="26" t="str">
        <f t="shared" si="9"/>
        <v>ADECUADO</v>
      </c>
      <c r="X191" s="24">
        <v>100</v>
      </c>
      <c r="Y191" s="28">
        <v>0</v>
      </c>
      <c r="Z191" s="27">
        <v>0</v>
      </c>
      <c r="AA191" s="26" t="s">
        <v>62</v>
      </c>
      <c r="AB191" s="24">
        <v>160</v>
      </c>
      <c r="AC191" s="28">
        <v>0</v>
      </c>
      <c r="AD191" s="27">
        <f>IFERROR((TABLA_AVANCE_METAS[[#This Row],[AVANCE 4°. TRIM]]/TABLA_AVANCE_METAS[[#This Row],[PROGR. 4° TRIM]])*100,"0")</f>
        <v>0</v>
      </c>
      <c r="AE191"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91" s="30">
        <f t="array" ref="AF191">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260</v>
      </c>
      <c r="AG191" s="84">
        <f t="array" ref="AG191">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208</v>
      </c>
      <c r="AH191" s="27">
        <f>IFERROR((TABLA_AVANCE_METAS[[#This Row],[AVANCE ACUM. TRIM.]]/TABLA_AVANCE_METAS[[#This Row],[PROG. ACUM]])*100,"N/A")</f>
        <v>80</v>
      </c>
      <c r="AI191"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REGULAR</v>
      </c>
      <c r="AJ191" s="31">
        <f>TABLA_AVANCE_METAS[[#This Row],[AVANCE ACUM. TRIM.]]-TABLA_AVANCE_METAS[[#This Row],[PROG. ACUM]]</f>
        <v>-52</v>
      </c>
      <c r="AK191" s="32">
        <f>IFERROR((TABLA_AVANCE_METAS[[#This Row],[DIFERENCIA ABSOLUTA SEMESTRAL]]/TABLA_AVANCE_METAS[[#This Row],[PROG. ACUM]])*100,"N/A")</f>
        <v>-20</v>
      </c>
      <c r="AL191" s="84">
        <f>TABLA_AVANCE_METAS[[#This Row],[AVANCE 1°. TRIM]]+TABLA_AVANCE_METAS[[#This Row],[AVANCE 2°. TRIM]]+TABLA_AVANCE_METAS[[#This Row],[AVANCE 3°. TRIM]]+TABLA_AVANCE_METAS[[#This Row],[AVANCE 4°. TRIM]]</f>
        <v>208</v>
      </c>
      <c r="AM191" s="27">
        <f>IFERROR((TABLA_AVANCE_METAS[[#This Row],[AVANCE ACUM. ANUAL]]/TABLA_AVANCE_METAS[[#This Row],[PROGRAMADO ANUAL]])*100,"N/A")</f>
        <v>40</v>
      </c>
      <c r="AN191"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191" s="31">
        <f>TABLA_AVANCE_METAS[[#This Row],[AVANCE ACUM. ANUAL]]-TABLA_AVANCE_METAS[[#This Row],[PROGRAMADO ANUAL]]</f>
        <v>-312</v>
      </c>
      <c r="AP191" s="33">
        <f>IFERROR((TABLA_AVANCE_METAS[[#This Row],[DIFERENCIA ABSOLUTA ANUAL]]/TABLA_AVANCE_METAS[[#This Row],[PROGRAMADO ANUAL]])*100,"N/A")</f>
        <v>-60</v>
      </c>
      <c r="AQ191" s="34" t="s">
        <v>592</v>
      </c>
      <c r="AR191" s="35"/>
      <c r="AS191" s="36"/>
      <c r="AT191" s="36"/>
      <c r="AU191" s="69" t="b">
        <f>TABLA_AVANCE_METAS[[#This Row],[PROGRAMADO ANUAL]]=SUM(TABLA_AVANCE_METAS[[#This Row],[PROGR. 1° TRIM]],TABLA_AVANCE_METAS[[#This Row],[PROGR. 2° TRIM]],TABLA_AVANCE_METAS[[#This Row],[PROGR. 3° TRIM]],TABLA_AVANCE_METAS[[#This Row],[PROGR. 4° TRIM]])</f>
        <v>1</v>
      </c>
      <c r="AV191" s="38"/>
    </row>
    <row r="192" spans="1:48" ht="75" hidden="1" customHeight="1" x14ac:dyDescent="0.35">
      <c r="A192" s="19" t="str">
        <f>CONCATENATE(TABLA_AVANCE_METAS[[#This Row],[ESTRUCTURA]],TABLA_AVANCE_METAS[[#This Row],['#]])</f>
        <v>C0022502020301102</v>
      </c>
      <c r="B192" s="20" t="s">
        <v>493</v>
      </c>
      <c r="C192" s="41" t="s">
        <v>444</v>
      </c>
      <c r="D192" s="40" t="s">
        <v>445</v>
      </c>
      <c r="E192" s="20" t="s">
        <v>494</v>
      </c>
      <c r="F192" s="40" t="s">
        <v>495</v>
      </c>
      <c r="G192" s="42" t="s">
        <v>590</v>
      </c>
      <c r="H192" s="40" t="s">
        <v>176</v>
      </c>
      <c r="I192" s="40" t="s">
        <v>177</v>
      </c>
      <c r="J192" s="40" t="s">
        <v>528</v>
      </c>
      <c r="K192" s="40" t="s">
        <v>529</v>
      </c>
      <c r="L192" s="41">
        <v>2</v>
      </c>
      <c r="M192" s="76" t="s">
        <v>593</v>
      </c>
      <c r="N192" s="42" t="s">
        <v>505</v>
      </c>
      <c r="O192" s="24">
        <v>14</v>
      </c>
      <c r="P192" s="24">
        <v>5</v>
      </c>
      <c r="Q192" s="28">
        <v>3</v>
      </c>
      <c r="R192" s="25">
        <f>IFERROR((TABLA_AVANCE_METAS[[#This Row],[AVANCE 1°. TRIM]]/TABLA_AVANCE_METAS[[#This Row],[PROGR. 1° TRIM]])*100,"0")</f>
        <v>60</v>
      </c>
      <c r="S192"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DEFICIENTE</v>
      </c>
      <c r="T192" s="24">
        <v>3</v>
      </c>
      <c r="U192" s="28">
        <v>3</v>
      </c>
      <c r="V192" s="27">
        <f t="shared" si="7"/>
        <v>100</v>
      </c>
      <c r="W192" s="26" t="str">
        <f t="shared" si="9"/>
        <v>ADECUADO</v>
      </c>
      <c r="X192" s="24">
        <v>3</v>
      </c>
      <c r="Y192" s="28">
        <v>0</v>
      </c>
      <c r="Z192" s="27">
        <v>0</v>
      </c>
      <c r="AA192" s="26" t="s">
        <v>62</v>
      </c>
      <c r="AB192" s="24">
        <v>3</v>
      </c>
      <c r="AC192" s="28">
        <v>0</v>
      </c>
      <c r="AD192" s="27">
        <f>IFERROR((TABLA_AVANCE_METAS[[#This Row],[AVANCE 4°. TRIM]]/TABLA_AVANCE_METAS[[#This Row],[PROGR. 4° TRIM]])*100,"0")</f>
        <v>0</v>
      </c>
      <c r="AE192"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92" s="30">
        <f t="array" ref="AF192">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8</v>
      </c>
      <c r="AG192" s="84">
        <f t="array" ref="AG192">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6</v>
      </c>
      <c r="AH192" s="27">
        <f>IFERROR((TABLA_AVANCE_METAS[[#This Row],[AVANCE ACUM. TRIM.]]/TABLA_AVANCE_METAS[[#This Row],[PROG. ACUM]])*100,"N/A")</f>
        <v>75</v>
      </c>
      <c r="AI192"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REGULAR</v>
      </c>
      <c r="AJ192" s="31">
        <f>TABLA_AVANCE_METAS[[#This Row],[AVANCE ACUM. TRIM.]]-TABLA_AVANCE_METAS[[#This Row],[PROG. ACUM]]</f>
        <v>-2</v>
      </c>
      <c r="AK192" s="32">
        <f>IFERROR((TABLA_AVANCE_METAS[[#This Row],[DIFERENCIA ABSOLUTA SEMESTRAL]]/TABLA_AVANCE_METAS[[#This Row],[PROG. ACUM]])*100,"N/A")</f>
        <v>-25</v>
      </c>
      <c r="AL192" s="84">
        <f>TABLA_AVANCE_METAS[[#This Row],[AVANCE 1°. TRIM]]+TABLA_AVANCE_METAS[[#This Row],[AVANCE 2°. TRIM]]+TABLA_AVANCE_METAS[[#This Row],[AVANCE 3°. TRIM]]+TABLA_AVANCE_METAS[[#This Row],[AVANCE 4°. TRIM]]</f>
        <v>6</v>
      </c>
      <c r="AM192" s="27">
        <f>IFERROR((TABLA_AVANCE_METAS[[#This Row],[AVANCE ACUM. ANUAL]]/TABLA_AVANCE_METAS[[#This Row],[PROGRAMADO ANUAL]])*100,"N/A")</f>
        <v>42.857142857142854</v>
      </c>
      <c r="AN192"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192" s="31">
        <f>TABLA_AVANCE_METAS[[#This Row],[AVANCE ACUM. ANUAL]]-TABLA_AVANCE_METAS[[#This Row],[PROGRAMADO ANUAL]]</f>
        <v>-8</v>
      </c>
      <c r="AP192" s="33">
        <f>IFERROR((TABLA_AVANCE_METAS[[#This Row],[DIFERENCIA ABSOLUTA ANUAL]]/TABLA_AVANCE_METAS[[#This Row],[PROGRAMADO ANUAL]])*100,"N/A")</f>
        <v>-57.142857142857139</v>
      </c>
      <c r="AQ192" s="34" t="s">
        <v>594</v>
      </c>
      <c r="AR192" s="35"/>
      <c r="AS192" s="36"/>
      <c r="AT192" s="36"/>
      <c r="AU192" s="69" t="b">
        <f>TABLA_AVANCE_METAS[[#This Row],[PROGRAMADO ANUAL]]=SUM(TABLA_AVANCE_METAS[[#This Row],[PROGR. 1° TRIM]],TABLA_AVANCE_METAS[[#This Row],[PROGR. 2° TRIM]],TABLA_AVANCE_METAS[[#This Row],[PROGR. 3° TRIM]],TABLA_AVANCE_METAS[[#This Row],[PROGR. 4° TRIM]])</f>
        <v>1</v>
      </c>
      <c r="AV192" s="38"/>
    </row>
    <row r="193" spans="1:48" ht="75" hidden="1" customHeight="1" x14ac:dyDescent="0.35">
      <c r="A193" s="19" t="str">
        <f>CONCATENATE(TABLA_AVANCE_METAS[[#This Row],[ESTRUCTURA]],TABLA_AVANCE_METAS[[#This Row],['#]])</f>
        <v>C0022502020301103</v>
      </c>
      <c r="B193" s="20" t="s">
        <v>493</v>
      </c>
      <c r="C193" s="41" t="s">
        <v>444</v>
      </c>
      <c r="D193" s="40" t="s">
        <v>445</v>
      </c>
      <c r="E193" s="20" t="s">
        <v>494</v>
      </c>
      <c r="F193" s="40" t="s">
        <v>495</v>
      </c>
      <c r="G193" s="42" t="s">
        <v>590</v>
      </c>
      <c r="H193" s="40" t="s">
        <v>176</v>
      </c>
      <c r="I193" s="40" t="s">
        <v>177</v>
      </c>
      <c r="J193" s="40" t="s">
        <v>528</v>
      </c>
      <c r="K193" s="40" t="s">
        <v>529</v>
      </c>
      <c r="L193" s="41">
        <v>3</v>
      </c>
      <c r="M193" s="43" t="s">
        <v>595</v>
      </c>
      <c r="N193" s="42" t="s">
        <v>512</v>
      </c>
      <c r="O193" s="24">
        <v>2</v>
      </c>
      <c r="P193" s="24">
        <v>0</v>
      </c>
      <c r="Q193" s="28">
        <v>0</v>
      </c>
      <c r="R193" s="25" t="str">
        <f>IFERROR((TABLA_AVANCE_METAS[[#This Row],[AVANCE 1°. TRIM]]/TABLA_AVANCE_METAS[[#This Row],[PROGR. 1° TRIM]])*100,"0")</f>
        <v>0</v>
      </c>
      <c r="S193"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193" s="24">
        <v>1</v>
      </c>
      <c r="U193" s="28">
        <v>0</v>
      </c>
      <c r="V193" s="27">
        <f t="shared" si="7"/>
        <v>0</v>
      </c>
      <c r="W193" s="26" t="str">
        <f t="shared" si="9"/>
        <v>CRÍTICO</v>
      </c>
      <c r="X193" s="24">
        <v>1</v>
      </c>
      <c r="Y193" s="28">
        <v>0</v>
      </c>
      <c r="Z193" s="27">
        <v>0</v>
      </c>
      <c r="AA193" s="26" t="s">
        <v>62</v>
      </c>
      <c r="AB193" s="24">
        <v>0</v>
      </c>
      <c r="AC193" s="28">
        <v>0</v>
      </c>
      <c r="AD193" s="27" t="str">
        <f>IFERROR((TABLA_AVANCE_METAS[[#This Row],[AVANCE 4°. TRIM]]/TABLA_AVANCE_METAS[[#This Row],[PROGR. 4° TRIM]])*100,"0")</f>
        <v>0</v>
      </c>
      <c r="AE193"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93" s="30">
        <f t="array" ref="AF193">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193" s="84">
        <f t="array" ref="AG193">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193" s="27">
        <f>IFERROR((TABLA_AVANCE_METAS[[#This Row],[AVANCE ACUM. TRIM.]]/TABLA_AVANCE_METAS[[#This Row],[PROG. ACUM]])*100,"N/A")</f>
        <v>0</v>
      </c>
      <c r="AI193"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CRÍTICO</v>
      </c>
      <c r="AJ193" s="31">
        <f>TABLA_AVANCE_METAS[[#This Row],[AVANCE ACUM. TRIM.]]-TABLA_AVANCE_METAS[[#This Row],[PROG. ACUM]]</f>
        <v>-1</v>
      </c>
      <c r="AK193" s="32">
        <f>IFERROR((TABLA_AVANCE_METAS[[#This Row],[DIFERENCIA ABSOLUTA SEMESTRAL]]/TABLA_AVANCE_METAS[[#This Row],[PROG. ACUM]])*100,"N/A")</f>
        <v>-100</v>
      </c>
      <c r="AL193" s="84">
        <f>TABLA_AVANCE_METAS[[#This Row],[AVANCE 1°. TRIM]]+TABLA_AVANCE_METAS[[#This Row],[AVANCE 2°. TRIM]]+TABLA_AVANCE_METAS[[#This Row],[AVANCE 3°. TRIM]]+TABLA_AVANCE_METAS[[#This Row],[AVANCE 4°. TRIM]]</f>
        <v>0</v>
      </c>
      <c r="AM193" s="27">
        <f>IFERROR((TABLA_AVANCE_METAS[[#This Row],[AVANCE ACUM. ANUAL]]/TABLA_AVANCE_METAS[[#This Row],[PROGRAMADO ANUAL]])*100,"N/A")</f>
        <v>0</v>
      </c>
      <c r="AN193"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193" s="31">
        <f>TABLA_AVANCE_METAS[[#This Row],[AVANCE ACUM. ANUAL]]-TABLA_AVANCE_METAS[[#This Row],[PROGRAMADO ANUAL]]</f>
        <v>-2</v>
      </c>
      <c r="AP193" s="33">
        <f>IFERROR((TABLA_AVANCE_METAS[[#This Row],[DIFERENCIA ABSOLUTA ANUAL]]/TABLA_AVANCE_METAS[[#This Row],[PROGRAMADO ANUAL]])*100,"N/A")</f>
        <v>-100</v>
      </c>
      <c r="AQ193" s="34"/>
      <c r="AR193" s="35"/>
      <c r="AS193" s="36"/>
      <c r="AT193" s="36"/>
      <c r="AU193" s="37" t="b">
        <f>TABLA_AVANCE_METAS[[#This Row],[PROGRAMADO ANUAL]]=SUM(TABLA_AVANCE_METAS[[#This Row],[PROGR. 1° TRIM]],TABLA_AVANCE_METAS[[#This Row],[PROGR. 2° TRIM]],TABLA_AVANCE_METAS[[#This Row],[PROGR. 3° TRIM]],TABLA_AVANCE_METAS[[#This Row],[PROGR. 4° TRIM]])</f>
        <v>1</v>
      </c>
      <c r="AV193" s="38"/>
    </row>
    <row r="194" spans="1:48" ht="75" hidden="1" customHeight="1" x14ac:dyDescent="0.35">
      <c r="A194" s="19" t="str">
        <f>CONCATENATE(TABLA_AVANCE_METAS[[#This Row],[ESTRUCTURA]],TABLA_AVANCE_METAS[[#This Row],['#]])</f>
        <v>C0022002020301101</v>
      </c>
      <c r="B194" s="20" t="s">
        <v>445</v>
      </c>
      <c r="C194" s="41" t="s">
        <v>444</v>
      </c>
      <c r="D194" s="40" t="s">
        <v>445</v>
      </c>
      <c r="E194" s="20" t="s">
        <v>400</v>
      </c>
      <c r="F194" s="40" t="s">
        <v>401</v>
      </c>
      <c r="G194" s="42" t="s">
        <v>596</v>
      </c>
      <c r="H194" s="40" t="s">
        <v>176</v>
      </c>
      <c r="I194" s="40" t="s">
        <v>177</v>
      </c>
      <c r="J194" s="40" t="s">
        <v>528</v>
      </c>
      <c r="K194" s="40" t="s">
        <v>529</v>
      </c>
      <c r="L194" s="41">
        <v>1</v>
      </c>
      <c r="M194" s="43" t="s">
        <v>597</v>
      </c>
      <c r="N194" s="42" t="s">
        <v>84</v>
      </c>
      <c r="O194" s="24">
        <v>48</v>
      </c>
      <c r="P194" s="24">
        <v>12</v>
      </c>
      <c r="Q194" s="28">
        <v>12</v>
      </c>
      <c r="R194" s="25">
        <f>IFERROR((TABLA_AVANCE_METAS[[#This Row],[AVANCE 1°. TRIM]]/TABLA_AVANCE_METAS[[#This Row],[PROGR. 1° TRIM]])*100,"0")</f>
        <v>100</v>
      </c>
      <c r="S194"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94" s="24">
        <v>12</v>
      </c>
      <c r="U194" s="28">
        <v>12</v>
      </c>
      <c r="V194" s="27">
        <f t="shared" si="7"/>
        <v>100</v>
      </c>
      <c r="W194" s="26" t="str">
        <f t="shared" si="9"/>
        <v>ADECUADO</v>
      </c>
      <c r="X194" s="24">
        <v>12</v>
      </c>
      <c r="Y194" s="28">
        <v>0</v>
      </c>
      <c r="Z194" s="27">
        <v>0</v>
      </c>
      <c r="AA194" s="26" t="s">
        <v>62</v>
      </c>
      <c r="AB194" s="24">
        <v>12</v>
      </c>
      <c r="AC194" s="28">
        <v>0</v>
      </c>
      <c r="AD194" s="27">
        <f>IFERROR((TABLA_AVANCE_METAS[[#This Row],[AVANCE 4°. TRIM]]/TABLA_AVANCE_METAS[[#This Row],[PROGR. 4° TRIM]])*100,"0")</f>
        <v>0</v>
      </c>
      <c r="AE194"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94" s="30">
        <f t="array" ref="AF194">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24</v>
      </c>
      <c r="AG194" s="84">
        <f t="array" ref="AG194">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24</v>
      </c>
      <c r="AH194" s="27">
        <f>IFERROR((TABLA_AVANCE_METAS[[#This Row],[AVANCE ACUM. TRIM.]]/TABLA_AVANCE_METAS[[#This Row],[PROG. ACUM]])*100,"N/A")</f>
        <v>100</v>
      </c>
      <c r="AI194"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94" s="31">
        <f>TABLA_AVANCE_METAS[[#This Row],[AVANCE ACUM. TRIM.]]-TABLA_AVANCE_METAS[[#This Row],[PROG. ACUM]]</f>
        <v>0</v>
      </c>
      <c r="AK194" s="32">
        <f>IFERROR((TABLA_AVANCE_METAS[[#This Row],[DIFERENCIA ABSOLUTA SEMESTRAL]]/TABLA_AVANCE_METAS[[#This Row],[PROG. ACUM]])*100,"N/A")</f>
        <v>0</v>
      </c>
      <c r="AL194" s="84">
        <f>TABLA_AVANCE_METAS[[#This Row],[AVANCE 1°. TRIM]]+TABLA_AVANCE_METAS[[#This Row],[AVANCE 2°. TRIM]]+TABLA_AVANCE_METAS[[#This Row],[AVANCE 3°. TRIM]]+TABLA_AVANCE_METAS[[#This Row],[AVANCE 4°. TRIM]]</f>
        <v>24</v>
      </c>
      <c r="AM194" s="27">
        <f>IFERROR((TABLA_AVANCE_METAS[[#This Row],[AVANCE ACUM. ANUAL]]/TABLA_AVANCE_METAS[[#This Row],[PROGRAMADO ANUAL]])*100,"N/A")</f>
        <v>50</v>
      </c>
      <c r="AN194"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94" s="31">
        <f>TABLA_AVANCE_METAS[[#This Row],[AVANCE ACUM. ANUAL]]-TABLA_AVANCE_METAS[[#This Row],[PROGRAMADO ANUAL]]</f>
        <v>-24</v>
      </c>
      <c r="AP194" s="33">
        <f>IFERROR((TABLA_AVANCE_METAS[[#This Row],[DIFERENCIA ABSOLUTA ANUAL]]/TABLA_AVANCE_METAS[[#This Row],[PROGRAMADO ANUAL]])*100,"N/A")</f>
        <v>-50</v>
      </c>
      <c r="AQ194" s="65"/>
      <c r="AR194" s="35"/>
      <c r="AS194" s="79"/>
      <c r="AT194" s="79"/>
      <c r="AU194" s="37" t="b">
        <f>TABLA_AVANCE_METAS[[#This Row],[PROGRAMADO ANUAL]]=SUM(TABLA_AVANCE_METAS[[#This Row],[PROGR. 1° TRIM]],TABLA_AVANCE_METAS[[#This Row],[PROGR. 2° TRIM]],TABLA_AVANCE_METAS[[#This Row],[PROGR. 3° TRIM]],TABLA_AVANCE_METAS[[#This Row],[PROGR. 4° TRIM]])</f>
        <v>1</v>
      </c>
      <c r="AV194" s="38"/>
    </row>
    <row r="195" spans="1:48" ht="75" hidden="1" customHeight="1" x14ac:dyDescent="0.35">
      <c r="A195" s="19" t="str">
        <f>CONCATENATE(TABLA_AVANCE_METAS[[#This Row],[ESTRUCTURA]],TABLA_AVANCE_METAS[[#This Row],['#]])</f>
        <v>C0022002020301102</v>
      </c>
      <c r="B195" s="20" t="s">
        <v>445</v>
      </c>
      <c r="C195" s="41" t="s">
        <v>444</v>
      </c>
      <c r="D195" s="40" t="s">
        <v>445</v>
      </c>
      <c r="E195" s="20" t="s">
        <v>400</v>
      </c>
      <c r="F195" s="40" t="s">
        <v>401</v>
      </c>
      <c r="G195" s="42" t="s">
        <v>596</v>
      </c>
      <c r="H195" s="40" t="s">
        <v>176</v>
      </c>
      <c r="I195" s="40" t="s">
        <v>177</v>
      </c>
      <c r="J195" s="40" t="s">
        <v>528</v>
      </c>
      <c r="K195" s="40" t="s">
        <v>529</v>
      </c>
      <c r="L195" s="41">
        <v>2</v>
      </c>
      <c r="M195" s="43" t="s">
        <v>598</v>
      </c>
      <c r="N195" s="42" t="s">
        <v>599</v>
      </c>
      <c r="O195" s="24">
        <v>48</v>
      </c>
      <c r="P195" s="24">
        <v>12</v>
      </c>
      <c r="Q195" s="28">
        <v>12</v>
      </c>
      <c r="R195" s="25">
        <f>IFERROR((TABLA_AVANCE_METAS[[#This Row],[AVANCE 1°. TRIM]]/TABLA_AVANCE_METAS[[#This Row],[PROGR. 1° TRIM]])*100,"0")</f>
        <v>100</v>
      </c>
      <c r="S195"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95" s="24">
        <v>12</v>
      </c>
      <c r="U195" s="28">
        <v>12</v>
      </c>
      <c r="V195" s="27">
        <f t="shared" si="7"/>
        <v>100</v>
      </c>
      <c r="W195" s="26" t="str">
        <f t="shared" si="9"/>
        <v>ADECUADO</v>
      </c>
      <c r="X195" s="24">
        <v>12</v>
      </c>
      <c r="Y195" s="28">
        <v>0</v>
      </c>
      <c r="Z195" s="27">
        <v>0</v>
      </c>
      <c r="AA195" s="26" t="s">
        <v>62</v>
      </c>
      <c r="AB195" s="24">
        <v>12</v>
      </c>
      <c r="AC195" s="28">
        <v>0</v>
      </c>
      <c r="AD195" s="27">
        <f>IFERROR((TABLA_AVANCE_METAS[[#This Row],[AVANCE 4°. TRIM]]/TABLA_AVANCE_METAS[[#This Row],[PROGR. 4° TRIM]])*100,"0")</f>
        <v>0</v>
      </c>
      <c r="AE195"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95" s="30">
        <f t="array" ref="AF195">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24</v>
      </c>
      <c r="AG195" s="84">
        <f t="array" ref="AG195">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24</v>
      </c>
      <c r="AH195" s="27">
        <f>IFERROR((TABLA_AVANCE_METAS[[#This Row],[AVANCE ACUM. TRIM.]]/TABLA_AVANCE_METAS[[#This Row],[PROG. ACUM]])*100,"N/A")</f>
        <v>100</v>
      </c>
      <c r="AI195"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95" s="31">
        <f>TABLA_AVANCE_METAS[[#This Row],[AVANCE ACUM. TRIM.]]-TABLA_AVANCE_METAS[[#This Row],[PROG. ACUM]]</f>
        <v>0</v>
      </c>
      <c r="AK195" s="32">
        <f>IFERROR((TABLA_AVANCE_METAS[[#This Row],[DIFERENCIA ABSOLUTA SEMESTRAL]]/TABLA_AVANCE_METAS[[#This Row],[PROG. ACUM]])*100,"N/A")</f>
        <v>0</v>
      </c>
      <c r="AL195" s="84">
        <f>TABLA_AVANCE_METAS[[#This Row],[AVANCE 1°. TRIM]]+TABLA_AVANCE_METAS[[#This Row],[AVANCE 2°. TRIM]]+TABLA_AVANCE_METAS[[#This Row],[AVANCE 3°. TRIM]]+TABLA_AVANCE_METAS[[#This Row],[AVANCE 4°. TRIM]]</f>
        <v>24</v>
      </c>
      <c r="AM195" s="27">
        <f>IFERROR((TABLA_AVANCE_METAS[[#This Row],[AVANCE ACUM. ANUAL]]/TABLA_AVANCE_METAS[[#This Row],[PROGRAMADO ANUAL]])*100,"N/A")</f>
        <v>50</v>
      </c>
      <c r="AN195"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95" s="31">
        <f>TABLA_AVANCE_METAS[[#This Row],[AVANCE ACUM. ANUAL]]-TABLA_AVANCE_METAS[[#This Row],[PROGRAMADO ANUAL]]</f>
        <v>-24</v>
      </c>
      <c r="AP195" s="33">
        <f>IFERROR((TABLA_AVANCE_METAS[[#This Row],[DIFERENCIA ABSOLUTA ANUAL]]/TABLA_AVANCE_METAS[[#This Row],[PROGRAMADO ANUAL]])*100,"N/A")</f>
        <v>-50</v>
      </c>
      <c r="AQ195" s="34"/>
      <c r="AR195" s="35"/>
      <c r="AS195" s="36"/>
      <c r="AT195" s="36"/>
      <c r="AU195" s="37" t="b">
        <f>TABLA_AVANCE_METAS[[#This Row],[PROGRAMADO ANUAL]]=SUM(TABLA_AVANCE_METAS[[#This Row],[PROGR. 1° TRIM]],TABLA_AVANCE_METAS[[#This Row],[PROGR. 2° TRIM]],TABLA_AVANCE_METAS[[#This Row],[PROGR. 3° TRIM]],TABLA_AVANCE_METAS[[#This Row],[PROGR. 4° TRIM]])</f>
        <v>1</v>
      </c>
      <c r="AV195" s="38"/>
    </row>
    <row r="196" spans="1:48" ht="75" hidden="1" customHeight="1" x14ac:dyDescent="0.35">
      <c r="A196" s="19" t="str">
        <f>CONCATENATE(TABLA_AVANCE_METAS[[#This Row],[ESTRUCTURA]],TABLA_AVANCE_METAS[[#This Row],['#]])</f>
        <v>C0022002020301103</v>
      </c>
      <c r="B196" s="20" t="s">
        <v>445</v>
      </c>
      <c r="C196" s="41" t="s">
        <v>444</v>
      </c>
      <c r="D196" s="40" t="s">
        <v>445</v>
      </c>
      <c r="E196" s="20" t="s">
        <v>400</v>
      </c>
      <c r="F196" s="40" t="s">
        <v>401</v>
      </c>
      <c r="G196" s="42" t="s">
        <v>596</v>
      </c>
      <c r="H196" s="40" t="s">
        <v>176</v>
      </c>
      <c r="I196" s="40" t="s">
        <v>177</v>
      </c>
      <c r="J196" s="40" t="s">
        <v>528</v>
      </c>
      <c r="K196" s="40" t="s">
        <v>529</v>
      </c>
      <c r="L196" s="41">
        <v>3</v>
      </c>
      <c r="M196" s="43" t="s">
        <v>600</v>
      </c>
      <c r="N196" s="42" t="s">
        <v>305</v>
      </c>
      <c r="O196" s="24">
        <v>4</v>
      </c>
      <c r="P196" s="24">
        <v>1</v>
      </c>
      <c r="Q196" s="28">
        <v>1</v>
      </c>
      <c r="R196" s="25">
        <f>IFERROR((TABLA_AVANCE_METAS[[#This Row],[AVANCE 1°. TRIM]]/TABLA_AVANCE_METAS[[#This Row],[PROGR. 1° TRIM]])*100,"0")</f>
        <v>100</v>
      </c>
      <c r="S196"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96" s="24">
        <v>1</v>
      </c>
      <c r="U196" s="28">
        <v>1</v>
      </c>
      <c r="V196" s="27">
        <f t="shared" ref="V196:V259" si="10">IFERROR((U196/T196)*100,"0")</f>
        <v>100</v>
      </c>
      <c r="W196" s="26" t="str">
        <f t="shared" si="9"/>
        <v>ADECUADO</v>
      </c>
      <c r="X196" s="24">
        <v>1</v>
      </c>
      <c r="Y196" s="28">
        <v>0</v>
      </c>
      <c r="Z196" s="27">
        <v>0</v>
      </c>
      <c r="AA196" s="26" t="s">
        <v>62</v>
      </c>
      <c r="AB196" s="24">
        <v>1</v>
      </c>
      <c r="AC196" s="28">
        <v>0</v>
      </c>
      <c r="AD196" s="27">
        <f>IFERROR((TABLA_AVANCE_METAS[[#This Row],[AVANCE 4°. TRIM]]/TABLA_AVANCE_METAS[[#This Row],[PROGR. 4° TRIM]])*100,"0")</f>
        <v>0</v>
      </c>
      <c r="AE196"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96" s="30">
        <f t="array" ref="AF196">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196" s="84">
        <f t="array" ref="AG196">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196" s="27">
        <f>IFERROR((TABLA_AVANCE_METAS[[#This Row],[AVANCE ACUM. TRIM.]]/TABLA_AVANCE_METAS[[#This Row],[PROG. ACUM]])*100,"N/A")</f>
        <v>100</v>
      </c>
      <c r="AI196"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96" s="31">
        <f>TABLA_AVANCE_METAS[[#This Row],[AVANCE ACUM. TRIM.]]-TABLA_AVANCE_METAS[[#This Row],[PROG. ACUM]]</f>
        <v>0</v>
      </c>
      <c r="AK196" s="32">
        <f>IFERROR((TABLA_AVANCE_METAS[[#This Row],[DIFERENCIA ABSOLUTA SEMESTRAL]]/TABLA_AVANCE_METAS[[#This Row],[PROG. ACUM]])*100,"N/A")</f>
        <v>0</v>
      </c>
      <c r="AL196" s="84">
        <f>TABLA_AVANCE_METAS[[#This Row],[AVANCE 1°. TRIM]]+TABLA_AVANCE_METAS[[#This Row],[AVANCE 2°. TRIM]]+TABLA_AVANCE_METAS[[#This Row],[AVANCE 3°. TRIM]]+TABLA_AVANCE_METAS[[#This Row],[AVANCE 4°. TRIM]]</f>
        <v>2</v>
      </c>
      <c r="AM196" s="27">
        <f>IFERROR((TABLA_AVANCE_METAS[[#This Row],[AVANCE ACUM. ANUAL]]/TABLA_AVANCE_METAS[[#This Row],[PROGRAMADO ANUAL]])*100,"N/A")</f>
        <v>50</v>
      </c>
      <c r="AN196"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96" s="31">
        <f>TABLA_AVANCE_METAS[[#This Row],[AVANCE ACUM. ANUAL]]-TABLA_AVANCE_METAS[[#This Row],[PROGRAMADO ANUAL]]</f>
        <v>-2</v>
      </c>
      <c r="AP196" s="33">
        <f>IFERROR((TABLA_AVANCE_METAS[[#This Row],[DIFERENCIA ABSOLUTA ANUAL]]/TABLA_AVANCE_METAS[[#This Row],[PROGRAMADO ANUAL]])*100,"N/A")</f>
        <v>-50</v>
      </c>
      <c r="AQ196" s="34"/>
      <c r="AR196" s="35"/>
      <c r="AS196" s="36"/>
      <c r="AT196" s="36"/>
      <c r="AU196" s="37" t="b">
        <f>TABLA_AVANCE_METAS[[#This Row],[PROGRAMADO ANUAL]]=SUM(TABLA_AVANCE_METAS[[#This Row],[PROGR. 1° TRIM]],TABLA_AVANCE_METAS[[#This Row],[PROGR. 2° TRIM]],TABLA_AVANCE_METAS[[#This Row],[PROGR. 3° TRIM]],TABLA_AVANCE_METAS[[#This Row],[PROGR. 4° TRIM]])</f>
        <v>1</v>
      </c>
      <c r="AV196" s="38"/>
    </row>
    <row r="197" spans="1:48" ht="75" hidden="1" customHeight="1" x14ac:dyDescent="0.35">
      <c r="A197" s="19" t="str">
        <f>CONCATENATE(TABLA_AVANCE_METAS[[#This Row],[ESTRUCTURA]],TABLA_AVANCE_METAS[[#This Row],['#]])</f>
        <v>C0022002020301104</v>
      </c>
      <c r="B197" s="20" t="s">
        <v>445</v>
      </c>
      <c r="C197" s="21" t="s">
        <v>444</v>
      </c>
      <c r="D197" s="20" t="s">
        <v>445</v>
      </c>
      <c r="E197" s="20" t="s">
        <v>400</v>
      </c>
      <c r="F197" s="20" t="s">
        <v>401</v>
      </c>
      <c r="G197" s="22" t="s">
        <v>596</v>
      </c>
      <c r="H197" s="20" t="s">
        <v>176</v>
      </c>
      <c r="I197" s="20" t="s">
        <v>177</v>
      </c>
      <c r="J197" s="20" t="s">
        <v>528</v>
      </c>
      <c r="K197" s="20" t="s">
        <v>529</v>
      </c>
      <c r="L197" s="21">
        <v>4</v>
      </c>
      <c r="M197" s="68" t="s">
        <v>601</v>
      </c>
      <c r="N197" s="22" t="s">
        <v>154</v>
      </c>
      <c r="O197" s="24">
        <v>4</v>
      </c>
      <c r="P197" s="24">
        <v>1</v>
      </c>
      <c r="Q197" s="28">
        <v>1</v>
      </c>
      <c r="R197" s="25">
        <f>IFERROR((TABLA_AVANCE_METAS[[#This Row],[AVANCE 1°. TRIM]]/TABLA_AVANCE_METAS[[#This Row],[PROGR. 1° TRIM]])*100,"0")</f>
        <v>100</v>
      </c>
      <c r="S197"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97" s="24">
        <v>1</v>
      </c>
      <c r="U197" s="28">
        <v>1</v>
      </c>
      <c r="V197" s="27">
        <f t="shared" si="10"/>
        <v>100</v>
      </c>
      <c r="W197" s="26" t="str">
        <f t="shared" si="9"/>
        <v>ADECUADO</v>
      </c>
      <c r="X197" s="24">
        <v>0</v>
      </c>
      <c r="Y197" s="28">
        <v>0</v>
      </c>
      <c r="Z197" s="27" t="s">
        <v>71</v>
      </c>
      <c r="AA197" s="26" t="s">
        <v>72</v>
      </c>
      <c r="AB197" s="24">
        <v>2</v>
      </c>
      <c r="AC197" s="28">
        <v>0</v>
      </c>
      <c r="AD197" s="27">
        <f>IFERROR((TABLA_AVANCE_METAS[[#This Row],[AVANCE 4°. TRIM]]/TABLA_AVANCE_METAS[[#This Row],[PROGR. 4° TRIM]])*100,"0")</f>
        <v>0</v>
      </c>
      <c r="AE197"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97" s="30">
        <f t="array" ref="AF197">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197" s="84">
        <f t="array" ref="AG197">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197" s="27">
        <f>IFERROR((TABLA_AVANCE_METAS[[#This Row],[AVANCE ACUM. TRIM.]]/TABLA_AVANCE_METAS[[#This Row],[PROG. ACUM]])*100,"N/A")</f>
        <v>100</v>
      </c>
      <c r="AI197"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97" s="31">
        <f>TABLA_AVANCE_METAS[[#This Row],[AVANCE ACUM. TRIM.]]-TABLA_AVANCE_METAS[[#This Row],[PROG. ACUM]]</f>
        <v>0</v>
      </c>
      <c r="AK197" s="32">
        <f>IFERROR((TABLA_AVANCE_METAS[[#This Row],[DIFERENCIA ABSOLUTA SEMESTRAL]]/TABLA_AVANCE_METAS[[#This Row],[PROG. ACUM]])*100,"N/A")</f>
        <v>0</v>
      </c>
      <c r="AL197" s="84">
        <f>TABLA_AVANCE_METAS[[#This Row],[AVANCE 1°. TRIM]]+TABLA_AVANCE_METAS[[#This Row],[AVANCE 2°. TRIM]]+TABLA_AVANCE_METAS[[#This Row],[AVANCE 3°. TRIM]]+TABLA_AVANCE_METAS[[#This Row],[AVANCE 4°. TRIM]]</f>
        <v>2</v>
      </c>
      <c r="AM197" s="27">
        <f>IFERROR((TABLA_AVANCE_METAS[[#This Row],[AVANCE ACUM. ANUAL]]/TABLA_AVANCE_METAS[[#This Row],[PROGRAMADO ANUAL]])*100,"N/A")</f>
        <v>50</v>
      </c>
      <c r="AN197"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97" s="31">
        <f>TABLA_AVANCE_METAS[[#This Row],[AVANCE ACUM. ANUAL]]-TABLA_AVANCE_METAS[[#This Row],[PROGRAMADO ANUAL]]</f>
        <v>-2</v>
      </c>
      <c r="AP197" s="33">
        <f>IFERROR((TABLA_AVANCE_METAS[[#This Row],[DIFERENCIA ABSOLUTA ANUAL]]/TABLA_AVANCE_METAS[[#This Row],[PROGRAMADO ANUAL]])*100,"N/A")</f>
        <v>-50</v>
      </c>
      <c r="AQ197" s="34"/>
      <c r="AR197" s="35"/>
      <c r="AS197" s="36"/>
      <c r="AT197" s="36"/>
      <c r="AU197" s="37" t="b">
        <f>TABLA_AVANCE_METAS[[#This Row],[PROGRAMADO ANUAL]]=SUM(TABLA_AVANCE_METAS[[#This Row],[PROGR. 1° TRIM]],TABLA_AVANCE_METAS[[#This Row],[PROGR. 2° TRIM]],TABLA_AVANCE_METAS[[#This Row],[PROGR. 3° TRIM]],TABLA_AVANCE_METAS[[#This Row],[PROGR. 4° TRIM]])</f>
        <v>1</v>
      </c>
      <c r="AV197" s="38"/>
    </row>
    <row r="198" spans="1:48" ht="75" hidden="1" customHeight="1" x14ac:dyDescent="0.35">
      <c r="A198" s="19" t="str">
        <f>CONCATENATE(TABLA_AVANCE_METAS[[#This Row],[ESTRUCTURA]],TABLA_AVANCE_METAS[[#This Row],['#]])</f>
        <v>C0022002020301105</v>
      </c>
      <c r="B198" s="20" t="s">
        <v>445</v>
      </c>
      <c r="C198" s="41" t="s">
        <v>444</v>
      </c>
      <c r="D198" s="40" t="s">
        <v>445</v>
      </c>
      <c r="E198" s="20" t="s">
        <v>400</v>
      </c>
      <c r="F198" s="40" t="s">
        <v>401</v>
      </c>
      <c r="G198" s="42" t="s">
        <v>596</v>
      </c>
      <c r="H198" s="40" t="s">
        <v>176</v>
      </c>
      <c r="I198" s="40" t="s">
        <v>177</v>
      </c>
      <c r="J198" s="40" t="s">
        <v>528</v>
      </c>
      <c r="K198" s="40" t="s">
        <v>529</v>
      </c>
      <c r="L198" s="41">
        <v>5</v>
      </c>
      <c r="M198" s="77" t="s">
        <v>602</v>
      </c>
      <c r="N198" s="42" t="s">
        <v>154</v>
      </c>
      <c r="O198" s="24">
        <v>4</v>
      </c>
      <c r="P198" s="24">
        <v>1</v>
      </c>
      <c r="Q198" s="28">
        <v>1</v>
      </c>
      <c r="R198" s="25">
        <f>IFERROR((TABLA_AVANCE_METAS[[#This Row],[AVANCE 1°. TRIM]]/TABLA_AVANCE_METAS[[#This Row],[PROGR. 1° TRIM]])*100,"0")</f>
        <v>100</v>
      </c>
      <c r="S198"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98" s="24">
        <v>1</v>
      </c>
      <c r="U198" s="28">
        <v>1</v>
      </c>
      <c r="V198" s="27">
        <f t="shared" si="10"/>
        <v>100</v>
      </c>
      <c r="W198" s="26" t="str">
        <f t="shared" si="9"/>
        <v>ADECUADO</v>
      </c>
      <c r="X198" s="24">
        <v>0</v>
      </c>
      <c r="Y198" s="28">
        <v>0</v>
      </c>
      <c r="Z198" s="27" t="s">
        <v>71</v>
      </c>
      <c r="AA198" s="26" t="s">
        <v>72</v>
      </c>
      <c r="AB198" s="24">
        <v>2</v>
      </c>
      <c r="AC198" s="28">
        <v>0</v>
      </c>
      <c r="AD198" s="27">
        <f>IFERROR((TABLA_AVANCE_METAS[[#This Row],[AVANCE 4°. TRIM]]/TABLA_AVANCE_METAS[[#This Row],[PROGR. 4° TRIM]])*100,"0")</f>
        <v>0</v>
      </c>
      <c r="AE198"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198" s="30">
        <f t="array" ref="AF198">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198" s="84">
        <f t="array" ref="AG198">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198" s="27">
        <f>IFERROR((TABLA_AVANCE_METAS[[#This Row],[AVANCE ACUM. TRIM.]]/TABLA_AVANCE_METAS[[#This Row],[PROG. ACUM]])*100,"N/A")</f>
        <v>100</v>
      </c>
      <c r="AI198"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98" s="31">
        <f>TABLA_AVANCE_METAS[[#This Row],[AVANCE ACUM. TRIM.]]-TABLA_AVANCE_METAS[[#This Row],[PROG. ACUM]]</f>
        <v>0</v>
      </c>
      <c r="AK198" s="32">
        <f>IFERROR((TABLA_AVANCE_METAS[[#This Row],[DIFERENCIA ABSOLUTA SEMESTRAL]]/TABLA_AVANCE_METAS[[#This Row],[PROG. ACUM]])*100,"N/A")</f>
        <v>0</v>
      </c>
      <c r="AL198" s="84">
        <f>TABLA_AVANCE_METAS[[#This Row],[AVANCE 1°. TRIM]]+TABLA_AVANCE_METAS[[#This Row],[AVANCE 2°. TRIM]]+TABLA_AVANCE_METAS[[#This Row],[AVANCE 3°. TRIM]]+TABLA_AVANCE_METAS[[#This Row],[AVANCE 4°. TRIM]]</f>
        <v>2</v>
      </c>
      <c r="AM198" s="27">
        <f>IFERROR((TABLA_AVANCE_METAS[[#This Row],[AVANCE ACUM. ANUAL]]/TABLA_AVANCE_METAS[[#This Row],[PROGRAMADO ANUAL]])*100,"N/A")</f>
        <v>50</v>
      </c>
      <c r="AN198"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198" s="31">
        <f>TABLA_AVANCE_METAS[[#This Row],[AVANCE ACUM. ANUAL]]-TABLA_AVANCE_METAS[[#This Row],[PROGRAMADO ANUAL]]</f>
        <v>-2</v>
      </c>
      <c r="AP198" s="33">
        <f>IFERROR((TABLA_AVANCE_METAS[[#This Row],[DIFERENCIA ABSOLUTA ANUAL]]/TABLA_AVANCE_METAS[[#This Row],[PROGRAMADO ANUAL]])*100,"N/A")</f>
        <v>-50</v>
      </c>
      <c r="AQ198" s="34"/>
      <c r="AR198" s="35"/>
      <c r="AS198" s="36"/>
      <c r="AT198" s="36"/>
      <c r="AU198" s="37" t="b">
        <f>TABLA_AVANCE_METAS[[#This Row],[PROGRAMADO ANUAL]]=SUM(TABLA_AVANCE_METAS[[#This Row],[PROGR. 1° TRIM]],TABLA_AVANCE_METAS[[#This Row],[PROGR. 2° TRIM]],TABLA_AVANCE_METAS[[#This Row],[PROGR. 3° TRIM]],TABLA_AVANCE_METAS[[#This Row],[PROGR. 4° TRIM]])</f>
        <v>1</v>
      </c>
      <c r="AV198" s="38"/>
    </row>
    <row r="199" spans="1:48" ht="75" hidden="1" customHeight="1" x14ac:dyDescent="0.35">
      <c r="A199" s="51" t="str">
        <f>CONCATENATE(TABLA_AVANCE_METAS[[#This Row],[ESTRUCTURA]],TABLA_AVANCE_METAS[[#This Row],['#]])</f>
        <v>C0021902020301071</v>
      </c>
      <c r="B199" s="52" t="s">
        <v>603</v>
      </c>
      <c r="C199" s="65" t="s">
        <v>444</v>
      </c>
      <c r="D199" s="71" t="s">
        <v>445</v>
      </c>
      <c r="E199" s="52" t="s">
        <v>525</v>
      </c>
      <c r="F199" s="71" t="s">
        <v>526</v>
      </c>
      <c r="G199" s="72" t="s">
        <v>604</v>
      </c>
      <c r="H199" s="71" t="s">
        <v>176</v>
      </c>
      <c r="I199" s="71" t="s">
        <v>177</v>
      </c>
      <c r="J199" s="71" t="s">
        <v>517</v>
      </c>
      <c r="K199" s="71" t="s">
        <v>518</v>
      </c>
      <c r="L199" s="65">
        <v>1</v>
      </c>
      <c r="M199" s="73" t="s">
        <v>605</v>
      </c>
      <c r="N199" s="72" t="s">
        <v>503</v>
      </c>
      <c r="O199" s="56">
        <v>3</v>
      </c>
      <c r="P199" s="24">
        <v>3</v>
      </c>
      <c r="Q199" s="28">
        <v>3</v>
      </c>
      <c r="R199" s="25">
        <f>IFERROR((TABLA_AVANCE_METAS[[#This Row],[AVANCE 1°. TRIM]]/TABLA_AVANCE_METAS[[#This Row],[PROGR. 1° TRIM]])*100,"0")</f>
        <v>100</v>
      </c>
      <c r="S199"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199" s="24">
        <v>0</v>
      </c>
      <c r="U199" s="28">
        <v>0</v>
      </c>
      <c r="V199" s="27" t="str">
        <f t="shared" si="10"/>
        <v>0</v>
      </c>
      <c r="W199" s="26"/>
      <c r="X199" s="24">
        <v>0</v>
      </c>
      <c r="Y199" s="28">
        <v>0</v>
      </c>
      <c r="Z199" s="59" t="s">
        <v>71</v>
      </c>
      <c r="AA199" s="58" t="s">
        <v>72</v>
      </c>
      <c r="AB199" s="24">
        <v>0</v>
      </c>
      <c r="AC199" s="28">
        <v>0</v>
      </c>
      <c r="AD199" s="59" t="str">
        <f>IFERROR((TABLA_AVANCE_METAS[[#This Row],[AVANCE 4°. TRIM]]/TABLA_AVANCE_METAS[[#This Row],[PROGR. 4° TRIM]])*100,"0")</f>
        <v>0</v>
      </c>
      <c r="AE199" s="60"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199" s="30">
        <f t="array" ref="AF199">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3</v>
      </c>
      <c r="AG199" s="84">
        <f t="array" ref="AG199">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3</v>
      </c>
      <c r="AH199" s="27">
        <f>IFERROR((TABLA_AVANCE_METAS[[#This Row],[AVANCE ACUM. TRIM.]]/TABLA_AVANCE_METAS[[#This Row],[PROG. ACUM]])*100,"N/A")</f>
        <v>100</v>
      </c>
      <c r="AI199"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199" s="31">
        <f>TABLA_AVANCE_METAS[[#This Row],[AVANCE ACUM. TRIM.]]-TABLA_AVANCE_METAS[[#This Row],[PROG. ACUM]]</f>
        <v>0</v>
      </c>
      <c r="AK199" s="32">
        <f>IFERROR((TABLA_AVANCE_METAS[[#This Row],[DIFERENCIA ABSOLUTA SEMESTRAL]]/TABLA_AVANCE_METAS[[#This Row],[PROG. ACUM]])*100,"N/A")</f>
        <v>0</v>
      </c>
      <c r="AL199" s="84">
        <f>TABLA_AVANCE_METAS[[#This Row],[AVANCE 1°. TRIM]]+TABLA_AVANCE_METAS[[#This Row],[AVANCE 2°. TRIM]]+TABLA_AVANCE_METAS[[#This Row],[AVANCE 3°. TRIM]]+TABLA_AVANCE_METAS[[#This Row],[AVANCE 4°. TRIM]]</f>
        <v>3</v>
      </c>
      <c r="AM199" s="27">
        <f>IFERROR((TABLA_AVANCE_METAS[[#This Row],[AVANCE ACUM. ANUAL]]/TABLA_AVANCE_METAS[[#This Row],[PROGRAMADO ANUAL]])*100,"N/A")</f>
        <v>100</v>
      </c>
      <c r="AN199"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199" s="31">
        <f>TABLA_AVANCE_METAS[[#This Row],[AVANCE ACUM. ANUAL]]-TABLA_AVANCE_METAS[[#This Row],[PROGRAMADO ANUAL]]</f>
        <v>0</v>
      </c>
      <c r="AP199" s="33">
        <f>IFERROR((TABLA_AVANCE_METAS[[#This Row],[DIFERENCIA ABSOLUTA ANUAL]]/TABLA_AVANCE_METAS[[#This Row],[PROGRAMADO ANUAL]])*100,"N/A")</f>
        <v>0</v>
      </c>
      <c r="AQ199" s="34"/>
      <c r="AR199" s="35"/>
      <c r="AS199" s="36"/>
      <c r="AT199" s="36"/>
      <c r="AU199" s="74" t="b">
        <f>TABLA_AVANCE_METAS[[#This Row],[PROGRAMADO ANUAL]]=SUM(TABLA_AVANCE_METAS[[#This Row],[PROGR. 1° TRIM]],TABLA_AVANCE_METAS[[#This Row],[PROGR. 2° TRIM]],TABLA_AVANCE_METAS[[#This Row],[PROGR. 3° TRIM]],TABLA_AVANCE_METAS[[#This Row],[PROGR. 4° TRIM]])</f>
        <v>1</v>
      </c>
      <c r="AV199" s="38"/>
    </row>
    <row r="200" spans="1:48" ht="75" hidden="1" customHeight="1" x14ac:dyDescent="0.35">
      <c r="A200" s="51" t="str">
        <f>CONCATENATE(TABLA_AVANCE_METAS[[#This Row],[ESTRUCTURA]],TABLA_AVANCE_METAS[[#This Row],['#]])</f>
        <v>C0021902020301072</v>
      </c>
      <c r="B200" s="52" t="s">
        <v>603</v>
      </c>
      <c r="C200" s="65" t="s">
        <v>444</v>
      </c>
      <c r="D200" s="71" t="s">
        <v>445</v>
      </c>
      <c r="E200" s="52" t="s">
        <v>525</v>
      </c>
      <c r="F200" s="71" t="s">
        <v>526</v>
      </c>
      <c r="G200" s="72" t="s">
        <v>604</v>
      </c>
      <c r="H200" s="71" t="s">
        <v>176</v>
      </c>
      <c r="I200" s="71" t="s">
        <v>177</v>
      </c>
      <c r="J200" s="71" t="s">
        <v>517</v>
      </c>
      <c r="K200" s="71" t="s">
        <v>518</v>
      </c>
      <c r="L200" s="65">
        <v>2</v>
      </c>
      <c r="M200" s="73" t="s">
        <v>606</v>
      </c>
      <c r="N200" s="72" t="s">
        <v>305</v>
      </c>
      <c r="O200" s="56">
        <v>1</v>
      </c>
      <c r="P200" s="24">
        <v>1</v>
      </c>
      <c r="Q200" s="28">
        <v>1</v>
      </c>
      <c r="R200" s="25">
        <f>IFERROR((TABLA_AVANCE_METAS[[#This Row],[AVANCE 1°. TRIM]]/TABLA_AVANCE_METAS[[#This Row],[PROGR. 1° TRIM]])*100,"0")</f>
        <v>100</v>
      </c>
      <c r="S200"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00" s="24">
        <v>0</v>
      </c>
      <c r="U200" s="28">
        <v>0</v>
      </c>
      <c r="V200" s="27" t="str">
        <f t="shared" si="10"/>
        <v>0</v>
      </c>
      <c r="W200" s="26"/>
      <c r="X200" s="24">
        <v>0</v>
      </c>
      <c r="Y200" s="28">
        <v>0</v>
      </c>
      <c r="Z200" s="59" t="s">
        <v>71</v>
      </c>
      <c r="AA200" s="58" t="s">
        <v>72</v>
      </c>
      <c r="AB200" s="24">
        <v>0</v>
      </c>
      <c r="AC200" s="28">
        <v>0</v>
      </c>
      <c r="AD200" s="59" t="str">
        <f>IFERROR((TABLA_AVANCE_METAS[[#This Row],[AVANCE 4°. TRIM]]/TABLA_AVANCE_METAS[[#This Row],[PROGR. 4° TRIM]])*100,"0")</f>
        <v>0</v>
      </c>
      <c r="AE200" s="60"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200" s="30">
        <f t="array" ref="AF200">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200" s="84">
        <f t="array" ref="AG200">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200" s="27">
        <f>IFERROR((TABLA_AVANCE_METAS[[#This Row],[AVANCE ACUM. TRIM.]]/TABLA_AVANCE_METAS[[#This Row],[PROG. ACUM]])*100,"N/A")</f>
        <v>100</v>
      </c>
      <c r="AI200"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00" s="31">
        <f>TABLA_AVANCE_METAS[[#This Row],[AVANCE ACUM. TRIM.]]-TABLA_AVANCE_METAS[[#This Row],[PROG. ACUM]]</f>
        <v>0</v>
      </c>
      <c r="AK200" s="32">
        <f>IFERROR((TABLA_AVANCE_METAS[[#This Row],[DIFERENCIA ABSOLUTA SEMESTRAL]]/TABLA_AVANCE_METAS[[#This Row],[PROG. ACUM]])*100,"N/A")</f>
        <v>0</v>
      </c>
      <c r="AL200" s="84">
        <f>TABLA_AVANCE_METAS[[#This Row],[AVANCE 1°. TRIM]]+TABLA_AVANCE_METAS[[#This Row],[AVANCE 2°. TRIM]]+TABLA_AVANCE_METAS[[#This Row],[AVANCE 3°. TRIM]]+TABLA_AVANCE_METAS[[#This Row],[AVANCE 4°. TRIM]]</f>
        <v>1</v>
      </c>
      <c r="AM200" s="27">
        <f>IFERROR((TABLA_AVANCE_METAS[[#This Row],[AVANCE ACUM. ANUAL]]/TABLA_AVANCE_METAS[[#This Row],[PROGRAMADO ANUAL]])*100,"N/A")</f>
        <v>100</v>
      </c>
      <c r="AN200"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200" s="31">
        <f>TABLA_AVANCE_METAS[[#This Row],[AVANCE ACUM. ANUAL]]-TABLA_AVANCE_METAS[[#This Row],[PROGRAMADO ANUAL]]</f>
        <v>0</v>
      </c>
      <c r="AP200" s="33">
        <f>IFERROR((TABLA_AVANCE_METAS[[#This Row],[DIFERENCIA ABSOLUTA ANUAL]]/TABLA_AVANCE_METAS[[#This Row],[PROGRAMADO ANUAL]])*100,"N/A")</f>
        <v>0</v>
      </c>
      <c r="AQ200" s="34"/>
      <c r="AR200" s="35"/>
      <c r="AS200" s="36"/>
      <c r="AT200" s="36"/>
      <c r="AU200" s="74" t="b">
        <f>TABLA_AVANCE_METAS[[#This Row],[PROGRAMADO ANUAL]]=SUM(TABLA_AVANCE_METAS[[#This Row],[PROGR. 1° TRIM]],TABLA_AVANCE_METAS[[#This Row],[PROGR. 2° TRIM]],TABLA_AVANCE_METAS[[#This Row],[PROGR. 3° TRIM]],TABLA_AVANCE_METAS[[#This Row],[PROGR. 4° TRIM]])</f>
        <v>1</v>
      </c>
      <c r="AV200" s="38"/>
    </row>
    <row r="201" spans="1:48" ht="75" hidden="1" customHeight="1" x14ac:dyDescent="0.35">
      <c r="A201" s="51" t="str">
        <f>CONCATENATE(TABLA_AVANCE_METAS[[#This Row],[ESTRUCTURA]],TABLA_AVANCE_METAS[[#This Row],['#]])</f>
        <v>C0021902020301073</v>
      </c>
      <c r="B201" s="52" t="s">
        <v>603</v>
      </c>
      <c r="C201" s="65" t="s">
        <v>444</v>
      </c>
      <c r="D201" s="71" t="s">
        <v>445</v>
      </c>
      <c r="E201" s="52" t="s">
        <v>525</v>
      </c>
      <c r="F201" s="71" t="s">
        <v>526</v>
      </c>
      <c r="G201" s="72" t="s">
        <v>604</v>
      </c>
      <c r="H201" s="71" t="s">
        <v>176</v>
      </c>
      <c r="I201" s="71" t="s">
        <v>177</v>
      </c>
      <c r="J201" s="71" t="s">
        <v>517</v>
      </c>
      <c r="K201" s="71" t="s">
        <v>518</v>
      </c>
      <c r="L201" s="65">
        <v>3</v>
      </c>
      <c r="M201" s="73" t="s">
        <v>607</v>
      </c>
      <c r="N201" s="72" t="s">
        <v>608</v>
      </c>
      <c r="O201" s="56">
        <v>3</v>
      </c>
      <c r="P201" s="24">
        <v>3</v>
      </c>
      <c r="Q201" s="28">
        <v>3</v>
      </c>
      <c r="R201" s="25">
        <f>IFERROR((TABLA_AVANCE_METAS[[#This Row],[AVANCE 1°. TRIM]]/TABLA_AVANCE_METAS[[#This Row],[PROGR. 1° TRIM]])*100,"0")</f>
        <v>100</v>
      </c>
      <c r="S201"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01" s="24">
        <v>0</v>
      </c>
      <c r="U201" s="28">
        <v>0</v>
      </c>
      <c r="V201" s="27" t="str">
        <f t="shared" si="10"/>
        <v>0</v>
      </c>
      <c r="W201" s="26"/>
      <c r="X201" s="24">
        <v>0</v>
      </c>
      <c r="Y201" s="28">
        <v>0</v>
      </c>
      <c r="Z201" s="59" t="s">
        <v>71</v>
      </c>
      <c r="AA201" s="58" t="s">
        <v>72</v>
      </c>
      <c r="AB201" s="24">
        <v>0</v>
      </c>
      <c r="AC201" s="28">
        <v>0</v>
      </c>
      <c r="AD201" s="59" t="str">
        <f>IFERROR((TABLA_AVANCE_METAS[[#This Row],[AVANCE 4°. TRIM]]/TABLA_AVANCE_METAS[[#This Row],[PROGR. 4° TRIM]])*100,"0")</f>
        <v>0</v>
      </c>
      <c r="AE201" s="60"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201" s="30">
        <f t="array" ref="AF201">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3</v>
      </c>
      <c r="AG201" s="84">
        <f t="array" ref="AG201">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3</v>
      </c>
      <c r="AH201" s="27">
        <f>IFERROR((TABLA_AVANCE_METAS[[#This Row],[AVANCE ACUM. TRIM.]]/TABLA_AVANCE_METAS[[#This Row],[PROG. ACUM]])*100,"N/A")</f>
        <v>100</v>
      </c>
      <c r="AI201"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01" s="31">
        <f>TABLA_AVANCE_METAS[[#This Row],[AVANCE ACUM. TRIM.]]-TABLA_AVANCE_METAS[[#This Row],[PROG. ACUM]]</f>
        <v>0</v>
      </c>
      <c r="AK201" s="32">
        <f>IFERROR((TABLA_AVANCE_METAS[[#This Row],[DIFERENCIA ABSOLUTA SEMESTRAL]]/TABLA_AVANCE_METAS[[#This Row],[PROG. ACUM]])*100,"N/A")</f>
        <v>0</v>
      </c>
      <c r="AL201" s="84">
        <f>TABLA_AVANCE_METAS[[#This Row],[AVANCE 1°. TRIM]]+TABLA_AVANCE_METAS[[#This Row],[AVANCE 2°. TRIM]]+TABLA_AVANCE_METAS[[#This Row],[AVANCE 3°. TRIM]]+TABLA_AVANCE_METAS[[#This Row],[AVANCE 4°. TRIM]]</f>
        <v>3</v>
      </c>
      <c r="AM201" s="27">
        <f>IFERROR((TABLA_AVANCE_METAS[[#This Row],[AVANCE ACUM. ANUAL]]/TABLA_AVANCE_METAS[[#This Row],[PROGRAMADO ANUAL]])*100,"N/A")</f>
        <v>100</v>
      </c>
      <c r="AN201"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201" s="31">
        <f>TABLA_AVANCE_METAS[[#This Row],[AVANCE ACUM. ANUAL]]-TABLA_AVANCE_METAS[[#This Row],[PROGRAMADO ANUAL]]</f>
        <v>0</v>
      </c>
      <c r="AP201" s="33">
        <f>IFERROR((TABLA_AVANCE_METAS[[#This Row],[DIFERENCIA ABSOLUTA ANUAL]]/TABLA_AVANCE_METAS[[#This Row],[PROGRAMADO ANUAL]])*100,"N/A")</f>
        <v>0</v>
      </c>
      <c r="AQ201" s="34"/>
      <c r="AR201" s="35"/>
      <c r="AS201" s="36"/>
      <c r="AT201" s="36"/>
      <c r="AU201" s="74" t="b">
        <f>TABLA_AVANCE_METAS[[#This Row],[PROGRAMADO ANUAL]]=SUM(TABLA_AVANCE_METAS[[#This Row],[PROGR. 1° TRIM]],TABLA_AVANCE_METAS[[#This Row],[PROGR. 2° TRIM]],TABLA_AVANCE_METAS[[#This Row],[PROGR. 3° TRIM]],TABLA_AVANCE_METAS[[#This Row],[PROGR. 4° TRIM]])</f>
        <v>1</v>
      </c>
      <c r="AV201" s="38"/>
    </row>
    <row r="202" spans="1:48" ht="75" hidden="1" customHeight="1" x14ac:dyDescent="0.35">
      <c r="A202" s="51" t="str">
        <f>CONCATENATE(TABLA_AVANCE_METAS[[#This Row],[ESTRUCTURA]],TABLA_AVANCE_METAS[[#This Row],['#]])</f>
        <v>C0021902020301074</v>
      </c>
      <c r="B202" s="52" t="s">
        <v>603</v>
      </c>
      <c r="C202" s="65" t="s">
        <v>444</v>
      </c>
      <c r="D202" s="71" t="s">
        <v>445</v>
      </c>
      <c r="E202" s="52" t="s">
        <v>525</v>
      </c>
      <c r="F202" s="71" t="s">
        <v>526</v>
      </c>
      <c r="G202" s="72" t="s">
        <v>604</v>
      </c>
      <c r="H202" s="71" t="s">
        <v>176</v>
      </c>
      <c r="I202" s="71" t="s">
        <v>177</v>
      </c>
      <c r="J202" s="71" t="s">
        <v>517</v>
      </c>
      <c r="K202" s="71" t="s">
        <v>518</v>
      </c>
      <c r="L202" s="65">
        <v>4</v>
      </c>
      <c r="M202" s="73" t="s">
        <v>609</v>
      </c>
      <c r="N202" s="72" t="s">
        <v>510</v>
      </c>
      <c r="O202" s="56">
        <v>12937327.49</v>
      </c>
      <c r="P202" s="24">
        <v>12937327.49</v>
      </c>
      <c r="Q202" s="28">
        <v>11682016.84</v>
      </c>
      <c r="R202" s="25">
        <f>IFERROR((TABLA_AVANCE_METAS[[#This Row],[AVANCE 1°. TRIM]]/TABLA_AVANCE_METAS[[#This Row],[PROGR. 1° TRIM]])*100,"0")</f>
        <v>90.296986367777251</v>
      </c>
      <c r="S202"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02" s="24">
        <v>0</v>
      </c>
      <c r="U202" s="28">
        <v>0</v>
      </c>
      <c r="V202" s="27" t="str">
        <f t="shared" si="10"/>
        <v>0</v>
      </c>
      <c r="W202" s="26"/>
      <c r="X202" s="24">
        <v>0</v>
      </c>
      <c r="Y202" s="28">
        <v>0</v>
      </c>
      <c r="Z202" s="59" t="s">
        <v>71</v>
      </c>
      <c r="AA202" s="58" t="s">
        <v>72</v>
      </c>
      <c r="AB202" s="24">
        <v>0</v>
      </c>
      <c r="AC202" s="28">
        <v>0</v>
      </c>
      <c r="AD202" s="59" t="str">
        <f>IFERROR((TABLA_AVANCE_METAS[[#This Row],[AVANCE 4°. TRIM]]/TABLA_AVANCE_METAS[[#This Row],[PROGR. 4° TRIM]])*100,"0")</f>
        <v>0</v>
      </c>
      <c r="AE202" s="60"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202" s="30">
        <f t="array" ref="AF202">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12937327.49</v>
      </c>
      <c r="AG202" s="84">
        <f t="array" ref="AG202">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11682016.84</v>
      </c>
      <c r="AH202" s="27">
        <f>IFERROR((TABLA_AVANCE_METAS[[#This Row],[AVANCE ACUM. TRIM.]]/TABLA_AVANCE_METAS[[#This Row],[PROG. ACUM]])*100,"N/A")</f>
        <v>90.296986367777251</v>
      </c>
      <c r="AI202"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02" s="31">
        <f>TABLA_AVANCE_METAS[[#This Row],[AVANCE ACUM. TRIM.]]-TABLA_AVANCE_METAS[[#This Row],[PROG. ACUM]]</f>
        <v>-1255310.6500000004</v>
      </c>
      <c r="AK202" s="32">
        <f>IFERROR((TABLA_AVANCE_METAS[[#This Row],[DIFERENCIA ABSOLUTA SEMESTRAL]]/TABLA_AVANCE_METAS[[#This Row],[PROG. ACUM]])*100,"N/A")</f>
        <v>-9.703013632222742</v>
      </c>
      <c r="AL202" s="84">
        <f>TABLA_AVANCE_METAS[[#This Row],[AVANCE 1°. TRIM]]+TABLA_AVANCE_METAS[[#This Row],[AVANCE 2°. TRIM]]+TABLA_AVANCE_METAS[[#This Row],[AVANCE 3°. TRIM]]+TABLA_AVANCE_METAS[[#This Row],[AVANCE 4°. TRIM]]</f>
        <v>11682016.84</v>
      </c>
      <c r="AM202" s="27">
        <f>IFERROR((TABLA_AVANCE_METAS[[#This Row],[AVANCE ACUM. ANUAL]]/TABLA_AVANCE_METAS[[#This Row],[PROGRAMADO ANUAL]])*100,"N/A")</f>
        <v>90.296986367777251</v>
      </c>
      <c r="AN202"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202" s="31">
        <f>TABLA_AVANCE_METAS[[#This Row],[AVANCE ACUM. ANUAL]]-TABLA_AVANCE_METAS[[#This Row],[PROGRAMADO ANUAL]]</f>
        <v>-1255310.6500000004</v>
      </c>
      <c r="AP202" s="33">
        <f>IFERROR((TABLA_AVANCE_METAS[[#This Row],[DIFERENCIA ABSOLUTA ANUAL]]/TABLA_AVANCE_METAS[[#This Row],[PROGRAMADO ANUAL]])*100,"N/A")</f>
        <v>-9.703013632222742</v>
      </c>
      <c r="AQ202" s="65"/>
      <c r="AR202" s="35"/>
      <c r="AS202" s="79"/>
      <c r="AT202" s="79"/>
      <c r="AU202" s="74" t="b">
        <f>TABLA_AVANCE_METAS[[#This Row],[PROGRAMADO ANUAL]]=SUM(TABLA_AVANCE_METAS[[#This Row],[PROGR. 1° TRIM]],TABLA_AVANCE_METAS[[#This Row],[PROGR. 2° TRIM]],TABLA_AVANCE_METAS[[#This Row],[PROGR. 3° TRIM]],TABLA_AVANCE_METAS[[#This Row],[PROGR. 4° TRIM]])</f>
        <v>1</v>
      </c>
      <c r="AV202" s="38"/>
    </row>
    <row r="203" spans="1:48" ht="75" hidden="1" customHeight="1" x14ac:dyDescent="0.35">
      <c r="A203" s="19" t="str">
        <f>CONCATENATE(TABLA_AVANCE_METAS[[#This Row],[ESTRUCTURA]],TABLA_AVANCE_METAS[[#This Row],['#]])</f>
        <v>D0022801030501041</v>
      </c>
      <c r="B203" s="20" t="s">
        <v>610</v>
      </c>
      <c r="C203" s="41" t="s">
        <v>611</v>
      </c>
      <c r="D203" s="40" t="s">
        <v>612</v>
      </c>
      <c r="E203" s="20" t="s">
        <v>613</v>
      </c>
      <c r="F203" s="40" t="s">
        <v>614</v>
      </c>
      <c r="G203" s="42" t="s">
        <v>615</v>
      </c>
      <c r="H203" s="40" t="s">
        <v>616</v>
      </c>
      <c r="I203" s="40" t="s">
        <v>617</v>
      </c>
      <c r="J203" s="40" t="s">
        <v>618</v>
      </c>
      <c r="K203" s="40" t="s">
        <v>619</v>
      </c>
      <c r="L203" s="41">
        <v>1</v>
      </c>
      <c r="M203" s="43" t="s">
        <v>620</v>
      </c>
      <c r="N203" s="42" t="s">
        <v>156</v>
      </c>
      <c r="O203" s="24">
        <v>60</v>
      </c>
      <c r="P203" s="24">
        <v>16</v>
      </c>
      <c r="Q203" s="28">
        <v>16</v>
      </c>
      <c r="R203" s="25">
        <f>IFERROR((TABLA_AVANCE_METAS[[#This Row],[AVANCE 1°. TRIM]]/TABLA_AVANCE_METAS[[#This Row],[PROGR. 1° TRIM]])*100,"0")</f>
        <v>100</v>
      </c>
      <c r="S203"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03" s="24">
        <v>14</v>
      </c>
      <c r="U203" s="28">
        <v>14</v>
      </c>
      <c r="V203" s="27">
        <f t="shared" si="10"/>
        <v>100</v>
      </c>
      <c r="W203" s="26" t="str">
        <f t="shared" ref="W203:W250" si="11">IF(AND(V203&gt;=0,V203&lt;=49.9999999999999),"CRÍTICO",IF(AND(V203&gt;=50,V203&lt;=69.9999999999999),"DEFICIENTE",IF(AND(V203&gt;=70,V203&lt;=89.9999999999999),"REGULAR",IF(AND(V203&gt;=90,V203&lt;=110.999999999999),"ADECUADO",IF(AND(V203&gt;=111,V203&lt;=999999),"SOBREPASADO","NO PROG.")))))</f>
        <v>ADECUADO</v>
      </c>
      <c r="X203" s="24">
        <v>16</v>
      </c>
      <c r="Y203" s="28">
        <v>0</v>
      </c>
      <c r="Z203" s="27">
        <v>0</v>
      </c>
      <c r="AA203" s="26" t="s">
        <v>62</v>
      </c>
      <c r="AB203" s="24">
        <v>14</v>
      </c>
      <c r="AC203" s="28">
        <v>0</v>
      </c>
      <c r="AD203" s="27">
        <f>IFERROR((TABLA_AVANCE_METAS[[#This Row],[AVANCE 4°. TRIM]]/TABLA_AVANCE_METAS[[#This Row],[PROGR. 4° TRIM]])*100,"0")</f>
        <v>0</v>
      </c>
      <c r="AE203"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03" s="30">
        <f t="array" ref="AF203">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30</v>
      </c>
      <c r="AG203" s="84">
        <f t="array" ref="AG203">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30</v>
      </c>
      <c r="AH203" s="27">
        <f>IFERROR((TABLA_AVANCE_METAS[[#This Row],[AVANCE ACUM. TRIM.]]/TABLA_AVANCE_METAS[[#This Row],[PROG. ACUM]])*100,"N/A")</f>
        <v>100</v>
      </c>
      <c r="AI203"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03" s="31">
        <f>TABLA_AVANCE_METAS[[#This Row],[AVANCE ACUM. TRIM.]]-TABLA_AVANCE_METAS[[#This Row],[PROG. ACUM]]</f>
        <v>0</v>
      </c>
      <c r="AK203" s="32">
        <f>IFERROR((TABLA_AVANCE_METAS[[#This Row],[DIFERENCIA ABSOLUTA SEMESTRAL]]/TABLA_AVANCE_METAS[[#This Row],[PROG. ACUM]])*100,"N/A")</f>
        <v>0</v>
      </c>
      <c r="AL203" s="84">
        <f>TABLA_AVANCE_METAS[[#This Row],[AVANCE 1°. TRIM]]+TABLA_AVANCE_METAS[[#This Row],[AVANCE 2°. TRIM]]+TABLA_AVANCE_METAS[[#This Row],[AVANCE 3°. TRIM]]+TABLA_AVANCE_METAS[[#This Row],[AVANCE 4°. TRIM]]</f>
        <v>30</v>
      </c>
      <c r="AM203" s="27">
        <f>IFERROR((TABLA_AVANCE_METAS[[#This Row],[AVANCE ACUM. ANUAL]]/TABLA_AVANCE_METAS[[#This Row],[PROGRAMADO ANUAL]])*100,"N/A")</f>
        <v>50</v>
      </c>
      <c r="AN203"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203" s="31">
        <f>TABLA_AVANCE_METAS[[#This Row],[AVANCE ACUM. ANUAL]]-TABLA_AVANCE_METAS[[#This Row],[PROGRAMADO ANUAL]]</f>
        <v>-30</v>
      </c>
      <c r="AP203" s="33">
        <f>IFERROR((TABLA_AVANCE_METAS[[#This Row],[DIFERENCIA ABSOLUTA ANUAL]]/TABLA_AVANCE_METAS[[#This Row],[PROGRAMADO ANUAL]])*100,"N/A")</f>
        <v>-50</v>
      </c>
      <c r="AQ203" s="65"/>
      <c r="AR203" s="66"/>
      <c r="AS203" s="79"/>
      <c r="AT203" s="79"/>
      <c r="AU203" s="37" t="b">
        <f>TABLA_AVANCE_METAS[[#This Row],[PROGRAMADO ANUAL]]=SUM(TABLA_AVANCE_METAS[[#This Row],[PROGR. 1° TRIM]],TABLA_AVANCE_METAS[[#This Row],[PROGR. 2° TRIM]],TABLA_AVANCE_METAS[[#This Row],[PROGR. 3° TRIM]],TABLA_AVANCE_METAS[[#This Row],[PROGR. 4° TRIM]])</f>
        <v>1</v>
      </c>
      <c r="AV203" s="38"/>
    </row>
    <row r="204" spans="1:48" ht="75" hidden="1" customHeight="1" x14ac:dyDescent="0.35">
      <c r="A204" s="19" t="str">
        <f>CONCATENATE(TABLA_AVANCE_METAS[[#This Row],[ESTRUCTURA]],TABLA_AVANCE_METAS[[#This Row],['#]])</f>
        <v>D0022801030501042</v>
      </c>
      <c r="B204" s="20" t="s">
        <v>610</v>
      </c>
      <c r="C204" s="48" t="s">
        <v>611</v>
      </c>
      <c r="D204" s="47" t="s">
        <v>612</v>
      </c>
      <c r="E204" s="20" t="s">
        <v>613</v>
      </c>
      <c r="F204" s="47" t="s">
        <v>614</v>
      </c>
      <c r="G204" s="22" t="s">
        <v>615</v>
      </c>
      <c r="H204" s="47" t="s">
        <v>616</v>
      </c>
      <c r="I204" s="47" t="s">
        <v>617</v>
      </c>
      <c r="J204" s="47" t="s">
        <v>618</v>
      </c>
      <c r="K204" s="47" t="s">
        <v>619</v>
      </c>
      <c r="L204" s="21">
        <v>2</v>
      </c>
      <c r="M204" s="43" t="s">
        <v>621</v>
      </c>
      <c r="N204" s="22" t="s">
        <v>148</v>
      </c>
      <c r="O204" s="24">
        <v>3</v>
      </c>
      <c r="P204" s="24">
        <v>0</v>
      </c>
      <c r="Q204" s="28">
        <v>0</v>
      </c>
      <c r="R204" s="25" t="str">
        <f>IFERROR((TABLA_AVANCE_METAS[[#This Row],[AVANCE 1°. TRIM]]/TABLA_AVANCE_METAS[[#This Row],[PROGR. 1° TRIM]])*100,"0")</f>
        <v>0</v>
      </c>
      <c r="S204"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204" s="24">
        <v>1</v>
      </c>
      <c r="U204" s="28">
        <v>1</v>
      </c>
      <c r="V204" s="27">
        <f t="shared" si="10"/>
        <v>100</v>
      </c>
      <c r="W204" s="26" t="str">
        <f t="shared" si="11"/>
        <v>ADECUADO</v>
      </c>
      <c r="X204" s="24">
        <v>1</v>
      </c>
      <c r="Y204" s="28">
        <v>0</v>
      </c>
      <c r="Z204" s="27">
        <v>0</v>
      </c>
      <c r="AA204" s="26" t="s">
        <v>62</v>
      </c>
      <c r="AB204" s="24">
        <v>1</v>
      </c>
      <c r="AC204" s="28">
        <v>0</v>
      </c>
      <c r="AD204" s="27">
        <f>IFERROR((TABLA_AVANCE_METAS[[#This Row],[AVANCE 4°. TRIM]]/TABLA_AVANCE_METAS[[#This Row],[PROGR. 4° TRIM]])*100,"0")</f>
        <v>0</v>
      </c>
      <c r="AE204"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04" s="30">
        <f t="array" ref="AF204">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204" s="84">
        <f t="array" ref="AG204">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204" s="27">
        <f>IFERROR((TABLA_AVANCE_METAS[[#This Row],[AVANCE ACUM. TRIM.]]/TABLA_AVANCE_METAS[[#This Row],[PROG. ACUM]])*100,"N/A")</f>
        <v>100</v>
      </c>
      <c r="AI204"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04" s="31">
        <f>TABLA_AVANCE_METAS[[#This Row],[AVANCE ACUM. TRIM.]]-TABLA_AVANCE_METAS[[#This Row],[PROG. ACUM]]</f>
        <v>0</v>
      </c>
      <c r="AK204" s="32">
        <f>IFERROR((TABLA_AVANCE_METAS[[#This Row],[DIFERENCIA ABSOLUTA SEMESTRAL]]/TABLA_AVANCE_METAS[[#This Row],[PROG. ACUM]])*100,"N/A")</f>
        <v>0</v>
      </c>
      <c r="AL204" s="84">
        <f>TABLA_AVANCE_METAS[[#This Row],[AVANCE 1°. TRIM]]+TABLA_AVANCE_METAS[[#This Row],[AVANCE 2°. TRIM]]+TABLA_AVANCE_METAS[[#This Row],[AVANCE 3°. TRIM]]+TABLA_AVANCE_METAS[[#This Row],[AVANCE 4°. TRIM]]</f>
        <v>1</v>
      </c>
      <c r="AM204" s="27">
        <f>IFERROR((TABLA_AVANCE_METAS[[#This Row],[AVANCE ACUM. ANUAL]]/TABLA_AVANCE_METAS[[#This Row],[PROGRAMADO ANUAL]])*100,"N/A")</f>
        <v>33.333333333333329</v>
      </c>
      <c r="AN204"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204" s="31">
        <f>TABLA_AVANCE_METAS[[#This Row],[AVANCE ACUM. ANUAL]]-TABLA_AVANCE_METAS[[#This Row],[PROGRAMADO ANUAL]]</f>
        <v>-2</v>
      </c>
      <c r="AP204" s="33">
        <f>IFERROR((TABLA_AVANCE_METAS[[#This Row],[DIFERENCIA ABSOLUTA ANUAL]]/TABLA_AVANCE_METAS[[#This Row],[PROGRAMADO ANUAL]])*100,"N/A")</f>
        <v>-66.666666666666657</v>
      </c>
      <c r="AQ204" s="34"/>
      <c r="AR204" s="35"/>
      <c r="AS204" s="36"/>
      <c r="AT204" s="36"/>
      <c r="AU204" s="37" t="b">
        <f>TABLA_AVANCE_METAS[[#This Row],[PROGRAMADO ANUAL]]=SUM(TABLA_AVANCE_METAS[[#This Row],[PROGR. 1° TRIM]],TABLA_AVANCE_METAS[[#This Row],[PROGR. 2° TRIM]],TABLA_AVANCE_METAS[[#This Row],[PROGR. 3° TRIM]],TABLA_AVANCE_METAS[[#This Row],[PROGR. 4° TRIM]])</f>
        <v>1</v>
      </c>
      <c r="AV204" s="38"/>
    </row>
    <row r="205" spans="1:48" ht="75" hidden="1" customHeight="1" x14ac:dyDescent="0.35">
      <c r="A205" s="19" t="str">
        <f>CONCATENATE(TABLA_AVANCE_METAS[[#This Row],[ESTRUCTURA]],TABLA_AVANCE_METAS[[#This Row],['#]])</f>
        <v>D0022801030501043</v>
      </c>
      <c r="B205" s="20" t="s">
        <v>610</v>
      </c>
      <c r="C205" s="41" t="s">
        <v>611</v>
      </c>
      <c r="D205" s="40" t="s">
        <v>612</v>
      </c>
      <c r="E205" s="20" t="s">
        <v>613</v>
      </c>
      <c r="F205" s="40" t="s">
        <v>614</v>
      </c>
      <c r="G205" s="42" t="s">
        <v>615</v>
      </c>
      <c r="H205" s="40" t="s">
        <v>616</v>
      </c>
      <c r="I205" s="40" t="s">
        <v>617</v>
      </c>
      <c r="J205" s="40" t="s">
        <v>618</v>
      </c>
      <c r="K205" s="40" t="s">
        <v>619</v>
      </c>
      <c r="L205" s="41">
        <v>3</v>
      </c>
      <c r="M205" s="43" t="s">
        <v>622</v>
      </c>
      <c r="N205" s="42" t="s">
        <v>148</v>
      </c>
      <c r="O205" s="24">
        <v>10</v>
      </c>
      <c r="P205" s="24">
        <v>3</v>
      </c>
      <c r="Q205" s="28">
        <v>3</v>
      </c>
      <c r="R205" s="25">
        <f>IFERROR((TABLA_AVANCE_METAS[[#This Row],[AVANCE 1°. TRIM]]/TABLA_AVANCE_METAS[[#This Row],[PROGR. 1° TRIM]])*100,"0")</f>
        <v>100</v>
      </c>
      <c r="S205"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05" s="24">
        <v>2</v>
      </c>
      <c r="U205" s="28">
        <v>2</v>
      </c>
      <c r="V205" s="27">
        <f t="shared" si="10"/>
        <v>100</v>
      </c>
      <c r="W205" s="26" t="str">
        <f t="shared" si="11"/>
        <v>ADECUADO</v>
      </c>
      <c r="X205" s="24">
        <v>3</v>
      </c>
      <c r="Y205" s="28">
        <v>0</v>
      </c>
      <c r="Z205" s="27">
        <v>0</v>
      </c>
      <c r="AA205" s="26" t="s">
        <v>62</v>
      </c>
      <c r="AB205" s="24">
        <v>2</v>
      </c>
      <c r="AC205" s="28">
        <v>0</v>
      </c>
      <c r="AD205" s="27">
        <f>IFERROR((TABLA_AVANCE_METAS[[#This Row],[AVANCE 4°. TRIM]]/TABLA_AVANCE_METAS[[#This Row],[PROGR. 4° TRIM]])*100,"0")</f>
        <v>0</v>
      </c>
      <c r="AE205"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05" s="30">
        <f t="array" ref="AF205">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5</v>
      </c>
      <c r="AG205" s="84">
        <f t="array" ref="AG205">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5</v>
      </c>
      <c r="AH205" s="27">
        <f>IFERROR((TABLA_AVANCE_METAS[[#This Row],[AVANCE ACUM. TRIM.]]/TABLA_AVANCE_METAS[[#This Row],[PROG. ACUM]])*100,"N/A")</f>
        <v>100</v>
      </c>
      <c r="AI205"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05" s="31">
        <f>TABLA_AVANCE_METAS[[#This Row],[AVANCE ACUM. TRIM.]]-TABLA_AVANCE_METAS[[#This Row],[PROG. ACUM]]</f>
        <v>0</v>
      </c>
      <c r="AK205" s="32">
        <f>IFERROR((TABLA_AVANCE_METAS[[#This Row],[DIFERENCIA ABSOLUTA SEMESTRAL]]/TABLA_AVANCE_METAS[[#This Row],[PROG. ACUM]])*100,"N/A")</f>
        <v>0</v>
      </c>
      <c r="AL205" s="84">
        <f>TABLA_AVANCE_METAS[[#This Row],[AVANCE 1°. TRIM]]+TABLA_AVANCE_METAS[[#This Row],[AVANCE 2°. TRIM]]+TABLA_AVANCE_METAS[[#This Row],[AVANCE 3°. TRIM]]+TABLA_AVANCE_METAS[[#This Row],[AVANCE 4°. TRIM]]</f>
        <v>5</v>
      </c>
      <c r="AM205" s="27">
        <f>IFERROR((TABLA_AVANCE_METAS[[#This Row],[AVANCE ACUM. ANUAL]]/TABLA_AVANCE_METAS[[#This Row],[PROGRAMADO ANUAL]])*100,"N/A")</f>
        <v>50</v>
      </c>
      <c r="AN205"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205" s="31">
        <f>TABLA_AVANCE_METAS[[#This Row],[AVANCE ACUM. ANUAL]]-TABLA_AVANCE_METAS[[#This Row],[PROGRAMADO ANUAL]]</f>
        <v>-5</v>
      </c>
      <c r="AP205" s="33">
        <f>IFERROR((TABLA_AVANCE_METAS[[#This Row],[DIFERENCIA ABSOLUTA ANUAL]]/TABLA_AVANCE_METAS[[#This Row],[PROGRAMADO ANUAL]])*100,"N/A")</f>
        <v>-50</v>
      </c>
      <c r="AQ205" s="34"/>
      <c r="AR205" s="35"/>
      <c r="AS205" s="36"/>
      <c r="AT205" s="36"/>
      <c r="AU205" s="37" t="b">
        <f>TABLA_AVANCE_METAS[[#This Row],[PROGRAMADO ANUAL]]=SUM(TABLA_AVANCE_METAS[[#This Row],[PROGR. 1° TRIM]],TABLA_AVANCE_METAS[[#This Row],[PROGR. 2° TRIM]],TABLA_AVANCE_METAS[[#This Row],[PROGR. 3° TRIM]],TABLA_AVANCE_METAS[[#This Row],[PROGR. 4° TRIM]])</f>
        <v>1</v>
      </c>
      <c r="AV205" s="38"/>
    </row>
    <row r="206" spans="1:48" ht="75" hidden="1" customHeight="1" x14ac:dyDescent="0.35">
      <c r="A206" s="19" t="str">
        <f>CONCATENATE(TABLA_AVANCE_METAS[[#This Row],[ESTRUCTURA]],TABLA_AVANCE_METAS[[#This Row],['#]])</f>
        <v>D0022801030501044</v>
      </c>
      <c r="B206" s="20" t="s">
        <v>610</v>
      </c>
      <c r="C206" s="41" t="s">
        <v>611</v>
      </c>
      <c r="D206" s="40" t="s">
        <v>612</v>
      </c>
      <c r="E206" s="20" t="s">
        <v>613</v>
      </c>
      <c r="F206" s="40" t="s">
        <v>614</v>
      </c>
      <c r="G206" s="42" t="s">
        <v>615</v>
      </c>
      <c r="H206" s="40" t="s">
        <v>616</v>
      </c>
      <c r="I206" s="40" t="s">
        <v>617</v>
      </c>
      <c r="J206" s="40" t="s">
        <v>618</v>
      </c>
      <c r="K206" s="40" t="s">
        <v>619</v>
      </c>
      <c r="L206" s="41">
        <v>4</v>
      </c>
      <c r="M206" s="43" t="s">
        <v>623</v>
      </c>
      <c r="N206" s="42" t="s">
        <v>148</v>
      </c>
      <c r="O206" s="24">
        <v>4</v>
      </c>
      <c r="P206" s="24">
        <v>1</v>
      </c>
      <c r="Q206" s="28">
        <v>1</v>
      </c>
      <c r="R206" s="25">
        <f>IFERROR((TABLA_AVANCE_METAS[[#This Row],[AVANCE 1°. TRIM]]/TABLA_AVANCE_METAS[[#This Row],[PROGR. 1° TRIM]])*100,"0")</f>
        <v>100</v>
      </c>
      <c r="S206"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06" s="24">
        <v>1</v>
      </c>
      <c r="U206" s="28">
        <v>1</v>
      </c>
      <c r="V206" s="27">
        <f t="shared" si="10"/>
        <v>100</v>
      </c>
      <c r="W206" s="26" t="str">
        <f t="shared" si="11"/>
        <v>ADECUADO</v>
      </c>
      <c r="X206" s="24">
        <v>1</v>
      </c>
      <c r="Y206" s="28">
        <v>0</v>
      </c>
      <c r="Z206" s="27">
        <v>0</v>
      </c>
      <c r="AA206" s="26" t="s">
        <v>62</v>
      </c>
      <c r="AB206" s="24">
        <v>1</v>
      </c>
      <c r="AC206" s="28">
        <v>0</v>
      </c>
      <c r="AD206" s="27">
        <f>IFERROR((TABLA_AVANCE_METAS[[#This Row],[AVANCE 4°. TRIM]]/TABLA_AVANCE_METAS[[#This Row],[PROGR. 4° TRIM]])*100,"0")</f>
        <v>0</v>
      </c>
      <c r="AE206"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06" s="30">
        <f t="array" ref="AF206">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206" s="84">
        <f t="array" ref="AG206">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206" s="27">
        <f>IFERROR((TABLA_AVANCE_METAS[[#This Row],[AVANCE ACUM. TRIM.]]/TABLA_AVANCE_METAS[[#This Row],[PROG. ACUM]])*100,"N/A")</f>
        <v>100</v>
      </c>
      <c r="AI206"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06" s="31">
        <f>TABLA_AVANCE_METAS[[#This Row],[AVANCE ACUM. TRIM.]]-TABLA_AVANCE_METAS[[#This Row],[PROG. ACUM]]</f>
        <v>0</v>
      </c>
      <c r="AK206" s="32">
        <f>IFERROR((TABLA_AVANCE_METAS[[#This Row],[DIFERENCIA ABSOLUTA SEMESTRAL]]/TABLA_AVANCE_METAS[[#This Row],[PROG. ACUM]])*100,"N/A")</f>
        <v>0</v>
      </c>
      <c r="AL206" s="84">
        <f>TABLA_AVANCE_METAS[[#This Row],[AVANCE 1°. TRIM]]+TABLA_AVANCE_METAS[[#This Row],[AVANCE 2°. TRIM]]+TABLA_AVANCE_METAS[[#This Row],[AVANCE 3°. TRIM]]+TABLA_AVANCE_METAS[[#This Row],[AVANCE 4°. TRIM]]</f>
        <v>2</v>
      </c>
      <c r="AM206" s="27">
        <f>IFERROR((TABLA_AVANCE_METAS[[#This Row],[AVANCE ACUM. ANUAL]]/TABLA_AVANCE_METAS[[#This Row],[PROGRAMADO ANUAL]])*100,"N/A")</f>
        <v>50</v>
      </c>
      <c r="AN206"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206" s="31">
        <f>TABLA_AVANCE_METAS[[#This Row],[AVANCE ACUM. ANUAL]]-TABLA_AVANCE_METAS[[#This Row],[PROGRAMADO ANUAL]]</f>
        <v>-2</v>
      </c>
      <c r="AP206" s="33">
        <f>IFERROR((TABLA_AVANCE_METAS[[#This Row],[DIFERENCIA ABSOLUTA ANUAL]]/TABLA_AVANCE_METAS[[#This Row],[PROGRAMADO ANUAL]])*100,"N/A")</f>
        <v>-50</v>
      </c>
      <c r="AQ206" s="65"/>
      <c r="AR206" s="66"/>
      <c r="AS206" s="79"/>
      <c r="AT206" s="79"/>
      <c r="AU206" s="37" t="b">
        <f>TABLA_AVANCE_METAS[[#This Row],[PROGRAMADO ANUAL]]=SUM(TABLA_AVANCE_METAS[[#This Row],[PROGR. 1° TRIM]],TABLA_AVANCE_METAS[[#This Row],[PROGR. 2° TRIM]],TABLA_AVANCE_METAS[[#This Row],[PROGR. 3° TRIM]],TABLA_AVANCE_METAS[[#This Row],[PROGR. 4° TRIM]])</f>
        <v>1</v>
      </c>
      <c r="AV206" s="38"/>
    </row>
    <row r="207" spans="1:48" ht="75" hidden="1" customHeight="1" x14ac:dyDescent="0.35">
      <c r="A207" s="19" t="str">
        <f>CONCATENATE(TABLA_AVANCE_METAS[[#This Row],[ESTRUCTURA]],TABLA_AVANCE_METAS[[#This Row],['#]])</f>
        <v>D0022801030501045</v>
      </c>
      <c r="B207" s="20" t="s">
        <v>610</v>
      </c>
      <c r="C207" s="41" t="s">
        <v>611</v>
      </c>
      <c r="D207" s="40" t="s">
        <v>612</v>
      </c>
      <c r="E207" s="20" t="s">
        <v>613</v>
      </c>
      <c r="F207" s="40" t="s">
        <v>614</v>
      </c>
      <c r="G207" s="42" t="s">
        <v>615</v>
      </c>
      <c r="H207" s="40" t="s">
        <v>616</v>
      </c>
      <c r="I207" s="40" t="s">
        <v>617</v>
      </c>
      <c r="J207" s="40" t="s">
        <v>618</v>
      </c>
      <c r="K207" s="40" t="s">
        <v>619</v>
      </c>
      <c r="L207" s="41">
        <v>5</v>
      </c>
      <c r="M207" s="43" t="s">
        <v>624</v>
      </c>
      <c r="N207" s="42" t="s">
        <v>148</v>
      </c>
      <c r="O207" s="24">
        <v>10</v>
      </c>
      <c r="P207" s="24">
        <v>3</v>
      </c>
      <c r="Q207" s="28">
        <v>3</v>
      </c>
      <c r="R207" s="25">
        <f>IFERROR((TABLA_AVANCE_METAS[[#This Row],[AVANCE 1°. TRIM]]/TABLA_AVANCE_METAS[[#This Row],[PROGR. 1° TRIM]])*100,"0")</f>
        <v>100</v>
      </c>
      <c r="S207"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07" s="24">
        <v>2</v>
      </c>
      <c r="U207" s="28">
        <v>2</v>
      </c>
      <c r="V207" s="27">
        <f t="shared" si="10"/>
        <v>100</v>
      </c>
      <c r="W207" s="26" t="str">
        <f t="shared" si="11"/>
        <v>ADECUADO</v>
      </c>
      <c r="X207" s="24">
        <v>3</v>
      </c>
      <c r="Y207" s="28">
        <v>0</v>
      </c>
      <c r="Z207" s="27">
        <v>0</v>
      </c>
      <c r="AA207" s="26" t="s">
        <v>62</v>
      </c>
      <c r="AB207" s="24">
        <v>2</v>
      </c>
      <c r="AC207" s="28">
        <v>0</v>
      </c>
      <c r="AD207" s="27">
        <f>IFERROR((TABLA_AVANCE_METAS[[#This Row],[AVANCE 4°. TRIM]]/TABLA_AVANCE_METAS[[#This Row],[PROGR. 4° TRIM]])*100,"0")</f>
        <v>0</v>
      </c>
      <c r="AE207"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07" s="30">
        <f t="array" ref="AF207">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5</v>
      </c>
      <c r="AG207" s="84">
        <f t="array" ref="AG207">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5</v>
      </c>
      <c r="AH207" s="27">
        <f>IFERROR((TABLA_AVANCE_METAS[[#This Row],[AVANCE ACUM. TRIM.]]/TABLA_AVANCE_METAS[[#This Row],[PROG. ACUM]])*100,"N/A")</f>
        <v>100</v>
      </c>
      <c r="AI207"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07" s="31">
        <f>TABLA_AVANCE_METAS[[#This Row],[AVANCE ACUM. TRIM.]]-TABLA_AVANCE_METAS[[#This Row],[PROG. ACUM]]</f>
        <v>0</v>
      </c>
      <c r="AK207" s="32">
        <f>IFERROR((TABLA_AVANCE_METAS[[#This Row],[DIFERENCIA ABSOLUTA SEMESTRAL]]/TABLA_AVANCE_METAS[[#This Row],[PROG. ACUM]])*100,"N/A")</f>
        <v>0</v>
      </c>
      <c r="AL207" s="84">
        <f>TABLA_AVANCE_METAS[[#This Row],[AVANCE 1°. TRIM]]+TABLA_AVANCE_METAS[[#This Row],[AVANCE 2°. TRIM]]+TABLA_AVANCE_METAS[[#This Row],[AVANCE 3°. TRIM]]+TABLA_AVANCE_METAS[[#This Row],[AVANCE 4°. TRIM]]</f>
        <v>5</v>
      </c>
      <c r="AM207" s="27">
        <f>IFERROR((TABLA_AVANCE_METAS[[#This Row],[AVANCE ACUM. ANUAL]]/TABLA_AVANCE_METAS[[#This Row],[PROGRAMADO ANUAL]])*100,"N/A")</f>
        <v>50</v>
      </c>
      <c r="AN207"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207" s="31">
        <f>TABLA_AVANCE_METAS[[#This Row],[AVANCE ACUM. ANUAL]]-TABLA_AVANCE_METAS[[#This Row],[PROGRAMADO ANUAL]]</f>
        <v>-5</v>
      </c>
      <c r="AP207" s="33">
        <f>IFERROR((TABLA_AVANCE_METAS[[#This Row],[DIFERENCIA ABSOLUTA ANUAL]]/TABLA_AVANCE_METAS[[#This Row],[PROGRAMADO ANUAL]])*100,"N/A")</f>
        <v>-50</v>
      </c>
      <c r="AQ207" s="65"/>
      <c r="AR207" s="66"/>
      <c r="AS207" s="79"/>
      <c r="AT207" s="79"/>
      <c r="AU207" s="37" t="b">
        <f>TABLA_AVANCE_METAS[[#This Row],[PROGRAMADO ANUAL]]=SUM(TABLA_AVANCE_METAS[[#This Row],[PROGR. 1° TRIM]],TABLA_AVANCE_METAS[[#This Row],[PROGR. 2° TRIM]],TABLA_AVANCE_METAS[[#This Row],[PROGR. 3° TRIM]],TABLA_AVANCE_METAS[[#This Row],[PROGR. 4° TRIM]])</f>
        <v>1</v>
      </c>
      <c r="AV207" s="38"/>
    </row>
    <row r="208" spans="1:48" ht="75" hidden="1" customHeight="1" x14ac:dyDescent="0.35">
      <c r="A208" s="19" t="str">
        <f>CONCATENATE(TABLA_AVANCE_METAS[[#This Row],[ESTRUCTURA]],TABLA_AVANCE_METAS[[#This Row],['#]])</f>
        <v>D0022801030501046</v>
      </c>
      <c r="B208" s="20" t="s">
        <v>610</v>
      </c>
      <c r="C208" s="41" t="s">
        <v>611</v>
      </c>
      <c r="D208" s="40" t="s">
        <v>612</v>
      </c>
      <c r="E208" s="20" t="s">
        <v>613</v>
      </c>
      <c r="F208" s="40" t="s">
        <v>614</v>
      </c>
      <c r="G208" s="42" t="s">
        <v>615</v>
      </c>
      <c r="H208" s="40" t="s">
        <v>616</v>
      </c>
      <c r="I208" s="40" t="s">
        <v>617</v>
      </c>
      <c r="J208" s="40" t="s">
        <v>618</v>
      </c>
      <c r="K208" s="40" t="s">
        <v>619</v>
      </c>
      <c r="L208" s="41">
        <v>6</v>
      </c>
      <c r="M208" s="43" t="s">
        <v>625</v>
      </c>
      <c r="N208" s="42" t="s">
        <v>205</v>
      </c>
      <c r="O208" s="24">
        <v>240</v>
      </c>
      <c r="P208" s="24">
        <v>60</v>
      </c>
      <c r="Q208" s="28">
        <v>60</v>
      </c>
      <c r="R208" s="25">
        <f>IFERROR((TABLA_AVANCE_METAS[[#This Row],[AVANCE 1°. TRIM]]/TABLA_AVANCE_METAS[[#This Row],[PROGR. 1° TRIM]])*100,"0")</f>
        <v>100</v>
      </c>
      <c r="S208"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08" s="24">
        <v>60</v>
      </c>
      <c r="U208" s="28">
        <v>60</v>
      </c>
      <c r="V208" s="27">
        <f t="shared" si="10"/>
        <v>100</v>
      </c>
      <c r="W208" s="26" t="str">
        <f t="shared" si="11"/>
        <v>ADECUADO</v>
      </c>
      <c r="X208" s="24">
        <v>60</v>
      </c>
      <c r="Y208" s="28">
        <v>0</v>
      </c>
      <c r="Z208" s="27">
        <v>0</v>
      </c>
      <c r="AA208" s="26" t="s">
        <v>62</v>
      </c>
      <c r="AB208" s="24">
        <v>60</v>
      </c>
      <c r="AC208" s="28">
        <v>0</v>
      </c>
      <c r="AD208" s="27">
        <f>IFERROR((TABLA_AVANCE_METAS[[#This Row],[AVANCE 4°. TRIM]]/TABLA_AVANCE_METAS[[#This Row],[PROGR. 4° TRIM]])*100,"0")</f>
        <v>0</v>
      </c>
      <c r="AE208"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08" s="30">
        <f t="array" ref="AF208">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120</v>
      </c>
      <c r="AG208" s="84">
        <f t="array" ref="AG208">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120</v>
      </c>
      <c r="AH208" s="27">
        <f>IFERROR((TABLA_AVANCE_METAS[[#This Row],[AVANCE ACUM. TRIM.]]/TABLA_AVANCE_METAS[[#This Row],[PROG. ACUM]])*100,"N/A")</f>
        <v>100</v>
      </c>
      <c r="AI208"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08" s="31">
        <f>TABLA_AVANCE_METAS[[#This Row],[AVANCE ACUM. TRIM.]]-TABLA_AVANCE_METAS[[#This Row],[PROG. ACUM]]</f>
        <v>0</v>
      </c>
      <c r="AK208" s="32">
        <f>IFERROR((TABLA_AVANCE_METAS[[#This Row],[DIFERENCIA ABSOLUTA SEMESTRAL]]/TABLA_AVANCE_METAS[[#This Row],[PROG. ACUM]])*100,"N/A")</f>
        <v>0</v>
      </c>
      <c r="AL208" s="84">
        <f>TABLA_AVANCE_METAS[[#This Row],[AVANCE 1°. TRIM]]+TABLA_AVANCE_METAS[[#This Row],[AVANCE 2°. TRIM]]+TABLA_AVANCE_METAS[[#This Row],[AVANCE 3°. TRIM]]+TABLA_AVANCE_METAS[[#This Row],[AVANCE 4°. TRIM]]</f>
        <v>120</v>
      </c>
      <c r="AM208" s="27">
        <f>IFERROR((TABLA_AVANCE_METAS[[#This Row],[AVANCE ACUM. ANUAL]]/TABLA_AVANCE_METAS[[#This Row],[PROGRAMADO ANUAL]])*100,"N/A")</f>
        <v>50</v>
      </c>
      <c r="AN208"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208" s="31">
        <f>TABLA_AVANCE_METAS[[#This Row],[AVANCE ACUM. ANUAL]]-TABLA_AVANCE_METAS[[#This Row],[PROGRAMADO ANUAL]]</f>
        <v>-120</v>
      </c>
      <c r="AP208" s="33">
        <f>IFERROR((TABLA_AVANCE_METAS[[#This Row],[DIFERENCIA ABSOLUTA ANUAL]]/TABLA_AVANCE_METAS[[#This Row],[PROGRAMADO ANUAL]])*100,"N/A")</f>
        <v>-50</v>
      </c>
      <c r="AQ208" s="65"/>
      <c r="AR208" s="66"/>
      <c r="AS208" s="79"/>
      <c r="AT208" s="79"/>
      <c r="AU208" s="37" t="b">
        <f>TABLA_AVANCE_METAS[[#This Row],[PROGRAMADO ANUAL]]=SUM(TABLA_AVANCE_METAS[[#This Row],[PROGR. 1° TRIM]],TABLA_AVANCE_METAS[[#This Row],[PROGR. 2° TRIM]],TABLA_AVANCE_METAS[[#This Row],[PROGR. 3° TRIM]],TABLA_AVANCE_METAS[[#This Row],[PROGR. 4° TRIM]])</f>
        <v>1</v>
      </c>
      <c r="AV208" s="38"/>
    </row>
    <row r="209" spans="1:48" ht="75" hidden="1" customHeight="1" x14ac:dyDescent="0.35">
      <c r="A209" s="19" t="str">
        <f>CONCATENATE(TABLA_AVANCE_METAS[[#This Row],[ESTRUCTURA]],TABLA_AVANCE_METAS[[#This Row],['#]])</f>
        <v>D0022801030501047</v>
      </c>
      <c r="B209" s="20" t="s">
        <v>610</v>
      </c>
      <c r="C209" s="41" t="s">
        <v>611</v>
      </c>
      <c r="D209" s="40" t="s">
        <v>612</v>
      </c>
      <c r="E209" s="20" t="s">
        <v>613</v>
      </c>
      <c r="F209" s="40" t="s">
        <v>614</v>
      </c>
      <c r="G209" s="42" t="s">
        <v>615</v>
      </c>
      <c r="H209" s="40" t="s">
        <v>616</v>
      </c>
      <c r="I209" s="40" t="s">
        <v>617</v>
      </c>
      <c r="J209" s="40" t="s">
        <v>618</v>
      </c>
      <c r="K209" s="40" t="s">
        <v>619</v>
      </c>
      <c r="L209" s="41">
        <v>7</v>
      </c>
      <c r="M209" s="43" t="s">
        <v>626</v>
      </c>
      <c r="N209" s="42" t="s">
        <v>203</v>
      </c>
      <c r="O209" s="24">
        <v>16</v>
      </c>
      <c r="P209" s="24">
        <v>4</v>
      </c>
      <c r="Q209" s="28">
        <v>4</v>
      </c>
      <c r="R209" s="25">
        <f>IFERROR((TABLA_AVANCE_METAS[[#This Row],[AVANCE 1°. TRIM]]/TABLA_AVANCE_METAS[[#This Row],[PROGR. 1° TRIM]])*100,"0")</f>
        <v>100</v>
      </c>
      <c r="S209"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09" s="24">
        <v>4</v>
      </c>
      <c r="U209" s="28">
        <v>4</v>
      </c>
      <c r="V209" s="27">
        <f t="shared" si="10"/>
        <v>100</v>
      </c>
      <c r="W209" s="26" t="str">
        <f t="shared" si="11"/>
        <v>ADECUADO</v>
      </c>
      <c r="X209" s="24">
        <v>4</v>
      </c>
      <c r="Y209" s="28">
        <v>0</v>
      </c>
      <c r="Z209" s="27">
        <v>0</v>
      </c>
      <c r="AA209" s="26" t="s">
        <v>62</v>
      </c>
      <c r="AB209" s="24">
        <v>4</v>
      </c>
      <c r="AC209" s="28">
        <v>0</v>
      </c>
      <c r="AD209" s="27">
        <f>IFERROR((TABLA_AVANCE_METAS[[#This Row],[AVANCE 4°. TRIM]]/TABLA_AVANCE_METAS[[#This Row],[PROGR. 4° TRIM]])*100,"0")</f>
        <v>0</v>
      </c>
      <c r="AE209"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09" s="30">
        <f t="array" ref="AF209">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8</v>
      </c>
      <c r="AG209" s="84">
        <f t="array" ref="AG209">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8</v>
      </c>
      <c r="AH209" s="27">
        <f>IFERROR((TABLA_AVANCE_METAS[[#This Row],[AVANCE ACUM. TRIM.]]/TABLA_AVANCE_METAS[[#This Row],[PROG. ACUM]])*100,"N/A")</f>
        <v>100</v>
      </c>
      <c r="AI209"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09" s="31">
        <f>TABLA_AVANCE_METAS[[#This Row],[AVANCE ACUM. TRIM.]]-TABLA_AVANCE_METAS[[#This Row],[PROG. ACUM]]</f>
        <v>0</v>
      </c>
      <c r="AK209" s="32">
        <f>IFERROR((TABLA_AVANCE_METAS[[#This Row],[DIFERENCIA ABSOLUTA SEMESTRAL]]/TABLA_AVANCE_METAS[[#This Row],[PROG. ACUM]])*100,"N/A")</f>
        <v>0</v>
      </c>
      <c r="AL209" s="84">
        <f>TABLA_AVANCE_METAS[[#This Row],[AVANCE 1°. TRIM]]+TABLA_AVANCE_METAS[[#This Row],[AVANCE 2°. TRIM]]+TABLA_AVANCE_METAS[[#This Row],[AVANCE 3°. TRIM]]+TABLA_AVANCE_METAS[[#This Row],[AVANCE 4°. TRIM]]</f>
        <v>8</v>
      </c>
      <c r="AM209" s="27">
        <f>IFERROR((TABLA_AVANCE_METAS[[#This Row],[AVANCE ACUM. ANUAL]]/TABLA_AVANCE_METAS[[#This Row],[PROGRAMADO ANUAL]])*100,"N/A")</f>
        <v>50</v>
      </c>
      <c r="AN209"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209" s="31">
        <f>TABLA_AVANCE_METAS[[#This Row],[AVANCE ACUM. ANUAL]]-TABLA_AVANCE_METAS[[#This Row],[PROGRAMADO ANUAL]]</f>
        <v>-8</v>
      </c>
      <c r="AP209" s="33">
        <f>IFERROR((TABLA_AVANCE_METAS[[#This Row],[DIFERENCIA ABSOLUTA ANUAL]]/TABLA_AVANCE_METAS[[#This Row],[PROGRAMADO ANUAL]])*100,"N/A")</f>
        <v>-50</v>
      </c>
      <c r="AQ209" s="34"/>
      <c r="AR209" s="35"/>
      <c r="AS209" s="36"/>
      <c r="AT209" s="36"/>
      <c r="AU209" s="37" t="b">
        <f>TABLA_AVANCE_METAS[[#This Row],[PROGRAMADO ANUAL]]=SUM(TABLA_AVANCE_METAS[[#This Row],[PROGR. 1° TRIM]],TABLA_AVANCE_METAS[[#This Row],[PROGR. 2° TRIM]],TABLA_AVANCE_METAS[[#This Row],[PROGR. 3° TRIM]],TABLA_AVANCE_METAS[[#This Row],[PROGR. 4° TRIM]])</f>
        <v>1</v>
      </c>
      <c r="AV209" s="38"/>
    </row>
    <row r="210" spans="1:48" ht="75" hidden="1" customHeight="1" x14ac:dyDescent="0.35">
      <c r="A210" s="19" t="str">
        <f>CONCATENATE(TABLA_AVANCE_METAS[[#This Row],[ESTRUCTURA]],TABLA_AVANCE_METAS[[#This Row],['#]])</f>
        <v>D0022801030501048</v>
      </c>
      <c r="B210" s="20" t="s">
        <v>610</v>
      </c>
      <c r="C210" s="41" t="s">
        <v>611</v>
      </c>
      <c r="D210" s="40" t="s">
        <v>612</v>
      </c>
      <c r="E210" s="20" t="s">
        <v>613</v>
      </c>
      <c r="F210" s="40" t="s">
        <v>614</v>
      </c>
      <c r="G210" s="42" t="s">
        <v>615</v>
      </c>
      <c r="H210" s="40" t="s">
        <v>616</v>
      </c>
      <c r="I210" s="40" t="s">
        <v>617</v>
      </c>
      <c r="J210" s="40" t="s">
        <v>618</v>
      </c>
      <c r="K210" s="40" t="s">
        <v>619</v>
      </c>
      <c r="L210" s="41">
        <v>8</v>
      </c>
      <c r="M210" s="43" t="s">
        <v>627</v>
      </c>
      <c r="N210" s="42" t="s">
        <v>203</v>
      </c>
      <c r="O210" s="24">
        <v>10</v>
      </c>
      <c r="P210" s="24">
        <v>3</v>
      </c>
      <c r="Q210" s="28">
        <v>3</v>
      </c>
      <c r="R210" s="25">
        <f>IFERROR((TABLA_AVANCE_METAS[[#This Row],[AVANCE 1°. TRIM]]/TABLA_AVANCE_METAS[[#This Row],[PROGR. 1° TRIM]])*100,"0")</f>
        <v>100</v>
      </c>
      <c r="S210"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10" s="24">
        <v>2</v>
      </c>
      <c r="U210" s="28">
        <v>2</v>
      </c>
      <c r="V210" s="27">
        <f t="shared" si="10"/>
        <v>100</v>
      </c>
      <c r="W210" s="26" t="str">
        <f t="shared" si="11"/>
        <v>ADECUADO</v>
      </c>
      <c r="X210" s="24">
        <v>3</v>
      </c>
      <c r="Y210" s="28">
        <v>0</v>
      </c>
      <c r="Z210" s="27">
        <v>0</v>
      </c>
      <c r="AA210" s="26" t="s">
        <v>62</v>
      </c>
      <c r="AB210" s="24">
        <v>2</v>
      </c>
      <c r="AC210" s="28">
        <v>0</v>
      </c>
      <c r="AD210" s="27">
        <f>IFERROR((TABLA_AVANCE_METAS[[#This Row],[AVANCE 4°. TRIM]]/TABLA_AVANCE_METAS[[#This Row],[PROGR. 4° TRIM]])*100,"0")</f>
        <v>0</v>
      </c>
      <c r="AE210"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10" s="30">
        <f t="array" ref="AF210">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5</v>
      </c>
      <c r="AG210" s="84">
        <f t="array" ref="AG210">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5</v>
      </c>
      <c r="AH210" s="27">
        <f>IFERROR((TABLA_AVANCE_METAS[[#This Row],[AVANCE ACUM. TRIM.]]/TABLA_AVANCE_METAS[[#This Row],[PROG. ACUM]])*100,"N/A")</f>
        <v>100</v>
      </c>
      <c r="AI210"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10" s="31">
        <f>TABLA_AVANCE_METAS[[#This Row],[AVANCE ACUM. TRIM.]]-TABLA_AVANCE_METAS[[#This Row],[PROG. ACUM]]</f>
        <v>0</v>
      </c>
      <c r="AK210" s="32">
        <f>IFERROR((TABLA_AVANCE_METAS[[#This Row],[DIFERENCIA ABSOLUTA SEMESTRAL]]/TABLA_AVANCE_METAS[[#This Row],[PROG. ACUM]])*100,"N/A")</f>
        <v>0</v>
      </c>
      <c r="AL210" s="84">
        <f>TABLA_AVANCE_METAS[[#This Row],[AVANCE 1°. TRIM]]+TABLA_AVANCE_METAS[[#This Row],[AVANCE 2°. TRIM]]+TABLA_AVANCE_METAS[[#This Row],[AVANCE 3°. TRIM]]+TABLA_AVANCE_METAS[[#This Row],[AVANCE 4°. TRIM]]</f>
        <v>5</v>
      </c>
      <c r="AM210" s="27">
        <f>IFERROR((TABLA_AVANCE_METAS[[#This Row],[AVANCE ACUM. ANUAL]]/TABLA_AVANCE_METAS[[#This Row],[PROGRAMADO ANUAL]])*100,"N/A")</f>
        <v>50</v>
      </c>
      <c r="AN210"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210" s="31">
        <f>TABLA_AVANCE_METAS[[#This Row],[AVANCE ACUM. ANUAL]]-TABLA_AVANCE_METAS[[#This Row],[PROGRAMADO ANUAL]]</f>
        <v>-5</v>
      </c>
      <c r="AP210" s="33">
        <f>IFERROR((TABLA_AVANCE_METAS[[#This Row],[DIFERENCIA ABSOLUTA ANUAL]]/TABLA_AVANCE_METAS[[#This Row],[PROGRAMADO ANUAL]])*100,"N/A")</f>
        <v>-50</v>
      </c>
      <c r="AQ210" s="34"/>
      <c r="AR210" s="35"/>
      <c r="AS210" s="36"/>
      <c r="AT210" s="36"/>
      <c r="AU210" s="37" t="b">
        <f>TABLA_AVANCE_METAS[[#This Row],[PROGRAMADO ANUAL]]=SUM(TABLA_AVANCE_METAS[[#This Row],[PROGR. 1° TRIM]],TABLA_AVANCE_METAS[[#This Row],[PROGR. 2° TRIM]],TABLA_AVANCE_METAS[[#This Row],[PROGR. 3° TRIM]],TABLA_AVANCE_METAS[[#This Row],[PROGR. 4° TRIM]])</f>
        <v>1</v>
      </c>
      <c r="AV210" s="38"/>
    </row>
    <row r="211" spans="1:48" ht="75" hidden="1" customHeight="1" x14ac:dyDescent="0.35">
      <c r="A211" s="19" t="str">
        <f>CONCATENATE(TABLA_AVANCE_METAS[[#This Row],[ESTRUCTURA]],TABLA_AVANCE_METAS[[#This Row],['#]])</f>
        <v>G0022801030401011</v>
      </c>
      <c r="B211" s="20" t="s">
        <v>628</v>
      </c>
      <c r="C211" s="41" t="s">
        <v>629</v>
      </c>
      <c r="D211" s="40" t="s">
        <v>628</v>
      </c>
      <c r="E211" s="20" t="s">
        <v>613</v>
      </c>
      <c r="F211" s="40" t="s">
        <v>614</v>
      </c>
      <c r="G211" s="42" t="s">
        <v>630</v>
      </c>
      <c r="H211" s="40" t="s">
        <v>631</v>
      </c>
      <c r="I211" s="40" t="s">
        <v>632</v>
      </c>
      <c r="J211" s="40" t="s">
        <v>633</v>
      </c>
      <c r="K211" s="40" t="s">
        <v>634</v>
      </c>
      <c r="L211" s="41">
        <v>1</v>
      </c>
      <c r="M211" s="43" t="s">
        <v>635</v>
      </c>
      <c r="N211" s="42" t="s">
        <v>636</v>
      </c>
      <c r="O211" s="24">
        <v>20</v>
      </c>
      <c r="P211" s="24">
        <v>2</v>
      </c>
      <c r="Q211" s="28">
        <v>1</v>
      </c>
      <c r="R211" s="25">
        <f>IFERROR((TABLA_AVANCE_METAS[[#This Row],[AVANCE 1°. TRIM]]/TABLA_AVANCE_METAS[[#This Row],[PROGR. 1° TRIM]])*100,"0")</f>
        <v>50</v>
      </c>
      <c r="S211"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DEFICIENTE</v>
      </c>
      <c r="T211" s="24">
        <v>7</v>
      </c>
      <c r="U211" s="28">
        <v>0</v>
      </c>
      <c r="V211" s="27">
        <f t="shared" si="10"/>
        <v>0</v>
      </c>
      <c r="W211" s="26" t="str">
        <f t="shared" si="11"/>
        <v>CRÍTICO</v>
      </c>
      <c r="X211" s="24">
        <v>7</v>
      </c>
      <c r="Y211" s="28">
        <v>0</v>
      </c>
      <c r="Z211" s="27">
        <v>0</v>
      </c>
      <c r="AA211" s="26" t="s">
        <v>62</v>
      </c>
      <c r="AB211" s="24">
        <v>4</v>
      </c>
      <c r="AC211" s="28">
        <v>0</v>
      </c>
      <c r="AD211" s="27">
        <f>IFERROR((TABLA_AVANCE_METAS[[#This Row],[AVANCE 4°. TRIM]]/TABLA_AVANCE_METAS[[#This Row],[PROGR. 4° TRIM]])*100,"0")</f>
        <v>0</v>
      </c>
      <c r="AE211"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11" s="30">
        <f t="array" ref="AF211">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9</v>
      </c>
      <c r="AG211" s="84">
        <f t="array" ref="AG211">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211" s="27">
        <f>IFERROR((TABLA_AVANCE_METAS[[#This Row],[AVANCE ACUM. TRIM.]]/TABLA_AVANCE_METAS[[#This Row],[PROG. ACUM]])*100,"N/A")</f>
        <v>11.111111111111111</v>
      </c>
      <c r="AI211"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CRÍTICO</v>
      </c>
      <c r="AJ211" s="31">
        <f>TABLA_AVANCE_METAS[[#This Row],[AVANCE ACUM. TRIM.]]-TABLA_AVANCE_METAS[[#This Row],[PROG. ACUM]]</f>
        <v>-8</v>
      </c>
      <c r="AK211" s="32">
        <f>IFERROR((TABLA_AVANCE_METAS[[#This Row],[DIFERENCIA ABSOLUTA SEMESTRAL]]/TABLA_AVANCE_METAS[[#This Row],[PROG. ACUM]])*100,"N/A")</f>
        <v>-88.888888888888886</v>
      </c>
      <c r="AL211" s="84">
        <f>TABLA_AVANCE_METAS[[#This Row],[AVANCE 1°. TRIM]]+TABLA_AVANCE_METAS[[#This Row],[AVANCE 2°. TRIM]]+TABLA_AVANCE_METAS[[#This Row],[AVANCE 3°. TRIM]]+TABLA_AVANCE_METAS[[#This Row],[AVANCE 4°. TRIM]]</f>
        <v>1</v>
      </c>
      <c r="AM211" s="27">
        <f>IFERROR((TABLA_AVANCE_METAS[[#This Row],[AVANCE ACUM. ANUAL]]/TABLA_AVANCE_METAS[[#This Row],[PROGRAMADO ANUAL]])*100,"N/A")</f>
        <v>5</v>
      </c>
      <c r="AN211"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211" s="31">
        <f>TABLA_AVANCE_METAS[[#This Row],[AVANCE ACUM. ANUAL]]-TABLA_AVANCE_METAS[[#This Row],[PROGRAMADO ANUAL]]</f>
        <v>-19</v>
      </c>
      <c r="AP211" s="33">
        <f>IFERROR((TABLA_AVANCE_METAS[[#This Row],[DIFERENCIA ABSOLUTA ANUAL]]/TABLA_AVANCE_METAS[[#This Row],[PROGRAMADO ANUAL]])*100,"N/A")</f>
        <v>-95</v>
      </c>
      <c r="AQ211" s="34" t="s">
        <v>637</v>
      </c>
      <c r="AR211" s="35"/>
      <c r="AS211" s="36"/>
      <c r="AT211" s="36"/>
      <c r="AU211" s="37" t="b">
        <f>TABLA_AVANCE_METAS[[#This Row],[PROGRAMADO ANUAL]]=SUM(TABLA_AVANCE_METAS[[#This Row],[PROGR. 1° TRIM]],TABLA_AVANCE_METAS[[#This Row],[PROGR. 2° TRIM]],TABLA_AVANCE_METAS[[#This Row],[PROGR. 3° TRIM]],TABLA_AVANCE_METAS[[#This Row],[PROGR. 4° TRIM]])</f>
        <v>1</v>
      </c>
      <c r="AV211" s="38"/>
    </row>
    <row r="212" spans="1:48" ht="75" hidden="1" customHeight="1" x14ac:dyDescent="0.35">
      <c r="A212" s="19" t="str">
        <f>CONCATENATE(TABLA_AVANCE_METAS[[#This Row],[ESTRUCTURA]],TABLA_AVANCE_METAS[[#This Row],['#]])</f>
        <v>G0022801030401012</v>
      </c>
      <c r="B212" s="20" t="s">
        <v>628</v>
      </c>
      <c r="C212" s="41" t="s">
        <v>629</v>
      </c>
      <c r="D212" s="40" t="s">
        <v>628</v>
      </c>
      <c r="E212" s="20" t="s">
        <v>613</v>
      </c>
      <c r="F212" s="40" t="s">
        <v>614</v>
      </c>
      <c r="G212" s="42" t="s">
        <v>630</v>
      </c>
      <c r="H212" s="40" t="s">
        <v>631</v>
      </c>
      <c r="I212" s="40" t="s">
        <v>632</v>
      </c>
      <c r="J212" s="40" t="s">
        <v>633</v>
      </c>
      <c r="K212" s="40" t="s">
        <v>634</v>
      </c>
      <c r="L212" s="41">
        <v>2</v>
      </c>
      <c r="M212" s="43" t="s">
        <v>638</v>
      </c>
      <c r="N212" s="42" t="s">
        <v>130</v>
      </c>
      <c r="O212" s="24">
        <v>1</v>
      </c>
      <c r="P212" s="24">
        <v>0</v>
      </c>
      <c r="Q212" s="28">
        <v>0</v>
      </c>
      <c r="R212" s="25" t="str">
        <f>IFERROR((TABLA_AVANCE_METAS[[#This Row],[AVANCE 1°. TRIM]]/TABLA_AVANCE_METAS[[#This Row],[PROGR. 1° TRIM]])*100,"0")</f>
        <v>0</v>
      </c>
      <c r="S212"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212" s="24">
        <v>1</v>
      </c>
      <c r="U212" s="28">
        <v>1</v>
      </c>
      <c r="V212" s="27">
        <f t="shared" si="10"/>
        <v>100</v>
      </c>
      <c r="W212" s="26" t="str">
        <f t="shared" si="11"/>
        <v>ADECUADO</v>
      </c>
      <c r="X212" s="24">
        <v>0</v>
      </c>
      <c r="Y212" s="28">
        <v>0</v>
      </c>
      <c r="Z212" s="27" t="s">
        <v>71</v>
      </c>
      <c r="AA212" s="26" t="s">
        <v>72</v>
      </c>
      <c r="AB212" s="24">
        <v>0</v>
      </c>
      <c r="AC212" s="28">
        <v>0</v>
      </c>
      <c r="AD212" s="27" t="str">
        <f>IFERROR((TABLA_AVANCE_METAS[[#This Row],[AVANCE 4°. TRIM]]/TABLA_AVANCE_METAS[[#This Row],[PROGR. 4° TRIM]])*100,"0")</f>
        <v>0</v>
      </c>
      <c r="AE212"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212" s="30">
        <f t="array" ref="AF212">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212" s="84">
        <f t="array" ref="AG212">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212" s="27">
        <f>IFERROR((TABLA_AVANCE_METAS[[#This Row],[AVANCE ACUM. TRIM.]]/TABLA_AVANCE_METAS[[#This Row],[PROG. ACUM]])*100,"N/A")</f>
        <v>100</v>
      </c>
      <c r="AI212"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12" s="31">
        <f>TABLA_AVANCE_METAS[[#This Row],[AVANCE ACUM. TRIM.]]-TABLA_AVANCE_METAS[[#This Row],[PROG. ACUM]]</f>
        <v>0</v>
      </c>
      <c r="AK212" s="32">
        <f>IFERROR((TABLA_AVANCE_METAS[[#This Row],[DIFERENCIA ABSOLUTA SEMESTRAL]]/TABLA_AVANCE_METAS[[#This Row],[PROG. ACUM]])*100,"N/A")</f>
        <v>0</v>
      </c>
      <c r="AL212" s="84">
        <f>TABLA_AVANCE_METAS[[#This Row],[AVANCE 1°. TRIM]]+TABLA_AVANCE_METAS[[#This Row],[AVANCE 2°. TRIM]]+TABLA_AVANCE_METAS[[#This Row],[AVANCE 3°. TRIM]]+TABLA_AVANCE_METAS[[#This Row],[AVANCE 4°. TRIM]]</f>
        <v>1</v>
      </c>
      <c r="AM212" s="27">
        <f>IFERROR((TABLA_AVANCE_METAS[[#This Row],[AVANCE ACUM. ANUAL]]/TABLA_AVANCE_METAS[[#This Row],[PROGRAMADO ANUAL]])*100,"N/A")</f>
        <v>100</v>
      </c>
      <c r="AN212"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212" s="31">
        <f>TABLA_AVANCE_METAS[[#This Row],[AVANCE ACUM. ANUAL]]-TABLA_AVANCE_METAS[[#This Row],[PROGRAMADO ANUAL]]</f>
        <v>0</v>
      </c>
      <c r="AP212" s="33">
        <f>IFERROR((TABLA_AVANCE_METAS[[#This Row],[DIFERENCIA ABSOLUTA ANUAL]]/TABLA_AVANCE_METAS[[#This Row],[PROGRAMADO ANUAL]])*100,"N/A")</f>
        <v>0</v>
      </c>
      <c r="AQ212" s="34"/>
      <c r="AR212" s="35"/>
      <c r="AS212" s="36"/>
      <c r="AT212" s="36"/>
      <c r="AU212" s="37" t="b">
        <f>TABLA_AVANCE_METAS[[#This Row],[PROGRAMADO ANUAL]]=SUM(TABLA_AVANCE_METAS[[#This Row],[PROGR. 1° TRIM]],TABLA_AVANCE_METAS[[#This Row],[PROGR. 2° TRIM]],TABLA_AVANCE_METAS[[#This Row],[PROGR. 3° TRIM]],TABLA_AVANCE_METAS[[#This Row],[PROGR. 4° TRIM]])</f>
        <v>1</v>
      </c>
      <c r="AV212" s="38"/>
    </row>
    <row r="213" spans="1:48" ht="75" hidden="1" customHeight="1" x14ac:dyDescent="0.35">
      <c r="A213" s="19" t="str">
        <f>CONCATENATE(TABLA_AVANCE_METAS[[#This Row],[ESTRUCTURA]],TABLA_AVANCE_METAS[[#This Row],['#]])</f>
        <v>G0022801030401013</v>
      </c>
      <c r="B213" s="20" t="s">
        <v>628</v>
      </c>
      <c r="C213" s="41" t="s">
        <v>629</v>
      </c>
      <c r="D213" s="40" t="s">
        <v>628</v>
      </c>
      <c r="E213" s="20" t="s">
        <v>613</v>
      </c>
      <c r="F213" s="40" t="s">
        <v>614</v>
      </c>
      <c r="G213" s="42" t="s">
        <v>630</v>
      </c>
      <c r="H213" s="40" t="s">
        <v>631</v>
      </c>
      <c r="I213" s="40" t="s">
        <v>632</v>
      </c>
      <c r="J213" s="40" t="s">
        <v>633</v>
      </c>
      <c r="K213" s="40" t="s">
        <v>634</v>
      </c>
      <c r="L213" s="41">
        <v>3</v>
      </c>
      <c r="M213" s="43" t="s">
        <v>639</v>
      </c>
      <c r="N213" s="42" t="s">
        <v>100</v>
      </c>
      <c r="O213" s="24">
        <v>1</v>
      </c>
      <c r="P213" s="24">
        <v>0</v>
      </c>
      <c r="Q213" s="28">
        <v>0</v>
      </c>
      <c r="R213" s="25" t="str">
        <f>IFERROR((TABLA_AVANCE_METAS[[#This Row],[AVANCE 1°. TRIM]]/TABLA_AVANCE_METAS[[#This Row],[PROGR. 1° TRIM]])*100,"0")</f>
        <v>0</v>
      </c>
      <c r="S213"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213" s="24">
        <v>0</v>
      </c>
      <c r="U213" s="28">
        <v>0</v>
      </c>
      <c r="V213" s="27" t="str">
        <f t="shared" si="10"/>
        <v>0</v>
      </c>
      <c r="W213" s="26" t="str">
        <f t="shared" si="11"/>
        <v>NO PROG.</v>
      </c>
      <c r="X213" s="24">
        <v>1</v>
      </c>
      <c r="Y213" s="28">
        <v>0</v>
      </c>
      <c r="Z213" s="27">
        <v>0</v>
      </c>
      <c r="AA213" s="26" t="s">
        <v>62</v>
      </c>
      <c r="AB213" s="24">
        <v>0</v>
      </c>
      <c r="AC213" s="28">
        <v>0</v>
      </c>
      <c r="AD213" s="27" t="str">
        <f>IFERROR((TABLA_AVANCE_METAS[[#This Row],[AVANCE 4°. TRIM]]/TABLA_AVANCE_METAS[[#This Row],[PROGR. 4° TRIM]])*100,"0")</f>
        <v>0</v>
      </c>
      <c r="AE213"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213" s="30">
        <f t="array" ref="AF213">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213" s="84">
        <f t="array" ref="AG213">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213" s="27" t="str">
        <f>IFERROR((TABLA_AVANCE_METAS[[#This Row],[AVANCE ACUM. TRIM.]]/TABLA_AVANCE_METAS[[#This Row],[PROG. ACUM]])*100,"N/A")</f>
        <v>N/A</v>
      </c>
      <c r="AI213"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213" s="31">
        <f>TABLA_AVANCE_METAS[[#This Row],[AVANCE ACUM. TRIM.]]-TABLA_AVANCE_METAS[[#This Row],[PROG. ACUM]]</f>
        <v>0</v>
      </c>
      <c r="AK213" s="32" t="str">
        <f>IFERROR((TABLA_AVANCE_METAS[[#This Row],[DIFERENCIA ABSOLUTA SEMESTRAL]]/TABLA_AVANCE_METAS[[#This Row],[PROG. ACUM]])*100,"N/A")</f>
        <v>N/A</v>
      </c>
      <c r="AL213" s="84">
        <f>TABLA_AVANCE_METAS[[#This Row],[AVANCE 1°. TRIM]]+TABLA_AVANCE_METAS[[#This Row],[AVANCE 2°. TRIM]]+TABLA_AVANCE_METAS[[#This Row],[AVANCE 3°. TRIM]]+TABLA_AVANCE_METAS[[#This Row],[AVANCE 4°. TRIM]]</f>
        <v>0</v>
      </c>
      <c r="AM213" s="27">
        <f>IFERROR((TABLA_AVANCE_METAS[[#This Row],[AVANCE ACUM. ANUAL]]/TABLA_AVANCE_METAS[[#This Row],[PROGRAMADO ANUAL]])*100,"N/A")</f>
        <v>0</v>
      </c>
      <c r="AN213"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213" s="31">
        <f>TABLA_AVANCE_METAS[[#This Row],[AVANCE ACUM. ANUAL]]-TABLA_AVANCE_METAS[[#This Row],[PROGRAMADO ANUAL]]</f>
        <v>-1</v>
      </c>
      <c r="AP213" s="33">
        <f>IFERROR((TABLA_AVANCE_METAS[[#This Row],[DIFERENCIA ABSOLUTA ANUAL]]/TABLA_AVANCE_METAS[[#This Row],[PROGRAMADO ANUAL]])*100,"N/A")</f>
        <v>-100</v>
      </c>
      <c r="AQ213" s="34"/>
      <c r="AR213" s="35"/>
      <c r="AS213" s="36"/>
      <c r="AT213" s="36"/>
      <c r="AU213" s="37" t="b">
        <f>TABLA_AVANCE_METAS[[#This Row],[PROGRAMADO ANUAL]]=SUM(TABLA_AVANCE_METAS[[#This Row],[PROGR. 1° TRIM]],TABLA_AVANCE_METAS[[#This Row],[PROGR. 2° TRIM]],TABLA_AVANCE_METAS[[#This Row],[PROGR. 3° TRIM]],TABLA_AVANCE_METAS[[#This Row],[PROGR. 4° TRIM]])</f>
        <v>1</v>
      </c>
      <c r="AV213" s="38"/>
    </row>
    <row r="214" spans="1:48" ht="75" hidden="1" customHeight="1" x14ac:dyDescent="0.35">
      <c r="A214" s="19" t="str">
        <f>CONCATENATE(TABLA_AVANCE_METAS[[#This Row],[ESTRUCTURA]],TABLA_AVANCE_METAS[[#This Row],['#]])</f>
        <v>G0022801030401014</v>
      </c>
      <c r="B214" s="20" t="s">
        <v>628</v>
      </c>
      <c r="C214" s="41" t="s">
        <v>629</v>
      </c>
      <c r="D214" s="40" t="s">
        <v>628</v>
      </c>
      <c r="E214" s="20" t="s">
        <v>613</v>
      </c>
      <c r="F214" s="40" t="s">
        <v>614</v>
      </c>
      <c r="G214" s="42" t="s">
        <v>630</v>
      </c>
      <c r="H214" s="40" t="s">
        <v>631</v>
      </c>
      <c r="I214" s="40" t="s">
        <v>632</v>
      </c>
      <c r="J214" s="40" t="s">
        <v>633</v>
      </c>
      <c r="K214" s="40" t="s">
        <v>634</v>
      </c>
      <c r="L214" s="41">
        <v>4</v>
      </c>
      <c r="M214" s="43" t="s">
        <v>640</v>
      </c>
      <c r="N214" s="42" t="s">
        <v>61</v>
      </c>
      <c r="O214" s="24">
        <v>8</v>
      </c>
      <c r="P214" s="24">
        <v>1</v>
      </c>
      <c r="Q214" s="28">
        <v>1</v>
      </c>
      <c r="R214" s="25">
        <f>IFERROR((TABLA_AVANCE_METAS[[#This Row],[AVANCE 1°. TRIM]]/TABLA_AVANCE_METAS[[#This Row],[PROGR. 1° TRIM]])*100,"0")</f>
        <v>100</v>
      </c>
      <c r="S214"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14" s="24">
        <v>3</v>
      </c>
      <c r="U214" s="28">
        <v>3</v>
      </c>
      <c r="V214" s="27">
        <f t="shared" si="10"/>
        <v>100</v>
      </c>
      <c r="W214" s="26" t="str">
        <f t="shared" si="11"/>
        <v>ADECUADO</v>
      </c>
      <c r="X214" s="24">
        <v>2</v>
      </c>
      <c r="Y214" s="28">
        <v>0</v>
      </c>
      <c r="Z214" s="27">
        <v>0</v>
      </c>
      <c r="AA214" s="26" t="s">
        <v>62</v>
      </c>
      <c r="AB214" s="24">
        <v>2</v>
      </c>
      <c r="AC214" s="28">
        <v>0</v>
      </c>
      <c r="AD214" s="27">
        <f>IFERROR((TABLA_AVANCE_METAS[[#This Row],[AVANCE 4°. TRIM]]/TABLA_AVANCE_METAS[[#This Row],[PROGR. 4° TRIM]])*100,"0")</f>
        <v>0</v>
      </c>
      <c r="AE214"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14" s="30">
        <f t="array" ref="AF214">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4</v>
      </c>
      <c r="AG214" s="84">
        <f t="array" ref="AG214">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4</v>
      </c>
      <c r="AH214" s="27">
        <f>IFERROR((TABLA_AVANCE_METAS[[#This Row],[AVANCE ACUM. TRIM.]]/TABLA_AVANCE_METAS[[#This Row],[PROG. ACUM]])*100,"N/A")</f>
        <v>100</v>
      </c>
      <c r="AI214"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14" s="31">
        <f>TABLA_AVANCE_METAS[[#This Row],[AVANCE ACUM. TRIM.]]-TABLA_AVANCE_METAS[[#This Row],[PROG. ACUM]]</f>
        <v>0</v>
      </c>
      <c r="AK214" s="32">
        <f>IFERROR((TABLA_AVANCE_METAS[[#This Row],[DIFERENCIA ABSOLUTA SEMESTRAL]]/TABLA_AVANCE_METAS[[#This Row],[PROG. ACUM]])*100,"N/A")</f>
        <v>0</v>
      </c>
      <c r="AL214" s="84">
        <f>TABLA_AVANCE_METAS[[#This Row],[AVANCE 1°. TRIM]]+TABLA_AVANCE_METAS[[#This Row],[AVANCE 2°. TRIM]]+TABLA_AVANCE_METAS[[#This Row],[AVANCE 3°. TRIM]]+TABLA_AVANCE_METAS[[#This Row],[AVANCE 4°. TRIM]]</f>
        <v>4</v>
      </c>
      <c r="AM214" s="27">
        <f>IFERROR((TABLA_AVANCE_METAS[[#This Row],[AVANCE ACUM. ANUAL]]/TABLA_AVANCE_METAS[[#This Row],[PROGRAMADO ANUAL]])*100,"N/A")</f>
        <v>50</v>
      </c>
      <c r="AN214"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214" s="31">
        <f>TABLA_AVANCE_METAS[[#This Row],[AVANCE ACUM. ANUAL]]-TABLA_AVANCE_METAS[[#This Row],[PROGRAMADO ANUAL]]</f>
        <v>-4</v>
      </c>
      <c r="AP214" s="33">
        <f>IFERROR((TABLA_AVANCE_METAS[[#This Row],[DIFERENCIA ABSOLUTA ANUAL]]/TABLA_AVANCE_METAS[[#This Row],[PROGRAMADO ANUAL]])*100,"N/A")</f>
        <v>-50</v>
      </c>
      <c r="AQ214" s="34"/>
      <c r="AR214" s="35"/>
      <c r="AS214" s="36"/>
      <c r="AT214" s="36"/>
      <c r="AU214" s="37" t="b">
        <f>TABLA_AVANCE_METAS[[#This Row],[PROGRAMADO ANUAL]]=SUM(TABLA_AVANCE_METAS[[#This Row],[PROGR. 1° TRIM]],TABLA_AVANCE_METAS[[#This Row],[PROGR. 2° TRIM]],TABLA_AVANCE_METAS[[#This Row],[PROGR. 3° TRIM]],TABLA_AVANCE_METAS[[#This Row],[PROGR. 4° TRIM]])</f>
        <v>1</v>
      </c>
      <c r="AV214" s="38"/>
    </row>
    <row r="215" spans="1:48" ht="75" hidden="1" customHeight="1" x14ac:dyDescent="0.35">
      <c r="A215" s="19" t="str">
        <f>CONCATENATE(TABLA_AVANCE_METAS[[#This Row],[ESTRUCTURA]],TABLA_AVANCE_METAS[[#This Row],['#]])</f>
        <v>G0022801030401021</v>
      </c>
      <c r="B215" s="20" t="s">
        <v>641</v>
      </c>
      <c r="C215" s="41" t="s">
        <v>629</v>
      </c>
      <c r="D215" s="40" t="s">
        <v>628</v>
      </c>
      <c r="E215" s="20" t="s">
        <v>613</v>
      </c>
      <c r="F215" s="40" t="s">
        <v>614</v>
      </c>
      <c r="G215" s="42" t="s">
        <v>642</v>
      </c>
      <c r="H215" s="40" t="s">
        <v>631</v>
      </c>
      <c r="I215" s="40" t="s">
        <v>632</v>
      </c>
      <c r="J215" s="40" t="s">
        <v>643</v>
      </c>
      <c r="K215" s="40" t="s">
        <v>644</v>
      </c>
      <c r="L215" s="41">
        <v>1</v>
      </c>
      <c r="M215" s="43" t="s">
        <v>645</v>
      </c>
      <c r="N215" s="42" t="s">
        <v>154</v>
      </c>
      <c r="O215" s="24">
        <v>1</v>
      </c>
      <c r="P215" s="24">
        <v>1</v>
      </c>
      <c r="Q215" s="28">
        <v>1</v>
      </c>
      <c r="R215" s="25">
        <f>IFERROR((TABLA_AVANCE_METAS[[#This Row],[AVANCE 1°. TRIM]]/TABLA_AVANCE_METAS[[#This Row],[PROGR. 1° TRIM]])*100,"0")</f>
        <v>100</v>
      </c>
      <c r="S215"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15" s="24">
        <v>0</v>
      </c>
      <c r="U215" s="28">
        <v>0</v>
      </c>
      <c r="V215" s="27" t="str">
        <f t="shared" si="10"/>
        <v>0</v>
      </c>
      <c r="W215" s="26" t="str">
        <f t="shared" si="11"/>
        <v>NO PROG.</v>
      </c>
      <c r="X215" s="24">
        <v>0</v>
      </c>
      <c r="Y215" s="28">
        <v>0</v>
      </c>
      <c r="Z215" s="27" t="s">
        <v>71</v>
      </c>
      <c r="AA215" s="26" t="s">
        <v>72</v>
      </c>
      <c r="AB215" s="24">
        <v>0</v>
      </c>
      <c r="AC215" s="28">
        <v>0</v>
      </c>
      <c r="AD215" s="27" t="str">
        <f>IFERROR((TABLA_AVANCE_METAS[[#This Row],[AVANCE 4°. TRIM]]/TABLA_AVANCE_METAS[[#This Row],[PROGR. 4° TRIM]])*100,"0")</f>
        <v>0</v>
      </c>
      <c r="AE215"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215" s="30">
        <f t="array" ref="AF215">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215" s="84">
        <f t="array" ref="AG215">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215" s="27">
        <f>IFERROR((TABLA_AVANCE_METAS[[#This Row],[AVANCE ACUM. TRIM.]]/TABLA_AVANCE_METAS[[#This Row],[PROG. ACUM]])*100,"N/A")</f>
        <v>100</v>
      </c>
      <c r="AI215"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15" s="31">
        <f>TABLA_AVANCE_METAS[[#This Row],[AVANCE ACUM. TRIM.]]-TABLA_AVANCE_METAS[[#This Row],[PROG. ACUM]]</f>
        <v>0</v>
      </c>
      <c r="AK215" s="32">
        <f>IFERROR((TABLA_AVANCE_METAS[[#This Row],[DIFERENCIA ABSOLUTA SEMESTRAL]]/TABLA_AVANCE_METAS[[#This Row],[PROG. ACUM]])*100,"N/A")</f>
        <v>0</v>
      </c>
      <c r="AL215" s="84">
        <f>TABLA_AVANCE_METAS[[#This Row],[AVANCE 1°. TRIM]]+TABLA_AVANCE_METAS[[#This Row],[AVANCE 2°. TRIM]]+TABLA_AVANCE_METAS[[#This Row],[AVANCE 3°. TRIM]]+TABLA_AVANCE_METAS[[#This Row],[AVANCE 4°. TRIM]]</f>
        <v>1</v>
      </c>
      <c r="AM215" s="27">
        <f>IFERROR((TABLA_AVANCE_METAS[[#This Row],[AVANCE ACUM. ANUAL]]/TABLA_AVANCE_METAS[[#This Row],[PROGRAMADO ANUAL]])*100,"N/A")</f>
        <v>100</v>
      </c>
      <c r="AN215"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ADECUADO</v>
      </c>
      <c r="AO215" s="31">
        <f>TABLA_AVANCE_METAS[[#This Row],[AVANCE ACUM. ANUAL]]-TABLA_AVANCE_METAS[[#This Row],[PROGRAMADO ANUAL]]</f>
        <v>0</v>
      </c>
      <c r="AP215" s="33">
        <f>IFERROR((TABLA_AVANCE_METAS[[#This Row],[DIFERENCIA ABSOLUTA ANUAL]]/TABLA_AVANCE_METAS[[#This Row],[PROGRAMADO ANUAL]])*100,"N/A")</f>
        <v>0</v>
      </c>
      <c r="AQ215" s="34"/>
      <c r="AR215" s="35"/>
      <c r="AS215" s="36"/>
      <c r="AT215" s="36"/>
      <c r="AU215" s="37" t="b">
        <f>TABLA_AVANCE_METAS[[#This Row],[PROGRAMADO ANUAL]]=SUM(TABLA_AVANCE_METAS[[#This Row],[PROGR. 1° TRIM]],TABLA_AVANCE_METAS[[#This Row],[PROGR. 2° TRIM]],TABLA_AVANCE_METAS[[#This Row],[PROGR. 3° TRIM]],TABLA_AVANCE_METAS[[#This Row],[PROGR. 4° TRIM]])</f>
        <v>1</v>
      </c>
      <c r="AV215" s="38"/>
    </row>
    <row r="216" spans="1:48" ht="75" hidden="1" customHeight="1" x14ac:dyDescent="0.35">
      <c r="A216" s="19" t="str">
        <f>CONCATENATE(TABLA_AVANCE_METAS[[#This Row],[ESTRUCTURA]],TABLA_AVANCE_METAS[[#This Row],['#]])</f>
        <v>G0022801030401022</v>
      </c>
      <c r="B216" s="20" t="s">
        <v>641</v>
      </c>
      <c r="C216" s="41" t="s">
        <v>629</v>
      </c>
      <c r="D216" s="40" t="s">
        <v>628</v>
      </c>
      <c r="E216" s="20" t="s">
        <v>613</v>
      </c>
      <c r="F216" s="40" t="s">
        <v>614</v>
      </c>
      <c r="G216" s="42" t="s">
        <v>642</v>
      </c>
      <c r="H216" s="40" t="s">
        <v>631</v>
      </c>
      <c r="I216" s="40" t="s">
        <v>632</v>
      </c>
      <c r="J216" s="40" t="s">
        <v>643</v>
      </c>
      <c r="K216" s="40" t="s">
        <v>644</v>
      </c>
      <c r="L216" s="41">
        <v>2</v>
      </c>
      <c r="M216" s="43" t="s">
        <v>646</v>
      </c>
      <c r="N216" s="42" t="s">
        <v>647</v>
      </c>
      <c r="O216" s="24">
        <v>4</v>
      </c>
      <c r="P216" s="24">
        <v>1</v>
      </c>
      <c r="Q216" s="28">
        <v>1</v>
      </c>
      <c r="R216" s="25">
        <f>IFERROR((TABLA_AVANCE_METAS[[#This Row],[AVANCE 1°. TRIM]]/TABLA_AVANCE_METAS[[#This Row],[PROGR. 1° TRIM]])*100,"0")</f>
        <v>100</v>
      </c>
      <c r="S216"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16" s="24">
        <v>1</v>
      </c>
      <c r="U216" s="28">
        <v>1</v>
      </c>
      <c r="V216" s="27">
        <f t="shared" si="10"/>
        <v>100</v>
      </c>
      <c r="W216" s="26" t="str">
        <f t="shared" si="11"/>
        <v>ADECUADO</v>
      </c>
      <c r="X216" s="24">
        <v>1</v>
      </c>
      <c r="Y216" s="28">
        <v>0</v>
      </c>
      <c r="Z216" s="27">
        <v>0</v>
      </c>
      <c r="AA216" s="26" t="s">
        <v>62</v>
      </c>
      <c r="AB216" s="24">
        <v>1</v>
      </c>
      <c r="AC216" s="28">
        <v>0</v>
      </c>
      <c r="AD216" s="27">
        <f>IFERROR((TABLA_AVANCE_METAS[[#This Row],[AVANCE 4°. TRIM]]/TABLA_AVANCE_METAS[[#This Row],[PROGR. 4° TRIM]])*100,"0")</f>
        <v>0</v>
      </c>
      <c r="AE216"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16" s="30">
        <f t="array" ref="AF216">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216" s="84">
        <f t="array" ref="AG216">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216" s="27">
        <f>IFERROR((TABLA_AVANCE_METAS[[#This Row],[AVANCE ACUM. TRIM.]]/TABLA_AVANCE_METAS[[#This Row],[PROG. ACUM]])*100,"N/A")</f>
        <v>100</v>
      </c>
      <c r="AI216"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16" s="31">
        <f>TABLA_AVANCE_METAS[[#This Row],[AVANCE ACUM. TRIM.]]-TABLA_AVANCE_METAS[[#This Row],[PROG. ACUM]]</f>
        <v>0</v>
      </c>
      <c r="AK216" s="32">
        <f>IFERROR((TABLA_AVANCE_METAS[[#This Row],[DIFERENCIA ABSOLUTA SEMESTRAL]]/TABLA_AVANCE_METAS[[#This Row],[PROG. ACUM]])*100,"N/A")</f>
        <v>0</v>
      </c>
      <c r="AL216" s="84">
        <f>TABLA_AVANCE_METAS[[#This Row],[AVANCE 1°. TRIM]]+TABLA_AVANCE_METAS[[#This Row],[AVANCE 2°. TRIM]]+TABLA_AVANCE_METAS[[#This Row],[AVANCE 3°. TRIM]]+TABLA_AVANCE_METAS[[#This Row],[AVANCE 4°. TRIM]]</f>
        <v>2</v>
      </c>
      <c r="AM216" s="27">
        <f>IFERROR((TABLA_AVANCE_METAS[[#This Row],[AVANCE ACUM. ANUAL]]/TABLA_AVANCE_METAS[[#This Row],[PROGRAMADO ANUAL]])*100,"N/A")</f>
        <v>50</v>
      </c>
      <c r="AN216"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216" s="31">
        <f>TABLA_AVANCE_METAS[[#This Row],[AVANCE ACUM. ANUAL]]-TABLA_AVANCE_METAS[[#This Row],[PROGRAMADO ANUAL]]</f>
        <v>-2</v>
      </c>
      <c r="AP216" s="33">
        <f>IFERROR((TABLA_AVANCE_METAS[[#This Row],[DIFERENCIA ABSOLUTA ANUAL]]/TABLA_AVANCE_METAS[[#This Row],[PROGRAMADO ANUAL]])*100,"N/A")</f>
        <v>-50</v>
      </c>
      <c r="AQ216" s="34"/>
      <c r="AR216" s="35"/>
      <c r="AS216" s="36"/>
      <c r="AT216" s="36"/>
      <c r="AU216" s="37" t="b">
        <f>TABLA_AVANCE_METAS[[#This Row],[PROGRAMADO ANUAL]]=SUM(TABLA_AVANCE_METAS[[#This Row],[PROGR. 1° TRIM]],TABLA_AVANCE_METAS[[#This Row],[PROGR. 2° TRIM]],TABLA_AVANCE_METAS[[#This Row],[PROGR. 3° TRIM]],TABLA_AVANCE_METAS[[#This Row],[PROGR. 4° TRIM]])</f>
        <v>1</v>
      </c>
      <c r="AV216" s="38"/>
    </row>
    <row r="217" spans="1:48" ht="75" hidden="1" customHeight="1" x14ac:dyDescent="0.35">
      <c r="A217" s="19" t="str">
        <f>CONCATENATE(TABLA_AVANCE_METAS[[#This Row],[ESTRUCTURA]],TABLA_AVANCE_METAS[[#This Row],['#]])</f>
        <v>G0022801030401023</v>
      </c>
      <c r="B217" s="20" t="s">
        <v>641</v>
      </c>
      <c r="C217" s="41" t="s">
        <v>629</v>
      </c>
      <c r="D217" s="40" t="s">
        <v>628</v>
      </c>
      <c r="E217" s="20" t="s">
        <v>613</v>
      </c>
      <c r="F217" s="40" t="s">
        <v>614</v>
      </c>
      <c r="G217" s="42" t="s">
        <v>642</v>
      </c>
      <c r="H217" s="40" t="s">
        <v>631</v>
      </c>
      <c r="I217" s="40" t="s">
        <v>632</v>
      </c>
      <c r="J217" s="40" t="s">
        <v>643</v>
      </c>
      <c r="K217" s="40" t="s">
        <v>644</v>
      </c>
      <c r="L217" s="41">
        <v>3</v>
      </c>
      <c r="M217" s="43" t="s">
        <v>648</v>
      </c>
      <c r="N217" s="42" t="s">
        <v>649</v>
      </c>
      <c r="O217" s="24">
        <v>2</v>
      </c>
      <c r="P217" s="24">
        <v>0</v>
      </c>
      <c r="Q217" s="28">
        <v>0</v>
      </c>
      <c r="R217" s="25" t="str">
        <f>IFERROR((TABLA_AVANCE_METAS[[#This Row],[AVANCE 1°. TRIM]]/TABLA_AVANCE_METAS[[#This Row],[PROGR. 1° TRIM]])*100,"0")</f>
        <v>0</v>
      </c>
      <c r="S217"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217" s="24">
        <v>1</v>
      </c>
      <c r="U217" s="28">
        <v>1</v>
      </c>
      <c r="V217" s="27">
        <f t="shared" si="10"/>
        <v>100</v>
      </c>
      <c r="W217" s="26" t="str">
        <f t="shared" si="11"/>
        <v>ADECUADO</v>
      </c>
      <c r="X217" s="24">
        <v>0</v>
      </c>
      <c r="Y217" s="28">
        <v>0</v>
      </c>
      <c r="Z217" s="27" t="s">
        <v>71</v>
      </c>
      <c r="AA217" s="26" t="s">
        <v>72</v>
      </c>
      <c r="AB217" s="24">
        <v>1</v>
      </c>
      <c r="AC217" s="28">
        <v>0</v>
      </c>
      <c r="AD217" s="27">
        <f>IFERROR((TABLA_AVANCE_METAS[[#This Row],[AVANCE 4°. TRIM]]/TABLA_AVANCE_METAS[[#This Row],[PROGR. 4° TRIM]])*100,"0")</f>
        <v>0</v>
      </c>
      <c r="AE217"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17" s="30">
        <f t="array" ref="AF217">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217" s="84">
        <f t="array" ref="AG217">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217" s="27">
        <f>IFERROR((TABLA_AVANCE_METAS[[#This Row],[AVANCE ACUM. TRIM.]]/TABLA_AVANCE_METAS[[#This Row],[PROG. ACUM]])*100,"N/A")</f>
        <v>100</v>
      </c>
      <c r="AI217"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17" s="31">
        <f>TABLA_AVANCE_METAS[[#This Row],[AVANCE ACUM. TRIM.]]-TABLA_AVANCE_METAS[[#This Row],[PROG. ACUM]]</f>
        <v>0</v>
      </c>
      <c r="AK217" s="32">
        <f>IFERROR((TABLA_AVANCE_METAS[[#This Row],[DIFERENCIA ABSOLUTA SEMESTRAL]]/TABLA_AVANCE_METAS[[#This Row],[PROG. ACUM]])*100,"N/A")</f>
        <v>0</v>
      </c>
      <c r="AL217" s="84">
        <f>TABLA_AVANCE_METAS[[#This Row],[AVANCE 1°. TRIM]]+TABLA_AVANCE_METAS[[#This Row],[AVANCE 2°. TRIM]]+TABLA_AVANCE_METAS[[#This Row],[AVANCE 3°. TRIM]]+TABLA_AVANCE_METAS[[#This Row],[AVANCE 4°. TRIM]]</f>
        <v>1</v>
      </c>
      <c r="AM217" s="27">
        <f>IFERROR((TABLA_AVANCE_METAS[[#This Row],[AVANCE ACUM. ANUAL]]/TABLA_AVANCE_METAS[[#This Row],[PROGRAMADO ANUAL]])*100,"N/A")</f>
        <v>50</v>
      </c>
      <c r="AN217"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217" s="31">
        <f>TABLA_AVANCE_METAS[[#This Row],[AVANCE ACUM. ANUAL]]-TABLA_AVANCE_METAS[[#This Row],[PROGRAMADO ANUAL]]</f>
        <v>-1</v>
      </c>
      <c r="AP217" s="33">
        <f>IFERROR((TABLA_AVANCE_METAS[[#This Row],[DIFERENCIA ABSOLUTA ANUAL]]/TABLA_AVANCE_METAS[[#This Row],[PROGRAMADO ANUAL]])*100,"N/A")</f>
        <v>-50</v>
      </c>
      <c r="AQ217" s="34"/>
      <c r="AR217" s="35"/>
      <c r="AS217" s="36"/>
      <c r="AT217" s="36"/>
      <c r="AU217" s="37" t="b">
        <f>TABLA_AVANCE_METAS[[#This Row],[PROGRAMADO ANUAL]]=SUM(TABLA_AVANCE_METAS[[#This Row],[PROGR. 1° TRIM]],TABLA_AVANCE_METAS[[#This Row],[PROGR. 2° TRIM]],TABLA_AVANCE_METAS[[#This Row],[PROGR. 3° TRIM]],TABLA_AVANCE_METAS[[#This Row],[PROGR. 4° TRIM]])</f>
        <v>1</v>
      </c>
      <c r="AV217" s="38"/>
    </row>
    <row r="218" spans="1:48" ht="75" hidden="1" customHeight="1" x14ac:dyDescent="0.35">
      <c r="A218" s="19" t="str">
        <f>CONCATENATE(TABLA_AVANCE_METAS[[#This Row],[ESTRUCTURA]],TABLA_AVANCE_METAS[[#This Row],['#]])</f>
        <v>G0022801030401024</v>
      </c>
      <c r="B218" s="20" t="s">
        <v>641</v>
      </c>
      <c r="C218" s="41" t="s">
        <v>629</v>
      </c>
      <c r="D218" s="40" t="s">
        <v>628</v>
      </c>
      <c r="E218" s="20" t="s">
        <v>613</v>
      </c>
      <c r="F218" s="40" t="s">
        <v>614</v>
      </c>
      <c r="G218" s="42" t="s">
        <v>642</v>
      </c>
      <c r="H218" s="40" t="s">
        <v>631</v>
      </c>
      <c r="I218" s="40" t="s">
        <v>632</v>
      </c>
      <c r="J218" s="40" t="s">
        <v>643</v>
      </c>
      <c r="K218" s="40" t="s">
        <v>644</v>
      </c>
      <c r="L218" s="41">
        <v>4</v>
      </c>
      <c r="M218" s="43" t="s">
        <v>650</v>
      </c>
      <c r="N218" s="42" t="s">
        <v>651</v>
      </c>
      <c r="O218" s="24">
        <v>4</v>
      </c>
      <c r="P218" s="24">
        <v>0</v>
      </c>
      <c r="Q218" s="28">
        <v>0</v>
      </c>
      <c r="R218" s="25" t="str">
        <f>IFERROR((TABLA_AVANCE_METAS[[#This Row],[AVANCE 1°. TRIM]]/TABLA_AVANCE_METAS[[#This Row],[PROGR. 1° TRIM]])*100,"0")</f>
        <v>0</v>
      </c>
      <c r="S218"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218" s="24">
        <v>1</v>
      </c>
      <c r="U218" s="28">
        <v>1</v>
      </c>
      <c r="V218" s="27">
        <f t="shared" si="10"/>
        <v>100</v>
      </c>
      <c r="W218" s="26" t="str">
        <f t="shared" si="11"/>
        <v>ADECUADO</v>
      </c>
      <c r="X218" s="24">
        <v>2</v>
      </c>
      <c r="Y218" s="28">
        <v>0</v>
      </c>
      <c r="Z218" s="27">
        <v>0</v>
      </c>
      <c r="AA218" s="26" t="s">
        <v>62</v>
      </c>
      <c r="AB218" s="24">
        <v>1</v>
      </c>
      <c r="AC218" s="28">
        <v>0</v>
      </c>
      <c r="AD218" s="27">
        <f>IFERROR((TABLA_AVANCE_METAS[[#This Row],[AVANCE 4°. TRIM]]/TABLA_AVANCE_METAS[[#This Row],[PROGR. 4° TRIM]])*100,"0")</f>
        <v>0</v>
      </c>
      <c r="AE218"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18" s="30">
        <f t="array" ref="AF218">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218" s="84">
        <f t="array" ref="AG218">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218" s="27">
        <f>IFERROR((TABLA_AVANCE_METAS[[#This Row],[AVANCE ACUM. TRIM.]]/TABLA_AVANCE_METAS[[#This Row],[PROG. ACUM]])*100,"N/A")</f>
        <v>100</v>
      </c>
      <c r="AI218"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18" s="31">
        <f>TABLA_AVANCE_METAS[[#This Row],[AVANCE ACUM. TRIM.]]-TABLA_AVANCE_METAS[[#This Row],[PROG. ACUM]]</f>
        <v>0</v>
      </c>
      <c r="AK218" s="32">
        <f>IFERROR((TABLA_AVANCE_METAS[[#This Row],[DIFERENCIA ABSOLUTA SEMESTRAL]]/TABLA_AVANCE_METAS[[#This Row],[PROG. ACUM]])*100,"N/A")</f>
        <v>0</v>
      </c>
      <c r="AL218" s="84">
        <f>TABLA_AVANCE_METAS[[#This Row],[AVANCE 1°. TRIM]]+TABLA_AVANCE_METAS[[#This Row],[AVANCE 2°. TRIM]]+TABLA_AVANCE_METAS[[#This Row],[AVANCE 3°. TRIM]]+TABLA_AVANCE_METAS[[#This Row],[AVANCE 4°. TRIM]]</f>
        <v>1</v>
      </c>
      <c r="AM218" s="27">
        <f>IFERROR((TABLA_AVANCE_METAS[[#This Row],[AVANCE ACUM. ANUAL]]/TABLA_AVANCE_METAS[[#This Row],[PROGRAMADO ANUAL]])*100,"N/A")</f>
        <v>25</v>
      </c>
      <c r="AN218"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218" s="31">
        <f>TABLA_AVANCE_METAS[[#This Row],[AVANCE ACUM. ANUAL]]-TABLA_AVANCE_METAS[[#This Row],[PROGRAMADO ANUAL]]</f>
        <v>-3</v>
      </c>
      <c r="AP218" s="33">
        <f>IFERROR((TABLA_AVANCE_METAS[[#This Row],[DIFERENCIA ABSOLUTA ANUAL]]/TABLA_AVANCE_METAS[[#This Row],[PROGRAMADO ANUAL]])*100,"N/A")</f>
        <v>-75</v>
      </c>
      <c r="AQ218" s="34"/>
      <c r="AR218" s="35"/>
      <c r="AS218" s="36"/>
      <c r="AT218" s="36"/>
      <c r="AU218" s="37" t="b">
        <f>TABLA_AVANCE_METAS[[#This Row],[PROGRAMADO ANUAL]]=SUM(TABLA_AVANCE_METAS[[#This Row],[PROGR. 1° TRIM]],TABLA_AVANCE_METAS[[#This Row],[PROGR. 2° TRIM]],TABLA_AVANCE_METAS[[#This Row],[PROGR. 3° TRIM]],TABLA_AVANCE_METAS[[#This Row],[PROGR. 4° TRIM]])</f>
        <v>1</v>
      </c>
      <c r="AV218" s="38"/>
    </row>
    <row r="219" spans="1:48" ht="75" hidden="1" customHeight="1" x14ac:dyDescent="0.35">
      <c r="A219" s="19" t="str">
        <f>CONCATENATE(TABLA_AVANCE_METAS[[#This Row],[ESTRUCTURA]],TABLA_AVANCE_METAS[[#This Row],['#]])</f>
        <v>G0022801030401025</v>
      </c>
      <c r="B219" s="20" t="s">
        <v>641</v>
      </c>
      <c r="C219" s="41" t="s">
        <v>629</v>
      </c>
      <c r="D219" s="40" t="s">
        <v>628</v>
      </c>
      <c r="E219" s="20" t="s">
        <v>613</v>
      </c>
      <c r="F219" s="40" t="s">
        <v>614</v>
      </c>
      <c r="G219" s="42" t="s">
        <v>642</v>
      </c>
      <c r="H219" s="40" t="s">
        <v>631</v>
      </c>
      <c r="I219" s="40" t="s">
        <v>632</v>
      </c>
      <c r="J219" s="40" t="s">
        <v>643</v>
      </c>
      <c r="K219" s="40" t="s">
        <v>644</v>
      </c>
      <c r="L219" s="41">
        <v>5</v>
      </c>
      <c r="M219" s="43" t="s">
        <v>652</v>
      </c>
      <c r="N219" s="42" t="s">
        <v>84</v>
      </c>
      <c r="O219" s="24">
        <v>4</v>
      </c>
      <c r="P219" s="24">
        <v>0</v>
      </c>
      <c r="Q219" s="28">
        <v>0</v>
      </c>
      <c r="R219" s="25" t="str">
        <f>IFERROR((TABLA_AVANCE_METAS[[#This Row],[AVANCE 1°. TRIM]]/TABLA_AVANCE_METAS[[#This Row],[PROGR. 1° TRIM]])*100,"0")</f>
        <v>0</v>
      </c>
      <c r="S219"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219" s="24">
        <v>2</v>
      </c>
      <c r="U219" s="28">
        <v>0</v>
      </c>
      <c r="V219" s="27">
        <f t="shared" si="10"/>
        <v>0</v>
      </c>
      <c r="W219" s="26" t="str">
        <f t="shared" si="11"/>
        <v>CRÍTICO</v>
      </c>
      <c r="X219" s="24">
        <v>1</v>
      </c>
      <c r="Y219" s="28">
        <v>0</v>
      </c>
      <c r="Z219" s="27">
        <v>0</v>
      </c>
      <c r="AA219" s="26" t="s">
        <v>62</v>
      </c>
      <c r="AB219" s="24">
        <v>1</v>
      </c>
      <c r="AC219" s="28">
        <v>0</v>
      </c>
      <c r="AD219" s="27">
        <f>IFERROR((TABLA_AVANCE_METAS[[#This Row],[AVANCE 4°. TRIM]]/TABLA_AVANCE_METAS[[#This Row],[PROGR. 4° TRIM]])*100,"0")</f>
        <v>0</v>
      </c>
      <c r="AE219"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19" s="30">
        <f t="array" ref="AF219">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219" s="84">
        <f t="array" ref="AG219">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219" s="27">
        <f>IFERROR((TABLA_AVANCE_METAS[[#This Row],[AVANCE ACUM. TRIM.]]/TABLA_AVANCE_METAS[[#This Row],[PROG. ACUM]])*100,"N/A")</f>
        <v>0</v>
      </c>
      <c r="AI219"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CRÍTICO</v>
      </c>
      <c r="AJ219" s="31">
        <f>TABLA_AVANCE_METAS[[#This Row],[AVANCE ACUM. TRIM.]]-TABLA_AVANCE_METAS[[#This Row],[PROG. ACUM]]</f>
        <v>-2</v>
      </c>
      <c r="AK219" s="32">
        <f>IFERROR((TABLA_AVANCE_METAS[[#This Row],[DIFERENCIA ABSOLUTA SEMESTRAL]]/TABLA_AVANCE_METAS[[#This Row],[PROG. ACUM]])*100,"N/A")</f>
        <v>-100</v>
      </c>
      <c r="AL219" s="84">
        <f>TABLA_AVANCE_METAS[[#This Row],[AVANCE 1°. TRIM]]+TABLA_AVANCE_METAS[[#This Row],[AVANCE 2°. TRIM]]+TABLA_AVANCE_METAS[[#This Row],[AVANCE 3°. TRIM]]+TABLA_AVANCE_METAS[[#This Row],[AVANCE 4°. TRIM]]</f>
        <v>0</v>
      </c>
      <c r="AM219" s="27">
        <f>IFERROR((TABLA_AVANCE_METAS[[#This Row],[AVANCE ACUM. ANUAL]]/TABLA_AVANCE_METAS[[#This Row],[PROGRAMADO ANUAL]])*100,"N/A")</f>
        <v>0</v>
      </c>
      <c r="AN219"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219" s="31">
        <f>TABLA_AVANCE_METAS[[#This Row],[AVANCE ACUM. ANUAL]]-TABLA_AVANCE_METAS[[#This Row],[PROGRAMADO ANUAL]]</f>
        <v>-4</v>
      </c>
      <c r="AP219" s="33">
        <f>IFERROR((TABLA_AVANCE_METAS[[#This Row],[DIFERENCIA ABSOLUTA ANUAL]]/TABLA_AVANCE_METAS[[#This Row],[PROGRAMADO ANUAL]])*100,"N/A")</f>
        <v>-100</v>
      </c>
      <c r="AQ219" s="34"/>
      <c r="AR219" s="35"/>
      <c r="AS219" s="36"/>
      <c r="AT219" s="36"/>
      <c r="AU219" s="37" t="b">
        <f>TABLA_AVANCE_METAS[[#This Row],[PROGRAMADO ANUAL]]=SUM(TABLA_AVANCE_METAS[[#This Row],[PROGR. 1° TRIM]],TABLA_AVANCE_METAS[[#This Row],[PROGR. 2° TRIM]],TABLA_AVANCE_METAS[[#This Row],[PROGR. 3° TRIM]],TABLA_AVANCE_METAS[[#This Row],[PROGR. 4° TRIM]])</f>
        <v>1</v>
      </c>
      <c r="AV219" s="38"/>
    </row>
    <row r="220" spans="1:48" ht="75" hidden="1" customHeight="1" x14ac:dyDescent="0.35">
      <c r="A220" s="19" t="str">
        <f>CONCATENATE(TABLA_AVANCE_METAS[[#This Row],[ESTRUCTURA]],TABLA_AVANCE_METAS[[#This Row],['#]])</f>
        <v>G0022801030401026</v>
      </c>
      <c r="B220" s="20" t="s">
        <v>641</v>
      </c>
      <c r="C220" s="41" t="s">
        <v>629</v>
      </c>
      <c r="D220" s="40" t="s">
        <v>628</v>
      </c>
      <c r="E220" s="20" t="s">
        <v>613</v>
      </c>
      <c r="F220" s="40" t="s">
        <v>614</v>
      </c>
      <c r="G220" s="42" t="s">
        <v>642</v>
      </c>
      <c r="H220" s="40" t="s">
        <v>631</v>
      </c>
      <c r="I220" s="40" t="s">
        <v>632</v>
      </c>
      <c r="J220" s="40" t="s">
        <v>643</v>
      </c>
      <c r="K220" s="40" t="s">
        <v>644</v>
      </c>
      <c r="L220" s="41">
        <v>6</v>
      </c>
      <c r="M220" s="43" t="s">
        <v>653</v>
      </c>
      <c r="N220" s="42" t="s">
        <v>654</v>
      </c>
      <c r="O220" s="24">
        <v>24</v>
      </c>
      <c r="P220" s="24">
        <v>6</v>
      </c>
      <c r="Q220" s="28">
        <v>6</v>
      </c>
      <c r="R220" s="25">
        <f>IFERROR((TABLA_AVANCE_METAS[[#This Row],[AVANCE 1°. TRIM]]/TABLA_AVANCE_METAS[[#This Row],[PROGR. 1° TRIM]])*100,"0")</f>
        <v>100</v>
      </c>
      <c r="S220"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20" s="24">
        <v>6</v>
      </c>
      <c r="U220" s="28">
        <v>6</v>
      </c>
      <c r="V220" s="27">
        <f t="shared" si="10"/>
        <v>100</v>
      </c>
      <c r="W220" s="26" t="str">
        <f t="shared" si="11"/>
        <v>ADECUADO</v>
      </c>
      <c r="X220" s="24">
        <v>6</v>
      </c>
      <c r="Y220" s="28">
        <v>0</v>
      </c>
      <c r="Z220" s="27">
        <v>0</v>
      </c>
      <c r="AA220" s="26" t="s">
        <v>62</v>
      </c>
      <c r="AB220" s="24">
        <v>6</v>
      </c>
      <c r="AC220" s="28">
        <v>0</v>
      </c>
      <c r="AD220" s="27">
        <f>IFERROR((TABLA_AVANCE_METAS[[#This Row],[AVANCE 4°. TRIM]]/TABLA_AVANCE_METAS[[#This Row],[PROGR. 4° TRIM]])*100,"0")</f>
        <v>0</v>
      </c>
      <c r="AE220"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20" s="30">
        <f t="array" ref="AF220">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12</v>
      </c>
      <c r="AG220" s="84">
        <f t="array" ref="AG220">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12</v>
      </c>
      <c r="AH220" s="27">
        <f>IFERROR((TABLA_AVANCE_METAS[[#This Row],[AVANCE ACUM. TRIM.]]/TABLA_AVANCE_METAS[[#This Row],[PROG. ACUM]])*100,"N/A")</f>
        <v>100</v>
      </c>
      <c r="AI220"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20" s="31">
        <f>TABLA_AVANCE_METAS[[#This Row],[AVANCE ACUM. TRIM.]]-TABLA_AVANCE_METAS[[#This Row],[PROG. ACUM]]</f>
        <v>0</v>
      </c>
      <c r="AK220" s="32">
        <f>IFERROR((TABLA_AVANCE_METAS[[#This Row],[DIFERENCIA ABSOLUTA SEMESTRAL]]/TABLA_AVANCE_METAS[[#This Row],[PROG. ACUM]])*100,"N/A")</f>
        <v>0</v>
      </c>
      <c r="AL220" s="84">
        <f>TABLA_AVANCE_METAS[[#This Row],[AVANCE 1°. TRIM]]+TABLA_AVANCE_METAS[[#This Row],[AVANCE 2°. TRIM]]+TABLA_AVANCE_METAS[[#This Row],[AVANCE 3°. TRIM]]+TABLA_AVANCE_METAS[[#This Row],[AVANCE 4°. TRIM]]</f>
        <v>12</v>
      </c>
      <c r="AM220" s="27">
        <f>IFERROR((TABLA_AVANCE_METAS[[#This Row],[AVANCE ACUM. ANUAL]]/TABLA_AVANCE_METAS[[#This Row],[PROGRAMADO ANUAL]])*100,"N/A")</f>
        <v>50</v>
      </c>
      <c r="AN220"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220" s="31">
        <f>TABLA_AVANCE_METAS[[#This Row],[AVANCE ACUM. ANUAL]]-TABLA_AVANCE_METAS[[#This Row],[PROGRAMADO ANUAL]]</f>
        <v>-12</v>
      </c>
      <c r="AP220" s="33">
        <f>IFERROR((TABLA_AVANCE_METAS[[#This Row],[DIFERENCIA ABSOLUTA ANUAL]]/TABLA_AVANCE_METAS[[#This Row],[PROGRAMADO ANUAL]])*100,"N/A")</f>
        <v>-50</v>
      </c>
      <c r="AQ220" s="34"/>
      <c r="AR220" s="35"/>
      <c r="AS220" s="36"/>
      <c r="AT220" s="36"/>
      <c r="AU220" s="37" t="b">
        <f>TABLA_AVANCE_METAS[[#This Row],[PROGRAMADO ANUAL]]=SUM(TABLA_AVANCE_METAS[[#This Row],[PROGR. 1° TRIM]],TABLA_AVANCE_METAS[[#This Row],[PROGR. 2° TRIM]],TABLA_AVANCE_METAS[[#This Row],[PROGR. 3° TRIM]],TABLA_AVANCE_METAS[[#This Row],[PROGR. 4° TRIM]])</f>
        <v>1</v>
      </c>
      <c r="AV220" s="38"/>
    </row>
    <row r="221" spans="1:48" ht="75" hidden="1" customHeight="1" x14ac:dyDescent="0.35">
      <c r="A221" s="19" t="str">
        <f>CONCATENATE(TABLA_AVANCE_METAS[[#This Row],[ESTRUCTURA]],TABLA_AVANCE_METAS[[#This Row],['#]])</f>
        <v>G0022801030401027</v>
      </c>
      <c r="B221" s="20" t="s">
        <v>641</v>
      </c>
      <c r="C221" s="41" t="s">
        <v>629</v>
      </c>
      <c r="D221" s="40" t="s">
        <v>628</v>
      </c>
      <c r="E221" s="20" t="s">
        <v>613</v>
      </c>
      <c r="F221" s="40" t="s">
        <v>614</v>
      </c>
      <c r="G221" s="42" t="s">
        <v>642</v>
      </c>
      <c r="H221" s="40" t="s">
        <v>631</v>
      </c>
      <c r="I221" s="40" t="s">
        <v>632</v>
      </c>
      <c r="J221" s="40" t="s">
        <v>643</v>
      </c>
      <c r="K221" s="40" t="s">
        <v>644</v>
      </c>
      <c r="L221" s="41">
        <v>7</v>
      </c>
      <c r="M221" s="43" t="s">
        <v>655</v>
      </c>
      <c r="N221" s="42" t="s">
        <v>656</v>
      </c>
      <c r="O221" s="24">
        <v>24</v>
      </c>
      <c r="P221" s="24">
        <v>6</v>
      </c>
      <c r="Q221" s="28">
        <v>6</v>
      </c>
      <c r="R221" s="25">
        <f>IFERROR((TABLA_AVANCE_METAS[[#This Row],[AVANCE 1°. TRIM]]/TABLA_AVANCE_METAS[[#This Row],[PROGR. 1° TRIM]])*100,"0")</f>
        <v>100</v>
      </c>
      <c r="S221"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21" s="24">
        <v>6</v>
      </c>
      <c r="U221" s="28">
        <v>6</v>
      </c>
      <c r="V221" s="27">
        <f t="shared" si="10"/>
        <v>100</v>
      </c>
      <c r="W221" s="26" t="str">
        <f t="shared" si="11"/>
        <v>ADECUADO</v>
      </c>
      <c r="X221" s="24">
        <v>6</v>
      </c>
      <c r="Y221" s="28">
        <v>0</v>
      </c>
      <c r="Z221" s="27">
        <v>0</v>
      </c>
      <c r="AA221" s="26" t="s">
        <v>62</v>
      </c>
      <c r="AB221" s="24">
        <v>6</v>
      </c>
      <c r="AC221" s="28">
        <v>0</v>
      </c>
      <c r="AD221" s="27">
        <f>IFERROR((TABLA_AVANCE_METAS[[#This Row],[AVANCE 4°. TRIM]]/TABLA_AVANCE_METAS[[#This Row],[PROGR. 4° TRIM]])*100,"0")</f>
        <v>0</v>
      </c>
      <c r="AE221"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21" s="30">
        <f t="array" ref="AF221">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12</v>
      </c>
      <c r="AG221" s="84">
        <f t="array" ref="AG221">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12</v>
      </c>
      <c r="AH221" s="27">
        <f>IFERROR((TABLA_AVANCE_METAS[[#This Row],[AVANCE ACUM. TRIM.]]/TABLA_AVANCE_METAS[[#This Row],[PROG. ACUM]])*100,"N/A")</f>
        <v>100</v>
      </c>
      <c r="AI221"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21" s="31">
        <f>TABLA_AVANCE_METAS[[#This Row],[AVANCE ACUM. TRIM.]]-TABLA_AVANCE_METAS[[#This Row],[PROG. ACUM]]</f>
        <v>0</v>
      </c>
      <c r="AK221" s="32">
        <f>IFERROR((TABLA_AVANCE_METAS[[#This Row],[DIFERENCIA ABSOLUTA SEMESTRAL]]/TABLA_AVANCE_METAS[[#This Row],[PROG. ACUM]])*100,"N/A")</f>
        <v>0</v>
      </c>
      <c r="AL221" s="84">
        <f>TABLA_AVANCE_METAS[[#This Row],[AVANCE 1°. TRIM]]+TABLA_AVANCE_METAS[[#This Row],[AVANCE 2°. TRIM]]+TABLA_AVANCE_METAS[[#This Row],[AVANCE 3°. TRIM]]+TABLA_AVANCE_METAS[[#This Row],[AVANCE 4°. TRIM]]</f>
        <v>12</v>
      </c>
      <c r="AM221" s="27">
        <f>IFERROR((TABLA_AVANCE_METAS[[#This Row],[AVANCE ACUM. ANUAL]]/TABLA_AVANCE_METAS[[#This Row],[PROGRAMADO ANUAL]])*100,"N/A")</f>
        <v>50</v>
      </c>
      <c r="AN221"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221" s="31">
        <f>TABLA_AVANCE_METAS[[#This Row],[AVANCE ACUM. ANUAL]]-TABLA_AVANCE_METAS[[#This Row],[PROGRAMADO ANUAL]]</f>
        <v>-12</v>
      </c>
      <c r="AP221" s="33">
        <f>IFERROR((TABLA_AVANCE_METAS[[#This Row],[DIFERENCIA ABSOLUTA ANUAL]]/TABLA_AVANCE_METAS[[#This Row],[PROGRAMADO ANUAL]])*100,"N/A")</f>
        <v>-50</v>
      </c>
      <c r="AQ221" s="34"/>
      <c r="AR221" s="35"/>
      <c r="AS221" s="36"/>
      <c r="AT221" s="36"/>
      <c r="AU221" s="37" t="b">
        <f>TABLA_AVANCE_METAS[[#This Row],[PROGRAMADO ANUAL]]=SUM(TABLA_AVANCE_METAS[[#This Row],[PROGR. 1° TRIM]],TABLA_AVANCE_METAS[[#This Row],[PROGR. 2° TRIM]],TABLA_AVANCE_METAS[[#This Row],[PROGR. 3° TRIM]],TABLA_AVANCE_METAS[[#This Row],[PROGR. 4° TRIM]])</f>
        <v>1</v>
      </c>
      <c r="AV221" s="38"/>
    </row>
    <row r="222" spans="1:48" ht="75" hidden="1" customHeight="1" x14ac:dyDescent="0.35">
      <c r="A222" s="19" t="str">
        <f>CONCATENATE(TABLA_AVANCE_METAS[[#This Row],[ESTRUCTURA]],TABLA_AVANCE_METAS[[#This Row],['#]])</f>
        <v>G0022801030401028</v>
      </c>
      <c r="B222" s="20" t="s">
        <v>641</v>
      </c>
      <c r="C222" s="41" t="s">
        <v>629</v>
      </c>
      <c r="D222" s="40" t="s">
        <v>628</v>
      </c>
      <c r="E222" s="20" t="s">
        <v>613</v>
      </c>
      <c r="F222" s="40" t="s">
        <v>614</v>
      </c>
      <c r="G222" s="42" t="s">
        <v>642</v>
      </c>
      <c r="H222" s="40" t="s">
        <v>631</v>
      </c>
      <c r="I222" s="40" t="s">
        <v>632</v>
      </c>
      <c r="J222" s="40" t="s">
        <v>643</v>
      </c>
      <c r="K222" s="40" t="s">
        <v>644</v>
      </c>
      <c r="L222" s="41">
        <v>8</v>
      </c>
      <c r="M222" s="43" t="s">
        <v>657</v>
      </c>
      <c r="N222" s="42" t="s">
        <v>144</v>
      </c>
      <c r="O222" s="24">
        <v>2</v>
      </c>
      <c r="P222" s="24">
        <v>0</v>
      </c>
      <c r="Q222" s="28">
        <v>0</v>
      </c>
      <c r="R222" s="25" t="str">
        <f>IFERROR((TABLA_AVANCE_METAS[[#This Row],[AVANCE 1°. TRIM]]/TABLA_AVANCE_METAS[[#This Row],[PROGR. 1° TRIM]])*100,"0")</f>
        <v>0</v>
      </c>
      <c r="S222"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222" s="24">
        <v>1</v>
      </c>
      <c r="U222" s="28">
        <v>1</v>
      </c>
      <c r="V222" s="27">
        <f t="shared" si="10"/>
        <v>100</v>
      </c>
      <c r="W222" s="26" t="str">
        <f t="shared" si="11"/>
        <v>ADECUADO</v>
      </c>
      <c r="X222" s="24">
        <v>0</v>
      </c>
      <c r="Y222" s="28">
        <v>0</v>
      </c>
      <c r="Z222" s="27" t="s">
        <v>71</v>
      </c>
      <c r="AA222" s="26" t="s">
        <v>72</v>
      </c>
      <c r="AB222" s="24">
        <v>1</v>
      </c>
      <c r="AC222" s="28">
        <v>0</v>
      </c>
      <c r="AD222" s="27">
        <f>IFERROR((TABLA_AVANCE_METAS[[#This Row],[AVANCE 4°. TRIM]]/TABLA_AVANCE_METAS[[#This Row],[PROGR. 4° TRIM]])*100,"0")</f>
        <v>0</v>
      </c>
      <c r="AE222"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22" s="30">
        <f t="array" ref="AF222">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222" s="84">
        <f t="array" ref="AG222">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222" s="27">
        <f>IFERROR((TABLA_AVANCE_METAS[[#This Row],[AVANCE ACUM. TRIM.]]/TABLA_AVANCE_METAS[[#This Row],[PROG. ACUM]])*100,"N/A")</f>
        <v>100</v>
      </c>
      <c r="AI222"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22" s="31">
        <f>TABLA_AVANCE_METAS[[#This Row],[AVANCE ACUM. TRIM.]]-TABLA_AVANCE_METAS[[#This Row],[PROG. ACUM]]</f>
        <v>0</v>
      </c>
      <c r="AK222" s="32">
        <f>IFERROR((TABLA_AVANCE_METAS[[#This Row],[DIFERENCIA ABSOLUTA SEMESTRAL]]/TABLA_AVANCE_METAS[[#This Row],[PROG. ACUM]])*100,"N/A")</f>
        <v>0</v>
      </c>
      <c r="AL222" s="84">
        <f>TABLA_AVANCE_METAS[[#This Row],[AVANCE 1°. TRIM]]+TABLA_AVANCE_METAS[[#This Row],[AVANCE 2°. TRIM]]+TABLA_AVANCE_METAS[[#This Row],[AVANCE 3°. TRIM]]+TABLA_AVANCE_METAS[[#This Row],[AVANCE 4°. TRIM]]</f>
        <v>1</v>
      </c>
      <c r="AM222" s="27">
        <f>IFERROR((TABLA_AVANCE_METAS[[#This Row],[AVANCE ACUM. ANUAL]]/TABLA_AVANCE_METAS[[#This Row],[PROGRAMADO ANUAL]])*100,"N/A")</f>
        <v>50</v>
      </c>
      <c r="AN222"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222" s="31">
        <f>TABLA_AVANCE_METAS[[#This Row],[AVANCE ACUM. ANUAL]]-TABLA_AVANCE_METAS[[#This Row],[PROGRAMADO ANUAL]]</f>
        <v>-1</v>
      </c>
      <c r="AP222" s="33">
        <f>IFERROR((TABLA_AVANCE_METAS[[#This Row],[DIFERENCIA ABSOLUTA ANUAL]]/TABLA_AVANCE_METAS[[#This Row],[PROGRAMADO ANUAL]])*100,"N/A")</f>
        <v>-50</v>
      </c>
      <c r="AQ222" s="34"/>
      <c r="AR222" s="35"/>
      <c r="AS222" s="36"/>
      <c r="AT222" s="36"/>
      <c r="AU222" s="37" t="b">
        <f>TABLA_AVANCE_METAS[[#This Row],[PROGRAMADO ANUAL]]=SUM(TABLA_AVANCE_METAS[[#This Row],[PROGR. 1° TRIM]],TABLA_AVANCE_METAS[[#This Row],[PROGR. 2° TRIM]],TABLA_AVANCE_METAS[[#This Row],[PROGR. 3° TRIM]],TABLA_AVANCE_METAS[[#This Row],[PROGR. 4° TRIM]])</f>
        <v>1</v>
      </c>
      <c r="AV222" s="38"/>
    </row>
    <row r="223" spans="1:48" ht="75" hidden="1" customHeight="1" x14ac:dyDescent="0.35">
      <c r="A223" s="19" t="str">
        <f>CONCATENATE(TABLA_AVANCE_METAS[[#This Row],[ESTRUCTURA]],TABLA_AVANCE_METAS[[#This Row],['#]])</f>
        <v>G0022801030401029</v>
      </c>
      <c r="B223" s="20" t="s">
        <v>641</v>
      </c>
      <c r="C223" s="41" t="s">
        <v>629</v>
      </c>
      <c r="D223" s="40" t="s">
        <v>628</v>
      </c>
      <c r="E223" s="20" t="s">
        <v>613</v>
      </c>
      <c r="F223" s="40" t="s">
        <v>614</v>
      </c>
      <c r="G223" s="42" t="s">
        <v>642</v>
      </c>
      <c r="H223" s="40" t="s">
        <v>631</v>
      </c>
      <c r="I223" s="40" t="s">
        <v>632</v>
      </c>
      <c r="J223" s="40" t="s">
        <v>643</v>
      </c>
      <c r="K223" s="40" t="s">
        <v>644</v>
      </c>
      <c r="L223" s="41">
        <v>9</v>
      </c>
      <c r="M223" s="43" t="s">
        <v>658</v>
      </c>
      <c r="N223" s="42" t="s">
        <v>144</v>
      </c>
      <c r="O223" s="24">
        <v>2</v>
      </c>
      <c r="P223" s="24">
        <v>0</v>
      </c>
      <c r="Q223" s="28">
        <v>0</v>
      </c>
      <c r="R223" s="25" t="str">
        <f>IFERROR((TABLA_AVANCE_METAS[[#This Row],[AVANCE 1°. TRIM]]/TABLA_AVANCE_METAS[[#This Row],[PROGR. 1° TRIM]])*100,"0")</f>
        <v>0</v>
      </c>
      <c r="S223"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223" s="24">
        <v>1</v>
      </c>
      <c r="U223" s="28">
        <v>1</v>
      </c>
      <c r="V223" s="27">
        <f t="shared" si="10"/>
        <v>100</v>
      </c>
      <c r="W223" s="26" t="str">
        <f t="shared" si="11"/>
        <v>ADECUADO</v>
      </c>
      <c r="X223" s="24">
        <v>0</v>
      </c>
      <c r="Y223" s="28">
        <v>0</v>
      </c>
      <c r="Z223" s="27" t="s">
        <v>71</v>
      </c>
      <c r="AA223" s="26" t="s">
        <v>72</v>
      </c>
      <c r="AB223" s="24">
        <v>1</v>
      </c>
      <c r="AC223" s="28">
        <v>0</v>
      </c>
      <c r="AD223" s="27">
        <f>IFERROR((TABLA_AVANCE_METAS[[#This Row],[AVANCE 4°. TRIM]]/TABLA_AVANCE_METAS[[#This Row],[PROGR. 4° TRIM]])*100,"0")</f>
        <v>0</v>
      </c>
      <c r="AE223"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23" s="30">
        <f t="array" ref="AF223">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223" s="84">
        <f t="array" ref="AG223">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223" s="27">
        <f>IFERROR((TABLA_AVANCE_METAS[[#This Row],[AVANCE ACUM. TRIM.]]/TABLA_AVANCE_METAS[[#This Row],[PROG. ACUM]])*100,"N/A")</f>
        <v>100</v>
      </c>
      <c r="AI223"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23" s="31">
        <f>TABLA_AVANCE_METAS[[#This Row],[AVANCE ACUM. TRIM.]]-TABLA_AVANCE_METAS[[#This Row],[PROG. ACUM]]</f>
        <v>0</v>
      </c>
      <c r="AK223" s="32">
        <f>IFERROR((TABLA_AVANCE_METAS[[#This Row],[DIFERENCIA ABSOLUTA SEMESTRAL]]/TABLA_AVANCE_METAS[[#This Row],[PROG. ACUM]])*100,"N/A")</f>
        <v>0</v>
      </c>
      <c r="AL223" s="84">
        <f>TABLA_AVANCE_METAS[[#This Row],[AVANCE 1°. TRIM]]+TABLA_AVANCE_METAS[[#This Row],[AVANCE 2°. TRIM]]+TABLA_AVANCE_METAS[[#This Row],[AVANCE 3°. TRIM]]+TABLA_AVANCE_METAS[[#This Row],[AVANCE 4°. TRIM]]</f>
        <v>1</v>
      </c>
      <c r="AM223" s="27">
        <f>IFERROR((TABLA_AVANCE_METAS[[#This Row],[AVANCE ACUM. ANUAL]]/TABLA_AVANCE_METAS[[#This Row],[PROGRAMADO ANUAL]])*100,"N/A")</f>
        <v>50</v>
      </c>
      <c r="AN223"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223" s="31">
        <f>TABLA_AVANCE_METAS[[#This Row],[AVANCE ACUM. ANUAL]]-TABLA_AVANCE_METAS[[#This Row],[PROGRAMADO ANUAL]]</f>
        <v>-1</v>
      </c>
      <c r="AP223" s="33">
        <f>IFERROR((TABLA_AVANCE_METAS[[#This Row],[DIFERENCIA ABSOLUTA ANUAL]]/TABLA_AVANCE_METAS[[#This Row],[PROGRAMADO ANUAL]])*100,"N/A")</f>
        <v>-50</v>
      </c>
      <c r="AQ223" s="34"/>
      <c r="AR223" s="35"/>
      <c r="AS223" s="36"/>
      <c r="AT223" s="36"/>
      <c r="AU223" s="37" t="b">
        <f>TABLA_AVANCE_METAS[[#This Row],[PROGRAMADO ANUAL]]=SUM(TABLA_AVANCE_METAS[[#This Row],[PROGR. 1° TRIM]],TABLA_AVANCE_METAS[[#This Row],[PROGR. 2° TRIM]],TABLA_AVANCE_METAS[[#This Row],[PROGR. 3° TRIM]],TABLA_AVANCE_METAS[[#This Row],[PROGR. 4° TRIM]])</f>
        <v>1</v>
      </c>
      <c r="AV223" s="38"/>
    </row>
    <row r="224" spans="1:48" ht="75" hidden="1" customHeight="1" x14ac:dyDescent="0.35">
      <c r="A224" s="19" t="str">
        <f>CONCATENATE(TABLA_AVANCE_METAS[[#This Row],[ESTRUCTURA]],TABLA_AVANCE_METAS[[#This Row],['#]])</f>
        <v>G00228010304010210</v>
      </c>
      <c r="B224" s="20" t="s">
        <v>641</v>
      </c>
      <c r="C224" s="41" t="s">
        <v>629</v>
      </c>
      <c r="D224" s="40" t="s">
        <v>628</v>
      </c>
      <c r="E224" s="20" t="s">
        <v>613</v>
      </c>
      <c r="F224" s="40" t="s">
        <v>614</v>
      </c>
      <c r="G224" s="42" t="s">
        <v>642</v>
      </c>
      <c r="H224" s="40" t="s">
        <v>631</v>
      </c>
      <c r="I224" s="40" t="s">
        <v>632</v>
      </c>
      <c r="J224" s="40" t="s">
        <v>643</v>
      </c>
      <c r="K224" s="40" t="s">
        <v>644</v>
      </c>
      <c r="L224" s="41">
        <v>10</v>
      </c>
      <c r="M224" s="43" t="s">
        <v>659</v>
      </c>
      <c r="N224" s="42" t="s">
        <v>148</v>
      </c>
      <c r="O224" s="24">
        <v>1</v>
      </c>
      <c r="P224" s="24">
        <v>0</v>
      </c>
      <c r="Q224" s="28">
        <v>0</v>
      </c>
      <c r="R224" s="25" t="str">
        <f>IFERROR((TABLA_AVANCE_METAS[[#This Row],[AVANCE 1°. TRIM]]/TABLA_AVANCE_METAS[[#This Row],[PROGR. 1° TRIM]])*100,"0")</f>
        <v>0</v>
      </c>
      <c r="S224"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224" s="24">
        <v>0</v>
      </c>
      <c r="U224" s="28">
        <v>0</v>
      </c>
      <c r="V224" s="27" t="str">
        <f t="shared" si="10"/>
        <v>0</v>
      </c>
      <c r="W224" s="26" t="str">
        <f t="shared" si="11"/>
        <v>NO PROG.</v>
      </c>
      <c r="X224" s="24">
        <v>0</v>
      </c>
      <c r="Y224" s="28">
        <v>0</v>
      </c>
      <c r="Z224" s="27" t="s">
        <v>71</v>
      </c>
      <c r="AA224" s="26" t="s">
        <v>72</v>
      </c>
      <c r="AB224" s="24">
        <v>1</v>
      </c>
      <c r="AC224" s="28">
        <v>0</v>
      </c>
      <c r="AD224" s="27">
        <f>IFERROR((TABLA_AVANCE_METAS[[#This Row],[AVANCE 4°. TRIM]]/TABLA_AVANCE_METAS[[#This Row],[PROGR. 4° TRIM]])*100,"0")</f>
        <v>0</v>
      </c>
      <c r="AE224"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24" s="30">
        <f t="array" ref="AF224">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224" s="84">
        <f t="array" ref="AG224">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224" s="27" t="str">
        <f>IFERROR((TABLA_AVANCE_METAS[[#This Row],[AVANCE ACUM. TRIM.]]/TABLA_AVANCE_METAS[[#This Row],[PROG. ACUM]])*100,"N/A")</f>
        <v>N/A</v>
      </c>
      <c r="AI224"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224" s="31">
        <f>TABLA_AVANCE_METAS[[#This Row],[AVANCE ACUM. TRIM.]]-TABLA_AVANCE_METAS[[#This Row],[PROG. ACUM]]</f>
        <v>0</v>
      </c>
      <c r="AK224" s="32" t="str">
        <f>IFERROR((TABLA_AVANCE_METAS[[#This Row],[DIFERENCIA ABSOLUTA SEMESTRAL]]/TABLA_AVANCE_METAS[[#This Row],[PROG. ACUM]])*100,"N/A")</f>
        <v>N/A</v>
      </c>
      <c r="AL224" s="84">
        <f>TABLA_AVANCE_METAS[[#This Row],[AVANCE 1°. TRIM]]+TABLA_AVANCE_METAS[[#This Row],[AVANCE 2°. TRIM]]+TABLA_AVANCE_METAS[[#This Row],[AVANCE 3°. TRIM]]+TABLA_AVANCE_METAS[[#This Row],[AVANCE 4°. TRIM]]</f>
        <v>0</v>
      </c>
      <c r="AM224" s="27">
        <f>IFERROR((TABLA_AVANCE_METAS[[#This Row],[AVANCE ACUM. ANUAL]]/TABLA_AVANCE_METAS[[#This Row],[PROGRAMADO ANUAL]])*100,"N/A")</f>
        <v>0</v>
      </c>
      <c r="AN224"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224" s="31">
        <f>TABLA_AVANCE_METAS[[#This Row],[AVANCE ACUM. ANUAL]]-TABLA_AVANCE_METAS[[#This Row],[PROGRAMADO ANUAL]]</f>
        <v>-1</v>
      </c>
      <c r="AP224" s="33">
        <f>IFERROR((TABLA_AVANCE_METAS[[#This Row],[DIFERENCIA ABSOLUTA ANUAL]]/TABLA_AVANCE_METAS[[#This Row],[PROGRAMADO ANUAL]])*100,"N/A")</f>
        <v>-100</v>
      </c>
      <c r="AQ224" s="34"/>
      <c r="AR224" s="35"/>
      <c r="AS224" s="36"/>
      <c r="AT224" s="36"/>
      <c r="AU224" s="37" t="b">
        <f>TABLA_AVANCE_METAS[[#This Row],[PROGRAMADO ANUAL]]=SUM(TABLA_AVANCE_METAS[[#This Row],[PROGR. 1° TRIM]],TABLA_AVANCE_METAS[[#This Row],[PROGR. 2° TRIM]],TABLA_AVANCE_METAS[[#This Row],[PROGR. 3° TRIM]],TABLA_AVANCE_METAS[[#This Row],[PROGR. 4° TRIM]])</f>
        <v>1</v>
      </c>
      <c r="AV224" s="38"/>
    </row>
    <row r="225" spans="1:48" ht="75" hidden="1" customHeight="1" x14ac:dyDescent="0.35">
      <c r="A225" s="19" t="str">
        <f>CONCATENATE(TABLA_AVANCE_METAS[[#This Row],[ESTRUCTURA]],TABLA_AVANCE_METAS[[#This Row],['#]])</f>
        <v>G0022801030402051</v>
      </c>
      <c r="B225" s="20" t="s">
        <v>660</v>
      </c>
      <c r="C225" s="41" t="s">
        <v>629</v>
      </c>
      <c r="D225" s="40" t="s">
        <v>628</v>
      </c>
      <c r="E225" s="20" t="s">
        <v>613</v>
      </c>
      <c r="F225" s="40" t="s">
        <v>614</v>
      </c>
      <c r="G225" s="42" t="s">
        <v>661</v>
      </c>
      <c r="H225" s="40" t="s">
        <v>662</v>
      </c>
      <c r="I225" s="40" t="s">
        <v>663</v>
      </c>
      <c r="J225" s="40" t="s">
        <v>664</v>
      </c>
      <c r="K225" s="40" t="s">
        <v>665</v>
      </c>
      <c r="L225" s="41">
        <v>1</v>
      </c>
      <c r="M225" s="43" t="s">
        <v>666</v>
      </c>
      <c r="N225" s="42" t="s">
        <v>667</v>
      </c>
      <c r="O225" s="24">
        <v>90</v>
      </c>
      <c r="P225" s="24">
        <v>15</v>
      </c>
      <c r="Q225" s="28">
        <v>15</v>
      </c>
      <c r="R225" s="25">
        <f>IFERROR((TABLA_AVANCE_METAS[[#This Row],[AVANCE 1°. TRIM]]/TABLA_AVANCE_METAS[[#This Row],[PROGR. 1° TRIM]])*100,"0")</f>
        <v>100</v>
      </c>
      <c r="S225"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25" s="24">
        <v>25</v>
      </c>
      <c r="U225" s="28">
        <v>25</v>
      </c>
      <c r="V225" s="27">
        <f t="shared" si="10"/>
        <v>100</v>
      </c>
      <c r="W225" s="26" t="str">
        <f t="shared" si="11"/>
        <v>ADECUADO</v>
      </c>
      <c r="X225" s="24">
        <v>25</v>
      </c>
      <c r="Y225" s="28">
        <v>0</v>
      </c>
      <c r="Z225" s="27">
        <v>0</v>
      </c>
      <c r="AA225" s="26" t="s">
        <v>62</v>
      </c>
      <c r="AB225" s="24">
        <v>25</v>
      </c>
      <c r="AC225" s="28">
        <v>0</v>
      </c>
      <c r="AD225" s="27">
        <f>IFERROR((TABLA_AVANCE_METAS[[#This Row],[AVANCE 4°. TRIM]]/TABLA_AVANCE_METAS[[#This Row],[PROGR. 4° TRIM]])*100,"0")</f>
        <v>0</v>
      </c>
      <c r="AE225"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25" s="30">
        <f t="array" ref="AF225">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40</v>
      </c>
      <c r="AG225" s="84">
        <f t="array" ref="AG225">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40</v>
      </c>
      <c r="AH225" s="27">
        <f>IFERROR((TABLA_AVANCE_METAS[[#This Row],[AVANCE ACUM. TRIM.]]/TABLA_AVANCE_METAS[[#This Row],[PROG. ACUM]])*100,"N/A")</f>
        <v>100</v>
      </c>
      <c r="AI225"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25" s="31">
        <f>TABLA_AVANCE_METAS[[#This Row],[AVANCE ACUM. TRIM.]]-TABLA_AVANCE_METAS[[#This Row],[PROG. ACUM]]</f>
        <v>0</v>
      </c>
      <c r="AK225" s="32">
        <f>IFERROR((TABLA_AVANCE_METAS[[#This Row],[DIFERENCIA ABSOLUTA SEMESTRAL]]/TABLA_AVANCE_METAS[[#This Row],[PROG. ACUM]])*100,"N/A")</f>
        <v>0</v>
      </c>
      <c r="AL225" s="84">
        <f>TABLA_AVANCE_METAS[[#This Row],[AVANCE 1°. TRIM]]+TABLA_AVANCE_METAS[[#This Row],[AVANCE 2°. TRIM]]+TABLA_AVANCE_METAS[[#This Row],[AVANCE 3°. TRIM]]+TABLA_AVANCE_METAS[[#This Row],[AVANCE 4°. TRIM]]</f>
        <v>40</v>
      </c>
      <c r="AM225" s="27">
        <f>IFERROR((TABLA_AVANCE_METAS[[#This Row],[AVANCE ACUM. ANUAL]]/TABLA_AVANCE_METAS[[#This Row],[PROGRAMADO ANUAL]])*100,"N/A")</f>
        <v>44.444444444444443</v>
      </c>
      <c r="AN225"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225" s="31">
        <f>TABLA_AVANCE_METAS[[#This Row],[AVANCE ACUM. ANUAL]]-TABLA_AVANCE_METAS[[#This Row],[PROGRAMADO ANUAL]]</f>
        <v>-50</v>
      </c>
      <c r="AP225" s="33">
        <f>IFERROR((TABLA_AVANCE_METAS[[#This Row],[DIFERENCIA ABSOLUTA ANUAL]]/TABLA_AVANCE_METAS[[#This Row],[PROGRAMADO ANUAL]])*100,"N/A")</f>
        <v>-55.555555555555557</v>
      </c>
      <c r="AQ225" s="34"/>
      <c r="AR225" s="35"/>
      <c r="AS225" s="36"/>
      <c r="AT225" s="36"/>
      <c r="AU225" s="37" t="b">
        <f>TABLA_AVANCE_METAS[[#This Row],[PROGRAMADO ANUAL]]=SUM(TABLA_AVANCE_METAS[[#This Row],[PROGR. 1° TRIM]],TABLA_AVANCE_METAS[[#This Row],[PROGR. 2° TRIM]],TABLA_AVANCE_METAS[[#This Row],[PROGR. 3° TRIM]],TABLA_AVANCE_METAS[[#This Row],[PROGR. 4° TRIM]])</f>
        <v>1</v>
      </c>
      <c r="AV225" s="38"/>
    </row>
    <row r="226" spans="1:48" ht="75" hidden="1" customHeight="1" x14ac:dyDescent="0.35">
      <c r="A226" s="19" t="str">
        <f>CONCATENATE(TABLA_AVANCE_METAS[[#This Row],[ESTRUCTURA]],TABLA_AVANCE_METAS[[#This Row],['#]])</f>
        <v>G0022801030402052</v>
      </c>
      <c r="B226" s="20" t="s">
        <v>660</v>
      </c>
      <c r="C226" s="41" t="s">
        <v>629</v>
      </c>
      <c r="D226" s="40" t="s">
        <v>628</v>
      </c>
      <c r="E226" s="20" t="s">
        <v>613</v>
      </c>
      <c r="F226" s="40" t="s">
        <v>614</v>
      </c>
      <c r="G226" s="42" t="s">
        <v>661</v>
      </c>
      <c r="H226" s="40" t="s">
        <v>662</v>
      </c>
      <c r="I226" s="40" t="s">
        <v>663</v>
      </c>
      <c r="J226" s="40" t="s">
        <v>664</v>
      </c>
      <c r="K226" s="40" t="s">
        <v>665</v>
      </c>
      <c r="L226" s="41">
        <v>2</v>
      </c>
      <c r="M226" s="43" t="s">
        <v>668</v>
      </c>
      <c r="N226" s="42" t="s">
        <v>70</v>
      </c>
      <c r="O226" s="24">
        <v>25</v>
      </c>
      <c r="P226" s="24">
        <v>10</v>
      </c>
      <c r="Q226" s="28">
        <v>10</v>
      </c>
      <c r="R226" s="25">
        <f>IFERROR((TABLA_AVANCE_METAS[[#This Row],[AVANCE 1°. TRIM]]/TABLA_AVANCE_METAS[[#This Row],[PROGR. 1° TRIM]])*100,"0")</f>
        <v>100</v>
      </c>
      <c r="S226"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26" s="24">
        <v>5</v>
      </c>
      <c r="U226" s="28">
        <v>5</v>
      </c>
      <c r="V226" s="27">
        <f t="shared" si="10"/>
        <v>100</v>
      </c>
      <c r="W226" s="26" t="str">
        <f t="shared" si="11"/>
        <v>ADECUADO</v>
      </c>
      <c r="X226" s="24">
        <v>5</v>
      </c>
      <c r="Y226" s="28">
        <v>0</v>
      </c>
      <c r="Z226" s="27">
        <v>0</v>
      </c>
      <c r="AA226" s="26" t="s">
        <v>62</v>
      </c>
      <c r="AB226" s="24">
        <v>5</v>
      </c>
      <c r="AC226" s="28">
        <v>0</v>
      </c>
      <c r="AD226" s="27">
        <f>IFERROR((TABLA_AVANCE_METAS[[#This Row],[AVANCE 4°. TRIM]]/TABLA_AVANCE_METAS[[#This Row],[PROGR. 4° TRIM]])*100,"0")</f>
        <v>0</v>
      </c>
      <c r="AE226"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26" s="30">
        <f t="array" ref="AF226">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15</v>
      </c>
      <c r="AG226" s="84">
        <f t="array" ref="AG226">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15</v>
      </c>
      <c r="AH226" s="27">
        <f>IFERROR((TABLA_AVANCE_METAS[[#This Row],[AVANCE ACUM. TRIM.]]/TABLA_AVANCE_METAS[[#This Row],[PROG. ACUM]])*100,"N/A")</f>
        <v>100</v>
      </c>
      <c r="AI226"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26" s="31">
        <f>TABLA_AVANCE_METAS[[#This Row],[AVANCE ACUM. TRIM.]]-TABLA_AVANCE_METAS[[#This Row],[PROG. ACUM]]</f>
        <v>0</v>
      </c>
      <c r="AK226" s="32">
        <f>IFERROR((TABLA_AVANCE_METAS[[#This Row],[DIFERENCIA ABSOLUTA SEMESTRAL]]/TABLA_AVANCE_METAS[[#This Row],[PROG. ACUM]])*100,"N/A")</f>
        <v>0</v>
      </c>
      <c r="AL226" s="84">
        <f>TABLA_AVANCE_METAS[[#This Row],[AVANCE 1°. TRIM]]+TABLA_AVANCE_METAS[[#This Row],[AVANCE 2°. TRIM]]+TABLA_AVANCE_METAS[[#This Row],[AVANCE 3°. TRIM]]+TABLA_AVANCE_METAS[[#This Row],[AVANCE 4°. TRIM]]</f>
        <v>15</v>
      </c>
      <c r="AM226" s="27">
        <f>IFERROR((TABLA_AVANCE_METAS[[#This Row],[AVANCE ACUM. ANUAL]]/TABLA_AVANCE_METAS[[#This Row],[PROGRAMADO ANUAL]])*100,"N/A")</f>
        <v>60</v>
      </c>
      <c r="AN226"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226" s="31">
        <f>TABLA_AVANCE_METAS[[#This Row],[AVANCE ACUM. ANUAL]]-TABLA_AVANCE_METAS[[#This Row],[PROGRAMADO ANUAL]]</f>
        <v>-10</v>
      </c>
      <c r="AP226" s="33">
        <f>IFERROR((TABLA_AVANCE_METAS[[#This Row],[DIFERENCIA ABSOLUTA ANUAL]]/TABLA_AVANCE_METAS[[#This Row],[PROGRAMADO ANUAL]])*100,"N/A")</f>
        <v>-40</v>
      </c>
      <c r="AQ226" s="34"/>
      <c r="AR226" s="35"/>
      <c r="AS226" s="36"/>
      <c r="AT226" s="36"/>
      <c r="AU226" s="37" t="b">
        <f>TABLA_AVANCE_METAS[[#This Row],[PROGRAMADO ANUAL]]=SUM(TABLA_AVANCE_METAS[[#This Row],[PROGR. 1° TRIM]],TABLA_AVANCE_METAS[[#This Row],[PROGR. 2° TRIM]],TABLA_AVANCE_METAS[[#This Row],[PROGR. 3° TRIM]],TABLA_AVANCE_METAS[[#This Row],[PROGR. 4° TRIM]])</f>
        <v>1</v>
      </c>
      <c r="AV226" s="38"/>
    </row>
    <row r="227" spans="1:48" ht="75" hidden="1" customHeight="1" x14ac:dyDescent="0.35">
      <c r="A227" s="19" t="str">
        <f>CONCATENATE(TABLA_AVANCE_METAS[[#This Row],[ESTRUCTURA]],TABLA_AVANCE_METAS[[#This Row],['#]])</f>
        <v>G0022801030402053</v>
      </c>
      <c r="B227" s="20" t="s">
        <v>660</v>
      </c>
      <c r="C227" s="41" t="s">
        <v>629</v>
      </c>
      <c r="D227" s="40" t="s">
        <v>628</v>
      </c>
      <c r="E227" s="20" t="s">
        <v>613</v>
      </c>
      <c r="F227" s="40" t="s">
        <v>614</v>
      </c>
      <c r="G227" s="42" t="s">
        <v>661</v>
      </c>
      <c r="H227" s="40" t="s">
        <v>662</v>
      </c>
      <c r="I227" s="40" t="s">
        <v>663</v>
      </c>
      <c r="J227" s="40" t="s">
        <v>664</v>
      </c>
      <c r="K227" s="40" t="s">
        <v>665</v>
      </c>
      <c r="L227" s="41">
        <v>3</v>
      </c>
      <c r="M227" s="43" t="s">
        <v>669</v>
      </c>
      <c r="N227" s="42" t="s">
        <v>670</v>
      </c>
      <c r="O227" s="24">
        <v>94</v>
      </c>
      <c r="P227" s="24">
        <v>24</v>
      </c>
      <c r="Q227" s="28">
        <v>24</v>
      </c>
      <c r="R227" s="25">
        <f>IFERROR((TABLA_AVANCE_METAS[[#This Row],[AVANCE 1°. TRIM]]/TABLA_AVANCE_METAS[[#This Row],[PROGR. 1° TRIM]])*100,"0")</f>
        <v>100</v>
      </c>
      <c r="S227"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27" s="24">
        <v>10</v>
      </c>
      <c r="U227" s="28">
        <v>10</v>
      </c>
      <c r="V227" s="27">
        <f t="shared" si="10"/>
        <v>100</v>
      </c>
      <c r="W227" s="26" t="str">
        <f t="shared" si="11"/>
        <v>ADECUADO</v>
      </c>
      <c r="X227" s="24">
        <v>25</v>
      </c>
      <c r="Y227" s="28">
        <v>0</v>
      </c>
      <c r="Z227" s="27">
        <v>0</v>
      </c>
      <c r="AA227" s="26" t="s">
        <v>62</v>
      </c>
      <c r="AB227" s="24">
        <v>35</v>
      </c>
      <c r="AC227" s="28">
        <v>0</v>
      </c>
      <c r="AD227" s="27">
        <f>IFERROR((TABLA_AVANCE_METAS[[#This Row],[AVANCE 4°. TRIM]]/TABLA_AVANCE_METAS[[#This Row],[PROGR. 4° TRIM]])*100,"0")</f>
        <v>0</v>
      </c>
      <c r="AE227"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27" s="30">
        <f t="array" ref="AF227">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34</v>
      </c>
      <c r="AG227" s="84">
        <f t="array" ref="AG227">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34</v>
      </c>
      <c r="AH227" s="27">
        <f>IFERROR((TABLA_AVANCE_METAS[[#This Row],[AVANCE ACUM. TRIM.]]/TABLA_AVANCE_METAS[[#This Row],[PROG. ACUM]])*100,"N/A")</f>
        <v>100</v>
      </c>
      <c r="AI227"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27" s="31">
        <f>TABLA_AVANCE_METAS[[#This Row],[AVANCE ACUM. TRIM.]]-TABLA_AVANCE_METAS[[#This Row],[PROG. ACUM]]</f>
        <v>0</v>
      </c>
      <c r="AK227" s="32">
        <f>IFERROR((TABLA_AVANCE_METAS[[#This Row],[DIFERENCIA ABSOLUTA SEMESTRAL]]/TABLA_AVANCE_METAS[[#This Row],[PROG. ACUM]])*100,"N/A")</f>
        <v>0</v>
      </c>
      <c r="AL227" s="84">
        <f>TABLA_AVANCE_METAS[[#This Row],[AVANCE 1°. TRIM]]+TABLA_AVANCE_METAS[[#This Row],[AVANCE 2°. TRIM]]+TABLA_AVANCE_METAS[[#This Row],[AVANCE 3°. TRIM]]+TABLA_AVANCE_METAS[[#This Row],[AVANCE 4°. TRIM]]</f>
        <v>34</v>
      </c>
      <c r="AM227" s="27">
        <f>IFERROR((TABLA_AVANCE_METAS[[#This Row],[AVANCE ACUM. ANUAL]]/TABLA_AVANCE_METAS[[#This Row],[PROGRAMADO ANUAL]])*100,"N/A")</f>
        <v>36.170212765957451</v>
      </c>
      <c r="AN227"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227" s="31">
        <f>TABLA_AVANCE_METAS[[#This Row],[AVANCE ACUM. ANUAL]]-TABLA_AVANCE_METAS[[#This Row],[PROGRAMADO ANUAL]]</f>
        <v>-60</v>
      </c>
      <c r="AP227" s="33">
        <f>IFERROR((TABLA_AVANCE_METAS[[#This Row],[DIFERENCIA ABSOLUTA ANUAL]]/TABLA_AVANCE_METAS[[#This Row],[PROGRAMADO ANUAL]])*100,"N/A")</f>
        <v>-63.829787234042556</v>
      </c>
      <c r="AQ227" s="34"/>
      <c r="AR227" s="35"/>
      <c r="AS227" s="36"/>
      <c r="AT227" s="36"/>
      <c r="AU227" s="37" t="b">
        <f>TABLA_AVANCE_METAS[[#This Row],[PROGRAMADO ANUAL]]=SUM(TABLA_AVANCE_METAS[[#This Row],[PROGR. 1° TRIM]],TABLA_AVANCE_METAS[[#This Row],[PROGR. 2° TRIM]],TABLA_AVANCE_METAS[[#This Row],[PROGR. 3° TRIM]],TABLA_AVANCE_METAS[[#This Row],[PROGR. 4° TRIM]])</f>
        <v>1</v>
      </c>
      <c r="AV227" s="38"/>
    </row>
    <row r="228" spans="1:48" ht="75" hidden="1" customHeight="1" x14ac:dyDescent="0.35">
      <c r="A228" s="19" t="str">
        <f>CONCATENATE(TABLA_AVANCE_METAS[[#This Row],[ESTRUCTURA]],TABLA_AVANCE_METAS[[#This Row],['#]])</f>
        <v>G0022801030402054</v>
      </c>
      <c r="B228" s="20" t="s">
        <v>660</v>
      </c>
      <c r="C228" s="41" t="s">
        <v>629</v>
      </c>
      <c r="D228" s="40" t="s">
        <v>628</v>
      </c>
      <c r="E228" s="20" t="s">
        <v>613</v>
      </c>
      <c r="F228" s="40" t="s">
        <v>614</v>
      </c>
      <c r="G228" s="42" t="s">
        <v>661</v>
      </c>
      <c r="H228" s="40" t="s">
        <v>662</v>
      </c>
      <c r="I228" s="40" t="s">
        <v>663</v>
      </c>
      <c r="J228" s="40" t="s">
        <v>664</v>
      </c>
      <c r="K228" s="40" t="s">
        <v>665</v>
      </c>
      <c r="L228" s="41">
        <v>4</v>
      </c>
      <c r="M228" s="43" t="s">
        <v>671</v>
      </c>
      <c r="N228" s="42" t="s">
        <v>672</v>
      </c>
      <c r="O228" s="24">
        <v>37</v>
      </c>
      <c r="P228" s="24">
        <v>7</v>
      </c>
      <c r="Q228" s="28">
        <v>7</v>
      </c>
      <c r="R228" s="25">
        <f>IFERROR((TABLA_AVANCE_METAS[[#This Row],[AVANCE 1°. TRIM]]/TABLA_AVANCE_METAS[[#This Row],[PROGR. 1° TRIM]])*100,"0")</f>
        <v>100</v>
      </c>
      <c r="S228"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28" s="24">
        <v>10</v>
      </c>
      <c r="U228" s="28">
        <v>10</v>
      </c>
      <c r="V228" s="27">
        <f t="shared" si="10"/>
        <v>100</v>
      </c>
      <c r="W228" s="26" t="str">
        <f t="shared" si="11"/>
        <v>ADECUADO</v>
      </c>
      <c r="X228" s="24">
        <v>10</v>
      </c>
      <c r="Y228" s="28">
        <v>0</v>
      </c>
      <c r="Z228" s="27">
        <v>0</v>
      </c>
      <c r="AA228" s="26" t="s">
        <v>62</v>
      </c>
      <c r="AB228" s="24">
        <v>10</v>
      </c>
      <c r="AC228" s="28">
        <v>0</v>
      </c>
      <c r="AD228" s="27">
        <f>IFERROR((TABLA_AVANCE_METAS[[#This Row],[AVANCE 4°. TRIM]]/TABLA_AVANCE_METAS[[#This Row],[PROGR. 4° TRIM]])*100,"0")</f>
        <v>0</v>
      </c>
      <c r="AE228"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28" s="30">
        <f t="array" ref="AF228">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17</v>
      </c>
      <c r="AG228" s="84">
        <f t="array" ref="AG228">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17</v>
      </c>
      <c r="AH228" s="27">
        <f>IFERROR((TABLA_AVANCE_METAS[[#This Row],[AVANCE ACUM. TRIM.]]/TABLA_AVANCE_METAS[[#This Row],[PROG. ACUM]])*100,"N/A")</f>
        <v>100</v>
      </c>
      <c r="AI228"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28" s="31">
        <f>TABLA_AVANCE_METAS[[#This Row],[AVANCE ACUM. TRIM.]]-TABLA_AVANCE_METAS[[#This Row],[PROG. ACUM]]</f>
        <v>0</v>
      </c>
      <c r="AK228" s="32">
        <f>IFERROR((TABLA_AVANCE_METAS[[#This Row],[DIFERENCIA ABSOLUTA SEMESTRAL]]/TABLA_AVANCE_METAS[[#This Row],[PROG. ACUM]])*100,"N/A")</f>
        <v>0</v>
      </c>
      <c r="AL228" s="84">
        <f>TABLA_AVANCE_METAS[[#This Row],[AVANCE 1°. TRIM]]+TABLA_AVANCE_METAS[[#This Row],[AVANCE 2°. TRIM]]+TABLA_AVANCE_METAS[[#This Row],[AVANCE 3°. TRIM]]+TABLA_AVANCE_METAS[[#This Row],[AVANCE 4°. TRIM]]</f>
        <v>17</v>
      </c>
      <c r="AM228" s="27">
        <f>IFERROR((TABLA_AVANCE_METAS[[#This Row],[AVANCE ACUM. ANUAL]]/TABLA_AVANCE_METAS[[#This Row],[PROGRAMADO ANUAL]])*100,"N/A")</f>
        <v>45.945945945945951</v>
      </c>
      <c r="AN228"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228" s="31">
        <f>TABLA_AVANCE_METAS[[#This Row],[AVANCE ACUM. ANUAL]]-TABLA_AVANCE_METAS[[#This Row],[PROGRAMADO ANUAL]]</f>
        <v>-20</v>
      </c>
      <c r="AP228" s="33">
        <f>IFERROR((TABLA_AVANCE_METAS[[#This Row],[DIFERENCIA ABSOLUTA ANUAL]]/TABLA_AVANCE_METAS[[#This Row],[PROGRAMADO ANUAL]])*100,"N/A")</f>
        <v>-54.054054054054056</v>
      </c>
      <c r="AQ228" s="34"/>
      <c r="AR228" s="35"/>
      <c r="AS228" s="36"/>
      <c r="AT228" s="36"/>
      <c r="AU228" s="37" t="b">
        <f>TABLA_AVANCE_METAS[[#This Row],[PROGRAMADO ANUAL]]=SUM(TABLA_AVANCE_METAS[[#This Row],[PROGR. 1° TRIM]],TABLA_AVANCE_METAS[[#This Row],[PROGR. 2° TRIM]],TABLA_AVANCE_METAS[[#This Row],[PROGR. 3° TRIM]],TABLA_AVANCE_METAS[[#This Row],[PROGR. 4° TRIM]])</f>
        <v>1</v>
      </c>
      <c r="AV228" s="38"/>
    </row>
    <row r="229" spans="1:48" ht="75" hidden="1" customHeight="1" x14ac:dyDescent="0.35">
      <c r="A229" s="19" t="str">
        <f>CONCATENATE(TABLA_AVANCE_METAS[[#This Row],[ESTRUCTURA]],TABLA_AVANCE_METAS[[#This Row],['#]])</f>
        <v>G0022801030402055</v>
      </c>
      <c r="B229" s="20" t="s">
        <v>660</v>
      </c>
      <c r="C229" s="41" t="s">
        <v>629</v>
      </c>
      <c r="D229" s="40" t="s">
        <v>628</v>
      </c>
      <c r="E229" s="20" t="s">
        <v>613</v>
      </c>
      <c r="F229" s="40" t="s">
        <v>614</v>
      </c>
      <c r="G229" s="42" t="s">
        <v>661</v>
      </c>
      <c r="H229" s="40" t="s">
        <v>662</v>
      </c>
      <c r="I229" s="40" t="s">
        <v>663</v>
      </c>
      <c r="J229" s="40" t="s">
        <v>664</v>
      </c>
      <c r="K229" s="40" t="s">
        <v>665</v>
      </c>
      <c r="L229" s="41">
        <v>5</v>
      </c>
      <c r="M229" s="43" t="s">
        <v>673</v>
      </c>
      <c r="N229" s="42" t="s">
        <v>674</v>
      </c>
      <c r="O229" s="24">
        <v>49</v>
      </c>
      <c r="P229" s="24">
        <v>14</v>
      </c>
      <c r="Q229" s="28">
        <v>14</v>
      </c>
      <c r="R229" s="25">
        <f>IFERROR((TABLA_AVANCE_METAS[[#This Row],[AVANCE 1°. TRIM]]/TABLA_AVANCE_METAS[[#This Row],[PROGR. 1° TRIM]])*100,"0")</f>
        <v>100</v>
      </c>
      <c r="S229"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29" s="24">
        <v>5</v>
      </c>
      <c r="U229" s="28">
        <v>5</v>
      </c>
      <c r="V229" s="27">
        <f t="shared" si="10"/>
        <v>100</v>
      </c>
      <c r="W229" s="26" t="str">
        <f t="shared" si="11"/>
        <v>ADECUADO</v>
      </c>
      <c r="X229" s="24">
        <v>10</v>
      </c>
      <c r="Y229" s="28">
        <v>0</v>
      </c>
      <c r="Z229" s="27">
        <v>0</v>
      </c>
      <c r="AA229" s="26" t="s">
        <v>62</v>
      </c>
      <c r="AB229" s="24">
        <v>20</v>
      </c>
      <c r="AC229" s="28">
        <v>0</v>
      </c>
      <c r="AD229" s="27">
        <f>IFERROR((TABLA_AVANCE_METAS[[#This Row],[AVANCE 4°. TRIM]]/TABLA_AVANCE_METAS[[#This Row],[PROGR. 4° TRIM]])*100,"0")</f>
        <v>0</v>
      </c>
      <c r="AE229"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29" s="30">
        <f t="array" ref="AF229">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19</v>
      </c>
      <c r="AG229" s="84">
        <f t="array" ref="AG229">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19</v>
      </c>
      <c r="AH229" s="27">
        <f>IFERROR((TABLA_AVANCE_METAS[[#This Row],[AVANCE ACUM. TRIM.]]/TABLA_AVANCE_METAS[[#This Row],[PROG. ACUM]])*100,"N/A")</f>
        <v>100</v>
      </c>
      <c r="AI229"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29" s="31">
        <f>TABLA_AVANCE_METAS[[#This Row],[AVANCE ACUM. TRIM.]]-TABLA_AVANCE_METAS[[#This Row],[PROG. ACUM]]</f>
        <v>0</v>
      </c>
      <c r="AK229" s="32">
        <f>IFERROR((TABLA_AVANCE_METAS[[#This Row],[DIFERENCIA ABSOLUTA SEMESTRAL]]/TABLA_AVANCE_METAS[[#This Row],[PROG. ACUM]])*100,"N/A")</f>
        <v>0</v>
      </c>
      <c r="AL229" s="84">
        <f>TABLA_AVANCE_METAS[[#This Row],[AVANCE 1°. TRIM]]+TABLA_AVANCE_METAS[[#This Row],[AVANCE 2°. TRIM]]+TABLA_AVANCE_METAS[[#This Row],[AVANCE 3°. TRIM]]+TABLA_AVANCE_METAS[[#This Row],[AVANCE 4°. TRIM]]</f>
        <v>19</v>
      </c>
      <c r="AM229" s="27">
        <f>IFERROR((TABLA_AVANCE_METAS[[#This Row],[AVANCE ACUM. ANUAL]]/TABLA_AVANCE_METAS[[#This Row],[PROGRAMADO ANUAL]])*100,"N/A")</f>
        <v>38.775510204081634</v>
      </c>
      <c r="AN229"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229" s="31">
        <f>TABLA_AVANCE_METAS[[#This Row],[AVANCE ACUM. ANUAL]]-TABLA_AVANCE_METAS[[#This Row],[PROGRAMADO ANUAL]]</f>
        <v>-30</v>
      </c>
      <c r="AP229" s="33">
        <f>IFERROR((TABLA_AVANCE_METAS[[#This Row],[DIFERENCIA ABSOLUTA ANUAL]]/TABLA_AVANCE_METAS[[#This Row],[PROGRAMADO ANUAL]])*100,"N/A")</f>
        <v>-61.224489795918366</v>
      </c>
      <c r="AQ229" s="34"/>
      <c r="AR229" s="35"/>
      <c r="AS229" s="36"/>
      <c r="AT229" s="36"/>
      <c r="AU229" s="37" t="b">
        <f>TABLA_AVANCE_METAS[[#This Row],[PROGRAMADO ANUAL]]=SUM(TABLA_AVANCE_METAS[[#This Row],[PROGR. 1° TRIM]],TABLA_AVANCE_METAS[[#This Row],[PROGR. 2° TRIM]],TABLA_AVANCE_METAS[[#This Row],[PROGR. 3° TRIM]],TABLA_AVANCE_METAS[[#This Row],[PROGR. 4° TRIM]])</f>
        <v>1</v>
      </c>
      <c r="AV229" s="38"/>
    </row>
    <row r="230" spans="1:48" ht="75" hidden="1" customHeight="1" x14ac:dyDescent="0.35">
      <c r="A230" s="19" t="str">
        <f>CONCATENATE(TABLA_AVANCE_METAS[[#This Row],[ESTRUCTURA]],TABLA_AVANCE_METAS[[#This Row],['#]])</f>
        <v>G0022801030402056</v>
      </c>
      <c r="B230" s="20" t="s">
        <v>660</v>
      </c>
      <c r="C230" s="41" t="s">
        <v>629</v>
      </c>
      <c r="D230" s="40" t="s">
        <v>628</v>
      </c>
      <c r="E230" s="20" t="s">
        <v>613</v>
      </c>
      <c r="F230" s="40" t="s">
        <v>614</v>
      </c>
      <c r="G230" s="42" t="s">
        <v>661</v>
      </c>
      <c r="H230" s="40" t="s">
        <v>662</v>
      </c>
      <c r="I230" s="40" t="s">
        <v>663</v>
      </c>
      <c r="J230" s="40" t="s">
        <v>664</v>
      </c>
      <c r="K230" s="40" t="s">
        <v>665</v>
      </c>
      <c r="L230" s="41">
        <v>6</v>
      </c>
      <c r="M230" s="43" t="s">
        <v>675</v>
      </c>
      <c r="N230" s="42" t="s">
        <v>674</v>
      </c>
      <c r="O230" s="24">
        <v>2</v>
      </c>
      <c r="P230" s="24">
        <v>0</v>
      </c>
      <c r="Q230" s="28">
        <v>0</v>
      </c>
      <c r="R230" s="25" t="str">
        <f>IFERROR((TABLA_AVANCE_METAS[[#This Row],[AVANCE 1°. TRIM]]/TABLA_AVANCE_METAS[[#This Row],[PROGR. 1° TRIM]])*100,"0")</f>
        <v>0</v>
      </c>
      <c r="S230"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230" s="24">
        <v>0</v>
      </c>
      <c r="U230" s="28">
        <v>0</v>
      </c>
      <c r="V230" s="27" t="str">
        <f t="shared" si="10"/>
        <v>0</v>
      </c>
      <c r="W230" s="26" t="str">
        <f t="shared" si="11"/>
        <v>NO PROG.</v>
      </c>
      <c r="X230" s="24">
        <v>1</v>
      </c>
      <c r="Y230" s="28">
        <v>0</v>
      </c>
      <c r="Z230" s="27">
        <v>0</v>
      </c>
      <c r="AA230" s="26" t="s">
        <v>62</v>
      </c>
      <c r="AB230" s="24">
        <v>1</v>
      </c>
      <c r="AC230" s="28">
        <v>0</v>
      </c>
      <c r="AD230" s="27">
        <f>IFERROR((TABLA_AVANCE_METAS[[#This Row],[AVANCE 4°. TRIM]]/TABLA_AVANCE_METAS[[#This Row],[PROGR. 4° TRIM]])*100,"0")</f>
        <v>0</v>
      </c>
      <c r="AE230"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30" s="30">
        <f t="array" ref="AF230">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230" s="84">
        <f t="array" ref="AG230">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230" s="27" t="str">
        <f>IFERROR((TABLA_AVANCE_METAS[[#This Row],[AVANCE ACUM. TRIM.]]/TABLA_AVANCE_METAS[[#This Row],[PROG. ACUM]])*100,"N/A")</f>
        <v>N/A</v>
      </c>
      <c r="AI230"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230" s="31">
        <f>TABLA_AVANCE_METAS[[#This Row],[AVANCE ACUM. TRIM.]]-TABLA_AVANCE_METAS[[#This Row],[PROG. ACUM]]</f>
        <v>0</v>
      </c>
      <c r="AK230" s="32" t="str">
        <f>IFERROR((TABLA_AVANCE_METAS[[#This Row],[DIFERENCIA ABSOLUTA SEMESTRAL]]/TABLA_AVANCE_METAS[[#This Row],[PROG. ACUM]])*100,"N/A")</f>
        <v>N/A</v>
      </c>
      <c r="AL230" s="84">
        <f>TABLA_AVANCE_METAS[[#This Row],[AVANCE 1°. TRIM]]+TABLA_AVANCE_METAS[[#This Row],[AVANCE 2°. TRIM]]+TABLA_AVANCE_METAS[[#This Row],[AVANCE 3°. TRIM]]+TABLA_AVANCE_METAS[[#This Row],[AVANCE 4°. TRIM]]</f>
        <v>0</v>
      </c>
      <c r="AM230" s="27">
        <f>IFERROR((TABLA_AVANCE_METAS[[#This Row],[AVANCE ACUM. ANUAL]]/TABLA_AVANCE_METAS[[#This Row],[PROGRAMADO ANUAL]])*100,"N/A")</f>
        <v>0</v>
      </c>
      <c r="AN230"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230" s="31">
        <f>TABLA_AVANCE_METAS[[#This Row],[AVANCE ACUM. ANUAL]]-TABLA_AVANCE_METAS[[#This Row],[PROGRAMADO ANUAL]]</f>
        <v>-2</v>
      </c>
      <c r="AP230" s="33">
        <f>IFERROR((TABLA_AVANCE_METAS[[#This Row],[DIFERENCIA ABSOLUTA ANUAL]]/TABLA_AVANCE_METAS[[#This Row],[PROGRAMADO ANUAL]])*100,"N/A")</f>
        <v>-100</v>
      </c>
      <c r="AQ230" s="34"/>
      <c r="AR230" s="35"/>
      <c r="AS230" s="36"/>
      <c r="AT230" s="36"/>
      <c r="AU230" s="37" t="b">
        <f>TABLA_AVANCE_METAS[[#This Row],[PROGRAMADO ANUAL]]=SUM(TABLA_AVANCE_METAS[[#This Row],[PROGR. 1° TRIM]],TABLA_AVANCE_METAS[[#This Row],[PROGR. 2° TRIM]],TABLA_AVANCE_METAS[[#This Row],[PROGR. 3° TRIM]],TABLA_AVANCE_METAS[[#This Row],[PROGR. 4° TRIM]])</f>
        <v>1</v>
      </c>
      <c r="AV230" s="38"/>
    </row>
    <row r="231" spans="1:48" ht="75" hidden="1" customHeight="1" x14ac:dyDescent="0.35">
      <c r="A231" s="19" t="str">
        <f>CONCATENATE(TABLA_AVANCE_METAS[[#This Row],[ESTRUCTURA]],TABLA_AVANCE_METAS[[#This Row],['#]])</f>
        <v>G0022801030402057</v>
      </c>
      <c r="B231" s="20" t="s">
        <v>660</v>
      </c>
      <c r="C231" s="41" t="s">
        <v>629</v>
      </c>
      <c r="D231" s="40" t="s">
        <v>628</v>
      </c>
      <c r="E231" s="20" t="s">
        <v>613</v>
      </c>
      <c r="F231" s="40" t="s">
        <v>614</v>
      </c>
      <c r="G231" s="42" t="s">
        <v>661</v>
      </c>
      <c r="H231" s="40" t="s">
        <v>662</v>
      </c>
      <c r="I231" s="40" t="s">
        <v>663</v>
      </c>
      <c r="J231" s="40" t="s">
        <v>664</v>
      </c>
      <c r="K231" s="40" t="s">
        <v>665</v>
      </c>
      <c r="L231" s="41">
        <v>7</v>
      </c>
      <c r="M231" s="43" t="s">
        <v>676</v>
      </c>
      <c r="N231" s="42" t="s">
        <v>130</v>
      </c>
      <c r="O231" s="24">
        <v>2</v>
      </c>
      <c r="P231" s="24">
        <v>0</v>
      </c>
      <c r="Q231" s="28">
        <v>0</v>
      </c>
      <c r="R231" s="25" t="str">
        <f>IFERROR((TABLA_AVANCE_METAS[[#This Row],[AVANCE 1°. TRIM]]/TABLA_AVANCE_METAS[[#This Row],[PROGR. 1° TRIM]])*100,"0")</f>
        <v>0</v>
      </c>
      <c r="S231"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231" s="24">
        <v>1</v>
      </c>
      <c r="U231" s="28">
        <v>1</v>
      </c>
      <c r="V231" s="27">
        <f t="shared" si="10"/>
        <v>100</v>
      </c>
      <c r="W231" s="26" t="str">
        <f t="shared" si="11"/>
        <v>ADECUADO</v>
      </c>
      <c r="X231" s="24">
        <v>0</v>
      </c>
      <c r="Y231" s="28">
        <v>0</v>
      </c>
      <c r="Z231" s="27" t="s">
        <v>71</v>
      </c>
      <c r="AA231" s="26" t="s">
        <v>72</v>
      </c>
      <c r="AB231" s="24">
        <v>1</v>
      </c>
      <c r="AC231" s="28">
        <v>0</v>
      </c>
      <c r="AD231" s="27">
        <f>IFERROR((TABLA_AVANCE_METAS[[#This Row],[AVANCE 4°. TRIM]]/TABLA_AVANCE_METAS[[#This Row],[PROGR. 4° TRIM]])*100,"0")</f>
        <v>0</v>
      </c>
      <c r="AE231"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31" s="30">
        <f t="array" ref="AF231">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231" s="84">
        <f t="array" ref="AG231">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231" s="27">
        <f>IFERROR((TABLA_AVANCE_METAS[[#This Row],[AVANCE ACUM. TRIM.]]/TABLA_AVANCE_METAS[[#This Row],[PROG. ACUM]])*100,"N/A")</f>
        <v>100</v>
      </c>
      <c r="AI231"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31" s="31">
        <f>TABLA_AVANCE_METAS[[#This Row],[AVANCE ACUM. TRIM.]]-TABLA_AVANCE_METAS[[#This Row],[PROG. ACUM]]</f>
        <v>0</v>
      </c>
      <c r="AK231" s="32">
        <f>IFERROR((TABLA_AVANCE_METAS[[#This Row],[DIFERENCIA ABSOLUTA SEMESTRAL]]/TABLA_AVANCE_METAS[[#This Row],[PROG. ACUM]])*100,"N/A")</f>
        <v>0</v>
      </c>
      <c r="AL231" s="84">
        <f>TABLA_AVANCE_METAS[[#This Row],[AVANCE 1°. TRIM]]+TABLA_AVANCE_METAS[[#This Row],[AVANCE 2°. TRIM]]+TABLA_AVANCE_METAS[[#This Row],[AVANCE 3°. TRIM]]+TABLA_AVANCE_METAS[[#This Row],[AVANCE 4°. TRIM]]</f>
        <v>1</v>
      </c>
      <c r="AM231" s="27">
        <f>IFERROR((TABLA_AVANCE_METAS[[#This Row],[AVANCE ACUM. ANUAL]]/TABLA_AVANCE_METAS[[#This Row],[PROGRAMADO ANUAL]])*100,"N/A")</f>
        <v>50</v>
      </c>
      <c r="AN231"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231" s="31">
        <f>TABLA_AVANCE_METAS[[#This Row],[AVANCE ACUM. ANUAL]]-TABLA_AVANCE_METAS[[#This Row],[PROGRAMADO ANUAL]]</f>
        <v>-1</v>
      </c>
      <c r="AP231" s="33">
        <f>IFERROR((TABLA_AVANCE_METAS[[#This Row],[DIFERENCIA ABSOLUTA ANUAL]]/TABLA_AVANCE_METAS[[#This Row],[PROGRAMADO ANUAL]])*100,"N/A")</f>
        <v>-50</v>
      </c>
      <c r="AQ231" s="34"/>
      <c r="AR231" s="35"/>
      <c r="AS231" s="36"/>
      <c r="AT231" s="36"/>
      <c r="AU231" s="37" t="b">
        <f>TABLA_AVANCE_METAS[[#This Row],[PROGRAMADO ANUAL]]=SUM(TABLA_AVANCE_METAS[[#This Row],[PROGR. 1° TRIM]],TABLA_AVANCE_METAS[[#This Row],[PROGR. 2° TRIM]],TABLA_AVANCE_METAS[[#This Row],[PROGR. 3° TRIM]],TABLA_AVANCE_METAS[[#This Row],[PROGR. 4° TRIM]])</f>
        <v>1</v>
      </c>
      <c r="AV231" s="38"/>
    </row>
    <row r="232" spans="1:48" ht="75" hidden="1" customHeight="1" x14ac:dyDescent="0.35">
      <c r="A232" s="19" t="str">
        <f>CONCATENATE(TABLA_AVANCE_METAS[[#This Row],[ESTRUCTURA]],TABLA_AVANCE_METAS[[#This Row],['#]])</f>
        <v>G0022801030402058</v>
      </c>
      <c r="B232" s="20" t="s">
        <v>660</v>
      </c>
      <c r="C232" s="41" t="s">
        <v>629</v>
      </c>
      <c r="D232" s="40" t="s">
        <v>628</v>
      </c>
      <c r="E232" s="20" t="s">
        <v>613</v>
      </c>
      <c r="F232" s="40" t="s">
        <v>614</v>
      </c>
      <c r="G232" s="42" t="s">
        <v>661</v>
      </c>
      <c r="H232" s="40" t="s">
        <v>662</v>
      </c>
      <c r="I232" s="40" t="s">
        <v>663</v>
      </c>
      <c r="J232" s="40" t="s">
        <v>664</v>
      </c>
      <c r="K232" s="40" t="s">
        <v>665</v>
      </c>
      <c r="L232" s="41">
        <v>8</v>
      </c>
      <c r="M232" s="43" t="s">
        <v>677</v>
      </c>
      <c r="N232" s="42" t="s">
        <v>678</v>
      </c>
      <c r="O232" s="24">
        <v>40</v>
      </c>
      <c r="P232" s="24">
        <v>0</v>
      </c>
      <c r="Q232" s="28">
        <v>0</v>
      </c>
      <c r="R232" s="25" t="str">
        <f>IFERROR((TABLA_AVANCE_METAS[[#This Row],[AVANCE 1°. TRIM]]/TABLA_AVANCE_METAS[[#This Row],[PROGR. 1° TRIM]])*100,"0")</f>
        <v>0</v>
      </c>
      <c r="S232"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232" s="24">
        <v>20</v>
      </c>
      <c r="U232" s="28">
        <v>20</v>
      </c>
      <c r="V232" s="27">
        <f t="shared" si="10"/>
        <v>100</v>
      </c>
      <c r="W232" s="26" t="str">
        <f t="shared" si="11"/>
        <v>ADECUADO</v>
      </c>
      <c r="X232" s="24">
        <v>0</v>
      </c>
      <c r="Y232" s="28">
        <v>0</v>
      </c>
      <c r="Z232" s="27" t="s">
        <v>71</v>
      </c>
      <c r="AA232" s="26" t="s">
        <v>72</v>
      </c>
      <c r="AB232" s="24">
        <v>20</v>
      </c>
      <c r="AC232" s="28">
        <v>0</v>
      </c>
      <c r="AD232" s="27">
        <f>IFERROR((TABLA_AVANCE_METAS[[#This Row],[AVANCE 4°. TRIM]]/TABLA_AVANCE_METAS[[#This Row],[PROGR. 4° TRIM]])*100,"0")</f>
        <v>0</v>
      </c>
      <c r="AE232"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32" s="30">
        <f t="array" ref="AF232">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20</v>
      </c>
      <c r="AG232" s="84">
        <f t="array" ref="AG232">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20</v>
      </c>
      <c r="AH232" s="27">
        <f>IFERROR((TABLA_AVANCE_METAS[[#This Row],[AVANCE ACUM. TRIM.]]/TABLA_AVANCE_METAS[[#This Row],[PROG. ACUM]])*100,"N/A")</f>
        <v>100</v>
      </c>
      <c r="AI232"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32" s="31">
        <f>TABLA_AVANCE_METAS[[#This Row],[AVANCE ACUM. TRIM.]]-TABLA_AVANCE_METAS[[#This Row],[PROG. ACUM]]</f>
        <v>0</v>
      </c>
      <c r="AK232" s="32">
        <f>IFERROR((TABLA_AVANCE_METAS[[#This Row],[DIFERENCIA ABSOLUTA SEMESTRAL]]/TABLA_AVANCE_METAS[[#This Row],[PROG. ACUM]])*100,"N/A")</f>
        <v>0</v>
      </c>
      <c r="AL232" s="84">
        <f>TABLA_AVANCE_METAS[[#This Row],[AVANCE 1°. TRIM]]+TABLA_AVANCE_METAS[[#This Row],[AVANCE 2°. TRIM]]+TABLA_AVANCE_METAS[[#This Row],[AVANCE 3°. TRIM]]+TABLA_AVANCE_METAS[[#This Row],[AVANCE 4°. TRIM]]</f>
        <v>20</v>
      </c>
      <c r="AM232" s="27">
        <f>IFERROR((TABLA_AVANCE_METAS[[#This Row],[AVANCE ACUM. ANUAL]]/TABLA_AVANCE_METAS[[#This Row],[PROGRAMADO ANUAL]])*100,"N/A")</f>
        <v>50</v>
      </c>
      <c r="AN232"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232" s="31">
        <f>TABLA_AVANCE_METAS[[#This Row],[AVANCE ACUM. ANUAL]]-TABLA_AVANCE_METAS[[#This Row],[PROGRAMADO ANUAL]]</f>
        <v>-20</v>
      </c>
      <c r="AP232" s="33">
        <f>IFERROR((TABLA_AVANCE_METAS[[#This Row],[DIFERENCIA ABSOLUTA ANUAL]]/TABLA_AVANCE_METAS[[#This Row],[PROGRAMADO ANUAL]])*100,"N/A")</f>
        <v>-50</v>
      </c>
      <c r="AQ232" s="34"/>
      <c r="AR232" s="35"/>
      <c r="AS232" s="36"/>
      <c r="AT232" s="36"/>
      <c r="AU232" s="37" t="b">
        <f>TABLA_AVANCE_METAS[[#This Row],[PROGRAMADO ANUAL]]=SUM(TABLA_AVANCE_METAS[[#This Row],[PROGR. 1° TRIM]],TABLA_AVANCE_METAS[[#This Row],[PROGR. 2° TRIM]],TABLA_AVANCE_METAS[[#This Row],[PROGR. 3° TRIM]],TABLA_AVANCE_METAS[[#This Row],[PROGR. 4° TRIM]])</f>
        <v>1</v>
      </c>
      <c r="AV232" s="38"/>
    </row>
    <row r="233" spans="1:48" ht="75" hidden="1" customHeight="1" x14ac:dyDescent="0.35">
      <c r="A233" s="19" t="str">
        <f>CONCATENATE(TABLA_AVANCE_METAS[[#This Row],[ESTRUCTURA]],TABLA_AVANCE_METAS[[#This Row],['#]])</f>
        <v>G0022801030402021</v>
      </c>
      <c r="B233" s="20" t="s">
        <v>679</v>
      </c>
      <c r="C233" s="48" t="s">
        <v>629</v>
      </c>
      <c r="D233" s="47" t="s">
        <v>628</v>
      </c>
      <c r="E233" s="20" t="s">
        <v>613</v>
      </c>
      <c r="F233" s="47" t="s">
        <v>614</v>
      </c>
      <c r="G233" s="22" t="s">
        <v>680</v>
      </c>
      <c r="H233" s="47" t="s">
        <v>662</v>
      </c>
      <c r="I233" s="47" t="s">
        <v>663</v>
      </c>
      <c r="J233" s="47" t="s">
        <v>681</v>
      </c>
      <c r="K233" s="47" t="s">
        <v>682</v>
      </c>
      <c r="L233" s="21">
        <v>1</v>
      </c>
      <c r="M233" s="43" t="s">
        <v>683</v>
      </c>
      <c r="N233" s="22" t="s">
        <v>70</v>
      </c>
      <c r="O233" s="24">
        <v>94</v>
      </c>
      <c r="P233" s="24">
        <v>24</v>
      </c>
      <c r="Q233" s="28">
        <v>24</v>
      </c>
      <c r="R233" s="25">
        <f>IFERROR((TABLA_AVANCE_METAS[[#This Row],[AVANCE 1°. TRIM]]/TABLA_AVANCE_METAS[[#This Row],[PROGR. 1° TRIM]])*100,"0")</f>
        <v>100</v>
      </c>
      <c r="S233"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33" s="24">
        <v>10</v>
      </c>
      <c r="U233" s="28">
        <v>10</v>
      </c>
      <c r="V233" s="27">
        <f t="shared" si="10"/>
        <v>100</v>
      </c>
      <c r="W233" s="26" t="str">
        <f t="shared" si="11"/>
        <v>ADECUADO</v>
      </c>
      <c r="X233" s="24">
        <v>25</v>
      </c>
      <c r="Y233" s="28">
        <v>0</v>
      </c>
      <c r="Z233" s="27">
        <v>0</v>
      </c>
      <c r="AA233" s="26" t="s">
        <v>62</v>
      </c>
      <c r="AB233" s="24">
        <v>35</v>
      </c>
      <c r="AC233" s="28">
        <v>0</v>
      </c>
      <c r="AD233" s="27">
        <f>IFERROR((TABLA_AVANCE_METAS[[#This Row],[AVANCE 4°. TRIM]]/TABLA_AVANCE_METAS[[#This Row],[PROGR. 4° TRIM]])*100,"0")</f>
        <v>0</v>
      </c>
      <c r="AE233"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33" s="30">
        <f t="array" ref="AF233">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34</v>
      </c>
      <c r="AG233" s="84">
        <f t="array" ref="AG233">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34</v>
      </c>
      <c r="AH233" s="27">
        <f>IFERROR((TABLA_AVANCE_METAS[[#This Row],[AVANCE ACUM. TRIM.]]/TABLA_AVANCE_METAS[[#This Row],[PROG. ACUM]])*100,"N/A")</f>
        <v>100</v>
      </c>
      <c r="AI233"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33" s="31">
        <f>TABLA_AVANCE_METAS[[#This Row],[AVANCE ACUM. TRIM.]]-TABLA_AVANCE_METAS[[#This Row],[PROG. ACUM]]</f>
        <v>0</v>
      </c>
      <c r="AK233" s="32">
        <f>IFERROR((TABLA_AVANCE_METAS[[#This Row],[DIFERENCIA ABSOLUTA SEMESTRAL]]/TABLA_AVANCE_METAS[[#This Row],[PROG. ACUM]])*100,"N/A")</f>
        <v>0</v>
      </c>
      <c r="AL233" s="84">
        <f>TABLA_AVANCE_METAS[[#This Row],[AVANCE 1°. TRIM]]+TABLA_AVANCE_METAS[[#This Row],[AVANCE 2°. TRIM]]+TABLA_AVANCE_METAS[[#This Row],[AVANCE 3°. TRIM]]+TABLA_AVANCE_METAS[[#This Row],[AVANCE 4°. TRIM]]</f>
        <v>34</v>
      </c>
      <c r="AM233" s="27">
        <f>IFERROR((TABLA_AVANCE_METAS[[#This Row],[AVANCE ACUM. ANUAL]]/TABLA_AVANCE_METAS[[#This Row],[PROGRAMADO ANUAL]])*100,"N/A")</f>
        <v>36.170212765957451</v>
      </c>
      <c r="AN233"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233" s="31">
        <f>TABLA_AVANCE_METAS[[#This Row],[AVANCE ACUM. ANUAL]]-TABLA_AVANCE_METAS[[#This Row],[PROGRAMADO ANUAL]]</f>
        <v>-60</v>
      </c>
      <c r="AP233" s="33">
        <f>IFERROR((TABLA_AVANCE_METAS[[#This Row],[DIFERENCIA ABSOLUTA ANUAL]]/TABLA_AVANCE_METAS[[#This Row],[PROGRAMADO ANUAL]])*100,"N/A")</f>
        <v>-63.829787234042556</v>
      </c>
      <c r="AQ233" s="34"/>
      <c r="AR233" s="35"/>
      <c r="AS233" s="36"/>
      <c r="AT233" s="36"/>
      <c r="AU233" s="37" t="b">
        <f>TABLA_AVANCE_METAS[[#This Row],[PROGRAMADO ANUAL]]=SUM(TABLA_AVANCE_METAS[[#This Row],[PROGR. 1° TRIM]],TABLA_AVANCE_METAS[[#This Row],[PROGR. 2° TRIM]],TABLA_AVANCE_METAS[[#This Row],[PROGR. 3° TRIM]],TABLA_AVANCE_METAS[[#This Row],[PROGR. 4° TRIM]])</f>
        <v>1</v>
      </c>
      <c r="AV233" s="38"/>
    </row>
    <row r="234" spans="1:48" ht="75" hidden="1" customHeight="1" x14ac:dyDescent="0.35">
      <c r="A234" s="19" t="str">
        <f>CONCATENATE(TABLA_AVANCE_METAS[[#This Row],[ESTRUCTURA]],TABLA_AVANCE_METAS[[#This Row],['#]])</f>
        <v>G0022801030402022</v>
      </c>
      <c r="B234" s="20" t="s">
        <v>679</v>
      </c>
      <c r="C234" s="48" t="s">
        <v>629</v>
      </c>
      <c r="D234" s="47" t="s">
        <v>628</v>
      </c>
      <c r="E234" s="20" t="s">
        <v>613</v>
      </c>
      <c r="F234" s="47" t="s">
        <v>614</v>
      </c>
      <c r="G234" s="22" t="s">
        <v>680</v>
      </c>
      <c r="H234" s="47" t="s">
        <v>662</v>
      </c>
      <c r="I234" s="47" t="s">
        <v>663</v>
      </c>
      <c r="J234" s="47" t="s">
        <v>681</v>
      </c>
      <c r="K234" s="47" t="s">
        <v>682</v>
      </c>
      <c r="L234" s="21">
        <v>2</v>
      </c>
      <c r="M234" s="43" t="s">
        <v>684</v>
      </c>
      <c r="N234" s="22" t="s">
        <v>672</v>
      </c>
      <c r="O234" s="24">
        <v>49</v>
      </c>
      <c r="P234" s="24">
        <v>14</v>
      </c>
      <c r="Q234" s="28">
        <v>14</v>
      </c>
      <c r="R234" s="25">
        <f>IFERROR((TABLA_AVANCE_METAS[[#This Row],[AVANCE 1°. TRIM]]/TABLA_AVANCE_METAS[[#This Row],[PROGR. 1° TRIM]])*100,"0")</f>
        <v>100</v>
      </c>
      <c r="S234"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34" s="24">
        <v>5</v>
      </c>
      <c r="U234" s="28">
        <v>4</v>
      </c>
      <c r="V234" s="27">
        <f t="shared" si="10"/>
        <v>80</v>
      </c>
      <c r="W234" s="26" t="str">
        <f t="shared" si="11"/>
        <v>REGULAR</v>
      </c>
      <c r="X234" s="24">
        <v>10</v>
      </c>
      <c r="Y234" s="28">
        <v>0</v>
      </c>
      <c r="Z234" s="27">
        <v>0</v>
      </c>
      <c r="AA234" s="26" t="s">
        <v>62</v>
      </c>
      <c r="AB234" s="24">
        <v>20</v>
      </c>
      <c r="AC234" s="28">
        <v>0</v>
      </c>
      <c r="AD234" s="27">
        <f>IFERROR((TABLA_AVANCE_METAS[[#This Row],[AVANCE 4°. TRIM]]/TABLA_AVANCE_METAS[[#This Row],[PROGR. 4° TRIM]])*100,"0")</f>
        <v>0</v>
      </c>
      <c r="AE234"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34" s="30">
        <f t="array" ref="AF234">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19</v>
      </c>
      <c r="AG234" s="84">
        <f t="array" ref="AG234">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18</v>
      </c>
      <c r="AH234" s="27">
        <f>IFERROR((TABLA_AVANCE_METAS[[#This Row],[AVANCE ACUM. TRIM.]]/TABLA_AVANCE_METAS[[#This Row],[PROG. ACUM]])*100,"N/A")</f>
        <v>94.73684210526315</v>
      </c>
      <c r="AI234"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34" s="31">
        <f>TABLA_AVANCE_METAS[[#This Row],[AVANCE ACUM. TRIM.]]-TABLA_AVANCE_METAS[[#This Row],[PROG. ACUM]]</f>
        <v>-1</v>
      </c>
      <c r="AK234" s="32">
        <f>IFERROR((TABLA_AVANCE_METAS[[#This Row],[DIFERENCIA ABSOLUTA SEMESTRAL]]/TABLA_AVANCE_METAS[[#This Row],[PROG. ACUM]])*100,"N/A")</f>
        <v>-5.2631578947368416</v>
      </c>
      <c r="AL234" s="84">
        <f>TABLA_AVANCE_METAS[[#This Row],[AVANCE 1°. TRIM]]+TABLA_AVANCE_METAS[[#This Row],[AVANCE 2°. TRIM]]+TABLA_AVANCE_METAS[[#This Row],[AVANCE 3°. TRIM]]+TABLA_AVANCE_METAS[[#This Row],[AVANCE 4°. TRIM]]</f>
        <v>18</v>
      </c>
      <c r="AM234" s="27">
        <f>IFERROR((TABLA_AVANCE_METAS[[#This Row],[AVANCE ACUM. ANUAL]]/TABLA_AVANCE_METAS[[#This Row],[PROGRAMADO ANUAL]])*100,"N/A")</f>
        <v>36.734693877551024</v>
      </c>
      <c r="AN234"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234" s="31">
        <f>TABLA_AVANCE_METAS[[#This Row],[AVANCE ACUM. ANUAL]]-TABLA_AVANCE_METAS[[#This Row],[PROGRAMADO ANUAL]]</f>
        <v>-31</v>
      </c>
      <c r="AP234" s="33">
        <f>IFERROR((TABLA_AVANCE_METAS[[#This Row],[DIFERENCIA ABSOLUTA ANUAL]]/TABLA_AVANCE_METAS[[#This Row],[PROGRAMADO ANUAL]])*100,"N/A")</f>
        <v>-63.265306122448983</v>
      </c>
      <c r="AQ234" s="34"/>
      <c r="AR234" s="35"/>
      <c r="AS234" s="36"/>
      <c r="AT234" s="36"/>
      <c r="AU234" s="37" t="b">
        <f>TABLA_AVANCE_METAS[[#This Row],[PROGRAMADO ANUAL]]=SUM(TABLA_AVANCE_METAS[[#This Row],[PROGR. 1° TRIM]],TABLA_AVANCE_METAS[[#This Row],[PROGR. 2° TRIM]],TABLA_AVANCE_METAS[[#This Row],[PROGR. 3° TRIM]],TABLA_AVANCE_METAS[[#This Row],[PROGR. 4° TRIM]])</f>
        <v>1</v>
      </c>
      <c r="AV234" s="38"/>
    </row>
    <row r="235" spans="1:48" ht="75" hidden="1" customHeight="1" x14ac:dyDescent="0.35">
      <c r="A235" s="19" t="str">
        <f>CONCATENATE(TABLA_AVANCE_METAS[[#This Row],[ESTRUCTURA]],TABLA_AVANCE_METAS[[#This Row],['#]])</f>
        <v>G0022801030402023</v>
      </c>
      <c r="B235" s="20" t="s">
        <v>679</v>
      </c>
      <c r="C235" s="48" t="s">
        <v>629</v>
      </c>
      <c r="D235" s="47" t="s">
        <v>628</v>
      </c>
      <c r="E235" s="20" t="s">
        <v>613</v>
      </c>
      <c r="F235" s="47" t="s">
        <v>614</v>
      </c>
      <c r="G235" s="22" t="s">
        <v>680</v>
      </c>
      <c r="H235" s="47" t="s">
        <v>662</v>
      </c>
      <c r="I235" s="47" t="s">
        <v>663</v>
      </c>
      <c r="J235" s="47" t="s">
        <v>681</v>
      </c>
      <c r="K235" s="47" t="s">
        <v>682</v>
      </c>
      <c r="L235" s="21">
        <v>3</v>
      </c>
      <c r="M235" s="43" t="s">
        <v>685</v>
      </c>
      <c r="N235" s="22" t="s">
        <v>674</v>
      </c>
      <c r="O235" s="24">
        <v>49</v>
      </c>
      <c r="P235" s="24">
        <v>14</v>
      </c>
      <c r="Q235" s="28">
        <v>14</v>
      </c>
      <c r="R235" s="25">
        <f>IFERROR((TABLA_AVANCE_METAS[[#This Row],[AVANCE 1°. TRIM]]/TABLA_AVANCE_METAS[[#This Row],[PROGR. 1° TRIM]])*100,"0")</f>
        <v>100</v>
      </c>
      <c r="S235"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35" s="24">
        <v>5</v>
      </c>
      <c r="U235" s="28">
        <v>5</v>
      </c>
      <c r="V235" s="27">
        <f t="shared" si="10"/>
        <v>100</v>
      </c>
      <c r="W235" s="26" t="str">
        <f t="shared" si="11"/>
        <v>ADECUADO</v>
      </c>
      <c r="X235" s="24">
        <v>10</v>
      </c>
      <c r="Y235" s="28">
        <v>0</v>
      </c>
      <c r="Z235" s="27">
        <v>0</v>
      </c>
      <c r="AA235" s="26" t="s">
        <v>62</v>
      </c>
      <c r="AB235" s="24">
        <v>20</v>
      </c>
      <c r="AC235" s="28">
        <v>0</v>
      </c>
      <c r="AD235" s="27">
        <f>IFERROR((TABLA_AVANCE_METAS[[#This Row],[AVANCE 4°. TRIM]]/TABLA_AVANCE_METAS[[#This Row],[PROGR. 4° TRIM]])*100,"0")</f>
        <v>0</v>
      </c>
      <c r="AE235"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35" s="30">
        <f t="array" ref="AF235">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19</v>
      </c>
      <c r="AG235" s="84">
        <f t="array" ref="AG235">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19</v>
      </c>
      <c r="AH235" s="27">
        <f>IFERROR((TABLA_AVANCE_METAS[[#This Row],[AVANCE ACUM. TRIM.]]/TABLA_AVANCE_METAS[[#This Row],[PROG. ACUM]])*100,"N/A")</f>
        <v>100</v>
      </c>
      <c r="AI235"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35" s="31">
        <f>TABLA_AVANCE_METAS[[#This Row],[AVANCE ACUM. TRIM.]]-TABLA_AVANCE_METAS[[#This Row],[PROG. ACUM]]</f>
        <v>0</v>
      </c>
      <c r="AK235" s="32">
        <f>IFERROR((TABLA_AVANCE_METAS[[#This Row],[DIFERENCIA ABSOLUTA SEMESTRAL]]/TABLA_AVANCE_METAS[[#This Row],[PROG. ACUM]])*100,"N/A")</f>
        <v>0</v>
      </c>
      <c r="AL235" s="84">
        <f>TABLA_AVANCE_METAS[[#This Row],[AVANCE 1°. TRIM]]+TABLA_AVANCE_METAS[[#This Row],[AVANCE 2°. TRIM]]+TABLA_AVANCE_METAS[[#This Row],[AVANCE 3°. TRIM]]+TABLA_AVANCE_METAS[[#This Row],[AVANCE 4°. TRIM]]</f>
        <v>19</v>
      </c>
      <c r="AM235" s="27">
        <f>IFERROR((TABLA_AVANCE_METAS[[#This Row],[AVANCE ACUM. ANUAL]]/TABLA_AVANCE_METAS[[#This Row],[PROGRAMADO ANUAL]])*100,"N/A")</f>
        <v>38.775510204081634</v>
      </c>
      <c r="AN235"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235" s="31">
        <f>TABLA_AVANCE_METAS[[#This Row],[AVANCE ACUM. ANUAL]]-TABLA_AVANCE_METAS[[#This Row],[PROGRAMADO ANUAL]]</f>
        <v>-30</v>
      </c>
      <c r="AP235" s="33">
        <f>IFERROR((TABLA_AVANCE_METAS[[#This Row],[DIFERENCIA ABSOLUTA ANUAL]]/TABLA_AVANCE_METAS[[#This Row],[PROGRAMADO ANUAL]])*100,"N/A")</f>
        <v>-61.224489795918366</v>
      </c>
      <c r="AQ235" s="34"/>
      <c r="AR235" s="35"/>
      <c r="AS235" s="36"/>
      <c r="AT235" s="36"/>
      <c r="AU235" s="37" t="b">
        <f>TABLA_AVANCE_METAS[[#This Row],[PROGRAMADO ANUAL]]=SUM(TABLA_AVANCE_METAS[[#This Row],[PROGR. 1° TRIM]],TABLA_AVANCE_METAS[[#This Row],[PROGR. 2° TRIM]],TABLA_AVANCE_METAS[[#This Row],[PROGR. 3° TRIM]],TABLA_AVANCE_METAS[[#This Row],[PROGR. 4° TRIM]])</f>
        <v>1</v>
      </c>
      <c r="AV235" s="38"/>
    </row>
    <row r="236" spans="1:48" ht="75" hidden="1" customHeight="1" x14ac:dyDescent="0.35">
      <c r="A236" s="19" t="str">
        <f>CONCATENATE(TABLA_AVANCE_METAS[[#This Row],[ESTRUCTURA]],TABLA_AVANCE_METAS[[#This Row],['#]])</f>
        <v>G0022801030402024</v>
      </c>
      <c r="B236" s="20" t="s">
        <v>679</v>
      </c>
      <c r="C236" s="21" t="s">
        <v>629</v>
      </c>
      <c r="D236" s="20" t="s">
        <v>628</v>
      </c>
      <c r="E236" s="20" t="s">
        <v>613</v>
      </c>
      <c r="F236" s="20" t="s">
        <v>614</v>
      </c>
      <c r="G236" s="22" t="s">
        <v>680</v>
      </c>
      <c r="H236" s="20" t="s">
        <v>662</v>
      </c>
      <c r="I236" s="20" t="s">
        <v>663</v>
      </c>
      <c r="J236" s="20" t="s">
        <v>681</v>
      </c>
      <c r="K236" s="20" t="s">
        <v>682</v>
      </c>
      <c r="L236" s="21">
        <v>4</v>
      </c>
      <c r="M236" s="23" t="s">
        <v>686</v>
      </c>
      <c r="N236" s="22" t="s">
        <v>687</v>
      </c>
      <c r="O236" s="24">
        <v>32</v>
      </c>
      <c r="P236" s="24">
        <v>3</v>
      </c>
      <c r="Q236" s="28">
        <v>3</v>
      </c>
      <c r="R236" s="25">
        <f>IFERROR((TABLA_AVANCE_METAS[[#This Row],[AVANCE 1°. TRIM]]/TABLA_AVANCE_METAS[[#This Row],[PROGR. 1° TRIM]])*100,"0")</f>
        <v>100</v>
      </c>
      <c r="S236"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36" s="24">
        <v>14</v>
      </c>
      <c r="U236" s="28">
        <v>14</v>
      </c>
      <c r="V236" s="27">
        <f t="shared" si="10"/>
        <v>100</v>
      </c>
      <c r="W236" s="26" t="str">
        <f t="shared" si="11"/>
        <v>ADECUADO</v>
      </c>
      <c r="X236" s="24">
        <v>5</v>
      </c>
      <c r="Y236" s="28">
        <v>0</v>
      </c>
      <c r="Z236" s="27">
        <v>0</v>
      </c>
      <c r="AA236" s="26" t="s">
        <v>62</v>
      </c>
      <c r="AB236" s="24">
        <v>10</v>
      </c>
      <c r="AC236" s="28">
        <v>0</v>
      </c>
      <c r="AD236" s="27">
        <f>IFERROR((TABLA_AVANCE_METAS[[#This Row],[AVANCE 4°. TRIM]]/TABLA_AVANCE_METAS[[#This Row],[PROGR. 4° TRIM]])*100,"0")</f>
        <v>0</v>
      </c>
      <c r="AE236" s="29"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36" s="30">
        <f t="array" ref="AF236">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17</v>
      </c>
      <c r="AG236" s="84">
        <f t="array" ref="AG236">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17</v>
      </c>
      <c r="AH236" s="27">
        <f>IFERROR((TABLA_AVANCE_METAS[[#This Row],[AVANCE ACUM. TRIM.]]/TABLA_AVANCE_METAS[[#This Row],[PROG. ACUM]])*100,"N/A")</f>
        <v>100</v>
      </c>
      <c r="AI236"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36" s="31">
        <f>TABLA_AVANCE_METAS[[#This Row],[AVANCE ACUM. TRIM.]]-TABLA_AVANCE_METAS[[#This Row],[PROG. ACUM]]</f>
        <v>0</v>
      </c>
      <c r="AK236" s="32">
        <f>IFERROR((TABLA_AVANCE_METAS[[#This Row],[DIFERENCIA ABSOLUTA SEMESTRAL]]/TABLA_AVANCE_METAS[[#This Row],[PROG. ACUM]])*100,"N/A")</f>
        <v>0</v>
      </c>
      <c r="AL236" s="84">
        <f>TABLA_AVANCE_METAS[[#This Row],[AVANCE 1°. TRIM]]+TABLA_AVANCE_METAS[[#This Row],[AVANCE 2°. TRIM]]+TABLA_AVANCE_METAS[[#This Row],[AVANCE 3°. TRIM]]+TABLA_AVANCE_METAS[[#This Row],[AVANCE 4°. TRIM]]</f>
        <v>17</v>
      </c>
      <c r="AM236" s="27">
        <f>IFERROR((TABLA_AVANCE_METAS[[#This Row],[AVANCE ACUM. ANUAL]]/TABLA_AVANCE_METAS[[#This Row],[PROGRAMADO ANUAL]])*100,"N/A")</f>
        <v>53.125</v>
      </c>
      <c r="AN236"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236" s="31">
        <f>TABLA_AVANCE_METAS[[#This Row],[AVANCE ACUM. ANUAL]]-TABLA_AVANCE_METAS[[#This Row],[PROGRAMADO ANUAL]]</f>
        <v>-15</v>
      </c>
      <c r="AP236" s="33">
        <f>IFERROR((TABLA_AVANCE_METAS[[#This Row],[DIFERENCIA ABSOLUTA ANUAL]]/TABLA_AVANCE_METAS[[#This Row],[PROGRAMADO ANUAL]])*100,"N/A")</f>
        <v>-46.875</v>
      </c>
      <c r="AQ236" s="34"/>
      <c r="AR236" s="35"/>
      <c r="AS236" s="36"/>
      <c r="AT236" s="36"/>
      <c r="AU236" s="37" t="b">
        <f>TABLA_AVANCE_METAS[[#This Row],[PROGRAMADO ANUAL]]=SUM(TABLA_AVANCE_METAS[[#This Row],[PROGR. 1° TRIM]],TABLA_AVANCE_METAS[[#This Row],[PROGR. 2° TRIM]],TABLA_AVANCE_METAS[[#This Row],[PROGR. 3° TRIM]],TABLA_AVANCE_METAS[[#This Row],[PROGR. 4° TRIM]])</f>
        <v>1</v>
      </c>
      <c r="AV236" s="38"/>
    </row>
    <row r="237" spans="1:48" ht="75" hidden="1" customHeight="1" x14ac:dyDescent="0.35">
      <c r="A237" s="19" t="str">
        <f>CONCATENATE(TABLA_AVANCE_METAS[[#This Row],[ESTRUCTURA]],TABLA_AVANCE_METAS[[#This Row],['#]])</f>
        <v>B0320201050202015</v>
      </c>
      <c r="B237" s="20" t="s">
        <v>386</v>
      </c>
      <c r="C237" s="21" t="s">
        <v>366</v>
      </c>
      <c r="D237" s="20" t="s">
        <v>367</v>
      </c>
      <c r="E237" s="20" t="s">
        <v>387</v>
      </c>
      <c r="F237" s="20" t="s">
        <v>388</v>
      </c>
      <c r="G237" s="22" t="s">
        <v>389</v>
      </c>
      <c r="H237" s="20" t="s">
        <v>279</v>
      </c>
      <c r="I237" s="20" t="s">
        <v>280</v>
      </c>
      <c r="J237" s="20" t="s">
        <v>281</v>
      </c>
      <c r="K237" s="20" t="s">
        <v>282</v>
      </c>
      <c r="L237" s="21">
        <v>5</v>
      </c>
      <c r="M237" s="80" t="s">
        <v>688</v>
      </c>
      <c r="N237" s="22" t="s">
        <v>370</v>
      </c>
      <c r="O237" s="81">
        <v>1200</v>
      </c>
      <c r="P237" s="81">
        <v>0</v>
      </c>
      <c r="Q237" s="28">
        <v>0</v>
      </c>
      <c r="R237" s="25" t="str">
        <f>IFERROR((TABLA_AVANCE_METAS[[#This Row],[AVANCE 1°. TRIM]]/TABLA_AVANCE_METAS[[#This Row],[PROGR. 1° TRIM]])*100,"0")</f>
        <v>0</v>
      </c>
      <c r="S237"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237" s="24">
        <v>0</v>
      </c>
      <c r="U237" s="28">
        <v>0</v>
      </c>
      <c r="V237" s="27" t="str">
        <f t="shared" si="10"/>
        <v>0</v>
      </c>
      <c r="W237" s="26" t="str">
        <f t="shared" si="11"/>
        <v>NO PROG.</v>
      </c>
      <c r="X237" s="24">
        <v>1200</v>
      </c>
      <c r="Y237" s="28"/>
      <c r="Z237" s="27">
        <v>0</v>
      </c>
      <c r="AA237" s="26" t="s">
        <v>62</v>
      </c>
      <c r="AB237" s="24">
        <v>0</v>
      </c>
      <c r="AC237" s="28"/>
      <c r="AD237" s="82" t="str">
        <f>IFERROR((TABLA_AVANCE_METAS[[#This Row],[AVANCE 4°. TRIM]]/TABLA_AVANCE_METAS[[#This Row],[PROGR. 4° TRIM]])*100,"0")</f>
        <v>0</v>
      </c>
      <c r="AE237" s="83"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237" s="30">
        <f t="array" ref="AF237">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237" s="84">
        <f t="array" ref="AG237">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237" s="27" t="str">
        <f>IFERROR((TABLA_AVANCE_METAS[[#This Row],[AVANCE ACUM. TRIM.]]/TABLA_AVANCE_METAS[[#This Row],[PROG. ACUM]])*100,"N/A")</f>
        <v>N/A</v>
      </c>
      <c r="AI237"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237" s="31">
        <f>TABLA_AVANCE_METAS[[#This Row],[AVANCE ACUM. TRIM.]]-TABLA_AVANCE_METAS[[#This Row],[PROG. ACUM]]</f>
        <v>0</v>
      </c>
      <c r="AK237" s="32" t="str">
        <f>IFERROR((TABLA_AVANCE_METAS[[#This Row],[DIFERENCIA ABSOLUTA SEMESTRAL]]/TABLA_AVANCE_METAS[[#This Row],[PROG. ACUM]])*100,"N/A")</f>
        <v>N/A</v>
      </c>
      <c r="AL237" s="84">
        <f>TABLA_AVANCE_METAS[[#This Row],[AVANCE 1°. TRIM]]+TABLA_AVANCE_METAS[[#This Row],[AVANCE 2°. TRIM]]+TABLA_AVANCE_METAS[[#This Row],[AVANCE 3°. TRIM]]+TABLA_AVANCE_METAS[[#This Row],[AVANCE 4°. TRIM]]</f>
        <v>0</v>
      </c>
      <c r="AM237" s="27">
        <f>IFERROR((TABLA_AVANCE_METAS[[#This Row],[AVANCE ACUM. ANUAL]]/TABLA_AVANCE_METAS[[#This Row],[PROGRAMADO ANUAL]])*100,"N/A")</f>
        <v>0</v>
      </c>
      <c r="AN237"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237" s="31">
        <f>TABLA_AVANCE_METAS[[#This Row],[AVANCE ACUM. ANUAL]]-TABLA_AVANCE_METAS[[#This Row],[PROGRAMADO ANUAL]]</f>
        <v>-1200</v>
      </c>
      <c r="AP237" s="33">
        <f>IFERROR((TABLA_AVANCE_METAS[[#This Row],[DIFERENCIA ABSOLUTA ANUAL]]/TABLA_AVANCE_METAS[[#This Row],[PROGRAMADO ANUAL]])*100,"N/A")</f>
        <v>-100</v>
      </c>
      <c r="AQ237" s="85">
        <v>0</v>
      </c>
      <c r="AR237" s="86"/>
      <c r="AS237" s="86"/>
      <c r="AT237" s="86"/>
      <c r="AU237" s="37" t="b">
        <f>TABLA_AVANCE_METAS[[#This Row],[PROGRAMADO ANUAL]]=SUM(TABLA_AVANCE_METAS[[#This Row],[PROGR. 1° TRIM]],TABLA_AVANCE_METAS[[#This Row],[PROGR. 2° TRIM]],TABLA_AVANCE_METAS[[#This Row],[PROGR. 3° TRIM]],TABLA_AVANCE_METAS[[#This Row],[PROGR. 4° TRIM]])</f>
        <v>1</v>
      </c>
    </row>
    <row r="238" spans="1:48" ht="75" hidden="1" customHeight="1" x14ac:dyDescent="0.35">
      <c r="A238" s="19" t="str">
        <f>CONCATENATE(TABLA_AVANCE_METAS[[#This Row],[ESTRUCTURA]],TABLA_AVANCE_METAS[[#This Row],['#]])</f>
        <v>B0320201050202016</v>
      </c>
      <c r="B238" s="20" t="s">
        <v>386</v>
      </c>
      <c r="C238" s="21" t="s">
        <v>366</v>
      </c>
      <c r="D238" s="20" t="s">
        <v>367</v>
      </c>
      <c r="E238" s="20" t="s">
        <v>387</v>
      </c>
      <c r="F238" s="20" t="s">
        <v>388</v>
      </c>
      <c r="G238" s="22" t="s">
        <v>389</v>
      </c>
      <c r="H238" s="20" t="s">
        <v>279</v>
      </c>
      <c r="I238" s="20" t="s">
        <v>280</v>
      </c>
      <c r="J238" s="20" t="s">
        <v>281</v>
      </c>
      <c r="K238" s="20" t="s">
        <v>282</v>
      </c>
      <c r="L238" s="21">
        <v>6</v>
      </c>
      <c r="M238" s="80" t="s">
        <v>689</v>
      </c>
      <c r="N238" s="22" t="s">
        <v>288</v>
      </c>
      <c r="O238" s="81">
        <v>25</v>
      </c>
      <c r="P238" s="81">
        <v>0</v>
      </c>
      <c r="Q238" s="28">
        <v>0</v>
      </c>
      <c r="R238" s="25" t="str">
        <f>IFERROR((TABLA_AVANCE_METAS[[#This Row],[AVANCE 1°. TRIM]]/TABLA_AVANCE_METAS[[#This Row],[PROGR. 1° TRIM]])*100,"0")</f>
        <v>0</v>
      </c>
      <c r="S238"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238" s="24">
        <v>0</v>
      </c>
      <c r="U238" s="28">
        <v>0</v>
      </c>
      <c r="V238" s="27" t="str">
        <f t="shared" si="10"/>
        <v>0</v>
      </c>
      <c r="W238" s="26" t="str">
        <f t="shared" si="11"/>
        <v>NO PROG.</v>
      </c>
      <c r="X238" s="24">
        <v>25</v>
      </c>
      <c r="Y238" s="28"/>
      <c r="Z238" s="27">
        <v>0</v>
      </c>
      <c r="AA238" s="26" t="s">
        <v>62</v>
      </c>
      <c r="AB238" s="24">
        <v>0</v>
      </c>
      <c r="AC238" s="28"/>
      <c r="AD238" s="82" t="str">
        <f>IFERROR((TABLA_AVANCE_METAS[[#This Row],[AVANCE 4°. TRIM]]/TABLA_AVANCE_METAS[[#This Row],[PROGR. 4° TRIM]])*100,"0")</f>
        <v>0</v>
      </c>
      <c r="AE238" s="83"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NO PROG.</v>
      </c>
      <c r="AF238" s="30">
        <f t="array" ref="AF238">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0</v>
      </c>
      <c r="AG238" s="84">
        <f t="array" ref="AG238">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0</v>
      </c>
      <c r="AH238" s="27" t="str">
        <f>IFERROR((TABLA_AVANCE_METAS[[#This Row],[AVANCE ACUM. TRIM.]]/TABLA_AVANCE_METAS[[#This Row],[PROG. ACUM]])*100,"N/A")</f>
        <v>N/A</v>
      </c>
      <c r="AI238"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NO PROG.</v>
      </c>
      <c r="AJ238" s="31">
        <f>TABLA_AVANCE_METAS[[#This Row],[AVANCE ACUM. TRIM.]]-TABLA_AVANCE_METAS[[#This Row],[PROG. ACUM]]</f>
        <v>0</v>
      </c>
      <c r="AK238" s="32" t="str">
        <f>IFERROR((TABLA_AVANCE_METAS[[#This Row],[DIFERENCIA ABSOLUTA SEMESTRAL]]/TABLA_AVANCE_METAS[[#This Row],[PROG. ACUM]])*100,"N/A")</f>
        <v>N/A</v>
      </c>
      <c r="AL238" s="84">
        <f>TABLA_AVANCE_METAS[[#This Row],[AVANCE 1°. TRIM]]+TABLA_AVANCE_METAS[[#This Row],[AVANCE 2°. TRIM]]+TABLA_AVANCE_METAS[[#This Row],[AVANCE 3°. TRIM]]+TABLA_AVANCE_METAS[[#This Row],[AVANCE 4°. TRIM]]</f>
        <v>0</v>
      </c>
      <c r="AM238" s="27">
        <f>IFERROR((TABLA_AVANCE_METAS[[#This Row],[AVANCE ACUM. ANUAL]]/TABLA_AVANCE_METAS[[#This Row],[PROGRAMADO ANUAL]])*100,"N/A")</f>
        <v>0</v>
      </c>
      <c r="AN238"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238" s="31">
        <f>TABLA_AVANCE_METAS[[#This Row],[AVANCE ACUM. ANUAL]]-TABLA_AVANCE_METAS[[#This Row],[PROGRAMADO ANUAL]]</f>
        <v>-25</v>
      </c>
      <c r="AP238" s="33">
        <f>IFERROR((TABLA_AVANCE_METAS[[#This Row],[DIFERENCIA ABSOLUTA ANUAL]]/TABLA_AVANCE_METAS[[#This Row],[PROGRAMADO ANUAL]])*100,"N/A")</f>
        <v>-100</v>
      </c>
      <c r="AQ238" s="85">
        <v>0</v>
      </c>
      <c r="AR238" s="86"/>
      <c r="AS238" s="86"/>
      <c r="AT238" s="86"/>
      <c r="AU238" s="37" t="b">
        <f>TABLA_AVANCE_METAS[[#This Row],[PROGRAMADO ANUAL]]=SUM(TABLA_AVANCE_METAS[[#This Row],[PROGR. 1° TRIM]],TABLA_AVANCE_METAS[[#This Row],[PROGR. 2° TRIM]],TABLA_AVANCE_METAS[[#This Row],[PROGR. 3° TRIM]],TABLA_AVANCE_METAS[[#This Row],[PROGR. 4° TRIM]])</f>
        <v>1</v>
      </c>
    </row>
    <row r="239" spans="1:48" ht="75" hidden="1" customHeight="1" x14ac:dyDescent="0.35">
      <c r="A239" s="19" t="str">
        <f>CONCATENATE(TABLA_AVANCE_METAS[[#This Row],[ESTRUCTURA]],TABLA_AVANCE_METAS[[#This Row],['#]])</f>
        <v>B0320201050202017</v>
      </c>
      <c r="B239" s="20" t="s">
        <v>386</v>
      </c>
      <c r="C239" s="21" t="s">
        <v>366</v>
      </c>
      <c r="D239" s="20" t="s">
        <v>367</v>
      </c>
      <c r="E239" s="20" t="s">
        <v>387</v>
      </c>
      <c r="F239" s="20" t="s">
        <v>388</v>
      </c>
      <c r="G239" s="22" t="s">
        <v>389</v>
      </c>
      <c r="H239" s="20" t="s">
        <v>279</v>
      </c>
      <c r="I239" s="20" t="s">
        <v>280</v>
      </c>
      <c r="J239" s="20" t="s">
        <v>281</v>
      </c>
      <c r="K239" s="20" t="s">
        <v>282</v>
      </c>
      <c r="L239" s="21">
        <v>7</v>
      </c>
      <c r="M239" s="80" t="s">
        <v>690</v>
      </c>
      <c r="N239" s="22" t="s">
        <v>239</v>
      </c>
      <c r="O239" s="81">
        <v>1800</v>
      </c>
      <c r="P239" s="81">
        <v>450</v>
      </c>
      <c r="Q239" s="28">
        <v>494</v>
      </c>
      <c r="R239" s="25">
        <f>IFERROR((TABLA_AVANCE_METAS[[#This Row],[AVANCE 1°. TRIM]]/TABLA_AVANCE_METAS[[#This Row],[PROGR. 1° TRIM]])*100,"0")</f>
        <v>109.77777777777777</v>
      </c>
      <c r="S239"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ADECUADO</v>
      </c>
      <c r="T239" s="24">
        <v>450</v>
      </c>
      <c r="U239" s="28">
        <v>489</v>
      </c>
      <c r="V239" s="27">
        <f t="shared" si="10"/>
        <v>108.66666666666667</v>
      </c>
      <c r="W239" s="26" t="str">
        <f t="shared" si="11"/>
        <v>ADECUADO</v>
      </c>
      <c r="X239" s="24">
        <v>450</v>
      </c>
      <c r="Y239" s="28"/>
      <c r="Z239" s="27">
        <v>0</v>
      </c>
      <c r="AA239" s="26" t="s">
        <v>62</v>
      </c>
      <c r="AB239" s="24">
        <v>450</v>
      </c>
      <c r="AC239" s="28"/>
      <c r="AD239" s="82">
        <f>IFERROR((TABLA_AVANCE_METAS[[#This Row],[AVANCE 4°. TRIM]]/TABLA_AVANCE_METAS[[#This Row],[PROGR. 4° TRIM]])*100,"0")</f>
        <v>0</v>
      </c>
      <c r="AE239" s="83"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39" s="30">
        <f t="array" ref="AF239">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900</v>
      </c>
      <c r="AG239" s="84">
        <f t="array" ref="AG239">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983</v>
      </c>
      <c r="AH239" s="27">
        <f>IFERROR((TABLA_AVANCE_METAS[[#This Row],[AVANCE ACUM. TRIM.]]/TABLA_AVANCE_METAS[[#This Row],[PROG. ACUM]])*100,"N/A")</f>
        <v>109.22222222222221</v>
      </c>
      <c r="AI239"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39" s="31">
        <f>TABLA_AVANCE_METAS[[#This Row],[AVANCE ACUM. TRIM.]]-TABLA_AVANCE_METAS[[#This Row],[PROG. ACUM]]</f>
        <v>83</v>
      </c>
      <c r="AK239" s="32">
        <f>IFERROR((TABLA_AVANCE_METAS[[#This Row],[DIFERENCIA ABSOLUTA SEMESTRAL]]/TABLA_AVANCE_METAS[[#This Row],[PROG. ACUM]])*100,"N/A")</f>
        <v>9.2222222222222214</v>
      </c>
      <c r="AL239" s="84">
        <f>TABLA_AVANCE_METAS[[#This Row],[AVANCE 1°. TRIM]]+TABLA_AVANCE_METAS[[#This Row],[AVANCE 2°. TRIM]]+TABLA_AVANCE_METAS[[#This Row],[AVANCE 3°. TRIM]]+TABLA_AVANCE_METAS[[#This Row],[AVANCE 4°. TRIM]]</f>
        <v>983</v>
      </c>
      <c r="AM239" s="27">
        <f>IFERROR((TABLA_AVANCE_METAS[[#This Row],[AVANCE ACUM. ANUAL]]/TABLA_AVANCE_METAS[[#This Row],[PROGRAMADO ANUAL]])*100,"N/A")</f>
        <v>54.611111111111107</v>
      </c>
      <c r="AN239"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DEFICIENTE</v>
      </c>
      <c r="AO239" s="31">
        <f>TABLA_AVANCE_METAS[[#This Row],[AVANCE ACUM. ANUAL]]-TABLA_AVANCE_METAS[[#This Row],[PROGRAMADO ANUAL]]</f>
        <v>-817</v>
      </c>
      <c r="AP239" s="33">
        <f>IFERROR((TABLA_AVANCE_METAS[[#This Row],[DIFERENCIA ABSOLUTA ANUAL]]/TABLA_AVANCE_METAS[[#This Row],[PROGRAMADO ANUAL]])*100,"N/A")</f>
        <v>-45.388888888888893</v>
      </c>
      <c r="AQ239" s="85">
        <v>0</v>
      </c>
      <c r="AR239" s="86"/>
      <c r="AS239" s="86"/>
      <c r="AT239" s="86"/>
      <c r="AU239" s="37" t="b">
        <f>TABLA_AVANCE_METAS[[#This Row],[PROGRAMADO ANUAL]]=SUM(TABLA_AVANCE_METAS[[#This Row],[PROGR. 1° TRIM]],TABLA_AVANCE_METAS[[#This Row],[PROGR. 2° TRIM]],TABLA_AVANCE_METAS[[#This Row],[PROGR. 3° TRIM]],TABLA_AVANCE_METAS[[#This Row],[PROGR. 4° TRIM]])</f>
        <v>1</v>
      </c>
    </row>
    <row r="240" spans="1:48" ht="56.25" hidden="1" customHeight="1" x14ac:dyDescent="0.35">
      <c r="A240" s="19" t="str">
        <f>CONCATENATE(TABLA_AVANCE_METAS[[#This Row],[ESTRUCTURA]],TABLA_AVANCE_METAS[[#This Row],['#]])</f>
        <v>B0020401050202096</v>
      </c>
      <c r="B240" s="20" t="s">
        <v>214</v>
      </c>
      <c r="C240" s="21" t="s">
        <v>213</v>
      </c>
      <c r="D240" s="20" t="s">
        <v>214</v>
      </c>
      <c r="E240" s="20" t="s">
        <v>293</v>
      </c>
      <c r="F240" s="20" t="s">
        <v>294</v>
      </c>
      <c r="G240" s="87" t="s">
        <v>295</v>
      </c>
      <c r="H240" s="20" t="s">
        <v>279</v>
      </c>
      <c r="I240" s="20" t="s">
        <v>280</v>
      </c>
      <c r="J240" s="20" t="s">
        <v>296</v>
      </c>
      <c r="K240" s="20" t="s">
        <v>297</v>
      </c>
      <c r="L240" s="21">
        <v>6</v>
      </c>
      <c r="M240" s="80" t="s">
        <v>691</v>
      </c>
      <c r="N240" s="22" t="s">
        <v>205</v>
      </c>
      <c r="O240" s="24">
        <v>15</v>
      </c>
      <c r="P240" s="24">
        <v>4</v>
      </c>
      <c r="Q240" s="28">
        <v>4</v>
      </c>
      <c r="R240" s="25" t="s">
        <v>71</v>
      </c>
      <c r="S240" s="26" t="s">
        <v>72</v>
      </c>
      <c r="T240" s="24">
        <v>4</v>
      </c>
      <c r="U240" s="28">
        <v>4</v>
      </c>
      <c r="V240" s="27">
        <f t="shared" si="10"/>
        <v>100</v>
      </c>
      <c r="W240" s="26" t="str">
        <f t="shared" si="11"/>
        <v>ADECUADO</v>
      </c>
      <c r="X240" s="24">
        <v>4</v>
      </c>
      <c r="Y240" s="28">
        <v>0</v>
      </c>
      <c r="Z240" s="27">
        <v>0</v>
      </c>
      <c r="AA240" s="26" t="s">
        <v>62</v>
      </c>
      <c r="AB240" s="24">
        <v>3</v>
      </c>
      <c r="AC240" s="28">
        <v>0</v>
      </c>
      <c r="AD240" s="27">
        <v>0</v>
      </c>
      <c r="AE240" s="29" t="s">
        <v>62</v>
      </c>
      <c r="AF240" s="30">
        <f t="array" ref="AF240">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8</v>
      </c>
      <c r="AG240" s="84">
        <f t="array" ref="AG240">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8</v>
      </c>
      <c r="AH240" s="27">
        <f>IFERROR((TABLA_AVANCE_METAS[[#This Row],[AVANCE ACUM. TRIM.]]/TABLA_AVANCE_METAS[[#This Row],[PROG. ACUM]])*100,"N/A")</f>
        <v>100</v>
      </c>
      <c r="AI240"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40" s="31" t="e">
        <v>#N/A</v>
      </c>
      <c r="AK240" s="32" t="s">
        <v>692</v>
      </c>
      <c r="AL240" s="84" t="e">
        <v>#N/A</v>
      </c>
      <c r="AM240" s="27" t="s">
        <v>692</v>
      </c>
      <c r="AN240" s="26" t="s">
        <v>72</v>
      </c>
      <c r="AO240" s="31" t="e">
        <v>#N/A</v>
      </c>
      <c r="AP240" s="33" t="s">
        <v>692</v>
      </c>
      <c r="AQ240" s="34">
        <v>0</v>
      </c>
      <c r="AR240" s="37"/>
      <c r="AS240" s="86"/>
      <c r="AT240" s="86"/>
      <c r="AU240" s="37" t="b">
        <f>TABLA_AVANCE_METAS[[#This Row],[PROGRAMADO ANUAL]]=SUM(TABLA_AVANCE_METAS[[#This Row],[PROGR. 1° TRIM]],TABLA_AVANCE_METAS[[#This Row],[PROGR. 2° TRIM]],TABLA_AVANCE_METAS[[#This Row],[PROGR. 3° TRIM]],TABLA_AVANCE_METAS[[#This Row],[PROGR. 4° TRIM]])</f>
        <v>1</v>
      </c>
    </row>
    <row r="241" spans="1:47" ht="56.25" hidden="1" customHeight="1" x14ac:dyDescent="0.35">
      <c r="A241" s="19" t="str">
        <f>CONCATENATE(TABLA_AVANCE_METAS[[#This Row],[ESTRUCTURA]],TABLA_AVANCE_METAS[[#This Row],['#]])</f>
        <v>C0021902020301075</v>
      </c>
      <c r="B241" s="88" t="s">
        <v>603</v>
      </c>
      <c r="C241" s="41" t="s">
        <v>444</v>
      </c>
      <c r="D241" s="40" t="s">
        <v>445</v>
      </c>
      <c r="E241" s="20" t="s">
        <v>525</v>
      </c>
      <c r="F241" s="40" t="s">
        <v>526</v>
      </c>
      <c r="G241" s="87" t="s">
        <v>604</v>
      </c>
      <c r="H241" s="40" t="s">
        <v>176</v>
      </c>
      <c r="I241" s="40" t="s">
        <v>177</v>
      </c>
      <c r="J241" s="40" t="s">
        <v>517</v>
      </c>
      <c r="K241" s="40" t="s">
        <v>518</v>
      </c>
      <c r="L241" s="21" t="s">
        <v>693</v>
      </c>
      <c r="M241" s="89" t="s">
        <v>694</v>
      </c>
      <c r="N241" s="22" t="s">
        <v>531</v>
      </c>
      <c r="O241" s="81">
        <v>2420</v>
      </c>
      <c r="P241" s="81"/>
      <c r="Q241" s="28"/>
      <c r="R241" s="25" t="str">
        <f>IFERROR((TABLA_AVANCE_METAS[[#This Row],[AVANCE 1°. TRIM]]/TABLA_AVANCE_METAS[[#This Row],[PROGR. 1° TRIM]])*100,"0")</f>
        <v>0</v>
      </c>
      <c r="S241"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241" s="24">
        <v>800</v>
      </c>
      <c r="U241" s="28">
        <v>813</v>
      </c>
      <c r="V241" s="27">
        <f t="shared" si="10"/>
        <v>101.62500000000001</v>
      </c>
      <c r="W241" s="26" t="str">
        <f t="shared" si="11"/>
        <v>ADECUADO</v>
      </c>
      <c r="X241" s="24">
        <v>810</v>
      </c>
      <c r="Y241" s="28"/>
      <c r="Z241" s="27">
        <v>0</v>
      </c>
      <c r="AA241" s="26" t="s">
        <v>62</v>
      </c>
      <c r="AB241" s="24">
        <v>810</v>
      </c>
      <c r="AC241" s="28"/>
      <c r="AD241" s="82">
        <f>IFERROR((TABLA_AVANCE_METAS[[#This Row],[AVANCE 4°. TRIM]]/TABLA_AVANCE_METAS[[#This Row],[PROGR. 4° TRIM]])*100,"0")</f>
        <v>0</v>
      </c>
      <c r="AE241" s="83"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41" s="30">
        <f t="array" ref="AF241">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800</v>
      </c>
      <c r="AG241" s="84">
        <f t="array" ref="AG241">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813</v>
      </c>
      <c r="AH241" s="27">
        <f>IFERROR((TABLA_AVANCE_METAS[[#This Row],[AVANCE ACUM. TRIM.]]/TABLA_AVANCE_METAS[[#This Row],[PROG. ACUM]])*100,"N/A")</f>
        <v>101.62500000000001</v>
      </c>
      <c r="AI241"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41" s="31">
        <f>TABLA_AVANCE_METAS[[#This Row],[AVANCE ACUM. TRIM.]]-TABLA_AVANCE_METAS[[#This Row],[PROG. ACUM]]</f>
        <v>13</v>
      </c>
      <c r="AK241" s="32">
        <f>IFERROR((TABLA_AVANCE_METAS[[#This Row],[DIFERENCIA ABSOLUTA SEMESTRAL]]/TABLA_AVANCE_METAS[[#This Row],[PROG. ACUM]])*100,"N/A")</f>
        <v>1.625</v>
      </c>
      <c r="AL241" s="84">
        <f>TABLA_AVANCE_METAS[[#This Row],[AVANCE 1°. TRIM]]+TABLA_AVANCE_METAS[[#This Row],[AVANCE 2°. TRIM]]+TABLA_AVANCE_METAS[[#This Row],[AVANCE 3°. TRIM]]+TABLA_AVANCE_METAS[[#This Row],[AVANCE 4°. TRIM]]</f>
        <v>813</v>
      </c>
      <c r="AM241" s="27">
        <f>IFERROR((TABLA_AVANCE_METAS[[#This Row],[AVANCE ACUM. ANUAL]]/TABLA_AVANCE_METAS[[#This Row],[PROGRAMADO ANUAL]])*100,"N/A")</f>
        <v>33.595041322314053</v>
      </c>
      <c r="AN241"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241" s="31">
        <f>TABLA_AVANCE_METAS[[#This Row],[AVANCE ACUM. ANUAL]]-TABLA_AVANCE_METAS[[#This Row],[PROGRAMADO ANUAL]]</f>
        <v>-1607</v>
      </c>
      <c r="AP241" s="33">
        <f>IFERROR((TABLA_AVANCE_METAS[[#This Row],[DIFERENCIA ABSOLUTA ANUAL]]/TABLA_AVANCE_METAS[[#This Row],[PROGRAMADO ANUAL]])*100,"N/A")</f>
        <v>-66.404958677685954</v>
      </c>
      <c r="AQ241" s="85"/>
      <c r="AR241" s="86"/>
      <c r="AS241" s="86"/>
      <c r="AT241" s="86"/>
      <c r="AU241" s="69" t="b">
        <f>TABLA_AVANCE_METAS[[#This Row],[PROGRAMADO ANUAL]]=SUM(TABLA_AVANCE_METAS[[#This Row],[PROGR. 1° TRIM]],TABLA_AVANCE_METAS[[#This Row],[PROGR. 2° TRIM]],TABLA_AVANCE_METAS[[#This Row],[PROGR. 3° TRIM]],TABLA_AVANCE_METAS[[#This Row],[PROGR. 4° TRIM]])</f>
        <v>1</v>
      </c>
    </row>
    <row r="242" spans="1:47" ht="56.25" hidden="1" customHeight="1" x14ac:dyDescent="0.35">
      <c r="A242" s="19" t="str">
        <f>CONCATENATE(TABLA_AVANCE_METAS[[#This Row],[ESTRUCTURA]],TABLA_AVANCE_METAS[[#This Row],['#]])</f>
        <v>C0021902020301076</v>
      </c>
      <c r="B242" s="88" t="s">
        <v>603</v>
      </c>
      <c r="C242" s="41" t="s">
        <v>444</v>
      </c>
      <c r="D242" s="40" t="s">
        <v>445</v>
      </c>
      <c r="E242" s="20" t="s">
        <v>525</v>
      </c>
      <c r="F242" s="40" t="s">
        <v>526</v>
      </c>
      <c r="G242" s="87" t="s">
        <v>604</v>
      </c>
      <c r="H242" s="40" t="s">
        <v>176</v>
      </c>
      <c r="I242" s="40" t="s">
        <v>177</v>
      </c>
      <c r="J242" s="40" t="s">
        <v>517</v>
      </c>
      <c r="K242" s="40" t="s">
        <v>518</v>
      </c>
      <c r="L242" s="21" t="s">
        <v>695</v>
      </c>
      <c r="M242" s="89" t="s">
        <v>696</v>
      </c>
      <c r="N242" s="22" t="s">
        <v>512</v>
      </c>
      <c r="O242" s="81">
        <v>210</v>
      </c>
      <c r="P242" s="81"/>
      <c r="Q242" s="28"/>
      <c r="R242" s="25" t="str">
        <f>IFERROR((TABLA_AVANCE_METAS[[#This Row],[AVANCE 1°. TRIM]]/TABLA_AVANCE_METAS[[#This Row],[PROGR. 1° TRIM]])*100,"0")</f>
        <v>0</v>
      </c>
      <c r="S242"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242" s="24">
        <v>70</v>
      </c>
      <c r="U242" s="28">
        <v>68</v>
      </c>
      <c r="V242" s="27">
        <f t="shared" si="10"/>
        <v>97.142857142857139</v>
      </c>
      <c r="W242" s="26" t="str">
        <f t="shared" si="11"/>
        <v>ADECUADO</v>
      </c>
      <c r="X242" s="24">
        <v>70</v>
      </c>
      <c r="Y242" s="28"/>
      <c r="Z242" s="27">
        <v>0</v>
      </c>
      <c r="AA242" s="26" t="s">
        <v>62</v>
      </c>
      <c r="AB242" s="24">
        <v>70</v>
      </c>
      <c r="AC242" s="28"/>
      <c r="AD242" s="82">
        <f>IFERROR((TABLA_AVANCE_METAS[[#This Row],[AVANCE 4°. TRIM]]/TABLA_AVANCE_METAS[[#This Row],[PROGR. 4° TRIM]])*100,"0")</f>
        <v>0</v>
      </c>
      <c r="AE242" s="83"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42" s="30">
        <f t="array" ref="AF242">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70</v>
      </c>
      <c r="AG242" s="84">
        <f t="array" ref="AG242">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68</v>
      </c>
      <c r="AH242" s="27">
        <f>IFERROR((TABLA_AVANCE_METAS[[#This Row],[AVANCE ACUM. TRIM.]]/TABLA_AVANCE_METAS[[#This Row],[PROG. ACUM]])*100,"N/A")</f>
        <v>97.142857142857139</v>
      </c>
      <c r="AI242"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42" s="31">
        <f>TABLA_AVANCE_METAS[[#This Row],[AVANCE ACUM. TRIM.]]-TABLA_AVANCE_METAS[[#This Row],[PROG. ACUM]]</f>
        <v>-2</v>
      </c>
      <c r="AK242" s="32">
        <f>IFERROR((TABLA_AVANCE_METAS[[#This Row],[DIFERENCIA ABSOLUTA SEMESTRAL]]/TABLA_AVANCE_METAS[[#This Row],[PROG. ACUM]])*100,"N/A")</f>
        <v>-2.8571428571428572</v>
      </c>
      <c r="AL242" s="84">
        <f>TABLA_AVANCE_METAS[[#This Row],[AVANCE 1°. TRIM]]+TABLA_AVANCE_METAS[[#This Row],[AVANCE 2°. TRIM]]+TABLA_AVANCE_METAS[[#This Row],[AVANCE 3°. TRIM]]+TABLA_AVANCE_METAS[[#This Row],[AVANCE 4°. TRIM]]</f>
        <v>68</v>
      </c>
      <c r="AM242" s="27">
        <f>IFERROR((TABLA_AVANCE_METAS[[#This Row],[AVANCE ACUM. ANUAL]]/TABLA_AVANCE_METAS[[#This Row],[PROGRAMADO ANUAL]])*100,"N/A")</f>
        <v>32.38095238095238</v>
      </c>
      <c r="AN242"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242" s="31">
        <f>TABLA_AVANCE_METAS[[#This Row],[AVANCE ACUM. ANUAL]]-TABLA_AVANCE_METAS[[#This Row],[PROGRAMADO ANUAL]]</f>
        <v>-142</v>
      </c>
      <c r="AP242" s="33">
        <f>IFERROR((TABLA_AVANCE_METAS[[#This Row],[DIFERENCIA ABSOLUTA ANUAL]]/TABLA_AVANCE_METAS[[#This Row],[PROGRAMADO ANUAL]])*100,"N/A")</f>
        <v>-67.61904761904762</v>
      </c>
      <c r="AQ242" s="85"/>
      <c r="AR242" s="86"/>
      <c r="AS242" s="86"/>
      <c r="AT242" s="86"/>
      <c r="AU242" s="69" t="b">
        <f>TABLA_AVANCE_METAS[[#This Row],[PROGRAMADO ANUAL]]=SUM(TABLA_AVANCE_METAS[[#This Row],[PROGR. 1° TRIM]],TABLA_AVANCE_METAS[[#This Row],[PROGR. 2° TRIM]],TABLA_AVANCE_METAS[[#This Row],[PROGR. 3° TRIM]],TABLA_AVANCE_METAS[[#This Row],[PROGR. 4° TRIM]])</f>
        <v>1</v>
      </c>
    </row>
    <row r="243" spans="1:47" ht="56.25" hidden="1" customHeight="1" x14ac:dyDescent="0.35">
      <c r="A243" s="19" t="str">
        <f>CONCATENATE(TABLA_AVANCE_METAS[[#This Row],[ESTRUCTURA]],TABLA_AVANCE_METAS[[#This Row],['#]])</f>
        <v>C0021902020301077</v>
      </c>
      <c r="B243" s="88" t="s">
        <v>603</v>
      </c>
      <c r="C243" s="41" t="s">
        <v>444</v>
      </c>
      <c r="D243" s="40" t="s">
        <v>445</v>
      </c>
      <c r="E243" s="20" t="s">
        <v>525</v>
      </c>
      <c r="F243" s="40" t="s">
        <v>526</v>
      </c>
      <c r="G243" s="87" t="s">
        <v>604</v>
      </c>
      <c r="H243" s="40" t="s">
        <v>176</v>
      </c>
      <c r="I243" s="40" t="s">
        <v>177</v>
      </c>
      <c r="J243" s="40" t="s">
        <v>517</v>
      </c>
      <c r="K243" s="40" t="s">
        <v>518</v>
      </c>
      <c r="L243" s="21" t="s">
        <v>697</v>
      </c>
      <c r="M243" s="89" t="s">
        <v>698</v>
      </c>
      <c r="N243" s="22" t="s">
        <v>488</v>
      </c>
      <c r="O243" s="81">
        <v>64</v>
      </c>
      <c r="P243" s="81"/>
      <c r="Q243" s="28"/>
      <c r="R243" s="25" t="str">
        <f>IFERROR((TABLA_AVANCE_METAS[[#This Row],[AVANCE 1°. TRIM]]/TABLA_AVANCE_METAS[[#This Row],[PROGR. 1° TRIM]])*100,"0")</f>
        <v>0</v>
      </c>
      <c r="S243"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243" s="24">
        <v>21</v>
      </c>
      <c r="U243" s="28">
        <v>21</v>
      </c>
      <c r="V243" s="27">
        <f t="shared" si="10"/>
        <v>100</v>
      </c>
      <c r="W243" s="26" t="str">
        <f t="shared" si="11"/>
        <v>ADECUADO</v>
      </c>
      <c r="X243" s="24">
        <v>22</v>
      </c>
      <c r="Y243" s="28"/>
      <c r="Z243" s="27">
        <v>0</v>
      </c>
      <c r="AA243" s="26" t="s">
        <v>62</v>
      </c>
      <c r="AB243" s="24">
        <v>21</v>
      </c>
      <c r="AC243" s="28"/>
      <c r="AD243" s="82">
        <f>IFERROR((TABLA_AVANCE_METAS[[#This Row],[AVANCE 4°. TRIM]]/TABLA_AVANCE_METAS[[#This Row],[PROGR. 4° TRIM]])*100,"0")</f>
        <v>0</v>
      </c>
      <c r="AE243" s="83"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43" s="30">
        <f t="array" ref="AF243">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21</v>
      </c>
      <c r="AG243" s="84">
        <f t="array" ref="AG243">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21</v>
      </c>
      <c r="AH243" s="27">
        <f>IFERROR((TABLA_AVANCE_METAS[[#This Row],[AVANCE ACUM. TRIM.]]/TABLA_AVANCE_METAS[[#This Row],[PROG. ACUM]])*100,"N/A")</f>
        <v>100</v>
      </c>
      <c r="AI243"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43" s="31">
        <f>TABLA_AVANCE_METAS[[#This Row],[AVANCE ACUM. TRIM.]]-TABLA_AVANCE_METAS[[#This Row],[PROG. ACUM]]</f>
        <v>0</v>
      </c>
      <c r="AK243" s="32">
        <f>IFERROR((TABLA_AVANCE_METAS[[#This Row],[DIFERENCIA ABSOLUTA SEMESTRAL]]/TABLA_AVANCE_METAS[[#This Row],[PROG. ACUM]])*100,"N/A")</f>
        <v>0</v>
      </c>
      <c r="AL243" s="84">
        <f>TABLA_AVANCE_METAS[[#This Row],[AVANCE 1°. TRIM]]+TABLA_AVANCE_METAS[[#This Row],[AVANCE 2°. TRIM]]+TABLA_AVANCE_METAS[[#This Row],[AVANCE 3°. TRIM]]+TABLA_AVANCE_METAS[[#This Row],[AVANCE 4°. TRIM]]</f>
        <v>21</v>
      </c>
      <c r="AM243" s="27">
        <f>IFERROR((TABLA_AVANCE_METAS[[#This Row],[AVANCE ACUM. ANUAL]]/TABLA_AVANCE_METAS[[#This Row],[PROGRAMADO ANUAL]])*100,"N/A")</f>
        <v>32.8125</v>
      </c>
      <c r="AN243"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243" s="31">
        <f>TABLA_AVANCE_METAS[[#This Row],[AVANCE ACUM. ANUAL]]-TABLA_AVANCE_METAS[[#This Row],[PROGRAMADO ANUAL]]</f>
        <v>-43</v>
      </c>
      <c r="AP243" s="33">
        <f>IFERROR((TABLA_AVANCE_METAS[[#This Row],[DIFERENCIA ABSOLUTA ANUAL]]/TABLA_AVANCE_METAS[[#This Row],[PROGRAMADO ANUAL]])*100,"N/A")</f>
        <v>-67.1875</v>
      </c>
      <c r="AQ243" s="85"/>
      <c r="AR243" s="86"/>
      <c r="AS243" s="86"/>
      <c r="AT243" s="86"/>
      <c r="AU243" s="69" t="b">
        <f>TABLA_AVANCE_METAS[[#This Row],[PROGRAMADO ANUAL]]=SUM(TABLA_AVANCE_METAS[[#This Row],[PROGR. 1° TRIM]],TABLA_AVANCE_METAS[[#This Row],[PROGR. 2° TRIM]],TABLA_AVANCE_METAS[[#This Row],[PROGR. 3° TRIM]],TABLA_AVANCE_METAS[[#This Row],[PROGR. 4° TRIM]])</f>
        <v>1</v>
      </c>
    </row>
    <row r="244" spans="1:47" ht="56.25" hidden="1" customHeight="1" x14ac:dyDescent="0.35">
      <c r="A244" s="19" t="str">
        <f>CONCATENATE(TABLA_AVANCE_METAS[[#This Row],[ESTRUCTURA]],TABLA_AVANCE_METAS[[#This Row],['#]])</f>
        <v>C0021902020301078</v>
      </c>
      <c r="B244" s="88" t="s">
        <v>603</v>
      </c>
      <c r="C244" s="41" t="s">
        <v>444</v>
      </c>
      <c r="D244" s="40" t="s">
        <v>445</v>
      </c>
      <c r="E244" s="20" t="s">
        <v>525</v>
      </c>
      <c r="F244" s="40" t="s">
        <v>526</v>
      </c>
      <c r="G244" s="87" t="s">
        <v>604</v>
      </c>
      <c r="H244" s="40" t="s">
        <v>176</v>
      </c>
      <c r="I244" s="40" t="s">
        <v>177</v>
      </c>
      <c r="J244" s="40" t="s">
        <v>517</v>
      </c>
      <c r="K244" s="40" t="s">
        <v>518</v>
      </c>
      <c r="L244" s="21" t="s">
        <v>699</v>
      </c>
      <c r="M244" s="89" t="s">
        <v>700</v>
      </c>
      <c r="N244" s="22" t="s">
        <v>537</v>
      </c>
      <c r="O244" s="81">
        <v>650</v>
      </c>
      <c r="P244" s="81"/>
      <c r="Q244" s="28"/>
      <c r="R244" s="25" t="str">
        <f>IFERROR((TABLA_AVANCE_METAS[[#This Row],[AVANCE 1°. TRIM]]/TABLA_AVANCE_METAS[[#This Row],[PROGR. 1° TRIM]])*100,"0")</f>
        <v>0</v>
      </c>
      <c r="S244"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244" s="24">
        <v>215</v>
      </c>
      <c r="U244" s="28">
        <v>214</v>
      </c>
      <c r="V244" s="27">
        <f t="shared" si="10"/>
        <v>99.534883720930239</v>
      </c>
      <c r="W244" s="26" t="str">
        <f t="shared" si="11"/>
        <v>ADECUADO</v>
      </c>
      <c r="X244" s="24">
        <v>220</v>
      </c>
      <c r="Y244" s="28"/>
      <c r="Z244" s="27">
        <v>0</v>
      </c>
      <c r="AA244" s="26" t="s">
        <v>62</v>
      </c>
      <c r="AB244" s="24">
        <v>215</v>
      </c>
      <c r="AC244" s="28"/>
      <c r="AD244" s="82">
        <f>IFERROR((TABLA_AVANCE_METAS[[#This Row],[AVANCE 4°. TRIM]]/TABLA_AVANCE_METAS[[#This Row],[PROGR. 4° TRIM]])*100,"0")</f>
        <v>0</v>
      </c>
      <c r="AE244" s="83"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44" s="30">
        <f t="array" ref="AF244">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215</v>
      </c>
      <c r="AG244" s="84">
        <f t="array" ref="AG244">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214</v>
      </c>
      <c r="AH244" s="27">
        <f>IFERROR((TABLA_AVANCE_METAS[[#This Row],[AVANCE ACUM. TRIM.]]/TABLA_AVANCE_METAS[[#This Row],[PROG. ACUM]])*100,"N/A")</f>
        <v>99.534883720930239</v>
      </c>
      <c r="AI244"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44" s="31">
        <f>TABLA_AVANCE_METAS[[#This Row],[AVANCE ACUM. TRIM.]]-TABLA_AVANCE_METAS[[#This Row],[PROG. ACUM]]</f>
        <v>-1</v>
      </c>
      <c r="AK244" s="32">
        <f>IFERROR((TABLA_AVANCE_METAS[[#This Row],[DIFERENCIA ABSOLUTA SEMESTRAL]]/TABLA_AVANCE_METAS[[#This Row],[PROG. ACUM]])*100,"N/A")</f>
        <v>-0.46511627906976744</v>
      </c>
      <c r="AL244" s="84">
        <f>TABLA_AVANCE_METAS[[#This Row],[AVANCE 1°. TRIM]]+TABLA_AVANCE_METAS[[#This Row],[AVANCE 2°. TRIM]]+TABLA_AVANCE_METAS[[#This Row],[AVANCE 3°. TRIM]]+TABLA_AVANCE_METAS[[#This Row],[AVANCE 4°. TRIM]]</f>
        <v>214</v>
      </c>
      <c r="AM244" s="27">
        <f>IFERROR((TABLA_AVANCE_METAS[[#This Row],[AVANCE ACUM. ANUAL]]/TABLA_AVANCE_METAS[[#This Row],[PROGRAMADO ANUAL]])*100,"N/A")</f>
        <v>32.92307692307692</v>
      </c>
      <c r="AN244"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244" s="31">
        <f>TABLA_AVANCE_METAS[[#This Row],[AVANCE ACUM. ANUAL]]-TABLA_AVANCE_METAS[[#This Row],[PROGRAMADO ANUAL]]</f>
        <v>-436</v>
      </c>
      <c r="AP244" s="33">
        <f>IFERROR((TABLA_AVANCE_METAS[[#This Row],[DIFERENCIA ABSOLUTA ANUAL]]/TABLA_AVANCE_METAS[[#This Row],[PROGRAMADO ANUAL]])*100,"N/A")</f>
        <v>-67.07692307692308</v>
      </c>
      <c r="AQ244" s="85"/>
      <c r="AR244" s="86"/>
      <c r="AS244" s="86"/>
      <c r="AT244" s="86"/>
      <c r="AU244" s="37" t="b">
        <f>TABLA_AVANCE_METAS[[#This Row],[PROGRAMADO ANUAL]]=SUM(TABLA_AVANCE_METAS[[#This Row],[PROGR. 1° TRIM]],TABLA_AVANCE_METAS[[#This Row],[PROGR. 2° TRIM]],TABLA_AVANCE_METAS[[#This Row],[PROGR. 3° TRIM]],TABLA_AVANCE_METAS[[#This Row],[PROGR. 4° TRIM]])</f>
        <v>1</v>
      </c>
    </row>
    <row r="245" spans="1:47" ht="56.25" hidden="1" customHeight="1" x14ac:dyDescent="0.35">
      <c r="A245" s="19" t="str">
        <f>CONCATENATE(TABLA_AVANCE_METAS[[#This Row],[ESTRUCTURA]],TABLA_AVANCE_METAS[[#This Row],['#]])</f>
        <v>C0021902020301079</v>
      </c>
      <c r="B245" s="88" t="s">
        <v>603</v>
      </c>
      <c r="C245" s="41" t="s">
        <v>444</v>
      </c>
      <c r="D245" s="40" t="s">
        <v>445</v>
      </c>
      <c r="E245" s="20" t="s">
        <v>525</v>
      </c>
      <c r="F245" s="40" t="s">
        <v>526</v>
      </c>
      <c r="G245" s="87" t="s">
        <v>604</v>
      </c>
      <c r="H245" s="40" t="s">
        <v>176</v>
      </c>
      <c r="I245" s="40" t="s">
        <v>177</v>
      </c>
      <c r="J245" s="40" t="s">
        <v>517</v>
      </c>
      <c r="K245" s="40" t="s">
        <v>518</v>
      </c>
      <c r="L245" s="21" t="s">
        <v>701</v>
      </c>
      <c r="M245" s="89" t="s">
        <v>702</v>
      </c>
      <c r="N245" s="22" t="s">
        <v>540</v>
      </c>
      <c r="O245" s="81">
        <v>54</v>
      </c>
      <c r="P245" s="81"/>
      <c r="Q245" s="28"/>
      <c r="R245" s="25" t="str">
        <f>IFERROR((TABLA_AVANCE_METAS[[#This Row],[AVANCE 1°. TRIM]]/TABLA_AVANCE_METAS[[#This Row],[PROGR. 1° TRIM]])*100,"0")</f>
        <v>0</v>
      </c>
      <c r="S245"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245" s="24">
        <v>18</v>
      </c>
      <c r="U245" s="28">
        <v>18</v>
      </c>
      <c r="V245" s="27">
        <f t="shared" si="10"/>
        <v>100</v>
      </c>
      <c r="W245" s="26" t="str">
        <f t="shared" si="11"/>
        <v>ADECUADO</v>
      </c>
      <c r="X245" s="24">
        <v>18</v>
      </c>
      <c r="Y245" s="28"/>
      <c r="Z245" s="27">
        <v>0</v>
      </c>
      <c r="AA245" s="26" t="s">
        <v>62</v>
      </c>
      <c r="AB245" s="24">
        <v>18</v>
      </c>
      <c r="AC245" s="28"/>
      <c r="AD245" s="82">
        <f>IFERROR((TABLA_AVANCE_METAS[[#This Row],[AVANCE 4°. TRIM]]/TABLA_AVANCE_METAS[[#This Row],[PROGR. 4° TRIM]])*100,"0")</f>
        <v>0</v>
      </c>
      <c r="AE245" s="83"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45" s="30">
        <f t="array" ref="AF245">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18</v>
      </c>
      <c r="AG245" s="84">
        <f t="array" ref="AG245">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18</v>
      </c>
      <c r="AH245" s="27">
        <f>IFERROR((TABLA_AVANCE_METAS[[#This Row],[AVANCE ACUM. TRIM.]]/TABLA_AVANCE_METAS[[#This Row],[PROG. ACUM]])*100,"N/A")</f>
        <v>100</v>
      </c>
      <c r="AI245"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45" s="31">
        <f>TABLA_AVANCE_METAS[[#This Row],[AVANCE ACUM. TRIM.]]-TABLA_AVANCE_METAS[[#This Row],[PROG. ACUM]]</f>
        <v>0</v>
      </c>
      <c r="AK245" s="32">
        <f>IFERROR((TABLA_AVANCE_METAS[[#This Row],[DIFERENCIA ABSOLUTA SEMESTRAL]]/TABLA_AVANCE_METAS[[#This Row],[PROG. ACUM]])*100,"N/A")</f>
        <v>0</v>
      </c>
      <c r="AL245" s="84">
        <f>TABLA_AVANCE_METAS[[#This Row],[AVANCE 1°. TRIM]]+TABLA_AVANCE_METAS[[#This Row],[AVANCE 2°. TRIM]]+TABLA_AVANCE_METAS[[#This Row],[AVANCE 3°. TRIM]]+TABLA_AVANCE_METAS[[#This Row],[AVANCE 4°. TRIM]]</f>
        <v>18</v>
      </c>
      <c r="AM245" s="27">
        <f>IFERROR((TABLA_AVANCE_METAS[[#This Row],[AVANCE ACUM. ANUAL]]/TABLA_AVANCE_METAS[[#This Row],[PROGRAMADO ANUAL]])*100,"N/A")</f>
        <v>33.333333333333329</v>
      </c>
      <c r="AN245"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245" s="31">
        <f>TABLA_AVANCE_METAS[[#This Row],[AVANCE ACUM. ANUAL]]-TABLA_AVANCE_METAS[[#This Row],[PROGRAMADO ANUAL]]</f>
        <v>-36</v>
      </c>
      <c r="AP245" s="33">
        <f>IFERROR((TABLA_AVANCE_METAS[[#This Row],[DIFERENCIA ABSOLUTA ANUAL]]/TABLA_AVANCE_METAS[[#This Row],[PROGRAMADO ANUAL]])*100,"N/A")</f>
        <v>-66.666666666666657</v>
      </c>
      <c r="AQ245" s="85"/>
      <c r="AR245" s="86"/>
      <c r="AS245" s="86"/>
      <c r="AT245" s="86"/>
      <c r="AU245" s="37" t="b">
        <f>TABLA_AVANCE_METAS[[#This Row],[PROGRAMADO ANUAL]]=SUM(TABLA_AVANCE_METAS[[#This Row],[PROGR. 1° TRIM]],TABLA_AVANCE_METAS[[#This Row],[PROGR. 2° TRIM]],TABLA_AVANCE_METAS[[#This Row],[PROGR. 3° TRIM]],TABLA_AVANCE_METAS[[#This Row],[PROGR. 4° TRIM]])</f>
        <v>1</v>
      </c>
    </row>
    <row r="246" spans="1:47" ht="56.25" hidden="1" customHeight="1" x14ac:dyDescent="0.35">
      <c r="A246" s="19" t="str">
        <f>CONCATENATE(TABLA_AVANCE_METAS[[#This Row],[ESTRUCTURA]],TABLA_AVANCE_METAS[[#This Row],['#]])</f>
        <v>C00219020203010710</v>
      </c>
      <c r="B246" s="88" t="s">
        <v>603</v>
      </c>
      <c r="C246" s="41" t="s">
        <v>444</v>
      </c>
      <c r="D246" s="40" t="s">
        <v>445</v>
      </c>
      <c r="E246" s="20" t="s">
        <v>525</v>
      </c>
      <c r="F246" s="40" t="s">
        <v>526</v>
      </c>
      <c r="G246" s="87" t="s">
        <v>604</v>
      </c>
      <c r="H246" s="40" t="s">
        <v>176</v>
      </c>
      <c r="I246" s="40" t="s">
        <v>177</v>
      </c>
      <c r="J246" s="40" t="s">
        <v>517</v>
      </c>
      <c r="K246" s="40" t="s">
        <v>518</v>
      </c>
      <c r="L246" s="21" t="s">
        <v>703</v>
      </c>
      <c r="M246" s="89" t="s">
        <v>704</v>
      </c>
      <c r="N246" s="22" t="s">
        <v>542</v>
      </c>
      <c r="O246" s="81">
        <v>10</v>
      </c>
      <c r="P246" s="81"/>
      <c r="Q246" s="28"/>
      <c r="R246" s="25" t="str">
        <f>IFERROR((TABLA_AVANCE_METAS[[#This Row],[AVANCE 1°. TRIM]]/TABLA_AVANCE_METAS[[#This Row],[PROGR. 1° TRIM]])*100,"0")</f>
        <v>0</v>
      </c>
      <c r="S246"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246" s="24">
        <v>2</v>
      </c>
      <c r="U246" s="28">
        <v>2</v>
      </c>
      <c r="V246" s="27">
        <f t="shared" si="10"/>
        <v>100</v>
      </c>
      <c r="W246" s="26" t="str">
        <f t="shared" si="11"/>
        <v>ADECUADO</v>
      </c>
      <c r="X246" s="24">
        <v>3</v>
      </c>
      <c r="Y246" s="28"/>
      <c r="Z246" s="27">
        <v>0</v>
      </c>
      <c r="AA246" s="26" t="s">
        <v>62</v>
      </c>
      <c r="AB246" s="24">
        <v>5</v>
      </c>
      <c r="AC246" s="28"/>
      <c r="AD246" s="82">
        <f>IFERROR((TABLA_AVANCE_METAS[[#This Row],[AVANCE 4°. TRIM]]/TABLA_AVANCE_METAS[[#This Row],[PROGR. 4° TRIM]])*100,"0")</f>
        <v>0</v>
      </c>
      <c r="AE246" s="83"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46" s="30">
        <f t="array" ref="AF246">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2</v>
      </c>
      <c r="AG246" s="84">
        <f t="array" ref="AG246">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2</v>
      </c>
      <c r="AH246" s="27">
        <f>IFERROR((TABLA_AVANCE_METAS[[#This Row],[AVANCE ACUM. TRIM.]]/TABLA_AVANCE_METAS[[#This Row],[PROG. ACUM]])*100,"N/A")</f>
        <v>100</v>
      </c>
      <c r="AI246"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46" s="31">
        <f>TABLA_AVANCE_METAS[[#This Row],[AVANCE ACUM. TRIM.]]-TABLA_AVANCE_METAS[[#This Row],[PROG. ACUM]]</f>
        <v>0</v>
      </c>
      <c r="AK246" s="32">
        <f>IFERROR((TABLA_AVANCE_METAS[[#This Row],[DIFERENCIA ABSOLUTA SEMESTRAL]]/TABLA_AVANCE_METAS[[#This Row],[PROG. ACUM]])*100,"N/A")</f>
        <v>0</v>
      </c>
      <c r="AL246" s="84">
        <f>TABLA_AVANCE_METAS[[#This Row],[AVANCE 1°. TRIM]]+TABLA_AVANCE_METAS[[#This Row],[AVANCE 2°. TRIM]]+TABLA_AVANCE_METAS[[#This Row],[AVANCE 3°. TRIM]]+TABLA_AVANCE_METAS[[#This Row],[AVANCE 4°. TRIM]]</f>
        <v>2</v>
      </c>
      <c r="AM246" s="27">
        <f>IFERROR((TABLA_AVANCE_METAS[[#This Row],[AVANCE ACUM. ANUAL]]/TABLA_AVANCE_METAS[[#This Row],[PROGRAMADO ANUAL]])*100,"N/A")</f>
        <v>20</v>
      </c>
      <c r="AN246"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246" s="31">
        <f>TABLA_AVANCE_METAS[[#This Row],[AVANCE ACUM. ANUAL]]-TABLA_AVANCE_METAS[[#This Row],[PROGRAMADO ANUAL]]</f>
        <v>-8</v>
      </c>
      <c r="AP246" s="33">
        <f>IFERROR((TABLA_AVANCE_METAS[[#This Row],[DIFERENCIA ABSOLUTA ANUAL]]/TABLA_AVANCE_METAS[[#This Row],[PROGRAMADO ANUAL]])*100,"N/A")</f>
        <v>-80</v>
      </c>
      <c r="AQ246" s="85"/>
      <c r="AR246" s="86"/>
      <c r="AS246" s="86"/>
      <c r="AT246" s="86"/>
      <c r="AU246" s="69" t="b">
        <f>TABLA_AVANCE_METAS[[#This Row],[PROGRAMADO ANUAL]]=SUM(TABLA_AVANCE_METAS[[#This Row],[PROGR. 1° TRIM]],TABLA_AVANCE_METAS[[#This Row],[PROGR. 2° TRIM]],TABLA_AVANCE_METAS[[#This Row],[PROGR. 3° TRIM]],TABLA_AVANCE_METAS[[#This Row],[PROGR. 4° TRIM]])</f>
        <v>1</v>
      </c>
    </row>
    <row r="247" spans="1:47" ht="93.75" hidden="1" customHeight="1" x14ac:dyDescent="0.35">
      <c r="A247" s="19" t="str">
        <f>CONCATENATE(TABLA_AVANCE_METAS[[#This Row],[ESTRUCTURA]],TABLA_AVANCE_METAS[[#This Row],['#]])</f>
        <v>C0021902020301107</v>
      </c>
      <c r="B247" s="90" t="s">
        <v>524</v>
      </c>
      <c r="C247" s="41" t="s">
        <v>444</v>
      </c>
      <c r="D247" s="40" t="s">
        <v>445</v>
      </c>
      <c r="E247" s="20" t="s">
        <v>525</v>
      </c>
      <c r="F247" s="40" t="s">
        <v>526</v>
      </c>
      <c r="G247" s="87" t="s">
        <v>527</v>
      </c>
      <c r="H247" s="40" t="s">
        <v>176</v>
      </c>
      <c r="I247" s="40" t="s">
        <v>177</v>
      </c>
      <c r="J247" s="40" t="s">
        <v>528</v>
      </c>
      <c r="K247" s="40" t="s">
        <v>529</v>
      </c>
      <c r="L247" s="21" t="s">
        <v>697</v>
      </c>
      <c r="M247" s="89" t="s">
        <v>705</v>
      </c>
      <c r="N247" s="22" t="s">
        <v>503</v>
      </c>
      <c r="O247" s="81">
        <v>9</v>
      </c>
      <c r="P247" s="81"/>
      <c r="Q247" s="28"/>
      <c r="R247" s="25" t="str">
        <f>IFERROR((TABLA_AVANCE_METAS[[#This Row],[AVANCE 1°. TRIM]]/TABLA_AVANCE_METAS[[#This Row],[PROGR. 1° TRIM]])*100,"0")</f>
        <v>0</v>
      </c>
      <c r="S247"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247" s="24">
        <v>3</v>
      </c>
      <c r="U247" s="28">
        <v>3</v>
      </c>
      <c r="V247" s="27">
        <f t="shared" si="10"/>
        <v>100</v>
      </c>
      <c r="W247" s="26" t="str">
        <f t="shared" si="11"/>
        <v>ADECUADO</v>
      </c>
      <c r="X247" s="24">
        <v>3</v>
      </c>
      <c r="Y247" s="28"/>
      <c r="Z247" s="27">
        <v>0</v>
      </c>
      <c r="AA247" s="26" t="s">
        <v>62</v>
      </c>
      <c r="AB247" s="24">
        <v>3</v>
      </c>
      <c r="AC247" s="28"/>
      <c r="AD247" s="82">
        <f>IFERROR((TABLA_AVANCE_METAS[[#This Row],[AVANCE 4°. TRIM]]/TABLA_AVANCE_METAS[[#This Row],[PROGR. 4° TRIM]])*100,"0")</f>
        <v>0</v>
      </c>
      <c r="AE247" s="83"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47" s="30">
        <f t="array" ref="AF247">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3</v>
      </c>
      <c r="AG247" s="84">
        <f t="array" ref="AG247">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3</v>
      </c>
      <c r="AH247" s="27">
        <f>IFERROR((TABLA_AVANCE_METAS[[#This Row],[AVANCE ACUM. TRIM.]]/TABLA_AVANCE_METAS[[#This Row],[PROG. ACUM]])*100,"N/A")</f>
        <v>100</v>
      </c>
      <c r="AI247"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47" s="31">
        <f>TABLA_AVANCE_METAS[[#This Row],[AVANCE ACUM. TRIM.]]-TABLA_AVANCE_METAS[[#This Row],[PROG. ACUM]]</f>
        <v>0</v>
      </c>
      <c r="AK247" s="32">
        <f>IFERROR((TABLA_AVANCE_METAS[[#This Row],[DIFERENCIA ABSOLUTA SEMESTRAL]]/TABLA_AVANCE_METAS[[#This Row],[PROG. ACUM]])*100,"N/A")</f>
        <v>0</v>
      </c>
      <c r="AL247" s="84">
        <f>TABLA_AVANCE_METAS[[#This Row],[AVANCE 1°. TRIM]]+TABLA_AVANCE_METAS[[#This Row],[AVANCE 2°. TRIM]]+TABLA_AVANCE_METAS[[#This Row],[AVANCE 3°. TRIM]]+TABLA_AVANCE_METAS[[#This Row],[AVANCE 4°. TRIM]]</f>
        <v>3</v>
      </c>
      <c r="AM247" s="27">
        <f>IFERROR((TABLA_AVANCE_METAS[[#This Row],[AVANCE ACUM. ANUAL]]/TABLA_AVANCE_METAS[[#This Row],[PROGRAMADO ANUAL]])*100,"N/A")</f>
        <v>33.333333333333329</v>
      </c>
      <c r="AN247"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247" s="31">
        <f>TABLA_AVANCE_METAS[[#This Row],[AVANCE ACUM. ANUAL]]-TABLA_AVANCE_METAS[[#This Row],[PROGRAMADO ANUAL]]</f>
        <v>-6</v>
      </c>
      <c r="AP247" s="33">
        <f>IFERROR((TABLA_AVANCE_METAS[[#This Row],[DIFERENCIA ABSOLUTA ANUAL]]/TABLA_AVANCE_METAS[[#This Row],[PROGRAMADO ANUAL]])*100,"N/A")</f>
        <v>-66.666666666666657</v>
      </c>
      <c r="AQ247" s="85"/>
      <c r="AR247" s="86"/>
      <c r="AS247" s="86"/>
      <c r="AT247" s="86"/>
      <c r="AU247" s="37" t="b">
        <f>TABLA_AVANCE_METAS[[#This Row],[PROGRAMADO ANUAL]]=SUM(TABLA_AVANCE_METAS[[#This Row],[PROGR. 1° TRIM]],TABLA_AVANCE_METAS[[#This Row],[PROGR. 2° TRIM]],TABLA_AVANCE_METAS[[#This Row],[PROGR. 3° TRIM]],TABLA_AVANCE_METAS[[#This Row],[PROGR. 4° TRIM]])</f>
        <v>1</v>
      </c>
    </row>
    <row r="248" spans="1:47" ht="93.75" hidden="1" customHeight="1" x14ac:dyDescent="0.35">
      <c r="A248" s="19" t="str">
        <f>CONCATENATE(TABLA_AVANCE_METAS[[#This Row],[ESTRUCTURA]],TABLA_AVANCE_METAS[[#This Row],['#]])</f>
        <v>C0021902020301108</v>
      </c>
      <c r="B248" s="90" t="s">
        <v>524</v>
      </c>
      <c r="C248" s="41" t="s">
        <v>444</v>
      </c>
      <c r="D248" s="40" t="s">
        <v>445</v>
      </c>
      <c r="E248" s="20" t="s">
        <v>525</v>
      </c>
      <c r="F248" s="40" t="s">
        <v>526</v>
      </c>
      <c r="G248" s="87" t="s">
        <v>527</v>
      </c>
      <c r="H248" s="40" t="s">
        <v>176</v>
      </c>
      <c r="I248" s="40" t="s">
        <v>177</v>
      </c>
      <c r="J248" s="40" t="s">
        <v>528</v>
      </c>
      <c r="K248" s="40" t="s">
        <v>529</v>
      </c>
      <c r="L248" s="21" t="s">
        <v>699</v>
      </c>
      <c r="M248" s="89" t="s">
        <v>706</v>
      </c>
      <c r="N248" s="22" t="s">
        <v>305</v>
      </c>
      <c r="O248" s="81">
        <v>3</v>
      </c>
      <c r="P248" s="81"/>
      <c r="Q248" s="28"/>
      <c r="R248" s="25" t="str">
        <f>IFERROR((TABLA_AVANCE_METAS[[#This Row],[AVANCE 1°. TRIM]]/TABLA_AVANCE_METAS[[#This Row],[PROGR. 1° TRIM]])*100,"0")</f>
        <v>0</v>
      </c>
      <c r="S248"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248" s="24">
        <v>1</v>
      </c>
      <c r="U248" s="28">
        <v>1</v>
      </c>
      <c r="V248" s="27">
        <f t="shared" si="10"/>
        <v>100</v>
      </c>
      <c r="W248" s="26" t="str">
        <f t="shared" si="11"/>
        <v>ADECUADO</v>
      </c>
      <c r="X248" s="24">
        <v>1</v>
      </c>
      <c r="Y248" s="28"/>
      <c r="Z248" s="27">
        <v>0</v>
      </c>
      <c r="AA248" s="26" t="s">
        <v>62</v>
      </c>
      <c r="AB248" s="24">
        <v>1</v>
      </c>
      <c r="AC248" s="28"/>
      <c r="AD248" s="82">
        <f>IFERROR((TABLA_AVANCE_METAS[[#This Row],[AVANCE 4°. TRIM]]/TABLA_AVANCE_METAS[[#This Row],[PROGR. 4° TRIM]])*100,"0")</f>
        <v>0</v>
      </c>
      <c r="AE248" s="83"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48" s="30">
        <f t="array" ref="AF248">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v>
      </c>
      <c r="AG248" s="84">
        <f t="array" ref="AG248">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v>
      </c>
      <c r="AH248" s="27">
        <f>IFERROR((TABLA_AVANCE_METAS[[#This Row],[AVANCE ACUM. TRIM.]]/TABLA_AVANCE_METAS[[#This Row],[PROG. ACUM]])*100,"N/A")</f>
        <v>100</v>
      </c>
      <c r="AI248"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48" s="31">
        <f>TABLA_AVANCE_METAS[[#This Row],[AVANCE ACUM. TRIM.]]-TABLA_AVANCE_METAS[[#This Row],[PROG. ACUM]]</f>
        <v>0</v>
      </c>
      <c r="AK248" s="32">
        <f>IFERROR((TABLA_AVANCE_METAS[[#This Row],[DIFERENCIA ABSOLUTA SEMESTRAL]]/TABLA_AVANCE_METAS[[#This Row],[PROG. ACUM]])*100,"N/A")</f>
        <v>0</v>
      </c>
      <c r="AL248" s="84">
        <f>TABLA_AVANCE_METAS[[#This Row],[AVANCE 1°. TRIM]]+TABLA_AVANCE_METAS[[#This Row],[AVANCE 2°. TRIM]]+TABLA_AVANCE_METAS[[#This Row],[AVANCE 3°. TRIM]]+TABLA_AVANCE_METAS[[#This Row],[AVANCE 4°. TRIM]]</f>
        <v>1</v>
      </c>
      <c r="AM248" s="27">
        <f>IFERROR((TABLA_AVANCE_METAS[[#This Row],[AVANCE ACUM. ANUAL]]/TABLA_AVANCE_METAS[[#This Row],[PROGRAMADO ANUAL]])*100,"N/A")</f>
        <v>33.333333333333329</v>
      </c>
      <c r="AN248"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248" s="31">
        <f>TABLA_AVANCE_METAS[[#This Row],[AVANCE ACUM. ANUAL]]-TABLA_AVANCE_METAS[[#This Row],[PROGRAMADO ANUAL]]</f>
        <v>-2</v>
      </c>
      <c r="AP248" s="33">
        <f>IFERROR((TABLA_AVANCE_METAS[[#This Row],[DIFERENCIA ABSOLUTA ANUAL]]/TABLA_AVANCE_METAS[[#This Row],[PROGRAMADO ANUAL]])*100,"N/A")</f>
        <v>-66.666666666666657</v>
      </c>
      <c r="AQ248" s="85"/>
      <c r="AR248" s="86"/>
      <c r="AS248" s="86"/>
      <c r="AT248" s="86"/>
      <c r="AU248" s="37" t="b">
        <f>TABLA_AVANCE_METAS[[#This Row],[PROGRAMADO ANUAL]]=SUM(TABLA_AVANCE_METAS[[#This Row],[PROGR. 1° TRIM]],TABLA_AVANCE_METAS[[#This Row],[PROGR. 2° TRIM]],TABLA_AVANCE_METAS[[#This Row],[PROGR. 3° TRIM]],TABLA_AVANCE_METAS[[#This Row],[PROGR. 4° TRIM]])</f>
        <v>1</v>
      </c>
    </row>
    <row r="249" spans="1:47" ht="93.75" hidden="1" customHeight="1" x14ac:dyDescent="0.35">
      <c r="A249" s="19" t="str">
        <f>CONCATENATE(TABLA_AVANCE_METAS[[#This Row],[ESTRUCTURA]],TABLA_AVANCE_METAS[[#This Row],['#]])</f>
        <v>C0021902020301109</v>
      </c>
      <c r="B249" s="90" t="s">
        <v>524</v>
      </c>
      <c r="C249" s="41" t="s">
        <v>444</v>
      </c>
      <c r="D249" s="40" t="s">
        <v>445</v>
      </c>
      <c r="E249" s="20" t="s">
        <v>525</v>
      </c>
      <c r="F249" s="40" t="s">
        <v>526</v>
      </c>
      <c r="G249" s="87" t="s">
        <v>527</v>
      </c>
      <c r="H249" s="40" t="s">
        <v>176</v>
      </c>
      <c r="I249" s="40" t="s">
        <v>177</v>
      </c>
      <c r="J249" s="40" t="s">
        <v>528</v>
      </c>
      <c r="K249" s="40" t="s">
        <v>529</v>
      </c>
      <c r="L249" s="21" t="s">
        <v>701</v>
      </c>
      <c r="M249" s="89" t="s">
        <v>707</v>
      </c>
      <c r="N249" s="22" t="s">
        <v>608</v>
      </c>
      <c r="O249" s="81">
        <v>9</v>
      </c>
      <c r="P249" s="81"/>
      <c r="Q249" s="28"/>
      <c r="R249" s="25" t="str">
        <f>IFERROR((TABLA_AVANCE_METAS[[#This Row],[AVANCE 1°. TRIM]]/TABLA_AVANCE_METAS[[#This Row],[PROGR. 1° TRIM]])*100,"0")</f>
        <v>0</v>
      </c>
      <c r="S249"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249" s="24">
        <v>3</v>
      </c>
      <c r="U249" s="28">
        <v>3</v>
      </c>
      <c r="V249" s="27">
        <f t="shared" si="10"/>
        <v>100</v>
      </c>
      <c r="W249" s="26" t="str">
        <f t="shared" si="11"/>
        <v>ADECUADO</v>
      </c>
      <c r="X249" s="24">
        <v>3</v>
      </c>
      <c r="Y249" s="28"/>
      <c r="Z249" s="27">
        <v>0</v>
      </c>
      <c r="AA249" s="26" t="s">
        <v>62</v>
      </c>
      <c r="AB249" s="24">
        <v>3</v>
      </c>
      <c r="AC249" s="28"/>
      <c r="AD249" s="82">
        <f>IFERROR((TABLA_AVANCE_METAS[[#This Row],[AVANCE 4°. TRIM]]/TABLA_AVANCE_METAS[[#This Row],[PROGR. 4° TRIM]])*100,"0")</f>
        <v>0</v>
      </c>
      <c r="AE249" s="83"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49" s="30">
        <f t="array" ref="AF249">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3</v>
      </c>
      <c r="AG249" s="84">
        <f t="array" ref="AG249">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3</v>
      </c>
      <c r="AH249" s="27">
        <f>IFERROR((TABLA_AVANCE_METAS[[#This Row],[AVANCE ACUM. TRIM.]]/TABLA_AVANCE_METAS[[#This Row],[PROG. ACUM]])*100,"N/A")</f>
        <v>100</v>
      </c>
      <c r="AI249"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49" s="31">
        <f>TABLA_AVANCE_METAS[[#This Row],[AVANCE ACUM. TRIM.]]-TABLA_AVANCE_METAS[[#This Row],[PROG. ACUM]]</f>
        <v>0</v>
      </c>
      <c r="AK249" s="32">
        <f>IFERROR((TABLA_AVANCE_METAS[[#This Row],[DIFERENCIA ABSOLUTA SEMESTRAL]]/TABLA_AVANCE_METAS[[#This Row],[PROG. ACUM]])*100,"N/A")</f>
        <v>0</v>
      </c>
      <c r="AL249" s="84">
        <f>TABLA_AVANCE_METAS[[#This Row],[AVANCE 1°. TRIM]]+TABLA_AVANCE_METAS[[#This Row],[AVANCE 2°. TRIM]]+TABLA_AVANCE_METAS[[#This Row],[AVANCE 3°. TRIM]]+TABLA_AVANCE_METAS[[#This Row],[AVANCE 4°. TRIM]]</f>
        <v>3</v>
      </c>
      <c r="AM249" s="27">
        <f>IFERROR((TABLA_AVANCE_METAS[[#This Row],[AVANCE ACUM. ANUAL]]/TABLA_AVANCE_METAS[[#This Row],[PROGRAMADO ANUAL]])*100,"N/A")</f>
        <v>33.333333333333329</v>
      </c>
      <c r="AN249"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249" s="31">
        <f>TABLA_AVANCE_METAS[[#This Row],[AVANCE ACUM. ANUAL]]-TABLA_AVANCE_METAS[[#This Row],[PROGRAMADO ANUAL]]</f>
        <v>-6</v>
      </c>
      <c r="AP249" s="33">
        <f>IFERROR((TABLA_AVANCE_METAS[[#This Row],[DIFERENCIA ABSOLUTA ANUAL]]/TABLA_AVANCE_METAS[[#This Row],[PROGRAMADO ANUAL]])*100,"N/A")</f>
        <v>-66.666666666666657</v>
      </c>
      <c r="AQ249" s="85"/>
      <c r="AR249" s="86"/>
      <c r="AS249" s="86"/>
      <c r="AT249" s="86"/>
      <c r="AU249" s="37" t="b">
        <f>TABLA_AVANCE_METAS[[#This Row],[PROGRAMADO ANUAL]]=SUM(TABLA_AVANCE_METAS[[#This Row],[PROGR. 1° TRIM]],TABLA_AVANCE_METAS[[#This Row],[PROGR. 2° TRIM]],TABLA_AVANCE_METAS[[#This Row],[PROGR. 3° TRIM]],TABLA_AVANCE_METAS[[#This Row],[PROGR. 4° TRIM]])</f>
        <v>1</v>
      </c>
    </row>
    <row r="250" spans="1:47" ht="93.75" hidden="1" customHeight="1" x14ac:dyDescent="0.35">
      <c r="A250" s="19" t="str">
        <f>CONCATENATE(TABLA_AVANCE_METAS[[#This Row],[ESTRUCTURA]],TABLA_AVANCE_METAS[[#This Row],['#]])</f>
        <v>C00219020203011010</v>
      </c>
      <c r="B250" s="90" t="s">
        <v>524</v>
      </c>
      <c r="C250" s="41" t="s">
        <v>444</v>
      </c>
      <c r="D250" s="40" t="s">
        <v>445</v>
      </c>
      <c r="E250" s="20" t="s">
        <v>525</v>
      </c>
      <c r="F250" s="40" t="s">
        <v>526</v>
      </c>
      <c r="G250" s="87" t="s">
        <v>527</v>
      </c>
      <c r="H250" s="40" t="s">
        <v>176</v>
      </c>
      <c r="I250" s="40" t="s">
        <v>177</v>
      </c>
      <c r="J250" s="40" t="s">
        <v>528</v>
      </c>
      <c r="K250" s="40" t="s">
        <v>529</v>
      </c>
      <c r="L250" s="21" t="s">
        <v>703</v>
      </c>
      <c r="M250" s="89" t="s">
        <v>708</v>
      </c>
      <c r="N250" s="22" t="s">
        <v>510</v>
      </c>
      <c r="O250" s="81">
        <v>39829525.079999998</v>
      </c>
      <c r="P250" s="81"/>
      <c r="Q250" s="28"/>
      <c r="R250" s="25" t="str">
        <f>IFERROR((TABLA_AVANCE_METAS[[#This Row],[AVANCE 1°. TRIM]]/TABLA_AVANCE_METAS[[#This Row],[PROGR. 1° TRIM]])*100,"0")</f>
        <v>0</v>
      </c>
      <c r="S250" s="26" t="str">
        <f>IF(AND(TABLA_AVANCE_METAS[[#This Row],[% AVANCE 1er. TRIM]]&gt;=0,TABLA_AVANCE_METAS[[#This Row],[% AVANCE 1er. TRIM]]&lt;=49.9999999999999),"CRÍTICO",IF(AND(TABLA_AVANCE_METAS[[#This Row],[% AVANCE 1er. TRIM]]&gt;=50,TABLA_AVANCE_METAS[[#This Row],[% AVANCE 1er. TRIM]]&lt;=69.9999999999999),"DEFICIENTE",IF(AND(TABLA_AVANCE_METAS[[#This Row],[% AVANCE 1er. TRIM]]&gt;=70,TABLA_AVANCE_METAS[[#This Row],[% AVANCE 1er. TRIM]]&lt;=89.9999999999999),"REGULAR",IF(AND(TABLA_AVANCE_METAS[[#This Row],[% AVANCE 1er. TRIM]]&gt;=90,TABLA_AVANCE_METAS[[#This Row],[% AVANCE 1er. TRIM]]&lt;=110.999999999999),"ADECUADO",IF(AND(TABLA_AVANCE_METAS[[#This Row],[% AVANCE 1er. TRIM]]&gt;=111,TABLA_AVANCE_METAS[[#This Row],[% AVANCE 1er. TRIM]]&lt;=999999999),"SOBREPASADO","NO PROG.")))))</f>
        <v>NO PROG.</v>
      </c>
      <c r="T250" s="24">
        <v>13228053.949999999</v>
      </c>
      <c r="U250" s="28">
        <v>12593069.82</v>
      </c>
      <c r="V250" s="27">
        <f t="shared" si="10"/>
        <v>95.199716206177115</v>
      </c>
      <c r="W250" s="26" t="str">
        <f t="shared" si="11"/>
        <v>ADECUADO</v>
      </c>
      <c r="X250" s="24">
        <v>13373417.18</v>
      </c>
      <c r="Y250" s="28"/>
      <c r="Z250" s="27">
        <v>0</v>
      </c>
      <c r="AA250" s="26" t="s">
        <v>62</v>
      </c>
      <c r="AB250" s="24">
        <v>13228053.949999999</v>
      </c>
      <c r="AC250" s="28"/>
      <c r="AD250" s="82">
        <f>IFERROR((TABLA_AVANCE_METAS[[#This Row],[AVANCE 4°. TRIM]]/TABLA_AVANCE_METAS[[#This Row],[PROGR. 4° TRIM]])*100,"0")</f>
        <v>0</v>
      </c>
      <c r="AE250" s="83" t="str">
        <f>IF(AND(TABLA_AVANCE_METAS[[#This Row],[% AVANCE 4o. TRIM]]&gt;=0,TABLA_AVANCE_METAS[[#This Row],[% AVANCE 4o. TRIM]]&lt;=49.9999999999999),"CRÍTICO",IF(AND(TABLA_AVANCE_METAS[[#This Row],[% AVANCE 4o. TRIM]]&gt;=50,TABLA_AVANCE_METAS[[#This Row],[% AVANCE 4o. TRIM]]&lt;=69.9999999999999),"DEFICIENTE",IF(AND(TABLA_AVANCE_METAS[[#This Row],[% AVANCE 4o. TRIM]]&gt;=70,TABLA_AVANCE_METAS[[#This Row],[% AVANCE 4o. TRIM]]&lt;=89.9999999999999),"REGULAR",IF(AND(TABLA_AVANCE_METAS[[#This Row],[% AVANCE 4o. TRIM]]&gt;=90,TABLA_AVANCE_METAS[[#This Row],[% AVANCE 4o. TRIM]]&lt;=110.999999999999),"ADECUADO",IF(AND(TABLA_AVANCE_METAS[[#This Row],[% AVANCE 4o. TRIM]]&gt;=111,TABLA_AVANCE_METAS[[#This Row],[% AVANCE 4o. TRIM]]&lt;=999999),"SOBREPASADO","NO PROG.")))))</f>
        <v>CRÍTICO</v>
      </c>
      <c r="AF250" s="30">
        <f t="array" ref="AF250">IF(TABLA_AVANCE_METAS[[#This Row],[PROGRAMADO ANUAL]]=0,0,_xlfn.IFS(AF$2="RESULTADO ACUMULADO AL 1° TRIMESTRE",TABLA_AVANCE_METAS[[#This Row],[PROGR. 1° TRIM]],AF$2="RESULTADO ACUMULADO AL 2° TRIMESTRE",TABLA_AVANCE_METAS[[#This Row],[PROGR. 1° TRIM]]+TABLA_AVANCE_METAS[[#This Row],[PROGR. 2° TRIM]],AF$2="RESULTADO ACUMULADO AL 3° TRIMESTRE",TABLA_AVANCE_METAS[[#This Row],[PROGR. 1° TRIM]]+TABLA_AVANCE_METAS[[#This Row],[PROGR. 2° TRIM]]+TABLA_AVANCE_METAS[[#This Row],[PROGR. 3° TRIM]],AF$2="RESULTADO ACUMULADO AL 4° TRIMESTRE",TABLA_AVANCE_METAS[[#This Row],[PROGR. 1° TRIM]]+TABLA_AVANCE_METAS[[#This Row],[PROGR. 2° TRIM]]+TABLA_AVANCE_METAS[[#This Row],[PROGR. 3° TRIM]]+TABLA_AVANCE_METAS[[#This Row],[PROGR. 4° TRIM]]))</f>
        <v>13228053.949999999</v>
      </c>
      <c r="AG250" s="84">
        <f t="array" ref="AG250">_xlfn.IFS(AF$2="RESULTADO ACUMULADO AL 1° TRIMESTRE",TABLA_AVANCE_METAS[[#This Row],[AVANCE 1°. TRIM]],AF$2="RESULTADO ACUMULADO AL 2° TRIMESTRE",TABLA_AVANCE_METAS[[#This Row],[AVANCE 1°. TRIM]]+TABLA_AVANCE_METAS[[#This Row],[AVANCE 2°. TRIM]],AF$2="RESULTADO ACUMULADO AL 3° TRIMESTRE",TABLA_AVANCE_METAS[[#This Row],[AVANCE 1°. TRIM]]+TABLA_AVANCE_METAS[[#This Row],[AVANCE 2°. TRIM]]+TABLA_AVANCE_METAS[[#This Row],[AVANCE 3°. TRIM]],AF$2="RESULTADO ACUMULADO AL 4° TRIMESTRE",TABLA_AVANCE_METAS[[#This Row],[AVANCE 1°. TRIM]]+TABLA_AVANCE_METAS[[#This Row],[AVANCE 2°. TRIM]]+TABLA_AVANCE_METAS[[#This Row],[AVANCE 3°. TRIM]]+TABLA_AVANCE_METAS[[#This Row],[AVANCE 4°. TRIM]])</f>
        <v>12593069.82</v>
      </c>
      <c r="AH250" s="27">
        <f>IFERROR((TABLA_AVANCE_METAS[[#This Row],[AVANCE ACUM. TRIM.]]/TABLA_AVANCE_METAS[[#This Row],[PROG. ACUM]])*100,"N/A")</f>
        <v>95.199716206177115</v>
      </c>
      <c r="AI250" s="26" t="str">
        <f>IF(AND(TABLA_AVANCE_METAS[[#This Row],[% ACUMULADO SEM.]]&gt;=0,TABLA_AVANCE_METAS[[#This Row],[% ACUMULADO SEM.]]&lt;=49.9999999999999),"CRÍTICO",IF(AND(TABLA_AVANCE_METAS[[#This Row],[% ACUMULADO SEM.]]&gt;=50,TABLA_AVANCE_METAS[[#This Row],[% ACUMULADO SEM.]]&lt;=69.9999999999999),"DEFICIENTE",IF(AND(TABLA_AVANCE_METAS[[#This Row],[% ACUMULADO SEM.]]&gt;=70,TABLA_AVANCE_METAS[[#This Row],[% ACUMULADO SEM.]]&lt;=89.9999999999999),"REGULAR",IF(AND(TABLA_AVANCE_METAS[[#This Row],[% ACUMULADO SEM.]]&gt;=90,TABLA_AVANCE_METAS[[#This Row],[% ACUMULADO SEM.]]&lt;=110.999999999999),"ADECUADO",IF(AND(TABLA_AVANCE_METAS[[#This Row],[% ACUMULADO SEM.]]&gt;=111,TABLA_AVANCE_METAS[[#This Row],[% ACUMULADO SEM.]]&lt;=999999),"SOBREPASADO","NO PROG.")))))</f>
        <v>ADECUADO</v>
      </c>
      <c r="AJ250" s="31">
        <f>TABLA_AVANCE_METAS[[#This Row],[AVANCE ACUM. TRIM.]]-TABLA_AVANCE_METAS[[#This Row],[PROG. ACUM]]</f>
        <v>-634984.12999999896</v>
      </c>
      <c r="AK250" s="32">
        <f>IFERROR((TABLA_AVANCE_METAS[[#This Row],[DIFERENCIA ABSOLUTA SEMESTRAL]]/TABLA_AVANCE_METAS[[#This Row],[PROG. ACUM]])*100,"N/A")</f>
        <v>-4.8002837938228922</v>
      </c>
      <c r="AL250" s="84">
        <f>TABLA_AVANCE_METAS[[#This Row],[AVANCE 1°. TRIM]]+TABLA_AVANCE_METAS[[#This Row],[AVANCE 2°. TRIM]]+TABLA_AVANCE_METAS[[#This Row],[AVANCE 3°. TRIM]]+TABLA_AVANCE_METAS[[#This Row],[AVANCE 4°. TRIM]]</f>
        <v>12593069.82</v>
      </c>
      <c r="AM250" s="27">
        <f>IFERROR((TABLA_AVANCE_METAS[[#This Row],[AVANCE ACUM. ANUAL]]/TABLA_AVANCE_METAS[[#This Row],[PROGRAMADO ANUAL]])*100,"N/A")</f>
        <v>31.617423995656647</v>
      </c>
      <c r="AN250" s="26" t="str">
        <f>IF(AND(TABLA_AVANCE_METAS[[#This Row],[% ACUMULADO ANUAL]]&gt;=0,TABLA_AVANCE_METAS[[#This Row],[% ACUMULADO ANUAL]]&lt;=49.9999999999999),"CRÍTICO",IF(AND(TABLA_AVANCE_METAS[[#This Row],[% ACUMULADO ANUAL]]&gt;=50,TABLA_AVANCE_METAS[[#This Row],[% ACUMULADO ANUAL]]&lt;=69.9999999999999),"DEFICIENTE",IF(AND(TABLA_AVANCE_METAS[[#This Row],[% ACUMULADO ANUAL]]&gt;=70,TABLA_AVANCE_METAS[[#This Row],[% ACUMULADO ANUAL]]&lt;=89.9999999999999),"REGULAR",IF(AND(TABLA_AVANCE_METAS[[#This Row],[% ACUMULADO ANUAL]]&gt;=90,TABLA_AVANCE_METAS[[#This Row],[% ACUMULADO ANUAL]]&lt;=110.999999999999),"ADECUADO",IF(AND(TABLA_AVANCE_METAS[[#This Row],[% ACUMULADO ANUAL]]&gt;=111,TABLA_AVANCE_METAS[[#This Row],[% ACUMULADO ANUAL]]&lt;=999999),"SOBREPASADO","NO PROG.")))))</f>
        <v>CRÍTICO</v>
      </c>
      <c r="AO250" s="31">
        <f>TABLA_AVANCE_METAS[[#This Row],[AVANCE ACUM. ANUAL]]-TABLA_AVANCE_METAS[[#This Row],[PROGRAMADO ANUAL]]</f>
        <v>-27236455.259999998</v>
      </c>
      <c r="AP250" s="33">
        <f>IFERROR((TABLA_AVANCE_METAS[[#This Row],[DIFERENCIA ABSOLUTA ANUAL]]/TABLA_AVANCE_METAS[[#This Row],[PROGRAMADO ANUAL]])*100,"N/A")</f>
        <v>-68.382576004343349</v>
      </c>
      <c r="AQ250" s="85"/>
      <c r="AR250" s="86"/>
      <c r="AS250" s="86"/>
      <c r="AT250" s="86"/>
      <c r="AU250" s="37" t="b">
        <f>TABLA_AVANCE_METAS[[#This Row],[PROGRAMADO ANUAL]]=SUM(TABLA_AVANCE_METAS[[#This Row],[PROGR. 1° TRIM]],TABLA_AVANCE_METAS[[#This Row],[PROGR. 2° TRIM]],TABLA_AVANCE_METAS[[#This Row],[PROGR. 3° TRIM]],TABLA_AVANCE_METAS[[#This Row],[PROGR. 4° TRIM]])</f>
        <v>1</v>
      </c>
    </row>
  </sheetData>
  <mergeCells count="8">
    <mergeCell ref="P2:S2"/>
    <mergeCell ref="A1:AT1"/>
    <mergeCell ref="AF2:AK2"/>
    <mergeCell ref="T2:W2"/>
    <mergeCell ref="AQ2:AT2"/>
    <mergeCell ref="X2:AA2"/>
    <mergeCell ref="AB2:AE2"/>
    <mergeCell ref="AL2:AP2"/>
  </mergeCells>
  <conditionalFormatting sqref="R4:R250 V4:V250 Z4:Z250 AD4:AD250 AH4:AH250 AM4:AM250">
    <cfRule type="cellIs" dxfId="120" priority="2" operator="between">
      <formula>111</formula>
      <formula>9999999999</formula>
    </cfRule>
    <cfRule type="cellIs" dxfId="119" priority="3" operator="between">
      <formula>90</formula>
      <formula>110.999999999999</formula>
    </cfRule>
    <cfRule type="cellIs" dxfId="118" priority="4" operator="between">
      <formula>70</formula>
      <formula>89.9999999999999</formula>
    </cfRule>
    <cfRule type="cellIs" dxfId="117" priority="5" operator="between">
      <formula>50</formula>
      <formula>69.9999999999999</formula>
    </cfRule>
    <cfRule type="cellIs" dxfId="116" priority="6" operator="between">
      <formula>0</formula>
      <formula>49.9999999999999</formula>
    </cfRule>
  </conditionalFormatting>
  <conditionalFormatting sqref="A4:A250">
    <cfRule type="duplicateValues" dxfId="115" priority="7"/>
    <cfRule type="duplicateValues" dxfId="114" priority="8"/>
    <cfRule type="duplicateValues" dxfId="113" priority="9"/>
  </conditionalFormatting>
  <conditionalFormatting sqref="AR142:AR246">
    <cfRule type="duplicateValues" dxfId="112" priority="1"/>
  </conditionalFormatting>
  <dataValidations count="1">
    <dataValidation type="list" allowBlank="1" showInputMessage="1" showErrorMessage="1" sqref="AF2" xr:uid="{00000000-0002-0000-0000-000000000000}">
      <formula1>"RESULTADO ACUMULADO AL 1° TRIMESTRE,RESULTADO ACUMULADO AL 2° TRIMESTRE,RESULTADO ACUMULADO AL 3° TRIMESTRE,RESULTADO ACUMULADO AL 4° TRIMESTRE"</formula1>
    </dataValidation>
  </dataValidations>
  <printOptions horizontalCentered="1"/>
  <pageMargins left="0.23622047244094491" right="0.82677165354330717" top="0.74803149606299213" bottom="0.74803149606299213" header="0.31496062992125978" footer="0.31496062992125978"/>
  <pageSetup paperSize="5" scale="18" fitToHeight="0" orientation="landscape"/>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6">
    <tabColor rgb="FF92D050"/>
    <pageSetUpPr fitToPage="1"/>
  </sheetPr>
  <dimension ref="A1:BB235"/>
  <sheetViews>
    <sheetView view="pageBreakPreview" topLeftCell="A222" zoomScale="50" zoomScaleNormal="90" zoomScaleSheetLayoutView="50" workbookViewId="0">
      <selection activeCell="B229" sqref="B229"/>
    </sheetView>
  </sheetViews>
  <sheetFormatPr baseColWidth="10" defaultColWidth="10.88671875" defaultRowHeight="15.6" outlineLevelCol="1" x14ac:dyDescent="0.3"/>
  <cols>
    <col min="1" max="1" width="9.6640625" style="18" customWidth="1"/>
    <col min="2" max="2" width="37.6640625" style="18" customWidth="1"/>
    <col min="3" max="3" width="8" style="91" customWidth="1"/>
    <col min="4" max="4" width="30.44140625" style="92" customWidth="1"/>
    <col min="5" max="5" width="9.6640625" style="92" customWidth="1"/>
    <col min="6" max="6" width="20.6640625" style="91" customWidth="1"/>
    <col min="7" max="7" width="30" style="18" customWidth="1"/>
    <col min="8" max="8" width="24.33203125" style="18" customWidth="1"/>
    <col min="9" max="9" width="26.6640625" style="91" customWidth="1"/>
    <col min="10" max="10" width="25.6640625" style="91" customWidth="1"/>
    <col min="11" max="11" width="25.6640625" style="18" customWidth="1"/>
    <col min="12" max="12" width="25.44140625" style="91" customWidth="1"/>
    <col min="13" max="13" width="18.88671875" style="18" customWidth="1"/>
    <col min="14" max="14" width="10.109375" style="18" customWidth="1"/>
    <col min="15" max="15" width="28.6640625" style="91" customWidth="1"/>
    <col min="16" max="17" width="45.109375" style="93" customWidth="1"/>
    <col min="18" max="18" width="41.5546875" style="93" customWidth="1"/>
    <col min="19" max="21" width="21.33203125" style="1" customWidth="1"/>
    <col min="22" max="22" width="25.6640625" style="1" customWidth="1"/>
    <col min="23" max="23" width="24.6640625" style="1" customWidth="1"/>
    <col min="24" max="24" width="24.6640625" style="94" customWidth="1"/>
    <col min="25" max="25" width="12.6640625" style="1" customWidth="1" outlineLevel="1"/>
    <col min="26" max="26" width="16.6640625" style="95" customWidth="1" outlineLevel="1"/>
    <col min="27" max="27" width="24.6640625" style="1" customWidth="1"/>
    <col min="28" max="28" width="24.6640625" style="96" customWidth="1" outlineLevel="1"/>
    <col min="29" max="29" width="12.6640625" style="96" customWidth="1" outlineLevel="1"/>
    <col min="30" max="30" width="16.6640625" style="96" customWidth="1" outlineLevel="1"/>
    <col min="31" max="31" width="24.6640625" style="1" customWidth="1"/>
    <col min="32" max="32" width="24.6640625" style="96" customWidth="1" outlineLevel="1"/>
    <col min="33" max="33" width="12.6640625" style="96" customWidth="1" outlineLevel="1"/>
    <col min="34" max="34" width="16.6640625" style="96" customWidth="1" outlineLevel="1"/>
    <col min="35" max="35" width="24.6640625" style="1" customWidth="1"/>
    <col min="36" max="36" width="24.6640625" style="1" customWidth="1" outlineLevel="1"/>
    <col min="37" max="37" width="12.6640625" style="1" customWidth="1" outlineLevel="1"/>
    <col min="38" max="38" width="16.6640625" style="1" customWidth="1" outlineLevel="1"/>
    <col min="39" max="40" width="24.6640625" style="1" customWidth="1"/>
    <col min="41" max="41" width="12.6640625" style="1" customWidth="1"/>
    <col min="42" max="42" width="16.6640625" style="1" customWidth="1"/>
    <col min="43" max="43" width="24.6640625" style="1" customWidth="1"/>
    <col min="44" max="44" width="20.6640625" style="1" customWidth="1"/>
    <col min="45" max="45" width="24.6640625" style="1" customWidth="1"/>
    <col min="46" max="46" width="12.6640625" style="1" customWidth="1"/>
    <col min="47" max="47" width="16.6640625" style="1" customWidth="1"/>
    <col min="48" max="48" width="20.6640625" style="96" customWidth="1"/>
    <col min="49" max="53" width="20.6640625" style="1" customWidth="1"/>
    <col min="54" max="54" width="26.5546875" style="5" customWidth="1"/>
    <col min="55" max="55" width="10.88671875" style="1" customWidth="1"/>
    <col min="56" max="16384" width="10.88671875" style="1"/>
  </cols>
  <sheetData>
    <row r="1" spans="1:54" ht="160.5" customHeight="1" x14ac:dyDescent="0.3">
      <c r="A1" s="147" t="s">
        <v>709</v>
      </c>
      <c r="B1" s="148"/>
      <c r="C1" s="149"/>
      <c r="D1" s="150"/>
      <c r="E1" s="150"/>
      <c r="F1" s="149"/>
      <c r="G1" s="148"/>
      <c r="H1" s="148"/>
      <c r="I1" s="149"/>
      <c r="J1" s="149"/>
      <c r="K1" s="148"/>
      <c r="L1" s="149"/>
      <c r="M1" s="148"/>
      <c r="N1" s="148"/>
      <c r="O1" s="149"/>
      <c r="P1" s="151"/>
      <c r="Q1" s="151"/>
      <c r="R1" s="151"/>
      <c r="S1" s="145"/>
      <c r="T1" s="145"/>
      <c r="U1" s="145"/>
      <c r="V1" s="145"/>
      <c r="W1" s="145"/>
      <c r="X1" s="152"/>
      <c r="Y1" s="145"/>
      <c r="Z1" s="153"/>
      <c r="AA1" s="145"/>
      <c r="AB1" s="154"/>
      <c r="AC1" s="154"/>
      <c r="AD1" s="154"/>
      <c r="AE1" s="145"/>
      <c r="AF1" s="154"/>
      <c r="AG1" s="154"/>
      <c r="AH1" s="154"/>
      <c r="AI1" s="145"/>
      <c r="AJ1" s="145"/>
      <c r="AK1" s="145"/>
      <c r="AL1" s="145"/>
      <c r="AM1" s="145"/>
      <c r="AN1" s="145"/>
      <c r="AO1" s="145"/>
      <c r="AP1" s="145"/>
      <c r="AQ1" s="145"/>
      <c r="AR1" s="145"/>
      <c r="AS1" s="145"/>
      <c r="AT1" s="145"/>
      <c r="AU1" s="145"/>
      <c r="AV1" s="154"/>
      <c r="AW1" s="145"/>
      <c r="AX1" s="145"/>
      <c r="AY1" s="145"/>
      <c r="AZ1" s="145"/>
      <c r="BA1" s="145"/>
      <c r="BB1" s="97"/>
    </row>
    <row r="2" spans="1:54" x14ac:dyDescent="0.3">
      <c r="A2" s="2"/>
      <c r="B2" s="2"/>
      <c r="C2" s="3"/>
      <c r="D2" s="4"/>
      <c r="E2" s="4"/>
      <c r="F2" s="3"/>
      <c r="G2" s="2"/>
      <c r="H2" s="2"/>
      <c r="I2" s="3"/>
      <c r="J2" s="4"/>
      <c r="K2" s="5"/>
      <c r="L2" s="4"/>
      <c r="M2" s="5"/>
      <c r="N2" s="2"/>
      <c r="O2" s="3"/>
      <c r="P2" s="4"/>
      <c r="Q2" s="4"/>
      <c r="R2" s="4"/>
      <c r="S2" s="5"/>
      <c r="T2" s="5"/>
      <c r="U2" s="5"/>
      <c r="V2" s="5"/>
      <c r="W2" s="141" t="s">
        <v>1</v>
      </c>
      <c r="X2" s="142"/>
      <c r="Y2" s="142"/>
      <c r="Z2" s="143"/>
      <c r="AA2" s="141" t="s">
        <v>2</v>
      </c>
      <c r="AB2" s="142"/>
      <c r="AC2" s="142"/>
      <c r="AD2" s="143"/>
      <c r="AE2" s="141" t="s">
        <v>3</v>
      </c>
      <c r="AF2" s="142"/>
      <c r="AG2" s="142"/>
      <c r="AH2" s="143"/>
      <c r="AI2" s="138" t="s">
        <v>4</v>
      </c>
      <c r="AJ2" s="139"/>
      <c r="AK2" s="139"/>
      <c r="AL2" s="140"/>
      <c r="AM2" s="138" t="str">
        <f>[1]METAS!AF2</f>
        <v>RESULTADO ACUMULADO AL 2° TRIMESTRE</v>
      </c>
      <c r="AN2" s="139"/>
      <c r="AO2" s="139"/>
      <c r="AP2" s="139"/>
      <c r="AQ2" s="139"/>
      <c r="AR2" s="140"/>
      <c r="AS2" s="146" t="s">
        <v>6</v>
      </c>
      <c r="AT2" s="142"/>
      <c r="AU2" s="142"/>
      <c r="AV2" s="142"/>
      <c r="AW2" s="143"/>
      <c r="AX2" s="144" t="s">
        <v>7</v>
      </c>
      <c r="AY2" s="145"/>
      <c r="AZ2" s="145"/>
      <c r="BA2" s="145"/>
      <c r="BB2" s="2"/>
    </row>
    <row r="3" spans="1:54" s="18" customFormat="1" ht="47.25" customHeight="1" x14ac:dyDescent="0.25">
      <c r="A3" s="6" t="s">
        <v>8</v>
      </c>
      <c r="B3" s="7" t="s">
        <v>9</v>
      </c>
      <c r="C3" s="7" t="s">
        <v>10</v>
      </c>
      <c r="D3" s="7" t="s">
        <v>11</v>
      </c>
      <c r="E3" s="7" t="s">
        <v>12</v>
      </c>
      <c r="F3" s="8" t="s">
        <v>13</v>
      </c>
      <c r="G3" s="7" t="s">
        <v>14</v>
      </c>
      <c r="H3" s="7" t="s">
        <v>710</v>
      </c>
      <c r="I3" s="7" t="s">
        <v>711</v>
      </c>
      <c r="J3" s="7" t="s">
        <v>15</v>
      </c>
      <c r="K3" s="8" t="s">
        <v>16</v>
      </c>
      <c r="L3" s="7" t="s">
        <v>17</v>
      </c>
      <c r="M3" s="8" t="s">
        <v>18</v>
      </c>
      <c r="N3" s="7" t="s">
        <v>712</v>
      </c>
      <c r="O3" s="7" t="s">
        <v>713</v>
      </c>
      <c r="P3" s="7" t="s">
        <v>714</v>
      </c>
      <c r="Q3" s="7" t="s">
        <v>715</v>
      </c>
      <c r="R3" s="7" t="s">
        <v>716</v>
      </c>
      <c r="S3" s="7" t="s">
        <v>21</v>
      </c>
      <c r="T3" s="7" t="s">
        <v>717</v>
      </c>
      <c r="U3" s="7" t="s">
        <v>718</v>
      </c>
      <c r="V3" s="7" t="s">
        <v>22</v>
      </c>
      <c r="W3" s="9" t="s">
        <v>23</v>
      </c>
      <c r="X3" s="9" t="s">
        <v>24</v>
      </c>
      <c r="Y3" s="9" t="s">
        <v>25</v>
      </c>
      <c r="Z3" s="9" t="s">
        <v>26</v>
      </c>
      <c r="AA3" s="9" t="s">
        <v>27</v>
      </c>
      <c r="AB3" s="9" t="s">
        <v>28</v>
      </c>
      <c r="AC3" s="9" t="s">
        <v>29</v>
      </c>
      <c r="AD3" s="10" t="s">
        <v>30</v>
      </c>
      <c r="AE3" s="9" t="s">
        <v>31</v>
      </c>
      <c r="AF3" s="9" t="s">
        <v>32</v>
      </c>
      <c r="AG3" s="9" t="s">
        <v>33</v>
      </c>
      <c r="AH3" s="10" t="s">
        <v>34</v>
      </c>
      <c r="AI3" s="9" t="s">
        <v>35</v>
      </c>
      <c r="AJ3" s="9" t="s">
        <v>36</v>
      </c>
      <c r="AK3" s="9" t="s">
        <v>37</v>
      </c>
      <c r="AL3" s="10" t="s">
        <v>38</v>
      </c>
      <c r="AM3" s="13" t="s">
        <v>39</v>
      </c>
      <c r="AN3" s="12" t="s">
        <v>40</v>
      </c>
      <c r="AO3" s="13" t="s">
        <v>41</v>
      </c>
      <c r="AP3" s="13" t="s">
        <v>42</v>
      </c>
      <c r="AQ3" s="13" t="s">
        <v>43</v>
      </c>
      <c r="AR3" s="13" t="s">
        <v>44</v>
      </c>
      <c r="AS3" s="14" t="s">
        <v>45</v>
      </c>
      <c r="AT3" s="15" t="s">
        <v>46</v>
      </c>
      <c r="AU3" s="15" t="s">
        <v>47</v>
      </c>
      <c r="AV3" s="15" t="s">
        <v>48</v>
      </c>
      <c r="AW3" s="15" t="s">
        <v>49</v>
      </c>
      <c r="AX3" s="16" t="s">
        <v>1</v>
      </c>
      <c r="AY3" s="16" t="s">
        <v>2</v>
      </c>
      <c r="AZ3" s="16" t="s">
        <v>3</v>
      </c>
      <c r="BA3" s="16" t="s">
        <v>4</v>
      </c>
      <c r="BB3" s="98" t="s">
        <v>719</v>
      </c>
    </row>
    <row r="4" spans="1:54" ht="63" hidden="1" customHeight="1" x14ac:dyDescent="0.35">
      <c r="A4" s="19" t="s">
        <v>720</v>
      </c>
      <c r="B4" s="99" t="s">
        <v>610</v>
      </c>
      <c r="C4" s="20" t="s">
        <v>611</v>
      </c>
      <c r="D4" s="100" t="s">
        <v>612</v>
      </c>
      <c r="E4" s="20" t="s">
        <v>613</v>
      </c>
      <c r="F4" s="101" t="s">
        <v>614</v>
      </c>
      <c r="G4" s="80" t="s">
        <v>615</v>
      </c>
      <c r="H4" s="80" t="s">
        <v>721</v>
      </c>
      <c r="I4" s="22" t="s">
        <v>722</v>
      </c>
      <c r="J4" s="22" t="s">
        <v>616</v>
      </c>
      <c r="K4" s="80" t="s">
        <v>617</v>
      </c>
      <c r="L4" s="22" t="s">
        <v>618</v>
      </c>
      <c r="M4" s="80" t="s">
        <v>619</v>
      </c>
      <c r="N4" s="21">
        <v>1</v>
      </c>
      <c r="O4" s="21" t="s">
        <v>723</v>
      </c>
      <c r="P4" s="102" t="s">
        <v>724</v>
      </c>
      <c r="Q4" s="102" t="s">
        <v>725</v>
      </c>
      <c r="R4" s="102" t="s">
        <v>726</v>
      </c>
      <c r="S4" s="42" t="s">
        <v>248</v>
      </c>
      <c r="T4" s="42" t="s">
        <v>727</v>
      </c>
      <c r="U4" s="42" t="s">
        <v>728</v>
      </c>
      <c r="V4" s="24">
        <v>0</v>
      </c>
      <c r="W4" s="24">
        <v>0</v>
      </c>
      <c r="X4" s="103">
        <v>0</v>
      </c>
      <c r="Y4" s="25" t="str">
        <f>IFERROR((TABLA_AVANCE_INDICADORES[[#This Row],[AVANCE 1°. TRIM]]/TABLA_AVANCE_INDICADORES[[#This Row],[PROGR. 1° TRIM]])*100,"0")</f>
        <v>0</v>
      </c>
      <c r="Z4"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4" s="104">
        <v>0</v>
      </c>
      <c r="AB4" s="105">
        <v>0</v>
      </c>
      <c r="AC4" s="27" t="str">
        <f t="shared" ref="AC4:AC67" si="0">IFERROR((AB4/AA4)*100,"0")</f>
        <v>0</v>
      </c>
      <c r="AD4" s="26" t="str">
        <f t="shared" ref="AD4:AD67" si="1">IF(AND(AC4&gt;=0,AC4&lt;=49.9999999999999),"CRÍTICO",IF(AND(AC4&gt;=50,AC4&lt;=69.9999999999999),"DEFICIENTE",IF(AND(AC4&gt;=70,AC4&lt;=89.9999999999999),"REGULAR",IF(AND(AC4&gt;=90,AC4&lt;=110.999999999999),"ADECUADO",IF(AND(AC4&gt;=111,AC4&lt;=999999),"SOBREPASADO","NO PROG.")))))</f>
        <v>NO PROG.</v>
      </c>
      <c r="AE4" s="104">
        <v>0</v>
      </c>
      <c r="AF4" s="105">
        <v>0</v>
      </c>
      <c r="AG4" s="27" t="str">
        <f>IFERROR((TABLA_AVANCE_INDICADORES[[#This Row],[AVANCE 3°. TRIM]]/TABLA_AVANCE_INDICADORES[[#This Row],[PROGR. 3° TRIM]])*100,"0")</f>
        <v>0</v>
      </c>
      <c r="AH4"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4" s="104">
        <v>0</v>
      </c>
      <c r="AJ4" s="105">
        <v>0</v>
      </c>
      <c r="AK4" s="27" t="str">
        <f>IFERROR((TABLA_AVANCE_INDICADORES[[#This Row],[AVANCE 4°. TRIM]]/TABLA_AVANCE_INDICADORES[[#This Row],[PROGR. 4° TRIM]])*100,"0")</f>
        <v>0</v>
      </c>
      <c r="AL4"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NO PROG.</v>
      </c>
      <c r="AM4"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4"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4" s="27" t="str">
        <f>IFERROR((TABLA_AVANCE_INDICADORES[[#This Row],[AVANCE ACUM. TRIM.]]/TABLA_AVANCE_INDICADORES[[#This Row],[PROG. ACUM]])*100,"N/A")</f>
        <v>N/A</v>
      </c>
      <c r="AP4"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4" s="106">
        <f>TABLA_AVANCE_INDICADORES[[#This Row],[AVANCE ACUM. TRIM.]]-TABLA_AVANCE_INDICADORES[[#This Row],[PROG. ACUM]]</f>
        <v>0</v>
      </c>
      <c r="AR4" s="32" t="str">
        <f>IFERROR((TABLA_AVANCE_INDICADORES[[#This Row],[DIFERENCIA ABSOLUTA SEMESTRAL]]/TABLA_AVANCE_INDICADORES[[#This Row],[PROG. ACUM]])*100,"N/A")</f>
        <v>N/A</v>
      </c>
      <c r="AS4"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4" s="27" t="str">
        <f>IFERROR((TABLA_AVANCE_INDICADORES[[#This Row],[AVANCE ACUM. ANUAL]]/TABLA_AVANCE_INDICADORES[[#This Row],[PROGRAMADO ANUAL]])*100,"N/A")</f>
        <v>N/A</v>
      </c>
      <c r="AU4"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NO PROG.</v>
      </c>
      <c r="AV4" s="106">
        <f>TABLA_AVANCE_INDICADORES[[#This Row],[AVANCE ACUM. ANUAL]]-TABLA_AVANCE_INDICADORES[[#This Row],[PROGRAMADO ANUAL]]</f>
        <v>0</v>
      </c>
      <c r="AW4" s="32" t="str">
        <f>IFERROR((TABLA_AVANCE_INDICADORES[[#This Row],[DIFERENCIA ABSOLUTA ANUAL]]/TABLA_AVANCE_INDICADORES[[#This Row],[PROGRAMADO ANUAL]])*100,"N/A")</f>
        <v>N/A</v>
      </c>
      <c r="AX4" s="108"/>
      <c r="AY4" s="35"/>
      <c r="AZ4" s="36"/>
      <c r="BA4" s="36"/>
      <c r="BB4"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5" spans="1:54" ht="63" hidden="1" customHeight="1" x14ac:dyDescent="0.35">
      <c r="A5" s="19" t="s">
        <v>729</v>
      </c>
      <c r="B5" s="99" t="s">
        <v>610</v>
      </c>
      <c r="C5" s="20" t="s">
        <v>611</v>
      </c>
      <c r="D5" s="100" t="s">
        <v>612</v>
      </c>
      <c r="E5" s="20" t="s">
        <v>613</v>
      </c>
      <c r="F5" s="101" t="s">
        <v>614</v>
      </c>
      <c r="G5" s="80" t="s">
        <v>615</v>
      </c>
      <c r="H5" s="80" t="s">
        <v>721</v>
      </c>
      <c r="I5" s="22" t="s">
        <v>722</v>
      </c>
      <c r="J5" s="22" t="s">
        <v>616</v>
      </c>
      <c r="K5" s="80" t="s">
        <v>617</v>
      </c>
      <c r="L5" s="22" t="s">
        <v>618</v>
      </c>
      <c r="M5" s="80" t="s">
        <v>619</v>
      </c>
      <c r="N5" s="21">
        <v>2</v>
      </c>
      <c r="O5" s="21" t="s">
        <v>723</v>
      </c>
      <c r="P5" s="110" t="s">
        <v>724</v>
      </c>
      <c r="Q5" s="110" t="s">
        <v>730</v>
      </c>
      <c r="R5" s="110" t="s">
        <v>726</v>
      </c>
      <c r="S5" s="42" t="s">
        <v>731</v>
      </c>
      <c r="T5" s="42" t="s">
        <v>727</v>
      </c>
      <c r="U5" s="42" t="s">
        <v>728</v>
      </c>
      <c r="V5" s="24">
        <v>0</v>
      </c>
      <c r="W5" s="24">
        <v>0</v>
      </c>
      <c r="X5" s="103">
        <v>0</v>
      </c>
      <c r="Y5" s="25" t="str">
        <f>IFERROR((TABLA_AVANCE_INDICADORES[[#This Row],[AVANCE 1°. TRIM]]/TABLA_AVANCE_INDICADORES[[#This Row],[PROGR. 1° TRIM]])*100,"0")</f>
        <v>0</v>
      </c>
      <c r="Z5"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5" s="104">
        <v>0</v>
      </c>
      <c r="AB5" s="105">
        <v>0</v>
      </c>
      <c r="AC5" s="27" t="str">
        <f t="shared" si="0"/>
        <v>0</v>
      </c>
      <c r="AD5" s="26" t="str">
        <f t="shared" si="1"/>
        <v>NO PROG.</v>
      </c>
      <c r="AE5" s="104">
        <v>0</v>
      </c>
      <c r="AF5" s="105">
        <v>0</v>
      </c>
      <c r="AG5" s="27" t="str">
        <f>IFERROR((TABLA_AVANCE_INDICADORES[[#This Row],[AVANCE 3°. TRIM]]/TABLA_AVANCE_INDICADORES[[#This Row],[PROGR. 3° TRIM]])*100,"0")</f>
        <v>0</v>
      </c>
      <c r="AH5"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5" s="104">
        <v>0</v>
      </c>
      <c r="AJ5" s="111">
        <v>0</v>
      </c>
      <c r="AK5" s="27" t="str">
        <f>IFERROR((TABLA_AVANCE_INDICADORES[[#This Row],[AVANCE 4°. TRIM]]/TABLA_AVANCE_INDICADORES[[#This Row],[PROGR. 4° TRIM]])*100,"0")</f>
        <v>0</v>
      </c>
      <c r="AL5"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NO PROG.</v>
      </c>
      <c r="AM5"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5"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5" s="27" t="str">
        <f>IFERROR((TABLA_AVANCE_INDICADORES[[#This Row],[AVANCE ACUM. TRIM.]]/TABLA_AVANCE_INDICADORES[[#This Row],[PROG. ACUM]])*100,"N/A")</f>
        <v>N/A</v>
      </c>
      <c r="AP5"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5" s="106">
        <f>TABLA_AVANCE_INDICADORES[[#This Row],[AVANCE ACUM. TRIM.]]-TABLA_AVANCE_INDICADORES[[#This Row],[PROG. ACUM]]</f>
        <v>0</v>
      </c>
      <c r="AR5" s="32" t="str">
        <f>IFERROR((TABLA_AVANCE_INDICADORES[[#This Row],[DIFERENCIA ABSOLUTA SEMESTRAL]]/TABLA_AVANCE_INDICADORES[[#This Row],[PROG. ACUM]])*100,"N/A")</f>
        <v>N/A</v>
      </c>
      <c r="AS5"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5" s="27" t="str">
        <f>IFERROR((TABLA_AVANCE_INDICADORES[[#This Row],[AVANCE ACUM. ANUAL]]/TABLA_AVANCE_INDICADORES[[#This Row],[PROGRAMADO ANUAL]])*100,"N/A")</f>
        <v>N/A</v>
      </c>
      <c r="AU5"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NO PROG.</v>
      </c>
      <c r="AV5" s="106">
        <f>TABLA_AVANCE_INDICADORES[[#This Row],[AVANCE ACUM. ANUAL]]-TABLA_AVANCE_INDICADORES[[#This Row],[PROGRAMADO ANUAL]]</f>
        <v>0</v>
      </c>
      <c r="AW5" s="32" t="str">
        <f>IFERROR((TABLA_AVANCE_INDICADORES[[#This Row],[DIFERENCIA ABSOLUTA ANUAL]]/TABLA_AVANCE_INDICADORES[[#This Row],[PROGRAMADO ANUAL]])*100,"N/A")</f>
        <v>N/A</v>
      </c>
      <c r="AX5" s="108"/>
      <c r="AY5" s="35"/>
      <c r="AZ5" s="36"/>
      <c r="BA5" s="36"/>
      <c r="BB5"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6" spans="1:54" ht="63" hidden="1" customHeight="1" x14ac:dyDescent="0.35">
      <c r="A6" s="19" t="s">
        <v>732</v>
      </c>
      <c r="B6" s="99" t="s">
        <v>610</v>
      </c>
      <c r="C6" s="20" t="s">
        <v>611</v>
      </c>
      <c r="D6" s="100" t="s">
        <v>612</v>
      </c>
      <c r="E6" s="20" t="s">
        <v>613</v>
      </c>
      <c r="F6" s="101" t="s">
        <v>614</v>
      </c>
      <c r="G6" s="80" t="s">
        <v>615</v>
      </c>
      <c r="H6" s="80" t="s">
        <v>721</v>
      </c>
      <c r="I6" s="22" t="s">
        <v>722</v>
      </c>
      <c r="J6" s="22" t="s">
        <v>616</v>
      </c>
      <c r="K6" s="80" t="s">
        <v>617</v>
      </c>
      <c r="L6" s="22" t="s">
        <v>618</v>
      </c>
      <c r="M6" s="80" t="s">
        <v>619</v>
      </c>
      <c r="N6" s="21">
        <v>1</v>
      </c>
      <c r="O6" s="21" t="s">
        <v>733</v>
      </c>
      <c r="P6" s="110" t="s">
        <v>734</v>
      </c>
      <c r="Q6" s="110" t="s">
        <v>735</v>
      </c>
      <c r="R6" s="110" t="s">
        <v>736</v>
      </c>
      <c r="S6" s="42" t="s">
        <v>737</v>
      </c>
      <c r="T6" s="42" t="s">
        <v>727</v>
      </c>
      <c r="U6" s="42" t="s">
        <v>738</v>
      </c>
      <c r="V6" s="24">
        <v>0</v>
      </c>
      <c r="W6" s="24">
        <v>0</v>
      </c>
      <c r="X6" s="103">
        <v>0</v>
      </c>
      <c r="Y6" s="25" t="str">
        <f>IFERROR((TABLA_AVANCE_INDICADORES[[#This Row],[AVANCE 1°. TRIM]]/TABLA_AVANCE_INDICADORES[[#This Row],[PROGR. 1° TRIM]])*100,"0")</f>
        <v>0</v>
      </c>
      <c r="Z6"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6" s="104">
        <v>0</v>
      </c>
      <c r="AB6" s="105">
        <v>0</v>
      </c>
      <c r="AC6" s="27" t="str">
        <f t="shared" si="0"/>
        <v>0</v>
      </c>
      <c r="AD6" s="26" t="str">
        <f t="shared" si="1"/>
        <v>NO PROG.</v>
      </c>
      <c r="AE6" s="104">
        <v>0</v>
      </c>
      <c r="AF6" s="105">
        <v>0</v>
      </c>
      <c r="AG6" s="27" t="str">
        <f>IFERROR((TABLA_AVANCE_INDICADORES[[#This Row],[AVANCE 3°. TRIM]]/TABLA_AVANCE_INDICADORES[[#This Row],[PROGR. 3° TRIM]])*100,"0")</f>
        <v>0</v>
      </c>
      <c r="AH6"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6" s="104">
        <v>0</v>
      </c>
      <c r="AJ6" s="105">
        <v>0</v>
      </c>
      <c r="AK6" s="27" t="str">
        <f>IFERROR((TABLA_AVANCE_INDICADORES[[#This Row],[AVANCE 4°. TRIM]]/TABLA_AVANCE_INDICADORES[[#This Row],[PROGR. 4° TRIM]])*100,"0")</f>
        <v>0</v>
      </c>
      <c r="AL6"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NO PROG.</v>
      </c>
      <c r="AM6"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6"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6" s="27" t="str">
        <f>IFERROR((TABLA_AVANCE_INDICADORES[[#This Row],[AVANCE ACUM. TRIM.]]/TABLA_AVANCE_INDICADORES[[#This Row],[PROG. ACUM]])*100,"N/A")</f>
        <v>N/A</v>
      </c>
      <c r="AP6"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6" s="106">
        <f>TABLA_AVANCE_INDICADORES[[#This Row],[AVANCE ACUM. TRIM.]]-TABLA_AVANCE_INDICADORES[[#This Row],[PROG. ACUM]]</f>
        <v>0</v>
      </c>
      <c r="AR6" s="32" t="str">
        <f>IFERROR((TABLA_AVANCE_INDICADORES[[#This Row],[DIFERENCIA ABSOLUTA SEMESTRAL]]/TABLA_AVANCE_INDICADORES[[#This Row],[PROG. ACUM]])*100,"N/A")</f>
        <v>N/A</v>
      </c>
      <c r="AS6"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6" s="27" t="str">
        <f>IFERROR((TABLA_AVANCE_INDICADORES[[#This Row],[AVANCE ACUM. ANUAL]]/TABLA_AVANCE_INDICADORES[[#This Row],[PROGRAMADO ANUAL]])*100,"N/A")</f>
        <v>N/A</v>
      </c>
      <c r="AU6"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NO PROG.</v>
      </c>
      <c r="AV6" s="106">
        <f>TABLA_AVANCE_INDICADORES[[#This Row],[AVANCE ACUM. ANUAL]]-TABLA_AVANCE_INDICADORES[[#This Row],[PROGRAMADO ANUAL]]</f>
        <v>0</v>
      </c>
      <c r="AW6" s="32" t="str">
        <f>IFERROR((TABLA_AVANCE_INDICADORES[[#This Row],[DIFERENCIA ABSOLUTA ANUAL]]/TABLA_AVANCE_INDICADORES[[#This Row],[PROGRAMADO ANUAL]])*100,"N/A")</f>
        <v>N/A</v>
      </c>
      <c r="AX6" s="108"/>
      <c r="AY6" s="35"/>
      <c r="AZ6" s="36"/>
      <c r="BA6" s="36"/>
      <c r="BB6"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7" spans="1:54" ht="63" hidden="1" customHeight="1" x14ac:dyDescent="0.35">
      <c r="A7" s="19" t="s">
        <v>739</v>
      </c>
      <c r="B7" s="99" t="s">
        <v>610</v>
      </c>
      <c r="C7" s="20" t="s">
        <v>611</v>
      </c>
      <c r="D7" s="100" t="s">
        <v>612</v>
      </c>
      <c r="E7" s="20" t="s">
        <v>613</v>
      </c>
      <c r="F7" s="101" t="s">
        <v>614</v>
      </c>
      <c r="G7" s="80" t="s">
        <v>615</v>
      </c>
      <c r="H7" s="80" t="s">
        <v>721</v>
      </c>
      <c r="I7" s="22" t="s">
        <v>722</v>
      </c>
      <c r="J7" s="22" t="s">
        <v>616</v>
      </c>
      <c r="K7" s="80" t="s">
        <v>617</v>
      </c>
      <c r="L7" s="22" t="s">
        <v>618</v>
      </c>
      <c r="M7" s="80" t="s">
        <v>619</v>
      </c>
      <c r="N7" s="21">
        <v>2</v>
      </c>
      <c r="O7" s="21" t="s">
        <v>733</v>
      </c>
      <c r="P7" s="110" t="s">
        <v>734</v>
      </c>
      <c r="Q7" s="110" t="s">
        <v>740</v>
      </c>
      <c r="R7" s="110" t="s">
        <v>736</v>
      </c>
      <c r="S7" s="42" t="s">
        <v>731</v>
      </c>
      <c r="T7" s="42" t="s">
        <v>727</v>
      </c>
      <c r="U7" s="42" t="s">
        <v>738</v>
      </c>
      <c r="V7" s="24">
        <v>0</v>
      </c>
      <c r="W7" s="24">
        <v>0</v>
      </c>
      <c r="X7" s="103">
        <v>0</v>
      </c>
      <c r="Y7" s="25" t="str">
        <f>IFERROR((TABLA_AVANCE_INDICADORES[[#This Row],[AVANCE 1°. TRIM]]/TABLA_AVANCE_INDICADORES[[#This Row],[PROGR. 1° TRIM]])*100,"0")</f>
        <v>0</v>
      </c>
      <c r="Z7"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7" s="104">
        <v>0</v>
      </c>
      <c r="AB7" s="105">
        <v>0</v>
      </c>
      <c r="AC7" s="27" t="str">
        <f t="shared" si="0"/>
        <v>0</v>
      </c>
      <c r="AD7" s="26" t="str">
        <f t="shared" si="1"/>
        <v>NO PROG.</v>
      </c>
      <c r="AE7" s="104">
        <v>0</v>
      </c>
      <c r="AF7" s="105">
        <v>0</v>
      </c>
      <c r="AG7" s="27" t="str">
        <f>IFERROR((TABLA_AVANCE_INDICADORES[[#This Row],[AVANCE 3°. TRIM]]/TABLA_AVANCE_INDICADORES[[#This Row],[PROGR. 3° TRIM]])*100,"0")</f>
        <v>0</v>
      </c>
      <c r="AH7"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7" s="104">
        <v>0</v>
      </c>
      <c r="AJ7" s="105">
        <v>0</v>
      </c>
      <c r="AK7" s="27" t="str">
        <f>IFERROR((TABLA_AVANCE_INDICADORES[[#This Row],[AVANCE 4°. TRIM]]/TABLA_AVANCE_INDICADORES[[#This Row],[PROGR. 4° TRIM]])*100,"0")</f>
        <v>0</v>
      </c>
      <c r="AL7"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NO PROG.</v>
      </c>
      <c r="AM7"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7"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7" s="27" t="str">
        <f>IFERROR((TABLA_AVANCE_INDICADORES[[#This Row],[AVANCE ACUM. TRIM.]]/TABLA_AVANCE_INDICADORES[[#This Row],[PROG. ACUM]])*100,"N/A")</f>
        <v>N/A</v>
      </c>
      <c r="AP7"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7" s="106">
        <f>TABLA_AVANCE_INDICADORES[[#This Row],[AVANCE ACUM. TRIM.]]-TABLA_AVANCE_INDICADORES[[#This Row],[PROG. ACUM]]</f>
        <v>0</v>
      </c>
      <c r="AR7" s="32" t="str">
        <f>IFERROR((TABLA_AVANCE_INDICADORES[[#This Row],[DIFERENCIA ABSOLUTA SEMESTRAL]]/TABLA_AVANCE_INDICADORES[[#This Row],[PROG. ACUM]])*100,"N/A")</f>
        <v>N/A</v>
      </c>
      <c r="AS7"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7" s="27" t="str">
        <f>IFERROR((TABLA_AVANCE_INDICADORES[[#This Row],[AVANCE ACUM. ANUAL]]/TABLA_AVANCE_INDICADORES[[#This Row],[PROGRAMADO ANUAL]])*100,"N/A")</f>
        <v>N/A</v>
      </c>
      <c r="AU7"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NO PROG.</v>
      </c>
      <c r="AV7" s="106">
        <f>TABLA_AVANCE_INDICADORES[[#This Row],[AVANCE ACUM. ANUAL]]-TABLA_AVANCE_INDICADORES[[#This Row],[PROGRAMADO ANUAL]]</f>
        <v>0</v>
      </c>
      <c r="AW7" s="32" t="str">
        <f>IFERROR((TABLA_AVANCE_INDICADORES[[#This Row],[DIFERENCIA ABSOLUTA ANUAL]]/TABLA_AVANCE_INDICADORES[[#This Row],[PROGRAMADO ANUAL]])*100,"N/A")</f>
        <v>N/A</v>
      </c>
      <c r="AX7" s="108"/>
      <c r="AY7" s="35"/>
      <c r="AZ7" s="36"/>
      <c r="BA7" s="36"/>
      <c r="BB7"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8" spans="1:54" ht="63" hidden="1" customHeight="1" x14ac:dyDescent="0.35">
      <c r="A8" s="19" t="s">
        <v>741</v>
      </c>
      <c r="B8" s="99" t="s">
        <v>610</v>
      </c>
      <c r="C8" s="20" t="s">
        <v>611</v>
      </c>
      <c r="D8" s="100" t="s">
        <v>612</v>
      </c>
      <c r="E8" s="20" t="s">
        <v>613</v>
      </c>
      <c r="F8" s="101" t="s">
        <v>614</v>
      </c>
      <c r="G8" s="80" t="s">
        <v>615</v>
      </c>
      <c r="H8" s="80" t="s">
        <v>721</v>
      </c>
      <c r="I8" s="22" t="s">
        <v>722</v>
      </c>
      <c r="J8" s="22" t="s">
        <v>616</v>
      </c>
      <c r="K8" s="80" t="s">
        <v>617</v>
      </c>
      <c r="L8" s="22" t="s">
        <v>618</v>
      </c>
      <c r="M8" s="80" t="s">
        <v>619</v>
      </c>
      <c r="N8" s="21">
        <v>1</v>
      </c>
      <c r="O8" s="21" t="s">
        <v>742</v>
      </c>
      <c r="P8" s="110" t="s">
        <v>743</v>
      </c>
      <c r="Q8" s="110" t="s">
        <v>744</v>
      </c>
      <c r="R8" s="110" t="s">
        <v>745</v>
      </c>
      <c r="S8" s="42" t="s">
        <v>731</v>
      </c>
      <c r="T8" s="42" t="s">
        <v>727</v>
      </c>
      <c r="U8" s="42" t="s">
        <v>746</v>
      </c>
      <c r="V8" s="24">
        <v>60</v>
      </c>
      <c r="W8" s="24">
        <v>0</v>
      </c>
      <c r="X8" s="103">
        <v>0</v>
      </c>
      <c r="Y8" s="25" t="str">
        <f>IFERROR((TABLA_AVANCE_INDICADORES[[#This Row],[AVANCE 1°. TRIM]]/TABLA_AVANCE_INDICADORES[[#This Row],[PROGR. 1° TRIM]])*100,"0")</f>
        <v>0</v>
      </c>
      <c r="Z8"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8" s="104">
        <v>30</v>
      </c>
      <c r="AB8" s="105">
        <v>30</v>
      </c>
      <c r="AC8" s="27">
        <f t="shared" si="0"/>
        <v>100</v>
      </c>
      <c r="AD8" s="26" t="str">
        <f t="shared" si="1"/>
        <v>ADECUADO</v>
      </c>
      <c r="AE8" s="104">
        <v>0</v>
      </c>
      <c r="AF8" s="105">
        <v>0</v>
      </c>
      <c r="AG8" s="27" t="str">
        <f>IFERROR((TABLA_AVANCE_INDICADORES[[#This Row],[AVANCE 3°. TRIM]]/TABLA_AVANCE_INDICADORES[[#This Row],[PROGR. 3° TRIM]])*100,"0")</f>
        <v>0</v>
      </c>
      <c r="AH8"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8" s="104">
        <v>30</v>
      </c>
      <c r="AJ8" s="105">
        <v>0</v>
      </c>
      <c r="AK8" s="27">
        <f>IFERROR((TABLA_AVANCE_INDICADORES[[#This Row],[AVANCE 4°. TRIM]]/TABLA_AVANCE_INDICADORES[[#This Row],[PROGR. 4° TRIM]])*100,"0")</f>
        <v>0</v>
      </c>
      <c r="AL8"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8"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30</v>
      </c>
      <c r="AN8"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30</v>
      </c>
      <c r="AO8" s="27">
        <f>IFERROR((TABLA_AVANCE_INDICADORES[[#This Row],[AVANCE ACUM. TRIM.]]/TABLA_AVANCE_INDICADORES[[#This Row],[PROG. ACUM]])*100,"N/A")</f>
        <v>100</v>
      </c>
      <c r="AP8"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8" s="106">
        <f>TABLA_AVANCE_INDICADORES[[#This Row],[AVANCE ACUM. TRIM.]]-TABLA_AVANCE_INDICADORES[[#This Row],[PROG. ACUM]]</f>
        <v>0</v>
      </c>
      <c r="AR8" s="32">
        <f>IFERROR((TABLA_AVANCE_INDICADORES[[#This Row],[DIFERENCIA ABSOLUTA SEMESTRAL]]/TABLA_AVANCE_INDICADORES[[#This Row],[PROG. ACUM]])*100,"N/A")</f>
        <v>0</v>
      </c>
      <c r="AS8"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30</v>
      </c>
      <c r="AT8" s="27">
        <f>IFERROR((TABLA_AVANCE_INDICADORES[[#This Row],[AVANCE ACUM. ANUAL]]/TABLA_AVANCE_INDICADORES[[#This Row],[PROGRAMADO ANUAL]])*100,"N/A")</f>
        <v>50</v>
      </c>
      <c r="AU8"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8" s="106">
        <f>TABLA_AVANCE_INDICADORES[[#This Row],[AVANCE ACUM. ANUAL]]-TABLA_AVANCE_INDICADORES[[#This Row],[PROGRAMADO ANUAL]]</f>
        <v>-30</v>
      </c>
      <c r="AW8" s="32">
        <f>IFERROR((TABLA_AVANCE_INDICADORES[[#This Row],[DIFERENCIA ABSOLUTA ANUAL]]/TABLA_AVANCE_INDICADORES[[#This Row],[PROGRAMADO ANUAL]])*100,"N/A")</f>
        <v>-50</v>
      </c>
      <c r="AX8" s="108"/>
      <c r="AY8" s="35"/>
      <c r="AZ8" s="36"/>
      <c r="BA8" s="36"/>
      <c r="BB8"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9" spans="1:54" ht="63" hidden="1" customHeight="1" x14ac:dyDescent="0.35">
      <c r="A9" s="19" t="s">
        <v>747</v>
      </c>
      <c r="B9" s="99" t="s">
        <v>610</v>
      </c>
      <c r="C9" s="20" t="s">
        <v>611</v>
      </c>
      <c r="D9" s="100" t="s">
        <v>612</v>
      </c>
      <c r="E9" s="20" t="s">
        <v>613</v>
      </c>
      <c r="F9" s="101" t="s">
        <v>614</v>
      </c>
      <c r="G9" s="80" t="s">
        <v>615</v>
      </c>
      <c r="H9" s="80" t="s">
        <v>721</v>
      </c>
      <c r="I9" s="22" t="s">
        <v>722</v>
      </c>
      <c r="J9" s="22" t="s">
        <v>616</v>
      </c>
      <c r="K9" s="80" t="s">
        <v>617</v>
      </c>
      <c r="L9" s="22" t="s">
        <v>618</v>
      </c>
      <c r="M9" s="80" t="s">
        <v>619</v>
      </c>
      <c r="N9" s="21">
        <v>2</v>
      </c>
      <c r="O9" s="21" t="s">
        <v>742</v>
      </c>
      <c r="P9" s="110" t="s">
        <v>743</v>
      </c>
      <c r="Q9" s="110" t="s">
        <v>748</v>
      </c>
      <c r="R9" s="110" t="s">
        <v>745</v>
      </c>
      <c r="S9" s="42" t="s">
        <v>731</v>
      </c>
      <c r="T9" s="42" t="s">
        <v>727</v>
      </c>
      <c r="U9" s="42" t="s">
        <v>746</v>
      </c>
      <c r="V9" s="24">
        <v>60</v>
      </c>
      <c r="W9" s="24">
        <v>0</v>
      </c>
      <c r="X9" s="112">
        <v>0</v>
      </c>
      <c r="Y9" s="25" t="str">
        <f>IFERROR((TABLA_AVANCE_INDICADORES[[#This Row],[AVANCE 1°. TRIM]]/TABLA_AVANCE_INDICADORES[[#This Row],[PROGR. 1° TRIM]])*100,"0")</f>
        <v>0</v>
      </c>
      <c r="Z9"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9" s="104">
        <v>30</v>
      </c>
      <c r="AB9" s="113">
        <v>30</v>
      </c>
      <c r="AC9" s="27">
        <f t="shared" si="0"/>
        <v>100</v>
      </c>
      <c r="AD9" s="26" t="str">
        <f t="shared" si="1"/>
        <v>ADECUADO</v>
      </c>
      <c r="AE9" s="104">
        <v>0</v>
      </c>
      <c r="AF9" s="113">
        <f>AE9</f>
        <v>0</v>
      </c>
      <c r="AG9" s="27" t="str">
        <f>IFERROR((TABLA_AVANCE_INDICADORES[[#This Row],[AVANCE 3°. TRIM]]/TABLA_AVANCE_INDICADORES[[#This Row],[PROGR. 3° TRIM]])*100,"0")</f>
        <v>0</v>
      </c>
      <c r="AH9"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9" s="104">
        <v>30</v>
      </c>
      <c r="AJ9" s="113">
        <f>AI9</f>
        <v>30</v>
      </c>
      <c r="AK9" s="27">
        <f>IFERROR((TABLA_AVANCE_INDICADORES[[#This Row],[AVANCE 4°. TRIM]]/TABLA_AVANCE_INDICADORES[[#This Row],[PROGR. 4° TRIM]])*100,"0")</f>
        <v>100</v>
      </c>
      <c r="AL9"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9"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30</v>
      </c>
      <c r="AN9"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30</v>
      </c>
      <c r="AO9" s="27">
        <f>IFERROR((TABLA_AVANCE_INDICADORES[[#This Row],[AVANCE ACUM. TRIM.]]/TABLA_AVANCE_INDICADORES[[#This Row],[PROG. ACUM]])*100,"N/A")</f>
        <v>100</v>
      </c>
      <c r="AP9"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9" s="106">
        <f>TABLA_AVANCE_INDICADORES[[#This Row],[AVANCE ACUM. TRIM.]]-TABLA_AVANCE_INDICADORES[[#This Row],[PROG. ACUM]]</f>
        <v>0</v>
      </c>
      <c r="AR9" s="32">
        <f>IFERROR((TABLA_AVANCE_INDICADORES[[#This Row],[DIFERENCIA ABSOLUTA SEMESTRAL]]/TABLA_AVANCE_INDICADORES[[#This Row],[PROG. ACUM]])*100,"N/A")</f>
        <v>0</v>
      </c>
      <c r="AS9"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30</v>
      </c>
      <c r="AT9" s="27">
        <f>IFERROR((TABLA_AVANCE_INDICADORES[[#This Row],[AVANCE ACUM. ANUAL]]/TABLA_AVANCE_INDICADORES[[#This Row],[PROGRAMADO ANUAL]])*100,"N/A")</f>
        <v>50</v>
      </c>
      <c r="AU9"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9" s="106">
        <f>TABLA_AVANCE_INDICADORES[[#This Row],[AVANCE ACUM. ANUAL]]-TABLA_AVANCE_INDICADORES[[#This Row],[PROGRAMADO ANUAL]]</f>
        <v>-30</v>
      </c>
      <c r="AW9" s="32">
        <f>IFERROR((TABLA_AVANCE_INDICADORES[[#This Row],[DIFERENCIA ABSOLUTA ANUAL]]/TABLA_AVANCE_INDICADORES[[#This Row],[PROGRAMADO ANUAL]])*100,"N/A")</f>
        <v>-50</v>
      </c>
      <c r="AX9" s="108"/>
      <c r="AY9" s="35"/>
      <c r="AZ9" s="36"/>
      <c r="BA9" s="36"/>
      <c r="BB9"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0" spans="1:54" ht="63" hidden="1" customHeight="1" x14ac:dyDescent="0.35">
      <c r="A10" s="19" t="s">
        <v>749</v>
      </c>
      <c r="B10" s="99" t="s">
        <v>610</v>
      </c>
      <c r="C10" s="20" t="s">
        <v>611</v>
      </c>
      <c r="D10" s="100" t="s">
        <v>612</v>
      </c>
      <c r="E10" s="20" t="s">
        <v>613</v>
      </c>
      <c r="F10" s="101" t="s">
        <v>614</v>
      </c>
      <c r="G10" s="80" t="s">
        <v>615</v>
      </c>
      <c r="H10" s="80" t="s">
        <v>721</v>
      </c>
      <c r="I10" s="22" t="s">
        <v>722</v>
      </c>
      <c r="J10" s="22" t="s">
        <v>616</v>
      </c>
      <c r="K10" s="80" t="s">
        <v>617</v>
      </c>
      <c r="L10" s="22" t="s">
        <v>618</v>
      </c>
      <c r="M10" s="80" t="s">
        <v>619</v>
      </c>
      <c r="N10" s="21">
        <v>1</v>
      </c>
      <c r="O10" s="21" t="s">
        <v>750</v>
      </c>
      <c r="P10" s="110" t="s">
        <v>751</v>
      </c>
      <c r="Q10" s="110" t="s">
        <v>752</v>
      </c>
      <c r="R10" s="110" t="s">
        <v>753</v>
      </c>
      <c r="S10" s="42" t="s">
        <v>203</v>
      </c>
      <c r="T10" s="42" t="s">
        <v>727</v>
      </c>
      <c r="U10" s="42" t="s">
        <v>754</v>
      </c>
      <c r="V10" s="24">
        <v>10</v>
      </c>
      <c r="W10" s="24">
        <v>3</v>
      </c>
      <c r="X10" s="103">
        <v>3</v>
      </c>
      <c r="Y10" s="25">
        <f>IFERROR((TABLA_AVANCE_INDICADORES[[#This Row],[AVANCE 1°. TRIM]]/TABLA_AVANCE_INDICADORES[[#This Row],[PROGR. 1° TRIM]])*100,"0")</f>
        <v>100</v>
      </c>
      <c r="Z10"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0" s="104">
        <v>2</v>
      </c>
      <c r="AB10" s="105">
        <v>2</v>
      </c>
      <c r="AC10" s="27">
        <f t="shared" si="0"/>
        <v>100</v>
      </c>
      <c r="AD10" s="26" t="str">
        <f t="shared" si="1"/>
        <v>ADECUADO</v>
      </c>
      <c r="AE10" s="104">
        <v>3</v>
      </c>
      <c r="AF10" s="105">
        <v>0</v>
      </c>
      <c r="AG10" s="27">
        <f>IFERROR((TABLA_AVANCE_INDICADORES[[#This Row],[AVANCE 3°. TRIM]]/TABLA_AVANCE_INDICADORES[[#This Row],[PROGR. 3° TRIM]])*100,"0")</f>
        <v>0</v>
      </c>
      <c r="AH10"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0" s="104">
        <v>2</v>
      </c>
      <c r="AJ10" s="105">
        <v>0</v>
      </c>
      <c r="AK10" s="27">
        <f>IFERROR((TABLA_AVANCE_INDICADORES[[#This Row],[AVANCE 4°. TRIM]]/TABLA_AVANCE_INDICADORES[[#This Row],[PROGR. 4° TRIM]])*100,"0")</f>
        <v>0</v>
      </c>
      <c r="AL10"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0"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5</v>
      </c>
      <c r="AN10"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5</v>
      </c>
      <c r="AO10" s="27">
        <f>IFERROR((TABLA_AVANCE_INDICADORES[[#This Row],[AVANCE ACUM. TRIM.]]/TABLA_AVANCE_INDICADORES[[#This Row],[PROG. ACUM]])*100,"N/A")</f>
        <v>100</v>
      </c>
      <c r="AP10"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0" s="106">
        <f>TABLA_AVANCE_INDICADORES[[#This Row],[AVANCE ACUM. TRIM.]]-TABLA_AVANCE_INDICADORES[[#This Row],[PROG. ACUM]]</f>
        <v>0</v>
      </c>
      <c r="AR10" s="32">
        <f>IFERROR((TABLA_AVANCE_INDICADORES[[#This Row],[DIFERENCIA ABSOLUTA SEMESTRAL]]/TABLA_AVANCE_INDICADORES[[#This Row],[PROG. ACUM]])*100,"N/A")</f>
        <v>0</v>
      </c>
      <c r="AS10"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5</v>
      </c>
      <c r="AT10" s="27">
        <f>IFERROR((TABLA_AVANCE_INDICADORES[[#This Row],[AVANCE ACUM. ANUAL]]/TABLA_AVANCE_INDICADORES[[#This Row],[PROGRAMADO ANUAL]])*100,"N/A")</f>
        <v>50</v>
      </c>
      <c r="AU10"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0" s="106">
        <f>TABLA_AVANCE_INDICADORES[[#This Row],[AVANCE ACUM. ANUAL]]-TABLA_AVANCE_INDICADORES[[#This Row],[PROGRAMADO ANUAL]]</f>
        <v>-5</v>
      </c>
      <c r="AW10" s="32">
        <f>IFERROR((TABLA_AVANCE_INDICADORES[[#This Row],[DIFERENCIA ABSOLUTA ANUAL]]/TABLA_AVANCE_INDICADORES[[#This Row],[PROGRAMADO ANUAL]])*100,"N/A")</f>
        <v>-50</v>
      </c>
      <c r="AX10" s="108"/>
      <c r="AY10" s="35"/>
      <c r="AZ10" s="36"/>
      <c r="BA10" s="36"/>
      <c r="BB10"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1" spans="1:54" ht="63" hidden="1" customHeight="1" x14ac:dyDescent="0.35">
      <c r="A11" s="19" t="s">
        <v>755</v>
      </c>
      <c r="B11" s="99" t="s">
        <v>610</v>
      </c>
      <c r="C11" s="20" t="s">
        <v>611</v>
      </c>
      <c r="D11" s="100" t="s">
        <v>612</v>
      </c>
      <c r="E11" s="20" t="s">
        <v>613</v>
      </c>
      <c r="F11" s="101" t="s">
        <v>614</v>
      </c>
      <c r="G11" s="80" t="s">
        <v>615</v>
      </c>
      <c r="H11" s="80" t="s">
        <v>721</v>
      </c>
      <c r="I11" s="22" t="s">
        <v>722</v>
      </c>
      <c r="J11" s="22" t="s">
        <v>616</v>
      </c>
      <c r="K11" s="80" t="s">
        <v>617</v>
      </c>
      <c r="L11" s="22" t="s">
        <v>618</v>
      </c>
      <c r="M11" s="80" t="s">
        <v>619</v>
      </c>
      <c r="N11" s="21">
        <v>2</v>
      </c>
      <c r="O11" s="21" t="s">
        <v>750</v>
      </c>
      <c r="P11" s="102" t="s">
        <v>751</v>
      </c>
      <c r="Q11" s="102" t="s">
        <v>756</v>
      </c>
      <c r="R11" s="102" t="s">
        <v>753</v>
      </c>
      <c r="S11" s="42" t="s">
        <v>203</v>
      </c>
      <c r="T11" s="42" t="s">
        <v>727</v>
      </c>
      <c r="U11" s="42" t="s">
        <v>754</v>
      </c>
      <c r="V11" s="24">
        <v>10</v>
      </c>
      <c r="W11" s="24">
        <v>3</v>
      </c>
      <c r="X11" s="103">
        <v>3</v>
      </c>
      <c r="Y11" s="25">
        <f>IFERROR((TABLA_AVANCE_INDICADORES[[#This Row],[AVANCE 1°. TRIM]]/TABLA_AVANCE_INDICADORES[[#This Row],[PROGR. 1° TRIM]])*100,"0")</f>
        <v>100</v>
      </c>
      <c r="Z11"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1" s="104">
        <v>2</v>
      </c>
      <c r="AB11" s="105">
        <v>2</v>
      </c>
      <c r="AC11" s="27">
        <f t="shared" si="0"/>
        <v>100</v>
      </c>
      <c r="AD11" s="26" t="str">
        <f t="shared" si="1"/>
        <v>ADECUADO</v>
      </c>
      <c r="AE11" s="104">
        <v>3</v>
      </c>
      <c r="AF11" s="105">
        <v>0</v>
      </c>
      <c r="AG11" s="27">
        <f>IFERROR((TABLA_AVANCE_INDICADORES[[#This Row],[AVANCE 3°. TRIM]]/TABLA_AVANCE_INDICADORES[[#This Row],[PROGR. 3° TRIM]])*100,"0")</f>
        <v>0</v>
      </c>
      <c r="AH11"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1" s="104">
        <v>2</v>
      </c>
      <c r="AJ11" s="105">
        <v>0</v>
      </c>
      <c r="AK11" s="27">
        <f>IFERROR((TABLA_AVANCE_INDICADORES[[#This Row],[AVANCE 4°. TRIM]]/TABLA_AVANCE_INDICADORES[[#This Row],[PROGR. 4° TRIM]])*100,"0")</f>
        <v>0</v>
      </c>
      <c r="AL11"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1"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5</v>
      </c>
      <c r="AN11"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5</v>
      </c>
      <c r="AO11" s="27">
        <f>IFERROR((TABLA_AVANCE_INDICADORES[[#This Row],[AVANCE ACUM. TRIM.]]/TABLA_AVANCE_INDICADORES[[#This Row],[PROG. ACUM]])*100,"N/A")</f>
        <v>100</v>
      </c>
      <c r="AP11"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1" s="106">
        <f>TABLA_AVANCE_INDICADORES[[#This Row],[AVANCE ACUM. TRIM.]]-TABLA_AVANCE_INDICADORES[[#This Row],[PROG. ACUM]]</f>
        <v>0</v>
      </c>
      <c r="AR11" s="32">
        <f>IFERROR((TABLA_AVANCE_INDICADORES[[#This Row],[DIFERENCIA ABSOLUTA SEMESTRAL]]/TABLA_AVANCE_INDICADORES[[#This Row],[PROG. ACUM]])*100,"N/A")</f>
        <v>0</v>
      </c>
      <c r="AS11"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5</v>
      </c>
      <c r="AT11" s="27">
        <f>IFERROR((TABLA_AVANCE_INDICADORES[[#This Row],[AVANCE ACUM. ANUAL]]/TABLA_AVANCE_INDICADORES[[#This Row],[PROGRAMADO ANUAL]])*100,"N/A")</f>
        <v>50</v>
      </c>
      <c r="AU11"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1" s="106">
        <f>TABLA_AVANCE_INDICADORES[[#This Row],[AVANCE ACUM. ANUAL]]-TABLA_AVANCE_INDICADORES[[#This Row],[PROGRAMADO ANUAL]]</f>
        <v>-5</v>
      </c>
      <c r="AW11" s="32">
        <f>IFERROR((TABLA_AVANCE_INDICADORES[[#This Row],[DIFERENCIA ABSOLUTA ANUAL]]/TABLA_AVANCE_INDICADORES[[#This Row],[PROGRAMADO ANUAL]])*100,"N/A")</f>
        <v>-50</v>
      </c>
      <c r="AX11" s="108"/>
      <c r="AY11" s="35"/>
      <c r="AZ11" s="36"/>
      <c r="BA11" s="36"/>
      <c r="BB11"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2" spans="1:54" ht="63" hidden="1" customHeight="1" x14ac:dyDescent="0.35">
      <c r="A12" s="19" t="s">
        <v>757</v>
      </c>
      <c r="B12" s="99" t="s">
        <v>610</v>
      </c>
      <c r="C12" s="20" t="s">
        <v>611</v>
      </c>
      <c r="D12" s="100" t="s">
        <v>612</v>
      </c>
      <c r="E12" s="20" t="s">
        <v>613</v>
      </c>
      <c r="F12" s="101" t="s">
        <v>614</v>
      </c>
      <c r="G12" s="80" t="s">
        <v>615</v>
      </c>
      <c r="H12" s="80" t="s">
        <v>721</v>
      </c>
      <c r="I12" s="22" t="s">
        <v>722</v>
      </c>
      <c r="J12" s="22" t="s">
        <v>616</v>
      </c>
      <c r="K12" s="80" t="s">
        <v>617</v>
      </c>
      <c r="L12" s="22" t="s">
        <v>618</v>
      </c>
      <c r="M12" s="80" t="s">
        <v>619</v>
      </c>
      <c r="N12" s="21">
        <v>1</v>
      </c>
      <c r="O12" s="21" t="s">
        <v>758</v>
      </c>
      <c r="P12" s="102" t="s">
        <v>759</v>
      </c>
      <c r="Q12" s="102" t="s">
        <v>760</v>
      </c>
      <c r="R12" s="102" t="s">
        <v>761</v>
      </c>
      <c r="S12" s="42" t="s">
        <v>203</v>
      </c>
      <c r="T12" s="42" t="s">
        <v>727</v>
      </c>
      <c r="U12" s="42" t="s">
        <v>754</v>
      </c>
      <c r="V12" s="24">
        <v>10</v>
      </c>
      <c r="W12" s="24">
        <v>3</v>
      </c>
      <c r="X12" s="103">
        <v>3</v>
      </c>
      <c r="Y12" s="25">
        <f>IFERROR((TABLA_AVANCE_INDICADORES[[#This Row],[AVANCE 1°. TRIM]]/TABLA_AVANCE_INDICADORES[[#This Row],[PROGR. 1° TRIM]])*100,"0")</f>
        <v>100</v>
      </c>
      <c r="Z12"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2" s="104">
        <v>2</v>
      </c>
      <c r="AB12" s="105">
        <v>2</v>
      </c>
      <c r="AC12" s="27">
        <f t="shared" si="0"/>
        <v>100</v>
      </c>
      <c r="AD12" s="26" t="str">
        <f t="shared" si="1"/>
        <v>ADECUADO</v>
      </c>
      <c r="AE12" s="104">
        <v>3</v>
      </c>
      <c r="AF12" s="105">
        <v>0</v>
      </c>
      <c r="AG12" s="27">
        <f>IFERROR((TABLA_AVANCE_INDICADORES[[#This Row],[AVANCE 3°. TRIM]]/TABLA_AVANCE_INDICADORES[[#This Row],[PROGR. 3° TRIM]])*100,"0")</f>
        <v>0</v>
      </c>
      <c r="AH12"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2" s="104">
        <v>2</v>
      </c>
      <c r="AJ12" s="105">
        <v>0</v>
      </c>
      <c r="AK12" s="27">
        <f>IFERROR((TABLA_AVANCE_INDICADORES[[#This Row],[AVANCE 4°. TRIM]]/TABLA_AVANCE_INDICADORES[[#This Row],[PROGR. 4° TRIM]])*100,"0")</f>
        <v>0</v>
      </c>
      <c r="AL12"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2"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5</v>
      </c>
      <c r="AN12"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5</v>
      </c>
      <c r="AO12" s="27">
        <f>IFERROR((TABLA_AVANCE_INDICADORES[[#This Row],[AVANCE ACUM. TRIM.]]/TABLA_AVANCE_INDICADORES[[#This Row],[PROG. ACUM]])*100,"N/A")</f>
        <v>100</v>
      </c>
      <c r="AP12"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2" s="106">
        <f>TABLA_AVANCE_INDICADORES[[#This Row],[AVANCE ACUM. TRIM.]]-TABLA_AVANCE_INDICADORES[[#This Row],[PROG. ACUM]]</f>
        <v>0</v>
      </c>
      <c r="AR12" s="32">
        <f>IFERROR((TABLA_AVANCE_INDICADORES[[#This Row],[DIFERENCIA ABSOLUTA SEMESTRAL]]/TABLA_AVANCE_INDICADORES[[#This Row],[PROG. ACUM]])*100,"N/A")</f>
        <v>0</v>
      </c>
      <c r="AS12"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5</v>
      </c>
      <c r="AT12" s="27">
        <f>IFERROR((TABLA_AVANCE_INDICADORES[[#This Row],[AVANCE ACUM. ANUAL]]/TABLA_AVANCE_INDICADORES[[#This Row],[PROGRAMADO ANUAL]])*100,"N/A")</f>
        <v>50</v>
      </c>
      <c r="AU12"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2" s="106">
        <f>TABLA_AVANCE_INDICADORES[[#This Row],[AVANCE ACUM. ANUAL]]-TABLA_AVANCE_INDICADORES[[#This Row],[PROGRAMADO ANUAL]]</f>
        <v>-5</v>
      </c>
      <c r="AW12" s="32">
        <f>IFERROR((TABLA_AVANCE_INDICADORES[[#This Row],[DIFERENCIA ABSOLUTA ANUAL]]/TABLA_AVANCE_INDICADORES[[#This Row],[PROGRAMADO ANUAL]])*100,"N/A")</f>
        <v>-50</v>
      </c>
      <c r="AX12" s="108"/>
      <c r="AY12" s="35"/>
      <c r="AZ12" s="36"/>
      <c r="BA12" s="36"/>
      <c r="BB12"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3" spans="1:54" ht="63" hidden="1" customHeight="1" x14ac:dyDescent="0.35">
      <c r="A13" s="19" t="s">
        <v>762</v>
      </c>
      <c r="B13" s="99" t="s">
        <v>610</v>
      </c>
      <c r="C13" s="20" t="s">
        <v>611</v>
      </c>
      <c r="D13" s="100" t="s">
        <v>612</v>
      </c>
      <c r="E13" s="20" t="s">
        <v>613</v>
      </c>
      <c r="F13" s="101" t="s">
        <v>614</v>
      </c>
      <c r="G13" s="80" t="s">
        <v>615</v>
      </c>
      <c r="H13" s="80" t="s">
        <v>721</v>
      </c>
      <c r="I13" s="22" t="s">
        <v>722</v>
      </c>
      <c r="J13" s="22" t="s">
        <v>616</v>
      </c>
      <c r="K13" s="80" t="s">
        <v>617</v>
      </c>
      <c r="L13" s="22" t="s">
        <v>618</v>
      </c>
      <c r="M13" s="80" t="s">
        <v>619</v>
      </c>
      <c r="N13" s="21">
        <v>2</v>
      </c>
      <c r="O13" s="21" t="s">
        <v>758</v>
      </c>
      <c r="P13" s="102" t="s">
        <v>759</v>
      </c>
      <c r="Q13" s="102" t="s">
        <v>763</v>
      </c>
      <c r="R13" s="102" t="s">
        <v>761</v>
      </c>
      <c r="S13" s="42" t="s">
        <v>203</v>
      </c>
      <c r="T13" s="42" t="s">
        <v>727</v>
      </c>
      <c r="U13" s="42" t="s">
        <v>754</v>
      </c>
      <c r="V13" s="24">
        <v>10</v>
      </c>
      <c r="W13" s="24">
        <v>3</v>
      </c>
      <c r="X13" s="112">
        <v>3</v>
      </c>
      <c r="Y13" s="25">
        <f>IFERROR((TABLA_AVANCE_INDICADORES[[#This Row],[AVANCE 1°. TRIM]]/TABLA_AVANCE_INDICADORES[[#This Row],[PROGR. 1° TRIM]])*100,"0")</f>
        <v>100</v>
      </c>
      <c r="Z13"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3" s="104">
        <v>2</v>
      </c>
      <c r="AB13" s="113">
        <v>2</v>
      </c>
      <c r="AC13" s="27">
        <f t="shared" si="0"/>
        <v>100</v>
      </c>
      <c r="AD13" s="26" t="str">
        <f t="shared" si="1"/>
        <v>ADECUADO</v>
      </c>
      <c r="AE13" s="104">
        <v>3</v>
      </c>
      <c r="AF13" s="113">
        <f>AE13</f>
        <v>3</v>
      </c>
      <c r="AG13" s="27">
        <f>IFERROR((TABLA_AVANCE_INDICADORES[[#This Row],[AVANCE 3°. TRIM]]/TABLA_AVANCE_INDICADORES[[#This Row],[PROGR. 3° TRIM]])*100,"0")</f>
        <v>100</v>
      </c>
      <c r="AH13"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ADECUADO</v>
      </c>
      <c r="AI13" s="104">
        <v>2</v>
      </c>
      <c r="AJ13" s="113">
        <f>AI13</f>
        <v>2</v>
      </c>
      <c r="AK13" s="27">
        <f>IFERROR((TABLA_AVANCE_INDICADORES[[#This Row],[AVANCE 4°. TRIM]]/TABLA_AVANCE_INDICADORES[[#This Row],[PROGR. 4° TRIM]])*100,"0")</f>
        <v>100</v>
      </c>
      <c r="AL13"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3"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5</v>
      </c>
      <c r="AN13"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5</v>
      </c>
      <c r="AO13" s="27">
        <f>IFERROR((TABLA_AVANCE_INDICADORES[[#This Row],[AVANCE ACUM. TRIM.]]/TABLA_AVANCE_INDICADORES[[#This Row],[PROG. ACUM]])*100,"N/A")</f>
        <v>100</v>
      </c>
      <c r="AP13"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3" s="106">
        <f>TABLA_AVANCE_INDICADORES[[#This Row],[AVANCE ACUM. TRIM.]]-TABLA_AVANCE_INDICADORES[[#This Row],[PROG. ACUM]]</f>
        <v>0</v>
      </c>
      <c r="AR13" s="32">
        <f>IFERROR((TABLA_AVANCE_INDICADORES[[#This Row],[DIFERENCIA ABSOLUTA SEMESTRAL]]/TABLA_AVANCE_INDICADORES[[#This Row],[PROG. ACUM]])*100,"N/A")</f>
        <v>0</v>
      </c>
      <c r="AS13"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5</v>
      </c>
      <c r="AT13" s="27">
        <f>IFERROR((TABLA_AVANCE_INDICADORES[[#This Row],[AVANCE ACUM. ANUAL]]/TABLA_AVANCE_INDICADORES[[#This Row],[PROGRAMADO ANUAL]])*100,"N/A")</f>
        <v>50</v>
      </c>
      <c r="AU13"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3" s="106">
        <f>TABLA_AVANCE_INDICADORES[[#This Row],[AVANCE ACUM. ANUAL]]-TABLA_AVANCE_INDICADORES[[#This Row],[PROGRAMADO ANUAL]]</f>
        <v>-5</v>
      </c>
      <c r="AW13" s="32">
        <f>IFERROR((TABLA_AVANCE_INDICADORES[[#This Row],[DIFERENCIA ABSOLUTA ANUAL]]/TABLA_AVANCE_INDICADORES[[#This Row],[PROGRAMADO ANUAL]])*100,"N/A")</f>
        <v>-50</v>
      </c>
      <c r="AX13" s="108"/>
      <c r="AY13" s="35"/>
      <c r="AZ13" s="36"/>
      <c r="BA13" s="36"/>
      <c r="BB13"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4" spans="1:54" ht="63" hidden="1" customHeight="1" x14ac:dyDescent="0.35">
      <c r="A14" s="19" t="s">
        <v>764</v>
      </c>
      <c r="B14" s="99" t="s">
        <v>610</v>
      </c>
      <c r="C14" s="20" t="s">
        <v>611</v>
      </c>
      <c r="D14" s="100" t="s">
        <v>612</v>
      </c>
      <c r="E14" s="20" t="s">
        <v>613</v>
      </c>
      <c r="F14" s="101" t="s">
        <v>614</v>
      </c>
      <c r="G14" s="80" t="s">
        <v>615</v>
      </c>
      <c r="H14" s="80" t="s">
        <v>721</v>
      </c>
      <c r="I14" s="22" t="s">
        <v>722</v>
      </c>
      <c r="J14" s="22" t="s">
        <v>616</v>
      </c>
      <c r="K14" s="80" t="s">
        <v>617</v>
      </c>
      <c r="L14" s="22" t="s">
        <v>618</v>
      </c>
      <c r="M14" s="80" t="s">
        <v>619</v>
      </c>
      <c r="N14" s="21">
        <v>1</v>
      </c>
      <c r="O14" s="21" t="s">
        <v>765</v>
      </c>
      <c r="P14" s="102" t="s">
        <v>766</v>
      </c>
      <c r="Q14" s="102" t="s">
        <v>767</v>
      </c>
      <c r="R14" s="102" t="s">
        <v>768</v>
      </c>
      <c r="S14" s="42" t="s">
        <v>239</v>
      </c>
      <c r="T14" s="42" t="s">
        <v>727</v>
      </c>
      <c r="U14" s="42" t="s">
        <v>746</v>
      </c>
      <c r="V14" s="24">
        <v>16</v>
      </c>
      <c r="W14" s="24">
        <v>0</v>
      </c>
      <c r="X14" s="103">
        <v>0</v>
      </c>
      <c r="Y14" s="25" t="str">
        <f>IFERROR((TABLA_AVANCE_INDICADORES[[#This Row],[AVANCE 1°. TRIM]]/TABLA_AVANCE_INDICADORES[[#This Row],[PROGR. 1° TRIM]])*100,"0")</f>
        <v>0</v>
      </c>
      <c r="Z14"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4" s="104">
        <v>8</v>
      </c>
      <c r="AB14" s="105">
        <v>8</v>
      </c>
      <c r="AC14" s="27">
        <f t="shared" si="0"/>
        <v>100</v>
      </c>
      <c r="AD14" s="26" t="str">
        <f t="shared" si="1"/>
        <v>ADECUADO</v>
      </c>
      <c r="AE14" s="104">
        <v>0</v>
      </c>
      <c r="AF14" s="105">
        <v>0</v>
      </c>
      <c r="AG14" s="27" t="str">
        <f>IFERROR((TABLA_AVANCE_INDICADORES[[#This Row],[AVANCE 3°. TRIM]]/TABLA_AVANCE_INDICADORES[[#This Row],[PROGR. 3° TRIM]])*100,"0")</f>
        <v>0</v>
      </c>
      <c r="AH14"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4" s="104">
        <v>8</v>
      </c>
      <c r="AJ14" s="105">
        <v>0</v>
      </c>
      <c r="AK14" s="27">
        <f>IFERROR((TABLA_AVANCE_INDICADORES[[#This Row],[AVANCE 4°. TRIM]]/TABLA_AVANCE_INDICADORES[[#This Row],[PROGR. 4° TRIM]])*100,"0")</f>
        <v>0</v>
      </c>
      <c r="AL14"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4"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8</v>
      </c>
      <c r="AN14"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8</v>
      </c>
      <c r="AO14" s="27">
        <f>IFERROR((TABLA_AVANCE_INDICADORES[[#This Row],[AVANCE ACUM. TRIM.]]/TABLA_AVANCE_INDICADORES[[#This Row],[PROG. ACUM]])*100,"N/A")</f>
        <v>100</v>
      </c>
      <c r="AP14"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4" s="106">
        <f>TABLA_AVANCE_INDICADORES[[#This Row],[AVANCE ACUM. TRIM.]]-TABLA_AVANCE_INDICADORES[[#This Row],[PROG. ACUM]]</f>
        <v>0</v>
      </c>
      <c r="AR14" s="32">
        <f>IFERROR((TABLA_AVANCE_INDICADORES[[#This Row],[DIFERENCIA ABSOLUTA SEMESTRAL]]/TABLA_AVANCE_INDICADORES[[#This Row],[PROG. ACUM]])*100,"N/A")</f>
        <v>0</v>
      </c>
      <c r="AS14"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8</v>
      </c>
      <c r="AT14" s="27">
        <f>IFERROR((TABLA_AVANCE_INDICADORES[[#This Row],[AVANCE ACUM. ANUAL]]/TABLA_AVANCE_INDICADORES[[#This Row],[PROGRAMADO ANUAL]])*100,"N/A")</f>
        <v>50</v>
      </c>
      <c r="AU14"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4" s="106">
        <f>TABLA_AVANCE_INDICADORES[[#This Row],[AVANCE ACUM. ANUAL]]-TABLA_AVANCE_INDICADORES[[#This Row],[PROGRAMADO ANUAL]]</f>
        <v>-8</v>
      </c>
      <c r="AW14" s="32">
        <f>IFERROR((TABLA_AVANCE_INDICADORES[[#This Row],[DIFERENCIA ABSOLUTA ANUAL]]/TABLA_AVANCE_INDICADORES[[#This Row],[PROGRAMADO ANUAL]])*100,"N/A")</f>
        <v>-50</v>
      </c>
      <c r="AX14" s="108"/>
      <c r="AY14" s="35"/>
      <c r="AZ14" s="36"/>
      <c r="BA14" s="36"/>
      <c r="BB14"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5" spans="1:54" s="46" customFormat="1" ht="63" hidden="1" customHeight="1" x14ac:dyDescent="0.35">
      <c r="A15" s="19" t="s">
        <v>769</v>
      </c>
      <c r="B15" s="99" t="s">
        <v>610</v>
      </c>
      <c r="C15" s="20" t="s">
        <v>611</v>
      </c>
      <c r="D15" s="100" t="s">
        <v>612</v>
      </c>
      <c r="E15" s="20" t="s">
        <v>613</v>
      </c>
      <c r="F15" s="101" t="s">
        <v>614</v>
      </c>
      <c r="G15" s="80" t="s">
        <v>615</v>
      </c>
      <c r="H15" s="80" t="s">
        <v>721</v>
      </c>
      <c r="I15" s="22" t="s">
        <v>722</v>
      </c>
      <c r="J15" s="22" t="s">
        <v>616</v>
      </c>
      <c r="K15" s="80" t="s">
        <v>617</v>
      </c>
      <c r="L15" s="22" t="s">
        <v>618</v>
      </c>
      <c r="M15" s="80" t="s">
        <v>619</v>
      </c>
      <c r="N15" s="21">
        <v>2</v>
      </c>
      <c r="O15" s="21" t="s">
        <v>765</v>
      </c>
      <c r="P15" s="102" t="s">
        <v>766</v>
      </c>
      <c r="Q15" s="102" t="s">
        <v>770</v>
      </c>
      <c r="R15" s="102" t="s">
        <v>768</v>
      </c>
      <c r="S15" s="42" t="s">
        <v>239</v>
      </c>
      <c r="T15" s="42" t="s">
        <v>727</v>
      </c>
      <c r="U15" s="42" t="s">
        <v>746</v>
      </c>
      <c r="V15" s="24">
        <v>16</v>
      </c>
      <c r="W15" s="24">
        <v>0</v>
      </c>
      <c r="X15" s="103">
        <v>0</v>
      </c>
      <c r="Y15" s="25" t="str">
        <f>IFERROR((TABLA_AVANCE_INDICADORES[[#This Row],[AVANCE 1°. TRIM]]/TABLA_AVANCE_INDICADORES[[#This Row],[PROGR. 1° TRIM]])*100,"0")</f>
        <v>0</v>
      </c>
      <c r="Z15"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5" s="104">
        <v>8</v>
      </c>
      <c r="AB15" s="105">
        <v>8</v>
      </c>
      <c r="AC15" s="27">
        <f t="shared" si="0"/>
        <v>100</v>
      </c>
      <c r="AD15" s="26" t="str">
        <f t="shared" si="1"/>
        <v>ADECUADO</v>
      </c>
      <c r="AE15" s="104">
        <v>0</v>
      </c>
      <c r="AF15" s="105">
        <v>0</v>
      </c>
      <c r="AG15" s="27" t="str">
        <f>IFERROR((TABLA_AVANCE_INDICADORES[[#This Row],[AVANCE 3°. TRIM]]/TABLA_AVANCE_INDICADORES[[#This Row],[PROGR. 3° TRIM]])*100,"0")</f>
        <v>0</v>
      </c>
      <c r="AH15"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5" s="104">
        <v>8</v>
      </c>
      <c r="AJ15" s="105">
        <v>0</v>
      </c>
      <c r="AK15" s="27">
        <f>IFERROR((TABLA_AVANCE_INDICADORES[[#This Row],[AVANCE 4°. TRIM]]/TABLA_AVANCE_INDICADORES[[#This Row],[PROGR. 4° TRIM]])*100,"0")</f>
        <v>0</v>
      </c>
      <c r="AL15"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5"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8</v>
      </c>
      <c r="AN15"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8</v>
      </c>
      <c r="AO15" s="27">
        <f>IFERROR((TABLA_AVANCE_INDICADORES[[#This Row],[AVANCE ACUM. TRIM.]]/TABLA_AVANCE_INDICADORES[[#This Row],[PROG. ACUM]])*100,"N/A")</f>
        <v>100</v>
      </c>
      <c r="AP15"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5" s="106">
        <f>TABLA_AVANCE_INDICADORES[[#This Row],[AVANCE ACUM. TRIM.]]-TABLA_AVANCE_INDICADORES[[#This Row],[PROG. ACUM]]</f>
        <v>0</v>
      </c>
      <c r="AR15" s="32">
        <f>IFERROR((TABLA_AVANCE_INDICADORES[[#This Row],[DIFERENCIA ABSOLUTA SEMESTRAL]]/TABLA_AVANCE_INDICADORES[[#This Row],[PROG. ACUM]])*100,"N/A")</f>
        <v>0</v>
      </c>
      <c r="AS15"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8</v>
      </c>
      <c r="AT15" s="27">
        <f>IFERROR((TABLA_AVANCE_INDICADORES[[#This Row],[AVANCE ACUM. ANUAL]]/TABLA_AVANCE_INDICADORES[[#This Row],[PROGRAMADO ANUAL]])*100,"N/A")</f>
        <v>50</v>
      </c>
      <c r="AU15"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5" s="106">
        <f>TABLA_AVANCE_INDICADORES[[#This Row],[AVANCE ACUM. ANUAL]]-TABLA_AVANCE_INDICADORES[[#This Row],[PROGRAMADO ANUAL]]</f>
        <v>-8</v>
      </c>
      <c r="AW15" s="32">
        <f>IFERROR((TABLA_AVANCE_INDICADORES[[#This Row],[DIFERENCIA ABSOLUTA ANUAL]]/TABLA_AVANCE_INDICADORES[[#This Row],[PROGRAMADO ANUAL]])*100,"N/A")</f>
        <v>-50</v>
      </c>
      <c r="AX15" s="108"/>
      <c r="AY15" s="35"/>
      <c r="AZ15" s="36"/>
      <c r="BA15" s="36"/>
      <c r="BB15"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6" spans="1:54" s="46" customFormat="1" ht="63" hidden="1" customHeight="1" x14ac:dyDescent="0.35">
      <c r="A16" s="19" t="s">
        <v>771</v>
      </c>
      <c r="B16" s="99" t="s">
        <v>104</v>
      </c>
      <c r="C16" s="20" t="s">
        <v>74</v>
      </c>
      <c r="D16" s="100" t="s">
        <v>75</v>
      </c>
      <c r="E16" s="20" t="s">
        <v>105</v>
      </c>
      <c r="F16" s="101" t="s">
        <v>106</v>
      </c>
      <c r="G16" s="80" t="s">
        <v>107</v>
      </c>
      <c r="H16" s="80" t="s">
        <v>772</v>
      </c>
      <c r="I16" s="22" t="s">
        <v>722</v>
      </c>
      <c r="J16" s="22" t="s">
        <v>108</v>
      </c>
      <c r="K16" s="80" t="s">
        <v>109</v>
      </c>
      <c r="L16" s="22" t="s">
        <v>110</v>
      </c>
      <c r="M16" s="80" t="s">
        <v>111</v>
      </c>
      <c r="N16" s="21">
        <v>1</v>
      </c>
      <c r="O16" s="21" t="s">
        <v>723</v>
      </c>
      <c r="P16" s="102" t="s">
        <v>773</v>
      </c>
      <c r="Q16" s="102" t="s">
        <v>774</v>
      </c>
      <c r="R16" s="102" t="s">
        <v>775</v>
      </c>
      <c r="S16" s="42" t="s">
        <v>113</v>
      </c>
      <c r="T16" s="42" t="s">
        <v>727</v>
      </c>
      <c r="U16" s="42" t="s">
        <v>738</v>
      </c>
      <c r="V16" s="24">
        <v>12</v>
      </c>
      <c r="W16" s="24">
        <v>0</v>
      </c>
      <c r="X16" s="103">
        <v>0</v>
      </c>
      <c r="Y16" s="25" t="str">
        <f>IFERROR((TABLA_AVANCE_INDICADORES[[#This Row],[AVANCE 1°. TRIM]]/TABLA_AVANCE_INDICADORES[[#This Row],[PROGR. 1° TRIM]])*100,"0")</f>
        <v>0</v>
      </c>
      <c r="Z16"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6" s="104">
        <v>0</v>
      </c>
      <c r="AB16" s="105">
        <v>0</v>
      </c>
      <c r="AC16" s="27" t="str">
        <f t="shared" si="0"/>
        <v>0</v>
      </c>
      <c r="AD16" s="26" t="str">
        <f t="shared" si="1"/>
        <v>NO PROG.</v>
      </c>
      <c r="AE16" s="104">
        <v>0</v>
      </c>
      <c r="AF16" s="105">
        <v>0</v>
      </c>
      <c r="AG16" s="27" t="str">
        <f>IFERROR((TABLA_AVANCE_INDICADORES[[#This Row],[AVANCE 3°. TRIM]]/TABLA_AVANCE_INDICADORES[[#This Row],[PROGR. 3° TRIM]])*100,"0")</f>
        <v>0</v>
      </c>
      <c r="AH16"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6" s="104">
        <v>12</v>
      </c>
      <c r="AJ16" s="105">
        <v>0</v>
      </c>
      <c r="AK16" s="27">
        <f>IFERROR((TABLA_AVANCE_INDICADORES[[#This Row],[AVANCE 4°. TRIM]]/TABLA_AVANCE_INDICADORES[[#This Row],[PROGR. 4° TRIM]])*100,"0")</f>
        <v>0</v>
      </c>
      <c r="AL16"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6"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6"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6" s="27" t="str">
        <f>IFERROR((TABLA_AVANCE_INDICADORES[[#This Row],[AVANCE ACUM. TRIM.]]/TABLA_AVANCE_INDICADORES[[#This Row],[PROG. ACUM]])*100,"N/A")</f>
        <v>N/A</v>
      </c>
      <c r="AP16"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6" s="106">
        <f>TABLA_AVANCE_INDICADORES[[#This Row],[AVANCE ACUM. TRIM.]]-TABLA_AVANCE_INDICADORES[[#This Row],[PROG. ACUM]]</f>
        <v>0</v>
      </c>
      <c r="AR16" s="32" t="str">
        <f>IFERROR((TABLA_AVANCE_INDICADORES[[#This Row],[DIFERENCIA ABSOLUTA SEMESTRAL]]/TABLA_AVANCE_INDICADORES[[#This Row],[PROG. ACUM]])*100,"N/A")</f>
        <v>N/A</v>
      </c>
      <c r="AS16"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6" s="27">
        <f>IFERROR((TABLA_AVANCE_INDICADORES[[#This Row],[AVANCE ACUM. ANUAL]]/TABLA_AVANCE_INDICADORES[[#This Row],[PROGRAMADO ANUAL]])*100,"N/A")</f>
        <v>0</v>
      </c>
      <c r="AU16"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6" s="106">
        <f>TABLA_AVANCE_INDICADORES[[#This Row],[AVANCE ACUM. ANUAL]]-TABLA_AVANCE_INDICADORES[[#This Row],[PROGRAMADO ANUAL]]</f>
        <v>-12</v>
      </c>
      <c r="AW16" s="32">
        <f>IFERROR((TABLA_AVANCE_INDICADORES[[#This Row],[DIFERENCIA ABSOLUTA ANUAL]]/TABLA_AVANCE_INDICADORES[[#This Row],[PROGRAMADO ANUAL]])*100,"N/A")</f>
        <v>-100</v>
      </c>
      <c r="AX16" s="108"/>
      <c r="AY16" s="35"/>
      <c r="AZ16" s="36"/>
      <c r="BA16" s="36"/>
      <c r="BB16"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7" spans="1:54" s="46" customFormat="1" ht="63" hidden="1" customHeight="1" x14ac:dyDescent="0.35">
      <c r="A17" s="19" t="s">
        <v>776</v>
      </c>
      <c r="B17" s="99" t="s">
        <v>104</v>
      </c>
      <c r="C17" s="20" t="s">
        <v>74</v>
      </c>
      <c r="D17" s="100" t="s">
        <v>75</v>
      </c>
      <c r="E17" s="20" t="s">
        <v>105</v>
      </c>
      <c r="F17" s="101" t="s">
        <v>106</v>
      </c>
      <c r="G17" s="80" t="s">
        <v>107</v>
      </c>
      <c r="H17" s="80" t="s">
        <v>772</v>
      </c>
      <c r="I17" s="22" t="s">
        <v>722</v>
      </c>
      <c r="J17" s="22" t="s">
        <v>108</v>
      </c>
      <c r="K17" s="80" t="s">
        <v>109</v>
      </c>
      <c r="L17" s="22" t="s">
        <v>110</v>
      </c>
      <c r="M17" s="80" t="s">
        <v>111</v>
      </c>
      <c r="N17" s="21">
        <v>2</v>
      </c>
      <c r="O17" s="21" t="s">
        <v>723</v>
      </c>
      <c r="P17" s="102" t="s">
        <v>773</v>
      </c>
      <c r="Q17" s="102" t="s">
        <v>777</v>
      </c>
      <c r="R17" s="102" t="s">
        <v>775</v>
      </c>
      <c r="S17" s="42" t="s">
        <v>113</v>
      </c>
      <c r="T17" s="42" t="s">
        <v>727</v>
      </c>
      <c r="U17" s="42" t="s">
        <v>738</v>
      </c>
      <c r="V17" s="24">
        <v>12</v>
      </c>
      <c r="W17" s="24">
        <v>0</v>
      </c>
      <c r="X17" s="103">
        <v>0</v>
      </c>
      <c r="Y17" s="25" t="str">
        <f>IFERROR((TABLA_AVANCE_INDICADORES[[#This Row],[AVANCE 1°. TRIM]]/TABLA_AVANCE_INDICADORES[[#This Row],[PROGR. 1° TRIM]])*100,"0")</f>
        <v>0</v>
      </c>
      <c r="Z17"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7" s="104">
        <v>0</v>
      </c>
      <c r="AB17" s="105">
        <v>0</v>
      </c>
      <c r="AC17" s="27" t="str">
        <f t="shared" si="0"/>
        <v>0</v>
      </c>
      <c r="AD17" s="26" t="str">
        <f t="shared" si="1"/>
        <v>NO PROG.</v>
      </c>
      <c r="AE17" s="104">
        <v>0</v>
      </c>
      <c r="AF17" s="105">
        <v>0</v>
      </c>
      <c r="AG17" s="27" t="str">
        <f>IFERROR((TABLA_AVANCE_INDICADORES[[#This Row],[AVANCE 3°. TRIM]]/TABLA_AVANCE_INDICADORES[[#This Row],[PROGR. 3° TRIM]])*100,"0")</f>
        <v>0</v>
      </c>
      <c r="AH17"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7" s="104">
        <v>12</v>
      </c>
      <c r="AJ17" s="111">
        <v>12</v>
      </c>
      <c r="AK17" s="27">
        <f>IFERROR((TABLA_AVANCE_INDICADORES[[#This Row],[AVANCE 4°. TRIM]]/TABLA_AVANCE_INDICADORES[[#This Row],[PROGR. 4° TRIM]])*100,"0")</f>
        <v>100</v>
      </c>
      <c r="AL17"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7"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7"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7" s="27" t="str">
        <f>IFERROR((TABLA_AVANCE_INDICADORES[[#This Row],[AVANCE ACUM. TRIM.]]/TABLA_AVANCE_INDICADORES[[#This Row],[PROG. ACUM]])*100,"N/A")</f>
        <v>N/A</v>
      </c>
      <c r="AP17"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7" s="106">
        <f>TABLA_AVANCE_INDICADORES[[#This Row],[AVANCE ACUM. TRIM.]]-TABLA_AVANCE_INDICADORES[[#This Row],[PROG. ACUM]]</f>
        <v>0</v>
      </c>
      <c r="AR17" s="32" t="str">
        <f>IFERROR((TABLA_AVANCE_INDICADORES[[#This Row],[DIFERENCIA ABSOLUTA SEMESTRAL]]/TABLA_AVANCE_INDICADORES[[#This Row],[PROG. ACUM]])*100,"N/A")</f>
        <v>N/A</v>
      </c>
      <c r="AS17"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7" s="27">
        <f>IFERROR((TABLA_AVANCE_INDICADORES[[#This Row],[AVANCE ACUM. ANUAL]]/TABLA_AVANCE_INDICADORES[[#This Row],[PROGRAMADO ANUAL]])*100,"N/A")</f>
        <v>0</v>
      </c>
      <c r="AU17"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7" s="106">
        <f>TABLA_AVANCE_INDICADORES[[#This Row],[AVANCE ACUM. ANUAL]]-TABLA_AVANCE_INDICADORES[[#This Row],[PROGRAMADO ANUAL]]</f>
        <v>-12</v>
      </c>
      <c r="AW17" s="32">
        <f>IFERROR((TABLA_AVANCE_INDICADORES[[#This Row],[DIFERENCIA ABSOLUTA ANUAL]]/TABLA_AVANCE_INDICADORES[[#This Row],[PROGRAMADO ANUAL]])*100,"N/A")</f>
        <v>-100</v>
      </c>
      <c r="AX17" s="108"/>
      <c r="AY17" s="35"/>
      <c r="AZ17" s="36"/>
      <c r="BA17" s="36"/>
      <c r="BB17"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8" spans="1:54" s="46" customFormat="1" ht="63" hidden="1" customHeight="1" x14ac:dyDescent="0.35">
      <c r="A18" s="19" t="s">
        <v>778</v>
      </c>
      <c r="B18" s="99" t="s">
        <v>104</v>
      </c>
      <c r="C18" s="20" t="s">
        <v>74</v>
      </c>
      <c r="D18" s="100" t="s">
        <v>75</v>
      </c>
      <c r="E18" s="20" t="s">
        <v>105</v>
      </c>
      <c r="F18" s="101" t="s">
        <v>106</v>
      </c>
      <c r="G18" s="80" t="s">
        <v>107</v>
      </c>
      <c r="H18" s="80" t="s">
        <v>772</v>
      </c>
      <c r="I18" s="22" t="s">
        <v>722</v>
      </c>
      <c r="J18" s="22" t="s">
        <v>108</v>
      </c>
      <c r="K18" s="80" t="s">
        <v>109</v>
      </c>
      <c r="L18" s="22" t="s">
        <v>110</v>
      </c>
      <c r="M18" s="80" t="s">
        <v>111</v>
      </c>
      <c r="N18" s="21">
        <v>1</v>
      </c>
      <c r="O18" s="21" t="s">
        <v>733</v>
      </c>
      <c r="P18" s="102" t="s">
        <v>779</v>
      </c>
      <c r="Q18" s="102" t="s">
        <v>780</v>
      </c>
      <c r="R18" s="102" t="s">
        <v>781</v>
      </c>
      <c r="S18" s="42" t="s">
        <v>115</v>
      </c>
      <c r="T18" s="42" t="s">
        <v>727</v>
      </c>
      <c r="U18" s="42" t="s">
        <v>738</v>
      </c>
      <c r="V18" s="24">
        <v>1</v>
      </c>
      <c r="W18" s="24">
        <v>0</v>
      </c>
      <c r="X18" s="103">
        <v>0</v>
      </c>
      <c r="Y18" s="25" t="str">
        <f>IFERROR((TABLA_AVANCE_INDICADORES[[#This Row],[AVANCE 1°. TRIM]]/TABLA_AVANCE_INDICADORES[[#This Row],[PROGR. 1° TRIM]])*100,"0")</f>
        <v>0</v>
      </c>
      <c r="Z18"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8" s="104">
        <v>0</v>
      </c>
      <c r="AB18" s="105">
        <v>0</v>
      </c>
      <c r="AC18" s="27" t="str">
        <f t="shared" si="0"/>
        <v>0</v>
      </c>
      <c r="AD18" s="26" t="str">
        <f t="shared" si="1"/>
        <v>NO PROG.</v>
      </c>
      <c r="AE18" s="104">
        <v>0</v>
      </c>
      <c r="AF18" s="105">
        <v>0</v>
      </c>
      <c r="AG18" s="27" t="str">
        <f>IFERROR((TABLA_AVANCE_INDICADORES[[#This Row],[AVANCE 3°. TRIM]]/TABLA_AVANCE_INDICADORES[[#This Row],[PROGR. 3° TRIM]])*100,"0")</f>
        <v>0</v>
      </c>
      <c r="AH18"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8" s="104">
        <v>1</v>
      </c>
      <c r="AJ18" s="105">
        <v>0</v>
      </c>
      <c r="AK18" s="27">
        <f>IFERROR((TABLA_AVANCE_INDICADORES[[#This Row],[AVANCE 4°. TRIM]]/TABLA_AVANCE_INDICADORES[[#This Row],[PROGR. 4° TRIM]])*100,"0")</f>
        <v>0</v>
      </c>
      <c r="AL18"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8"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8"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8" s="27" t="str">
        <f>IFERROR((TABLA_AVANCE_INDICADORES[[#This Row],[AVANCE ACUM. TRIM.]]/TABLA_AVANCE_INDICADORES[[#This Row],[PROG. ACUM]])*100,"N/A")</f>
        <v>N/A</v>
      </c>
      <c r="AP18"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8" s="106">
        <f>TABLA_AVANCE_INDICADORES[[#This Row],[AVANCE ACUM. TRIM.]]-TABLA_AVANCE_INDICADORES[[#This Row],[PROG. ACUM]]</f>
        <v>0</v>
      </c>
      <c r="AR18" s="32" t="str">
        <f>IFERROR((TABLA_AVANCE_INDICADORES[[#This Row],[DIFERENCIA ABSOLUTA SEMESTRAL]]/TABLA_AVANCE_INDICADORES[[#This Row],[PROG. ACUM]])*100,"N/A")</f>
        <v>N/A</v>
      </c>
      <c r="AS18"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8" s="27">
        <f>IFERROR((TABLA_AVANCE_INDICADORES[[#This Row],[AVANCE ACUM. ANUAL]]/TABLA_AVANCE_INDICADORES[[#This Row],[PROGRAMADO ANUAL]])*100,"N/A")</f>
        <v>0</v>
      </c>
      <c r="AU18"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8" s="106">
        <f>TABLA_AVANCE_INDICADORES[[#This Row],[AVANCE ACUM. ANUAL]]-TABLA_AVANCE_INDICADORES[[#This Row],[PROGRAMADO ANUAL]]</f>
        <v>-1</v>
      </c>
      <c r="AW18" s="32">
        <f>IFERROR((TABLA_AVANCE_INDICADORES[[#This Row],[DIFERENCIA ABSOLUTA ANUAL]]/TABLA_AVANCE_INDICADORES[[#This Row],[PROGRAMADO ANUAL]])*100,"N/A")</f>
        <v>-100</v>
      </c>
      <c r="AX18" s="108"/>
      <c r="AY18" s="35"/>
      <c r="AZ18" s="36"/>
      <c r="BA18" s="36"/>
      <c r="BB18"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9" spans="1:54" s="46" customFormat="1" ht="63" hidden="1" customHeight="1" x14ac:dyDescent="0.35">
      <c r="A19" s="19" t="s">
        <v>782</v>
      </c>
      <c r="B19" s="99" t="s">
        <v>104</v>
      </c>
      <c r="C19" s="20" t="s">
        <v>74</v>
      </c>
      <c r="D19" s="100" t="s">
        <v>75</v>
      </c>
      <c r="E19" s="20" t="s">
        <v>105</v>
      </c>
      <c r="F19" s="101" t="s">
        <v>106</v>
      </c>
      <c r="G19" s="80" t="s">
        <v>107</v>
      </c>
      <c r="H19" s="80" t="s">
        <v>772</v>
      </c>
      <c r="I19" s="22" t="s">
        <v>722</v>
      </c>
      <c r="J19" s="22" t="s">
        <v>108</v>
      </c>
      <c r="K19" s="80" t="s">
        <v>109</v>
      </c>
      <c r="L19" s="22" t="s">
        <v>110</v>
      </c>
      <c r="M19" s="80" t="s">
        <v>111</v>
      </c>
      <c r="N19" s="21">
        <v>2</v>
      </c>
      <c r="O19" s="21" t="s">
        <v>733</v>
      </c>
      <c r="P19" s="102" t="s">
        <v>779</v>
      </c>
      <c r="Q19" s="102" t="s">
        <v>783</v>
      </c>
      <c r="R19" s="102" t="s">
        <v>781</v>
      </c>
      <c r="S19" s="42" t="s">
        <v>115</v>
      </c>
      <c r="T19" s="42" t="s">
        <v>727</v>
      </c>
      <c r="U19" s="42" t="s">
        <v>738</v>
      </c>
      <c r="V19" s="24">
        <v>2</v>
      </c>
      <c r="W19" s="24">
        <v>0</v>
      </c>
      <c r="X19" s="103">
        <v>0</v>
      </c>
      <c r="Y19" s="25" t="str">
        <f>IFERROR((TABLA_AVANCE_INDICADORES[[#This Row],[AVANCE 1°. TRIM]]/TABLA_AVANCE_INDICADORES[[#This Row],[PROGR. 1° TRIM]])*100,"0")</f>
        <v>0</v>
      </c>
      <c r="Z19"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9" s="104">
        <v>0</v>
      </c>
      <c r="AB19" s="105">
        <v>0</v>
      </c>
      <c r="AC19" s="27" t="str">
        <f t="shared" si="0"/>
        <v>0</v>
      </c>
      <c r="AD19" s="26" t="str">
        <f t="shared" si="1"/>
        <v>NO PROG.</v>
      </c>
      <c r="AE19" s="104">
        <v>0</v>
      </c>
      <c r="AF19" s="105">
        <v>0</v>
      </c>
      <c r="AG19" s="27" t="str">
        <f>IFERROR((TABLA_AVANCE_INDICADORES[[#This Row],[AVANCE 3°. TRIM]]/TABLA_AVANCE_INDICADORES[[#This Row],[PROGR. 3° TRIM]])*100,"0")</f>
        <v>0</v>
      </c>
      <c r="AH19"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9" s="104">
        <v>2</v>
      </c>
      <c r="AJ19" s="111">
        <v>2</v>
      </c>
      <c r="AK19" s="27">
        <f>IFERROR((TABLA_AVANCE_INDICADORES[[#This Row],[AVANCE 4°. TRIM]]/TABLA_AVANCE_INDICADORES[[#This Row],[PROGR. 4° TRIM]])*100,"0")</f>
        <v>100</v>
      </c>
      <c r="AL19"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9"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9"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9" s="27" t="str">
        <f>IFERROR((TABLA_AVANCE_INDICADORES[[#This Row],[AVANCE ACUM. TRIM.]]/TABLA_AVANCE_INDICADORES[[#This Row],[PROG. ACUM]])*100,"N/A")</f>
        <v>N/A</v>
      </c>
      <c r="AP19"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9" s="106">
        <f>TABLA_AVANCE_INDICADORES[[#This Row],[AVANCE ACUM. TRIM.]]-TABLA_AVANCE_INDICADORES[[#This Row],[PROG. ACUM]]</f>
        <v>0</v>
      </c>
      <c r="AR19" s="32" t="str">
        <f>IFERROR((TABLA_AVANCE_INDICADORES[[#This Row],[DIFERENCIA ABSOLUTA SEMESTRAL]]/TABLA_AVANCE_INDICADORES[[#This Row],[PROG. ACUM]])*100,"N/A")</f>
        <v>N/A</v>
      </c>
      <c r="AS19"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9" s="27">
        <f>IFERROR((TABLA_AVANCE_INDICADORES[[#This Row],[AVANCE ACUM. ANUAL]]/TABLA_AVANCE_INDICADORES[[#This Row],[PROGRAMADO ANUAL]])*100,"N/A")</f>
        <v>0</v>
      </c>
      <c r="AU19"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9" s="106">
        <f>TABLA_AVANCE_INDICADORES[[#This Row],[AVANCE ACUM. ANUAL]]-TABLA_AVANCE_INDICADORES[[#This Row],[PROGRAMADO ANUAL]]</f>
        <v>-2</v>
      </c>
      <c r="AW19" s="32">
        <f>IFERROR((TABLA_AVANCE_INDICADORES[[#This Row],[DIFERENCIA ABSOLUTA ANUAL]]/TABLA_AVANCE_INDICADORES[[#This Row],[PROGRAMADO ANUAL]])*100,"N/A")</f>
        <v>-100</v>
      </c>
      <c r="AX19" s="108"/>
      <c r="AY19" s="35"/>
      <c r="AZ19" s="36"/>
      <c r="BA19" s="36"/>
      <c r="BB19"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0" spans="1:54" s="46" customFormat="1" ht="63" hidden="1" customHeight="1" x14ac:dyDescent="0.35">
      <c r="A20" s="19" t="s">
        <v>784</v>
      </c>
      <c r="B20" s="99" t="s">
        <v>104</v>
      </c>
      <c r="C20" s="20" t="s">
        <v>74</v>
      </c>
      <c r="D20" s="100" t="s">
        <v>75</v>
      </c>
      <c r="E20" s="20" t="s">
        <v>105</v>
      </c>
      <c r="F20" s="101" t="s">
        <v>106</v>
      </c>
      <c r="G20" s="80" t="s">
        <v>107</v>
      </c>
      <c r="H20" s="80" t="s">
        <v>772</v>
      </c>
      <c r="I20" s="22" t="s">
        <v>722</v>
      </c>
      <c r="J20" s="22" t="s">
        <v>108</v>
      </c>
      <c r="K20" s="80" t="s">
        <v>109</v>
      </c>
      <c r="L20" s="22" t="s">
        <v>110</v>
      </c>
      <c r="M20" s="80" t="s">
        <v>111</v>
      </c>
      <c r="N20" s="21">
        <v>1</v>
      </c>
      <c r="O20" s="21" t="s">
        <v>785</v>
      </c>
      <c r="P20" s="110" t="s">
        <v>786</v>
      </c>
      <c r="Q20" s="110" t="s">
        <v>787</v>
      </c>
      <c r="R20" s="110" t="s">
        <v>788</v>
      </c>
      <c r="S20" s="42" t="s">
        <v>84</v>
      </c>
      <c r="T20" s="42" t="s">
        <v>727</v>
      </c>
      <c r="U20" s="42" t="s">
        <v>746</v>
      </c>
      <c r="V20" s="24">
        <v>2</v>
      </c>
      <c r="W20" s="24">
        <v>0</v>
      </c>
      <c r="X20" s="103">
        <v>0</v>
      </c>
      <c r="Y20" s="25" t="str">
        <f>IFERROR((TABLA_AVANCE_INDICADORES[[#This Row],[AVANCE 1°. TRIM]]/TABLA_AVANCE_INDICADORES[[#This Row],[PROGR. 1° TRIM]])*100,"0")</f>
        <v>0</v>
      </c>
      <c r="Z20"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20" s="104">
        <v>1</v>
      </c>
      <c r="AB20" s="105">
        <v>1</v>
      </c>
      <c r="AC20" s="27">
        <f t="shared" si="0"/>
        <v>100</v>
      </c>
      <c r="AD20" s="26" t="str">
        <f t="shared" si="1"/>
        <v>ADECUADO</v>
      </c>
      <c r="AE20" s="104">
        <v>0</v>
      </c>
      <c r="AF20" s="105">
        <v>0</v>
      </c>
      <c r="AG20" s="27" t="str">
        <f>IFERROR((TABLA_AVANCE_INDICADORES[[#This Row],[AVANCE 3°. TRIM]]/TABLA_AVANCE_INDICADORES[[#This Row],[PROGR. 3° TRIM]])*100,"0")</f>
        <v>0</v>
      </c>
      <c r="AH20"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20" s="104">
        <v>1</v>
      </c>
      <c r="AJ20" s="105">
        <v>0</v>
      </c>
      <c r="AK20" s="27">
        <f>IFERROR((TABLA_AVANCE_INDICADORES[[#This Row],[AVANCE 4°. TRIM]]/TABLA_AVANCE_INDICADORES[[#This Row],[PROGR. 4° TRIM]])*100,"0")</f>
        <v>0</v>
      </c>
      <c r="AL20"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0"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v>
      </c>
      <c r="AN20"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O20" s="27">
        <f>IFERROR((TABLA_AVANCE_INDICADORES[[#This Row],[AVANCE ACUM. TRIM.]]/TABLA_AVANCE_INDICADORES[[#This Row],[PROG. ACUM]])*100,"N/A")</f>
        <v>100</v>
      </c>
      <c r="AP20"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20" s="106">
        <f>TABLA_AVANCE_INDICADORES[[#This Row],[AVANCE ACUM. TRIM.]]-TABLA_AVANCE_INDICADORES[[#This Row],[PROG. ACUM]]</f>
        <v>0</v>
      </c>
      <c r="AR20" s="32">
        <f>IFERROR((TABLA_AVANCE_INDICADORES[[#This Row],[DIFERENCIA ABSOLUTA SEMESTRAL]]/TABLA_AVANCE_INDICADORES[[#This Row],[PROG. ACUM]])*100,"N/A")</f>
        <v>0</v>
      </c>
      <c r="AS20"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T20" s="27">
        <f>IFERROR((TABLA_AVANCE_INDICADORES[[#This Row],[AVANCE ACUM. ANUAL]]/TABLA_AVANCE_INDICADORES[[#This Row],[PROGRAMADO ANUAL]])*100,"N/A")</f>
        <v>50</v>
      </c>
      <c r="AU20"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20" s="106">
        <f>TABLA_AVANCE_INDICADORES[[#This Row],[AVANCE ACUM. ANUAL]]-TABLA_AVANCE_INDICADORES[[#This Row],[PROGRAMADO ANUAL]]</f>
        <v>-1</v>
      </c>
      <c r="AW20" s="32">
        <f>IFERROR((TABLA_AVANCE_INDICADORES[[#This Row],[DIFERENCIA ABSOLUTA ANUAL]]/TABLA_AVANCE_INDICADORES[[#This Row],[PROGRAMADO ANUAL]])*100,"N/A")</f>
        <v>-50</v>
      </c>
      <c r="AX20" s="108"/>
      <c r="AY20" s="35"/>
      <c r="AZ20" s="36"/>
      <c r="BA20" s="36"/>
      <c r="BB20"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1" spans="1:54" s="46" customFormat="1" ht="63" hidden="1" customHeight="1" x14ac:dyDescent="0.35">
      <c r="A21" s="19" t="s">
        <v>789</v>
      </c>
      <c r="B21" s="99" t="s">
        <v>104</v>
      </c>
      <c r="C21" s="20" t="s">
        <v>74</v>
      </c>
      <c r="D21" s="100" t="s">
        <v>75</v>
      </c>
      <c r="E21" s="20" t="s">
        <v>105</v>
      </c>
      <c r="F21" s="101" t="s">
        <v>106</v>
      </c>
      <c r="G21" s="80" t="s">
        <v>107</v>
      </c>
      <c r="H21" s="80" t="s">
        <v>772</v>
      </c>
      <c r="I21" s="22" t="s">
        <v>722</v>
      </c>
      <c r="J21" s="22" t="s">
        <v>108</v>
      </c>
      <c r="K21" s="80" t="s">
        <v>109</v>
      </c>
      <c r="L21" s="22" t="s">
        <v>110</v>
      </c>
      <c r="M21" s="80" t="s">
        <v>111</v>
      </c>
      <c r="N21" s="21">
        <v>2</v>
      </c>
      <c r="O21" s="21" t="s">
        <v>785</v>
      </c>
      <c r="P21" s="110" t="s">
        <v>786</v>
      </c>
      <c r="Q21" s="110" t="s">
        <v>790</v>
      </c>
      <c r="R21" s="110" t="s">
        <v>788</v>
      </c>
      <c r="S21" s="42" t="s">
        <v>84</v>
      </c>
      <c r="T21" s="42" t="s">
        <v>727</v>
      </c>
      <c r="U21" s="42" t="s">
        <v>746</v>
      </c>
      <c r="V21" s="24">
        <v>2</v>
      </c>
      <c r="W21" s="24">
        <v>0</v>
      </c>
      <c r="X21" s="103">
        <v>0</v>
      </c>
      <c r="Y21" s="25" t="str">
        <f>IFERROR((TABLA_AVANCE_INDICADORES[[#This Row],[AVANCE 1°. TRIM]]/TABLA_AVANCE_INDICADORES[[#This Row],[PROGR. 1° TRIM]])*100,"0")</f>
        <v>0</v>
      </c>
      <c r="Z21"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21" s="104">
        <v>1</v>
      </c>
      <c r="AB21" s="105">
        <v>1</v>
      </c>
      <c r="AC21" s="27">
        <f t="shared" si="0"/>
        <v>100</v>
      </c>
      <c r="AD21" s="26" t="str">
        <f t="shared" si="1"/>
        <v>ADECUADO</v>
      </c>
      <c r="AE21" s="104">
        <v>0</v>
      </c>
      <c r="AF21" s="105">
        <v>0</v>
      </c>
      <c r="AG21" s="27" t="str">
        <f>IFERROR((TABLA_AVANCE_INDICADORES[[#This Row],[AVANCE 3°. TRIM]]/TABLA_AVANCE_INDICADORES[[#This Row],[PROGR. 3° TRIM]])*100,"0")</f>
        <v>0</v>
      </c>
      <c r="AH21"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21" s="104">
        <v>1</v>
      </c>
      <c r="AJ21" s="105">
        <v>0</v>
      </c>
      <c r="AK21" s="27">
        <f>IFERROR((TABLA_AVANCE_INDICADORES[[#This Row],[AVANCE 4°. TRIM]]/TABLA_AVANCE_INDICADORES[[#This Row],[PROGR. 4° TRIM]])*100,"0")</f>
        <v>0</v>
      </c>
      <c r="AL21"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1"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v>
      </c>
      <c r="AN21"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O21" s="27">
        <f>IFERROR((TABLA_AVANCE_INDICADORES[[#This Row],[AVANCE ACUM. TRIM.]]/TABLA_AVANCE_INDICADORES[[#This Row],[PROG. ACUM]])*100,"N/A")</f>
        <v>100</v>
      </c>
      <c r="AP21"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21" s="106">
        <f>TABLA_AVANCE_INDICADORES[[#This Row],[AVANCE ACUM. TRIM.]]-TABLA_AVANCE_INDICADORES[[#This Row],[PROG. ACUM]]</f>
        <v>0</v>
      </c>
      <c r="AR21" s="32">
        <f>IFERROR((TABLA_AVANCE_INDICADORES[[#This Row],[DIFERENCIA ABSOLUTA SEMESTRAL]]/TABLA_AVANCE_INDICADORES[[#This Row],[PROG. ACUM]])*100,"N/A")</f>
        <v>0</v>
      </c>
      <c r="AS21"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T21" s="27">
        <f>IFERROR((TABLA_AVANCE_INDICADORES[[#This Row],[AVANCE ACUM. ANUAL]]/TABLA_AVANCE_INDICADORES[[#This Row],[PROGRAMADO ANUAL]])*100,"N/A")</f>
        <v>50</v>
      </c>
      <c r="AU21"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21" s="106">
        <f>TABLA_AVANCE_INDICADORES[[#This Row],[AVANCE ACUM. ANUAL]]-TABLA_AVANCE_INDICADORES[[#This Row],[PROGRAMADO ANUAL]]</f>
        <v>-1</v>
      </c>
      <c r="AW21" s="32">
        <f>IFERROR((TABLA_AVANCE_INDICADORES[[#This Row],[DIFERENCIA ABSOLUTA ANUAL]]/TABLA_AVANCE_INDICADORES[[#This Row],[PROGRAMADO ANUAL]])*100,"N/A")</f>
        <v>-50</v>
      </c>
      <c r="AX21" s="108"/>
      <c r="AY21" s="35"/>
      <c r="AZ21" s="36"/>
      <c r="BA21" s="36"/>
      <c r="BB21"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2" spans="1:54" s="46" customFormat="1" ht="63" hidden="1" customHeight="1" x14ac:dyDescent="0.35">
      <c r="A22" s="19" t="s">
        <v>791</v>
      </c>
      <c r="B22" s="99" t="s">
        <v>104</v>
      </c>
      <c r="C22" s="20" t="s">
        <v>74</v>
      </c>
      <c r="D22" s="100" t="s">
        <v>75</v>
      </c>
      <c r="E22" s="20" t="s">
        <v>105</v>
      </c>
      <c r="F22" s="101" t="s">
        <v>106</v>
      </c>
      <c r="G22" s="80" t="s">
        <v>107</v>
      </c>
      <c r="H22" s="80" t="s">
        <v>772</v>
      </c>
      <c r="I22" s="22" t="s">
        <v>722</v>
      </c>
      <c r="J22" s="22" t="s">
        <v>108</v>
      </c>
      <c r="K22" s="80" t="s">
        <v>109</v>
      </c>
      <c r="L22" s="22" t="s">
        <v>110</v>
      </c>
      <c r="M22" s="80" t="s">
        <v>111</v>
      </c>
      <c r="N22" s="21">
        <v>1</v>
      </c>
      <c r="O22" s="21" t="s">
        <v>758</v>
      </c>
      <c r="P22" s="110" t="s">
        <v>792</v>
      </c>
      <c r="Q22" s="110" t="s">
        <v>793</v>
      </c>
      <c r="R22" s="110" t="s">
        <v>794</v>
      </c>
      <c r="S22" s="42" t="s">
        <v>119</v>
      </c>
      <c r="T22" s="42" t="s">
        <v>727</v>
      </c>
      <c r="U22" s="42" t="s">
        <v>754</v>
      </c>
      <c r="V22" s="24">
        <v>40</v>
      </c>
      <c r="W22" s="24">
        <v>10</v>
      </c>
      <c r="X22" s="103">
        <v>10</v>
      </c>
      <c r="Y22" s="25">
        <f>IFERROR((TABLA_AVANCE_INDICADORES[[#This Row],[AVANCE 1°. TRIM]]/TABLA_AVANCE_INDICADORES[[#This Row],[PROGR. 1° TRIM]])*100,"0")</f>
        <v>100</v>
      </c>
      <c r="Z22"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22" s="104">
        <v>10</v>
      </c>
      <c r="AB22" s="105">
        <v>10</v>
      </c>
      <c r="AC22" s="27">
        <f t="shared" si="0"/>
        <v>100</v>
      </c>
      <c r="AD22" s="26" t="str">
        <f t="shared" si="1"/>
        <v>ADECUADO</v>
      </c>
      <c r="AE22" s="104">
        <v>10</v>
      </c>
      <c r="AF22" s="105">
        <v>0</v>
      </c>
      <c r="AG22" s="27">
        <f>IFERROR((TABLA_AVANCE_INDICADORES[[#This Row],[AVANCE 3°. TRIM]]/TABLA_AVANCE_INDICADORES[[#This Row],[PROGR. 3° TRIM]])*100,"0")</f>
        <v>0</v>
      </c>
      <c r="AH22"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22" s="104">
        <v>10</v>
      </c>
      <c r="AJ22" s="105">
        <v>0</v>
      </c>
      <c r="AK22" s="27">
        <f>IFERROR((TABLA_AVANCE_INDICADORES[[#This Row],[AVANCE 4°. TRIM]]/TABLA_AVANCE_INDICADORES[[#This Row],[PROGR. 4° TRIM]])*100,"0")</f>
        <v>0</v>
      </c>
      <c r="AL22"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2"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20</v>
      </c>
      <c r="AN22"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20</v>
      </c>
      <c r="AO22" s="27">
        <f>IFERROR((TABLA_AVANCE_INDICADORES[[#This Row],[AVANCE ACUM. TRIM.]]/TABLA_AVANCE_INDICADORES[[#This Row],[PROG. ACUM]])*100,"N/A")</f>
        <v>100</v>
      </c>
      <c r="AP22"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22" s="106">
        <f>TABLA_AVANCE_INDICADORES[[#This Row],[AVANCE ACUM. TRIM.]]-TABLA_AVANCE_INDICADORES[[#This Row],[PROG. ACUM]]</f>
        <v>0</v>
      </c>
      <c r="AR22" s="32">
        <f>IFERROR((TABLA_AVANCE_INDICADORES[[#This Row],[DIFERENCIA ABSOLUTA SEMESTRAL]]/TABLA_AVANCE_INDICADORES[[#This Row],[PROG. ACUM]])*100,"N/A")</f>
        <v>0</v>
      </c>
      <c r="AS22"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20</v>
      </c>
      <c r="AT22" s="27">
        <f>IFERROR((TABLA_AVANCE_INDICADORES[[#This Row],[AVANCE ACUM. ANUAL]]/TABLA_AVANCE_INDICADORES[[#This Row],[PROGRAMADO ANUAL]])*100,"N/A")</f>
        <v>50</v>
      </c>
      <c r="AU22"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22" s="106">
        <f>TABLA_AVANCE_INDICADORES[[#This Row],[AVANCE ACUM. ANUAL]]-TABLA_AVANCE_INDICADORES[[#This Row],[PROGRAMADO ANUAL]]</f>
        <v>-20</v>
      </c>
      <c r="AW22" s="32">
        <f>IFERROR((TABLA_AVANCE_INDICADORES[[#This Row],[DIFERENCIA ABSOLUTA ANUAL]]/TABLA_AVANCE_INDICADORES[[#This Row],[PROGRAMADO ANUAL]])*100,"N/A")</f>
        <v>-50</v>
      </c>
      <c r="AX22" s="108"/>
      <c r="AY22" s="35"/>
      <c r="AZ22" s="36"/>
      <c r="BA22" s="36"/>
      <c r="BB22"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3" spans="1:54" s="46" customFormat="1" ht="63" hidden="1" customHeight="1" x14ac:dyDescent="0.35">
      <c r="A23" s="19" t="s">
        <v>795</v>
      </c>
      <c r="B23" s="99" t="s">
        <v>104</v>
      </c>
      <c r="C23" s="20" t="s">
        <v>74</v>
      </c>
      <c r="D23" s="100" t="s">
        <v>75</v>
      </c>
      <c r="E23" s="20" t="s">
        <v>105</v>
      </c>
      <c r="F23" s="101" t="s">
        <v>106</v>
      </c>
      <c r="G23" s="80" t="s">
        <v>107</v>
      </c>
      <c r="H23" s="80" t="s">
        <v>772</v>
      </c>
      <c r="I23" s="22" t="s">
        <v>722</v>
      </c>
      <c r="J23" s="22" t="s">
        <v>108</v>
      </c>
      <c r="K23" s="80" t="s">
        <v>109</v>
      </c>
      <c r="L23" s="22" t="s">
        <v>110</v>
      </c>
      <c r="M23" s="80" t="s">
        <v>111</v>
      </c>
      <c r="N23" s="21">
        <v>2</v>
      </c>
      <c r="O23" s="21" t="s">
        <v>758</v>
      </c>
      <c r="P23" s="102" t="s">
        <v>792</v>
      </c>
      <c r="Q23" s="102" t="s">
        <v>796</v>
      </c>
      <c r="R23" s="102" t="s">
        <v>794</v>
      </c>
      <c r="S23" s="42" t="s">
        <v>119</v>
      </c>
      <c r="T23" s="42" t="s">
        <v>727</v>
      </c>
      <c r="U23" s="42" t="s">
        <v>754</v>
      </c>
      <c r="V23" s="24">
        <v>40</v>
      </c>
      <c r="W23" s="24">
        <v>10</v>
      </c>
      <c r="X23" s="112">
        <v>10</v>
      </c>
      <c r="Y23" s="25">
        <f>IFERROR((TABLA_AVANCE_INDICADORES[[#This Row],[AVANCE 1°. TRIM]]/TABLA_AVANCE_INDICADORES[[#This Row],[PROGR. 1° TRIM]])*100,"0")</f>
        <v>100</v>
      </c>
      <c r="Z23"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23" s="104">
        <v>10</v>
      </c>
      <c r="AB23" s="113">
        <v>10</v>
      </c>
      <c r="AC23" s="27">
        <f t="shared" si="0"/>
        <v>100</v>
      </c>
      <c r="AD23" s="26" t="str">
        <f t="shared" si="1"/>
        <v>ADECUADO</v>
      </c>
      <c r="AE23" s="104">
        <v>10</v>
      </c>
      <c r="AF23" s="113">
        <f>AE23</f>
        <v>10</v>
      </c>
      <c r="AG23" s="27">
        <f>IFERROR((TABLA_AVANCE_INDICADORES[[#This Row],[AVANCE 3°. TRIM]]/TABLA_AVANCE_INDICADORES[[#This Row],[PROGR. 3° TRIM]])*100,"0")</f>
        <v>100</v>
      </c>
      <c r="AH23"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ADECUADO</v>
      </c>
      <c r="AI23" s="104">
        <v>10</v>
      </c>
      <c r="AJ23" s="113">
        <f>AI23</f>
        <v>10</v>
      </c>
      <c r="AK23" s="27">
        <f>IFERROR((TABLA_AVANCE_INDICADORES[[#This Row],[AVANCE 4°. TRIM]]/TABLA_AVANCE_INDICADORES[[#This Row],[PROGR. 4° TRIM]])*100,"0")</f>
        <v>100</v>
      </c>
      <c r="AL23"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23"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20</v>
      </c>
      <c r="AN23"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20</v>
      </c>
      <c r="AO23" s="27">
        <f>IFERROR((TABLA_AVANCE_INDICADORES[[#This Row],[AVANCE ACUM. TRIM.]]/TABLA_AVANCE_INDICADORES[[#This Row],[PROG. ACUM]])*100,"N/A")</f>
        <v>100</v>
      </c>
      <c r="AP23"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23" s="106">
        <f>TABLA_AVANCE_INDICADORES[[#This Row],[AVANCE ACUM. TRIM.]]-TABLA_AVANCE_INDICADORES[[#This Row],[PROG. ACUM]]</f>
        <v>0</v>
      </c>
      <c r="AR23" s="32">
        <f>IFERROR((TABLA_AVANCE_INDICADORES[[#This Row],[DIFERENCIA ABSOLUTA SEMESTRAL]]/TABLA_AVANCE_INDICADORES[[#This Row],[PROG. ACUM]])*100,"N/A")</f>
        <v>0</v>
      </c>
      <c r="AS23"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20</v>
      </c>
      <c r="AT23" s="27">
        <f>IFERROR((TABLA_AVANCE_INDICADORES[[#This Row],[AVANCE ACUM. ANUAL]]/TABLA_AVANCE_INDICADORES[[#This Row],[PROGRAMADO ANUAL]])*100,"N/A")</f>
        <v>50</v>
      </c>
      <c r="AU23"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23" s="106">
        <f>TABLA_AVANCE_INDICADORES[[#This Row],[AVANCE ACUM. ANUAL]]-TABLA_AVANCE_INDICADORES[[#This Row],[PROGRAMADO ANUAL]]</f>
        <v>-20</v>
      </c>
      <c r="AW23" s="32">
        <f>IFERROR((TABLA_AVANCE_INDICADORES[[#This Row],[DIFERENCIA ABSOLUTA ANUAL]]/TABLA_AVANCE_INDICADORES[[#This Row],[PROGRAMADO ANUAL]])*100,"N/A")</f>
        <v>-50</v>
      </c>
      <c r="AX23" s="108"/>
      <c r="AY23" s="35"/>
      <c r="AZ23" s="36"/>
      <c r="BA23" s="36"/>
      <c r="BB23"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4" spans="1:54" s="46" customFormat="1" ht="63" hidden="1" customHeight="1" x14ac:dyDescent="0.35">
      <c r="A24" s="19" t="s">
        <v>797</v>
      </c>
      <c r="B24" s="99" t="s">
        <v>104</v>
      </c>
      <c r="C24" s="20" t="s">
        <v>74</v>
      </c>
      <c r="D24" s="100" t="s">
        <v>75</v>
      </c>
      <c r="E24" s="20" t="s">
        <v>105</v>
      </c>
      <c r="F24" s="101" t="s">
        <v>106</v>
      </c>
      <c r="G24" s="80" t="s">
        <v>107</v>
      </c>
      <c r="H24" s="80" t="s">
        <v>772</v>
      </c>
      <c r="I24" s="22" t="s">
        <v>722</v>
      </c>
      <c r="J24" s="22" t="s">
        <v>108</v>
      </c>
      <c r="K24" s="80" t="s">
        <v>109</v>
      </c>
      <c r="L24" s="22" t="s">
        <v>110</v>
      </c>
      <c r="M24" s="80" t="s">
        <v>111</v>
      </c>
      <c r="N24" s="21">
        <v>1</v>
      </c>
      <c r="O24" s="21" t="s">
        <v>798</v>
      </c>
      <c r="P24" s="102" t="s">
        <v>799</v>
      </c>
      <c r="Q24" s="102" t="s">
        <v>800</v>
      </c>
      <c r="R24" s="102" t="s">
        <v>801</v>
      </c>
      <c r="S24" s="42" t="s">
        <v>121</v>
      </c>
      <c r="T24" s="42" t="s">
        <v>727</v>
      </c>
      <c r="U24" s="42" t="s">
        <v>754</v>
      </c>
      <c r="V24" s="24">
        <v>80</v>
      </c>
      <c r="W24" s="24">
        <v>20</v>
      </c>
      <c r="X24" s="103">
        <v>20</v>
      </c>
      <c r="Y24" s="25">
        <f>IFERROR((TABLA_AVANCE_INDICADORES[[#This Row],[AVANCE 1°. TRIM]]/TABLA_AVANCE_INDICADORES[[#This Row],[PROGR. 1° TRIM]])*100,"0")</f>
        <v>100</v>
      </c>
      <c r="Z24"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24" s="104">
        <v>20</v>
      </c>
      <c r="AB24" s="105">
        <v>20</v>
      </c>
      <c r="AC24" s="27">
        <f t="shared" si="0"/>
        <v>100</v>
      </c>
      <c r="AD24" s="26" t="str">
        <f t="shared" si="1"/>
        <v>ADECUADO</v>
      </c>
      <c r="AE24" s="104">
        <v>20</v>
      </c>
      <c r="AF24" s="105">
        <v>0</v>
      </c>
      <c r="AG24" s="27">
        <f>IFERROR((TABLA_AVANCE_INDICADORES[[#This Row],[AVANCE 3°. TRIM]]/TABLA_AVANCE_INDICADORES[[#This Row],[PROGR. 3° TRIM]])*100,"0")</f>
        <v>0</v>
      </c>
      <c r="AH24"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24" s="104">
        <v>20</v>
      </c>
      <c r="AJ24" s="105">
        <v>0</v>
      </c>
      <c r="AK24" s="27">
        <f>IFERROR((TABLA_AVANCE_INDICADORES[[#This Row],[AVANCE 4°. TRIM]]/TABLA_AVANCE_INDICADORES[[#This Row],[PROGR. 4° TRIM]])*100,"0")</f>
        <v>0</v>
      </c>
      <c r="AL24"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4"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40</v>
      </c>
      <c r="AN24"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40</v>
      </c>
      <c r="AO24" s="27">
        <f>IFERROR((TABLA_AVANCE_INDICADORES[[#This Row],[AVANCE ACUM. TRIM.]]/TABLA_AVANCE_INDICADORES[[#This Row],[PROG. ACUM]])*100,"N/A")</f>
        <v>100</v>
      </c>
      <c r="AP24"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24" s="106">
        <f>TABLA_AVANCE_INDICADORES[[#This Row],[AVANCE ACUM. TRIM.]]-TABLA_AVANCE_INDICADORES[[#This Row],[PROG. ACUM]]</f>
        <v>0</v>
      </c>
      <c r="AR24" s="32">
        <f>IFERROR((TABLA_AVANCE_INDICADORES[[#This Row],[DIFERENCIA ABSOLUTA SEMESTRAL]]/TABLA_AVANCE_INDICADORES[[#This Row],[PROG. ACUM]])*100,"N/A")</f>
        <v>0</v>
      </c>
      <c r="AS24"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40</v>
      </c>
      <c r="AT24" s="27">
        <f>IFERROR((TABLA_AVANCE_INDICADORES[[#This Row],[AVANCE ACUM. ANUAL]]/TABLA_AVANCE_INDICADORES[[#This Row],[PROGRAMADO ANUAL]])*100,"N/A")</f>
        <v>50</v>
      </c>
      <c r="AU24"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24" s="106">
        <f>TABLA_AVANCE_INDICADORES[[#This Row],[AVANCE ACUM. ANUAL]]-TABLA_AVANCE_INDICADORES[[#This Row],[PROGRAMADO ANUAL]]</f>
        <v>-40</v>
      </c>
      <c r="AW24" s="32">
        <f>IFERROR((TABLA_AVANCE_INDICADORES[[#This Row],[DIFERENCIA ABSOLUTA ANUAL]]/TABLA_AVANCE_INDICADORES[[#This Row],[PROGRAMADO ANUAL]])*100,"N/A")</f>
        <v>-50</v>
      </c>
      <c r="AX24" s="108"/>
      <c r="AY24" s="35"/>
      <c r="AZ24" s="36"/>
      <c r="BA24" s="36"/>
      <c r="BB24"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5" spans="1:54" s="46" customFormat="1" ht="63" hidden="1" customHeight="1" x14ac:dyDescent="0.35">
      <c r="A25" s="19" t="s">
        <v>802</v>
      </c>
      <c r="B25" s="99" t="s">
        <v>104</v>
      </c>
      <c r="C25" s="20" t="s">
        <v>74</v>
      </c>
      <c r="D25" s="100" t="s">
        <v>75</v>
      </c>
      <c r="E25" s="20" t="s">
        <v>105</v>
      </c>
      <c r="F25" s="101" t="s">
        <v>106</v>
      </c>
      <c r="G25" s="80" t="s">
        <v>107</v>
      </c>
      <c r="H25" s="80" t="s">
        <v>772</v>
      </c>
      <c r="I25" s="22" t="s">
        <v>722</v>
      </c>
      <c r="J25" s="22" t="s">
        <v>108</v>
      </c>
      <c r="K25" s="80" t="s">
        <v>109</v>
      </c>
      <c r="L25" s="22" t="s">
        <v>110</v>
      </c>
      <c r="M25" s="80" t="s">
        <v>111</v>
      </c>
      <c r="N25" s="21">
        <v>2</v>
      </c>
      <c r="O25" s="21" t="s">
        <v>798</v>
      </c>
      <c r="P25" s="110" t="s">
        <v>799</v>
      </c>
      <c r="Q25" s="110" t="s">
        <v>803</v>
      </c>
      <c r="R25" s="110" t="s">
        <v>801</v>
      </c>
      <c r="S25" s="42" t="s">
        <v>121</v>
      </c>
      <c r="T25" s="42" t="s">
        <v>727</v>
      </c>
      <c r="U25" s="42" t="s">
        <v>754</v>
      </c>
      <c r="V25" s="24">
        <v>80</v>
      </c>
      <c r="W25" s="24">
        <v>20</v>
      </c>
      <c r="X25" s="112">
        <v>20</v>
      </c>
      <c r="Y25" s="25">
        <f>IFERROR((TABLA_AVANCE_INDICADORES[[#This Row],[AVANCE 1°. TRIM]]/TABLA_AVANCE_INDICADORES[[#This Row],[PROGR. 1° TRIM]])*100,"0")</f>
        <v>100</v>
      </c>
      <c r="Z25"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25" s="104">
        <v>20</v>
      </c>
      <c r="AB25" s="113">
        <v>20</v>
      </c>
      <c r="AC25" s="27">
        <f t="shared" si="0"/>
        <v>100</v>
      </c>
      <c r="AD25" s="26" t="str">
        <f t="shared" si="1"/>
        <v>ADECUADO</v>
      </c>
      <c r="AE25" s="104">
        <v>20</v>
      </c>
      <c r="AF25" s="113">
        <f>AE25</f>
        <v>20</v>
      </c>
      <c r="AG25" s="27">
        <f>IFERROR((TABLA_AVANCE_INDICADORES[[#This Row],[AVANCE 3°. TRIM]]/TABLA_AVANCE_INDICADORES[[#This Row],[PROGR. 3° TRIM]])*100,"0")</f>
        <v>100</v>
      </c>
      <c r="AH25"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ADECUADO</v>
      </c>
      <c r="AI25" s="104">
        <v>20</v>
      </c>
      <c r="AJ25" s="113">
        <f>AI25</f>
        <v>20</v>
      </c>
      <c r="AK25" s="27">
        <f>IFERROR((TABLA_AVANCE_INDICADORES[[#This Row],[AVANCE 4°. TRIM]]/TABLA_AVANCE_INDICADORES[[#This Row],[PROGR. 4° TRIM]])*100,"0")</f>
        <v>100</v>
      </c>
      <c r="AL25"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25"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40</v>
      </c>
      <c r="AN25"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40</v>
      </c>
      <c r="AO25" s="27">
        <f>IFERROR((TABLA_AVANCE_INDICADORES[[#This Row],[AVANCE ACUM. TRIM.]]/TABLA_AVANCE_INDICADORES[[#This Row],[PROG. ACUM]])*100,"N/A")</f>
        <v>100</v>
      </c>
      <c r="AP25"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25" s="106">
        <f>TABLA_AVANCE_INDICADORES[[#This Row],[AVANCE ACUM. TRIM.]]-TABLA_AVANCE_INDICADORES[[#This Row],[PROG. ACUM]]</f>
        <v>0</v>
      </c>
      <c r="AR25" s="32">
        <f>IFERROR((TABLA_AVANCE_INDICADORES[[#This Row],[DIFERENCIA ABSOLUTA SEMESTRAL]]/TABLA_AVANCE_INDICADORES[[#This Row],[PROG. ACUM]])*100,"N/A")</f>
        <v>0</v>
      </c>
      <c r="AS25"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40</v>
      </c>
      <c r="AT25" s="27">
        <f>IFERROR((TABLA_AVANCE_INDICADORES[[#This Row],[AVANCE ACUM. ANUAL]]/TABLA_AVANCE_INDICADORES[[#This Row],[PROGRAMADO ANUAL]])*100,"N/A")</f>
        <v>50</v>
      </c>
      <c r="AU25"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25" s="106">
        <f>TABLA_AVANCE_INDICADORES[[#This Row],[AVANCE ACUM. ANUAL]]-TABLA_AVANCE_INDICADORES[[#This Row],[PROGRAMADO ANUAL]]</f>
        <v>-40</v>
      </c>
      <c r="AW25" s="32">
        <f>IFERROR((TABLA_AVANCE_INDICADORES[[#This Row],[DIFERENCIA ABSOLUTA ANUAL]]/TABLA_AVANCE_INDICADORES[[#This Row],[PROGRAMADO ANUAL]])*100,"N/A")</f>
        <v>-50</v>
      </c>
      <c r="AX25" s="108"/>
      <c r="AY25" s="35"/>
      <c r="AZ25" s="36"/>
      <c r="BA25" s="36"/>
      <c r="BB25"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6" spans="1:54" ht="63" hidden="1" customHeight="1" x14ac:dyDescent="0.35">
      <c r="A26" s="19" t="s">
        <v>804</v>
      </c>
      <c r="B26" s="99" t="s">
        <v>104</v>
      </c>
      <c r="C26" s="20" t="s">
        <v>74</v>
      </c>
      <c r="D26" s="100" t="s">
        <v>75</v>
      </c>
      <c r="E26" s="20" t="s">
        <v>105</v>
      </c>
      <c r="F26" s="101" t="s">
        <v>106</v>
      </c>
      <c r="G26" s="80" t="s">
        <v>107</v>
      </c>
      <c r="H26" s="80" t="s">
        <v>772</v>
      </c>
      <c r="I26" s="22" t="s">
        <v>722</v>
      </c>
      <c r="J26" s="22" t="s">
        <v>108</v>
      </c>
      <c r="K26" s="80" t="s">
        <v>109</v>
      </c>
      <c r="L26" s="22" t="s">
        <v>110</v>
      </c>
      <c r="M26" s="80" t="s">
        <v>111</v>
      </c>
      <c r="N26" s="21">
        <v>1</v>
      </c>
      <c r="O26" s="21" t="s">
        <v>805</v>
      </c>
      <c r="P26" s="110" t="s">
        <v>806</v>
      </c>
      <c r="Q26" s="110" t="s">
        <v>807</v>
      </c>
      <c r="R26" s="110" t="s">
        <v>808</v>
      </c>
      <c r="S26" s="42" t="s">
        <v>123</v>
      </c>
      <c r="T26" s="42" t="s">
        <v>727</v>
      </c>
      <c r="U26" s="42" t="s">
        <v>754</v>
      </c>
      <c r="V26" s="24">
        <v>560</v>
      </c>
      <c r="W26" s="24">
        <v>140</v>
      </c>
      <c r="X26" s="114">
        <v>141</v>
      </c>
      <c r="Y26" s="25">
        <f>IFERROR((TABLA_AVANCE_INDICADORES[[#This Row],[AVANCE 1°. TRIM]]/TABLA_AVANCE_INDICADORES[[#This Row],[PROGR. 1° TRIM]])*100,"0")</f>
        <v>100.71428571428571</v>
      </c>
      <c r="Z26"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26" s="104">
        <v>140</v>
      </c>
      <c r="AB26" s="105">
        <v>142</v>
      </c>
      <c r="AC26" s="27">
        <f t="shared" si="0"/>
        <v>101.42857142857142</v>
      </c>
      <c r="AD26" s="26" t="str">
        <f t="shared" si="1"/>
        <v>ADECUADO</v>
      </c>
      <c r="AE26" s="104">
        <v>140</v>
      </c>
      <c r="AF26" s="105">
        <v>0</v>
      </c>
      <c r="AG26" s="27">
        <f>IFERROR((TABLA_AVANCE_INDICADORES[[#This Row],[AVANCE 3°. TRIM]]/TABLA_AVANCE_INDICADORES[[#This Row],[PROGR. 3° TRIM]])*100,"0")</f>
        <v>0</v>
      </c>
      <c r="AH26"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26" s="104">
        <v>140</v>
      </c>
      <c r="AJ26" s="105">
        <v>0</v>
      </c>
      <c r="AK26" s="27">
        <f>IFERROR((TABLA_AVANCE_INDICADORES[[#This Row],[AVANCE 4°. TRIM]]/TABLA_AVANCE_INDICADORES[[#This Row],[PROGR. 4° TRIM]])*100,"0")</f>
        <v>0</v>
      </c>
      <c r="AL26"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6"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280</v>
      </c>
      <c r="AN26"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283</v>
      </c>
      <c r="AO26" s="27">
        <f>IFERROR((TABLA_AVANCE_INDICADORES[[#This Row],[AVANCE ACUM. TRIM.]]/TABLA_AVANCE_INDICADORES[[#This Row],[PROG. ACUM]])*100,"N/A")</f>
        <v>101.07142857142857</v>
      </c>
      <c r="AP26"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26" s="106">
        <f>TABLA_AVANCE_INDICADORES[[#This Row],[AVANCE ACUM. TRIM.]]-TABLA_AVANCE_INDICADORES[[#This Row],[PROG. ACUM]]</f>
        <v>3</v>
      </c>
      <c r="AR26" s="32">
        <f>IFERROR((TABLA_AVANCE_INDICADORES[[#This Row],[DIFERENCIA ABSOLUTA SEMESTRAL]]/TABLA_AVANCE_INDICADORES[[#This Row],[PROG. ACUM]])*100,"N/A")</f>
        <v>1.0714285714285714</v>
      </c>
      <c r="AS26"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283</v>
      </c>
      <c r="AT26" s="27">
        <f>IFERROR((TABLA_AVANCE_INDICADORES[[#This Row],[AVANCE ACUM. ANUAL]]/TABLA_AVANCE_INDICADORES[[#This Row],[PROGRAMADO ANUAL]])*100,"N/A")</f>
        <v>50.535714285714285</v>
      </c>
      <c r="AU26"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26" s="106">
        <f>TABLA_AVANCE_INDICADORES[[#This Row],[AVANCE ACUM. ANUAL]]-TABLA_AVANCE_INDICADORES[[#This Row],[PROGRAMADO ANUAL]]</f>
        <v>-277</v>
      </c>
      <c r="AW26" s="32">
        <f>IFERROR((TABLA_AVANCE_INDICADORES[[#This Row],[DIFERENCIA ABSOLUTA ANUAL]]/TABLA_AVANCE_INDICADORES[[#This Row],[PROGRAMADO ANUAL]])*100,"N/A")</f>
        <v>-49.464285714285715</v>
      </c>
      <c r="AX26" s="108"/>
      <c r="AY26" s="35"/>
      <c r="AZ26" s="36"/>
      <c r="BA26" s="36"/>
      <c r="BB26"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7" spans="1:54" ht="63" hidden="1" customHeight="1" x14ac:dyDescent="0.35">
      <c r="A27" s="19" t="s">
        <v>809</v>
      </c>
      <c r="B27" s="99" t="s">
        <v>104</v>
      </c>
      <c r="C27" s="20" t="s">
        <v>74</v>
      </c>
      <c r="D27" s="100" t="s">
        <v>75</v>
      </c>
      <c r="E27" s="20" t="s">
        <v>105</v>
      </c>
      <c r="F27" s="101" t="s">
        <v>106</v>
      </c>
      <c r="G27" s="80" t="s">
        <v>107</v>
      </c>
      <c r="H27" s="80" t="s">
        <v>772</v>
      </c>
      <c r="I27" s="22" t="s">
        <v>722</v>
      </c>
      <c r="J27" s="22" t="s">
        <v>108</v>
      </c>
      <c r="K27" s="80" t="s">
        <v>109</v>
      </c>
      <c r="L27" s="22" t="s">
        <v>110</v>
      </c>
      <c r="M27" s="80" t="s">
        <v>111</v>
      </c>
      <c r="N27" s="21">
        <v>2</v>
      </c>
      <c r="O27" s="21" t="s">
        <v>805</v>
      </c>
      <c r="P27" s="102" t="s">
        <v>806</v>
      </c>
      <c r="Q27" s="102" t="s">
        <v>810</v>
      </c>
      <c r="R27" s="102" t="s">
        <v>808</v>
      </c>
      <c r="S27" s="42" t="s">
        <v>123</v>
      </c>
      <c r="T27" s="42" t="s">
        <v>727</v>
      </c>
      <c r="U27" s="42" t="s">
        <v>754</v>
      </c>
      <c r="V27" s="24">
        <v>560</v>
      </c>
      <c r="W27" s="24">
        <v>140</v>
      </c>
      <c r="X27" s="112">
        <v>140</v>
      </c>
      <c r="Y27" s="25">
        <f>IFERROR((TABLA_AVANCE_INDICADORES[[#This Row],[AVANCE 1°. TRIM]]/TABLA_AVANCE_INDICADORES[[#This Row],[PROGR. 1° TRIM]])*100,"0")</f>
        <v>100</v>
      </c>
      <c r="Z27"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27" s="104">
        <v>140</v>
      </c>
      <c r="AB27" s="113">
        <v>140</v>
      </c>
      <c r="AC27" s="27">
        <f t="shared" si="0"/>
        <v>100</v>
      </c>
      <c r="AD27" s="26" t="str">
        <f t="shared" si="1"/>
        <v>ADECUADO</v>
      </c>
      <c r="AE27" s="104">
        <v>140</v>
      </c>
      <c r="AF27" s="113">
        <f>AE27</f>
        <v>140</v>
      </c>
      <c r="AG27" s="27">
        <f>IFERROR((TABLA_AVANCE_INDICADORES[[#This Row],[AVANCE 3°. TRIM]]/TABLA_AVANCE_INDICADORES[[#This Row],[PROGR. 3° TRIM]])*100,"0")</f>
        <v>100</v>
      </c>
      <c r="AH27"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ADECUADO</v>
      </c>
      <c r="AI27" s="104">
        <v>140</v>
      </c>
      <c r="AJ27" s="113">
        <f>AI27</f>
        <v>140</v>
      </c>
      <c r="AK27" s="27">
        <f>IFERROR((TABLA_AVANCE_INDICADORES[[#This Row],[AVANCE 4°. TRIM]]/TABLA_AVANCE_INDICADORES[[#This Row],[PROGR. 4° TRIM]])*100,"0")</f>
        <v>100</v>
      </c>
      <c r="AL27"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27"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280</v>
      </c>
      <c r="AN27"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280</v>
      </c>
      <c r="AO27" s="27">
        <f>IFERROR((TABLA_AVANCE_INDICADORES[[#This Row],[AVANCE ACUM. TRIM.]]/TABLA_AVANCE_INDICADORES[[#This Row],[PROG. ACUM]])*100,"N/A")</f>
        <v>100</v>
      </c>
      <c r="AP27"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27" s="106">
        <f>TABLA_AVANCE_INDICADORES[[#This Row],[AVANCE ACUM. TRIM.]]-TABLA_AVANCE_INDICADORES[[#This Row],[PROG. ACUM]]</f>
        <v>0</v>
      </c>
      <c r="AR27" s="32">
        <f>IFERROR((TABLA_AVANCE_INDICADORES[[#This Row],[DIFERENCIA ABSOLUTA SEMESTRAL]]/TABLA_AVANCE_INDICADORES[[#This Row],[PROG. ACUM]])*100,"N/A")</f>
        <v>0</v>
      </c>
      <c r="AS27"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280</v>
      </c>
      <c r="AT27" s="27">
        <f>IFERROR((TABLA_AVANCE_INDICADORES[[#This Row],[AVANCE ACUM. ANUAL]]/TABLA_AVANCE_INDICADORES[[#This Row],[PROGRAMADO ANUAL]])*100,"N/A")</f>
        <v>50</v>
      </c>
      <c r="AU27"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27" s="106">
        <f>TABLA_AVANCE_INDICADORES[[#This Row],[AVANCE ACUM. ANUAL]]-TABLA_AVANCE_INDICADORES[[#This Row],[PROGRAMADO ANUAL]]</f>
        <v>-280</v>
      </c>
      <c r="AW27" s="32">
        <f>IFERROR((TABLA_AVANCE_INDICADORES[[#This Row],[DIFERENCIA ABSOLUTA ANUAL]]/TABLA_AVANCE_INDICADORES[[#This Row],[PROGRAMADO ANUAL]])*100,"N/A")</f>
        <v>-50</v>
      </c>
      <c r="AX27" s="108"/>
      <c r="AY27" s="35"/>
      <c r="AZ27" s="36"/>
      <c r="BA27" s="36"/>
      <c r="BB27"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8" spans="1:54" ht="63" hidden="1" customHeight="1" x14ac:dyDescent="0.35">
      <c r="A28" s="19" t="s">
        <v>811</v>
      </c>
      <c r="B28" s="99" t="s">
        <v>104</v>
      </c>
      <c r="C28" s="20" t="s">
        <v>74</v>
      </c>
      <c r="D28" s="100" t="s">
        <v>75</v>
      </c>
      <c r="E28" s="20" t="s">
        <v>105</v>
      </c>
      <c r="F28" s="101" t="s">
        <v>106</v>
      </c>
      <c r="G28" s="80" t="s">
        <v>107</v>
      </c>
      <c r="H28" s="80" t="s">
        <v>772</v>
      </c>
      <c r="I28" s="22" t="s">
        <v>722</v>
      </c>
      <c r="J28" s="22" t="s">
        <v>108</v>
      </c>
      <c r="K28" s="80" t="s">
        <v>109</v>
      </c>
      <c r="L28" s="22" t="s">
        <v>110</v>
      </c>
      <c r="M28" s="80" t="s">
        <v>111</v>
      </c>
      <c r="N28" s="21">
        <v>1</v>
      </c>
      <c r="O28" s="21" t="s">
        <v>812</v>
      </c>
      <c r="P28" s="102" t="s">
        <v>813</v>
      </c>
      <c r="Q28" s="102" t="s">
        <v>814</v>
      </c>
      <c r="R28" s="102" t="s">
        <v>815</v>
      </c>
      <c r="S28" s="42" t="s">
        <v>125</v>
      </c>
      <c r="T28" s="42" t="s">
        <v>727</v>
      </c>
      <c r="U28" s="42" t="s">
        <v>754</v>
      </c>
      <c r="V28" s="24">
        <v>80</v>
      </c>
      <c r="W28" s="24">
        <v>20</v>
      </c>
      <c r="X28" s="103">
        <v>20</v>
      </c>
      <c r="Y28" s="25">
        <f>IFERROR((TABLA_AVANCE_INDICADORES[[#This Row],[AVANCE 1°. TRIM]]/TABLA_AVANCE_INDICADORES[[#This Row],[PROGR. 1° TRIM]])*100,"0")</f>
        <v>100</v>
      </c>
      <c r="Z28"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28" s="104">
        <v>20</v>
      </c>
      <c r="AB28" s="105">
        <v>20</v>
      </c>
      <c r="AC28" s="27">
        <f t="shared" si="0"/>
        <v>100</v>
      </c>
      <c r="AD28" s="26" t="str">
        <f t="shared" si="1"/>
        <v>ADECUADO</v>
      </c>
      <c r="AE28" s="104">
        <v>20</v>
      </c>
      <c r="AF28" s="105">
        <v>0</v>
      </c>
      <c r="AG28" s="27">
        <f>IFERROR((TABLA_AVANCE_INDICADORES[[#This Row],[AVANCE 3°. TRIM]]/TABLA_AVANCE_INDICADORES[[#This Row],[PROGR. 3° TRIM]])*100,"0")</f>
        <v>0</v>
      </c>
      <c r="AH28"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28" s="104">
        <v>20</v>
      </c>
      <c r="AJ28" s="105">
        <v>0</v>
      </c>
      <c r="AK28" s="27">
        <f>IFERROR((TABLA_AVANCE_INDICADORES[[#This Row],[AVANCE 4°. TRIM]]/TABLA_AVANCE_INDICADORES[[#This Row],[PROGR. 4° TRIM]])*100,"0")</f>
        <v>0</v>
      </c>
      <c r="AL28"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8"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40</v>
      </c>
      <c r="AN28"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40</v>
      </c>
      <c r="AO28" s="27">
        <f>IFERROR((TABLA_AVANCE_INDICADORES[[#This Row],[AVANCE ACUM. TRIM.]]/TABLA_AVANCE_INDICADORES[[#This Row],[PROG. ACUM]])*100,"N/A")</f>
        <v>100</v>
      </c>
      <c r="AP28"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28" s="106">
        <f>TABLA_AVANCE_INDICADORES[[#This Row],[AVANCE ACUM. TRIM.]]-TABLA_AVANCE_INDICADORES[[#This Row],[PROG. ACUM]]</f>
        <v>0</v>
      </c>
      <c r="AR28" s="32">
        <f>IFERROR((TABLA_AVANCE_INDICADORES[[#This Row],[DIFERENCIA ABSOLUTA SEMESTRAL]]/TABLA_AVANCE_INDICADORES[[#This Row],[PROG. ACUM]])*100,"N/A")</f>
        <v>0</v>
      </c>
      <c r="AS28"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40</v>
      </c>
      <c r="AT28" s="27">
        <f>IFERROR((TABLA_AVANCE_INDICADORES[[#This Row],[AVANCE ACUM. ANUAL]]/TABLA_AVANCE_INDICADORES[[#This Row],[PROGRAMADO ANUAL]])*100,"N/A")</f>
        <v>50</v>
      </c>
      <c r="AU28"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28" s="106">
        <f>TABLA_AVANCE_INDICADORES[[#This Row],[AVANCE ACUM. ANUAL]]-TABLA_AVANCE_INDICADORES[[#This Row],[PROGRAMADO ANUAL]]</f>
        <v>-40</v>
      </c>
      <c r="AW28" s="32">
        <f>IFERROR((TABLA_AVANCE_INDICADORES[[#This Row],[DIFERENCIA ABSOLUTA ANUAL]]/TABLA_AVANCE_INDICADORES[[#This Row],[PROGRAMADO ANUAL]])*100,"N/A")</f>
        <v>-50</v>
      </c>
      <c r="AX28" s="108"/>
      <c r="AY28" s="35"/>
      <c r="AZ28" s="36"/>
      <c r="BA28" s="36"/>
      <c r="BB28"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9" spans="1:54" ht="63" hidden="1" customHeight="1" x14ac:dyDescent="0.35">
      <c r="A29" s="19" t="s">
        <v>816</v>
      </c>
      <c r="B29" s="99" t="s">
        <v>104</v>
      </c>
      <c r="C29" s="20" t="s">
        <v>74</v>
      </c>
      <c r="D29" s="100" t="s">
        <v>75</v>
      </c>
      <c r="E29" s="20" t="s">
        <v>105</v>
      </c>
      <c r="F29" s="101" t="s">
        <v>106</v>
      </c>
      <c r="G29" s="80" t="s">
        <v>107</v>
      </c>
      <c r="H29" s="80" t="s">
        <v>772</v>
      </c>
      <c r="I29" s="22" t="s">
        <v>722</v>
      </c>
      <c r="J29" s="22" t="s">
        <v>108</v>
      </c>
      <c r="K29" s="80" t="s">
        <v>109</v>
      </c>
      <c r="L29" s="22" t="s">
        <v>110</v>
      </c>
      <c r="M29" s="80" t="s">
        <v>111</v>
      </c>
      <c r="N29" s="21">
        <v>2</v>
      </c>
      <c r="O29" s="21" t="s">
        <v>812</v>
      </c>
      <c r="P29" s="102" t="s">
        <v>813</v>
      </c>
      <c r="Q29" s="102" t="s">
        <v>817</v>
      </c>
      <c r="R29" s="102" t="s">
        <v>815</v>
      </c>
      <c r="S29" s="42" t="s">
        <v>125</v>
      </c>
      <c r="T29" s="42" t="s">
        <v>727</v>
      </c>
      <c r="U29" s="42" t="s">
        <v>754</v>
      </c>
      <c r="V29" s="24">
        <v>80</v>
      </c>
      <c r="W29" s="24">
        <v>20</v>
      </c>
      <c r="X29" s="112">
        <v>20</v>
      </c>
      <c r="Y29" s="25">
        <f>IFERROR((TABLA_AVANCE_INDICADORES[[#This Row],[AVANCE 1°. TRIM]]/TABLA_AVANCE_INDICADORES[[#This Row],[PROGR. 1° TRIM]])*100,"0")</f>
        <v>100</v>
      </c>
      <c r="Z29"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29" s="104">
        <v>20</v>
      </c>
      <c r="AB29" s="113">
        <v>20</v>
      </c>
      <c r="AC29" s="27">
        <f t="shared" si="0"/>
        <v>100</v>
      </c>
      <c r="AD29" s="26" t="str">
        <f t="shared" si="1"/>
        <v>ADECUADO</v>
      </c>
      <c r="AE29" s="104">
        <v>20</v>
      </c>
      <c r="AF29" s="113">
        <f>AE29</f>
        <v>20</v>
      </c>
      <c r="AG29" s="27">
        <f>IFERROR((TABLA_AVANCE_INDICADORES[[#This Row],[AVANCE 3°. TRIM]]/TABLA_AVANCE_INDICADORES[[#This Row],[PROGR. 3° TRIM]])*100,"0")</f>
        <v>100</v>
      </c>
      <c r="AH29"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ADECUADO</v>
      </c>
      <c r="AI29" s="104">
        <v>20</v>
      </c>
      <c r="AJ29" s="113">
        <f>AI29</f>
        <v>20</v>
      </c>
      <c r="AK29" s="27">
        <f>IFERROR((TABLA_AVANCE_INDICADORES[[#This Row],[AVANCE 4°. TRIM]]/TABLA_AVANCE_INDICADORES[[#This Row],[PROGR. 4° TRIM]])*100,"0")</f>
        <v>100</v>
      </c>
      <c r="AL29"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29"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40</v>
      </c>
      <c r="AN29"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40</v>
      </c>
      <c r="AO29" s="27">
        <f>IFERROR((TABLA_AVANCE_INDICADORES[[#This Row],[AVANCE ACUM. TRIM.]]/TABLA_AVANCE_INDICADORES[[#This Row],[PROG. ACUM]])*100,"N/A")</f>
        <v>100</v>
      </c>
      <c r="AP29"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29" s="106">
        <f>TABLA_AVANCE_INDICADORES[[#This Row],[AVANCE ACUM. TRIM.]]-TABLA_AVANCE_INDICADORES[[#This Row],[PROG. ACUM]]</f>
        <v>0</v>
      </c>
      <c r="AR29" s="32">
        <f>IFERROR((TABLA_AVANCE_INDICADORES[[#This Row],[DIFERENCIA ABSOLUTA SEMESTRAL]]/TABLA_AVANCE_INDICADORES[[#This Row],[PROG. ACUM]])*100,"N/A")</f>
        <v>0</v>
      </c>
      <c r="AS29"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40</v>
      </c>
      <c r="AT29" s="27">
        <f>IFERROR((TABLA_AVANCE_INDICADORES[[#This Row],[AVANCE ACUM. ANUAL]]/TABLA_AVANCE_INDICADORES[[#This Row],[PROGRAMADO ANUAL]])*100,"N/A")</f>
        <v>50</v>
      </c>
      <c r="AU29"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29" s="106">
        <f>TABLA_AVANCE_INDICADORES[[#This Row],[AVANCE ACUM. ANUAL]]-TABLA_AVANCE_INDICADORES[[#This Row],[PROGRAMADO ANUAL]]</f>
        <v>-40</v>
      </c>
      <c r="AW29" s="32">
        <f>IFERROR((TABLA_AVANCE_INDICADORES[[#This Row],[DIFERENCIA ABSOLUTA ANUAL]]/TABLA_AVANCE_INDICADORES[[#This Row],[PROGRAMADO ANUAL]])*100,"N/A")</f>
        <v>-50</v>
      </c>
      <c r="AX29" s="108"/>
      <c r="AY29" s="35"/>
      <c r="AZ29" s="36"/>
      <c r="BA29" s="36"/>
      <c r="BB29"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30" spans="1:54" ht="63" hidden="1" customHeight="1" x14ac:dyDescent="0.35">
      <c r="A30" s="19" t="s">
        <v>818</v>
      </c>
      <c r="B30" s="99" t="s">
        <v>104</v>
      </c>
      <c r="C30" s="20" t="s">
        <v>74</v>
      </c>
      <c r="D30" s="100" t="s">
        <v>75</v>
      </c>
      <c r="E30" s="20" t="s">
        <v>105</v>
      </c>
      <c r="F30" s="101" t="s">
        <v>106</v>
      </c>
      <c r="G30" s="80" t="s">
        <v>107</v>
      </c>
      <c r="H30" s="80" t="s">
        <v>772</v>
      </c>
      <c r="I30" s="22" t="s">
        <v>722</v>
      </c>
      <c r="J30" s="22" t="s">
        <v>108</v>
      </c>
      <c r="K30" s="80" t="s">
        <v>109</v>
      </c>
      <c r="L30" s="22" t="s">
        <v>110</v>
      </c>
      <c r="M30" s="80" t="s">
        <v>111</v>
      </c>
      <c r="N30" s="21">
        <v>1</v>
      </c>
      <c r="O30" s="21" t="s">
        <v>819</v>
      </c>
      <c r="P30" s="110" t="s">
        <v>820</v>
      </c>
      <c r="Q30" s="110" t="s">
        <v>821</v>
      </c>
      <c r="R30" s="110" t="s">
        <v>822</v>
      </c>
      <c r="S30" s="42" t="s">
        <v>127</v>
      </c>
      <c r="T30" s="42" t="s">
        <v>727</v>
      </c>
      <c r="U30" s="42" t="s">
        <v>754</v>
      </c>
      <c r="V30" s="24">
        <v>4</v>
      </c>
      <c r="W30" s="24">
        <v>1</v>
      </c>
      <c r="X30" s="103">
        <v>1</v>
      </c>
      <c r="Y30" s="25">
        <f>IFERROR((TABLA_AVANCE_INDICADORES[[#This Row],[AVANCE 1°. TRIM]]/TABLA_AVANCE_INDICADORES[[#This Row],[PROGR. 1° TRIM]])*100,"0")</f>
        <v>100</v>
      </c>
      <c r="Z30"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30" s="104">
        <v>1</v>
      </c>
      <c r="AB30" s="105">
        <v>1</v>
      </c>
      <c r="AC30" s="27">
        <f t="shared" si="0"/>
        <v>100</v>
      </c>
      <c r="AD30" s="26" t="str">
        <f t="shared" si="1"/>
        <v>ADECUADO</v>
      </c>
      <c r="AE30" s="104">
        <v>1</v>
      </c>
      <c r="AF30" s="105">
        <v>0</v>
      </c>
      <c r="AG30" s="27">
        <f>IFERROR((TABLA_AVANCE_INDICADORES[[#This Row],[AVANCE 3°. TRIM]]/TABLA_AVANCE_INDICADORES[[#This Row],[PROGR. 3° TRIM]])*100,"0")</f>
        <v>0</v>
      </c>
      <c r="AH30"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30" s="104">
        <v>1</v>
      </c>
      <c r="AJ30" s="105">
        <v>0</v>
      </c>
      <c r="AK30" s="27">
        <f>IFERROR((TABLA_AVANCE_INDICADORES[[#This Row],[AVANCE 4°. TRIM]]/TABLA_AVANCE_INDICADORES[[#This Row],[PROGR. 4° TRIM]])*100,"0")</f>
        <v>0</v>
      </c>
      <c r="AL30"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30"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v>
      </c>
      <c r="AN30"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O30" s="27">
        <f>IFERROR((TABLA_AVANCE_INDICADORES[[#This Row],[AVANCE ACUM. TRIM.]]/TABLA_AVANCE_INDICADORES[[#This Row],[PROG. ACUM]])*100,"N/A")</f>
        <v>100</v>
      </c>
      <c r="AP30"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30" s="106">
        <f>TABLA_AVANCE_INDICADORES[[#This Row],[AVANCE ACUM. TRIM.]]-TABLA_AVANCE_INDICADORES[[#This Row],[PROG. ACUM]]</f>
        <v>0</v>
      </c>
      <c r="AR30" s="32">
        <f>IFERROR((TABLA_AVANCE_INDICADORES[[#This Row],[DIFERENCIA ABSOLUTA SEMESTRAL]]/TABLA_AVANCE_INDICADORES[[#This Row],[PROG. ACUM]])*100,"N/A")</f>
        <v>0</v>
      </c>
      <c r="AS30"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T30" s="27">
        <f>IFERROR((TABLA_AVANCE_INDICADORES[[#This Row],[AVANCE ACUM. ANUAL]]/TABLA_AVANCE_INDICADORES[[#This Row],[PROGRAMADO ANUAL]])*100,"N/A")</f>
        <v>50</v>
      </c>
      <c r="AU30"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30" s="106">
        <f>TABLA_AVANCE_INDICADORES[[#This Row],[AVANCE ACUM. ANUAL]]-TABLA_AVANCE_INDICADORES[[#This Row],[PROGRAMADO ANUAL]]</f>
        <v>-2</v>
      </c>
      <c r="AW30" s="32">
        <f>IFERROR((TABLA_AVANCE_INDICADORES[[#This Row],[DIFERENCIA ABSOLUTA ANUAL]]/TABLA_AVANCE_INDICADORES[[#This Row],[PROGRAMADO ANUAL]])*100,"N/A")</f>
        <v>-50</v>
      </c>
      <c r="AX30" s="108"/>
      <c r="AY30" s="35"/>
      <c r="AZ30" s="36"/>
      <c r="BA30" s="36"/>
      <c r="BB30"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31" spans="1:54" ht="63" hidden="1" customHeight="1" x14ac:dyDescent="0.35">
      <c r="A31" s="19" t="s">
        <v>823</v>
      </c>
      <c r="B31" s="99" t="s">
        <v>104</v>
      </c>
      <c r="C31" s="20" t="s">
        <v>74</v>
      </c>
      <c r="D31" s="100" t="s">
        <v>75</v>
      </c>
      <c r="E31" s="20" t="s">
        <v>105</v>
      </c>
      <c r="F31" s="101" t="s">
        <v>106</v>
      </c>
      <c r="G31" s="80" t="s">
        <v>107</v>
      </c>
      <c r="H31" s="80" t="s">
        <v>772</v>
      </c>
      <c r="I31" s="22" t="s">
        <v>722</v>
      </c>
      <c r="J31" s="22" t="s">
        <v>108</v>
      </c>
      <c r="K31" s="80" t="s">
        <v>109</v>
      </c>
      <c r="L31" s="22" t="s">
        <v>110</v>
      </c>
      <c r="M31" s="80" t="s">
        <v>111</v>
      </c>
      <c r="N31" s="21">
        <v>2</v>
      </c>
      <c r="O31" s="21" t="s">
        <v>819</v>
      </c>
      <c r="P31" s="102" t="s">
        <v>820</v>
      </c>
      <c r="Q31" s="102" t="s">
        <v>824</v>
      </c>
      <c r="R31" s="102" t="s">
        <v>822</v>
      </c>
      <c r="S31" s="42" t="s">
        <v>127</v>
      </c>
      <c r="T31" s="42" t="s">
        <v>727</v>
      </c>
      <c r="U31" s="42" t="s">
        <v>754</v>
      </c>
      <c r="V31" s="24">
        <v>4</v>
      </c>
      <c r="W31" s="24">
        <v>1</v>
      </c>
      <c r="X31" s="112">
        <v>1</v>
      </c>
      <c r="Y31" s="25">
        <f>IFERROR((TABLA_AVANCE_INDICADORES[[#This Row],[AVANCE 1°. TRIM]]/TABLA_AVANCE_INDICADORES[[#This Row],[PROGR. 1° TRIM]])*100,"0")</f>
        <v>100</v>
      </c>
      <c r="Z31"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31" s="104">
        <v>1</v>
      </c>
      <c r="AB31" s="113">
        <v>1</v>
      </c>
      <c r="AC31" s="27">
        <f t="shared" si="0"/>
        <v>100</v>
      </c>
      <c r="AD31" s="26" t="str">
        <f t="shared" si="1"/>
        <v>ADECUADO</v>
      </c>
      <c r="AE31" s="104">
        <v>1</v>
      </c>
      <c r="AF31" s="113">
        <f>AE31</f>
        <v>1</v>
      </c>
      <c r="AG31" s="27">
        <f>IFERROR((TABLA_AVANCE_INDICADORES[[#This Row],[AVANCE 3°. TRIM]]/TABLA_AVANCE_INDICADORES[[#This Row],[PROGR. 3° TRIM]])*100,"0")</f>
        <v>100</v>
      </c>
      <c r="AH31"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ADECUADO</v>
      </c>
      <c r="AI31" s="104">
        <v>1</v>
      </c>
      <c r="AJ31" s="113">
        <f>AI31</f>
        <v>1</v>
      </c>
      <c r="AK31" s="27">
        <f>IFERROR((TABLA_AVANCE_INDICADORES[[#This Row],[AVANCE 4°. TRIM]]/TABLA_AVANCE_INDICADORES[[#This Row],[PROGR. 4° TRIM]])*100,"0")</f>
        <v>100</v>
      </c>
      <c r="AL31"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31"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v>
      </c>
      <c r="AN31"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O31" s="27">
        <f>IFERROR((TABLA_AVANCE_INDICADORES[[#This Row],[AVANCE ACUM. TRIM.]]/TABLA_AVANCE_INDICADORES[[#This Row],[PROG. ACUM]])*100,"N/A")</f>
        <v>100</v>
      </c>
      <c r="AP31"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31" s="106">
        <f>TABLA_AVANCE_INDICADORES[[#This Row],[AVANCE ACUM. TRIM.]]-TABLA_AVANCE_INDICADORES[[#This Row],[PROG. ACUM]]</f>
        <v>0</v>
      </c>
      <c r="AR31" s="32">
        <f>IFERROR((TABLA_AVANCE_INDICADORES[[#This Row],[DIFERENCIA ABSOLUTA SEMESTRAL]]/TABLA_AVANCE_INDICADORES[[#This Row],[PROG. ACUM]])*100,"N/A")</f>
        <v>0</v>
      </c>
      <c r="AS31"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T31" s="27">
        <f>IFERROR((TABLA_AVANCE_INDICADORES[[#This Row],[AVANCE ACUM. ANUAL]]/TABLA_AVANCE_INDICADORES[[#This Row],[PROGRAMADO ANUAL]])*100,"N/A")</f>
        <v>50</v>
      </c>
      <c r="AU31"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31" s="106">
        <f>TABLA_AVANCE_INDICADORES[[#This Row],[AVANCE ACUM. ANUAL]]-TABLA_AVANCE_INDICADORES[[#This Row],[PROGRAMADO ANUAL]]</f>
        <v>-2</v>
      </c>
      <c r="AW31" s="32">
        <f>IFERROR((TABLA_AVANCE_INDICADORES[[#This Row],[DIFERENCIA ABSOLUTA ANUAL]]/TABLA_AVANCE_INDICADORES[[#This Row],[PROGRAMADO ANUAL]])*100,"N/A")</f>
        <v>-50</v>
      </c>
      <c r="AX31" s="108"/>
      <c r="AY31" s="35"/>
      <c r="AZ31" s="36"/>
      <c r="BA31" s="36"/>
      <c r="BB31"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32" spans="1:54" ht="63" customHeight="1" x14ac:dyDescent="0.35">
      <c r="A32" s="19" t="s">
        <v>825</v>
      </c>
      <c r="B32" s="99" t="s">
        <v>51</v>
      </c>
      <c r="C32" s="20" t="s">
        <v>52</v>
      </c>
      <c r="D32" s="100" t="s">
        <v>51</v>
      </c>
      <c r="E32" s="20" t="s">
        <v>53</v>
      </c>
      <c r="F32" s="101" t="s">
        <v>54</v>
      </c>
      <c r="G32" s="80" t="s">
        <v>55</v>
      </c>
      <c r="H32" s="80" t="s">
        <v>826</v>
      </c>
      <c r="I32" s="22" t="s">
        <v>722</v>
      </c>
      <c r="J32" s="22" t="s">
        <v>56</v>
      </c>
      <c r="K32" s="80" t="s">
        <v>57</v>
      </c>
      <c r="L32" s="22" t="s">
        <v>58</v>
      </c>
      <c r="M32" s="80" t="s">
        <v>59</v>
      </c>
      <c r="N32" s="21">
        <v>1</v>
      </c>
      <c r="O32" s="21" t="s">
        <v>723</v>
      </c>
      <c r="P32" s="102" t="s">
        <v>827</v>
      </c>
      <c r="Q32" s="102" t="s">
        <v>828</v>
      </c>
      <c r="R32" s="102" t="s">
        <v>829</v>
      </c>
      <c r="S32" s="42" t="s">
        <v>830</v>
      </c>
      <c r="T32" s="42" t="s">
        <v>831</v>
      </c>
      <c r="U32" s="42" t="s">
        <v>738</v>
      </c>
      <c r="V32" s="24">
        <v>2</v>
      </c>
      <c r="W32" s="24">
        <v>0</v>
      </c>
      <c r="X32" s="103">
        <v>0</v>
      </c>
      <c r="Y32" s="25" t="str">
        <f>IFERROR((TABLA_AVANCE_INDICADORES[[#This Row],[AVANCE 1°. TRIM]]/TABLA_AVANCE_INDICADORES[[#This Row],[PROGR. 1° TRIM]])*100,"0")</f>
        <v>0</v>
      </c>
      <c r="Z32"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32" s="104">
        <v>0</v>
      </c>
      <c r="AB32" s="105">
        <v>0</v>
      </c>
      <c r="AC32" s="27" t="str">
        <f t="shared" si="0"/>
        <v>0</v>
      </c>
      <c r="AD32" s="26" t="str">
        <f t="shared" si="1"/>
        <v>NO PROG.</v>
      </c>
      <c r="AE32" s="104">
        <v>0</v>
      </c>
      <c r="AF32" s="105">
        <v>0</v>
      </c>
      <c r="AG32" s="27" t="str">
        <f>IFERROR((TABLA_AVANCE_INDICADORES[[#This Row],[AVANCE 3°. TRIM]]/TABLA_AVANCE_INDICADORES[[#This Row],[PROGR. 3° TRIM]])*100,"0")</f>
        <v>0</v>
      </c>
      <c r="AH32"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32" s="104">
        <v>2</v>
      </c>
      <c r="AJ32" s="105">
        <v>0</v>
      </c>
      <c r="AK32" s="27">
        <f>IFERROR((TABLA_AVANCE_INDICADORES[[#This Row],[AVANCE 4°. TRIM]]/TABLA_AVANCE_INDICADORES[[#This Row],[PROGR. 4° TRIM]])*100,"0")</f>
        <v>0</v>
      </c>
      <c r="AL32"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32"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32"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32" s="27" t="str">
        <f>IFERROR((TABLA_AVANCE_INDICADORES[[#This Row],[AVANCE ACUM. TRIM.]]/TABLA_AVANCE_INDICADORES[[#This Row],[PROG. ACUM]])*100,"N/A")</f>
        <v>N/A</v>
      </c>
      <c r="AP32"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32" s="106">
        <f>TABLA_AVANCE_INDICADORES[[#This Row],[AVANCE ACUM. TRIM.]]-TABLA_AVANCE_INDICADORES[[#This Row],[PROG. ACUM]]</f>
        <v>0</v>
      </c>
      <c r="AR32" s="32" t="str">
        <f>IFERROR((TABLA_AVANCE_INDICADORES[[#This Row],[DIFERENCIA ABSOLUTA SEMESTRAL]]/TABLA_AVANCE_INDICADORES[[#This Row],[PROG. ACUM]])*100,"N/A")</f>
        <v>N/A</v>
      </c>
      <c r="AS32"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32" s="27">
        <f>IFERROR((TABLA_AVANCE_INDICADORES[[#This Row],[AVANCE ACUM. ANUAL]]/TABLA_AVANCE_INDICADORES[[#This Row],[PROGRAMADO ANUAL]])*100,"N/A")</f>
        <v>0</v>
      </c>
      <c r="AU32"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32" s="106">
        <f>TABLA_AVANCE_INDICADORES[[#This Row],[AVANCE ACUM. ANUAL]]-TABLA_AVANCE_INDICADORES[[#This Row],[PROGRAMADO ANUAL]]</f>
        <v>-2</v>
      </c>
      <c r="AW32" s="32">
        <f>IFERROR((TABLA_AVANCE_INDICADORES[[#This Row],[DIFERENCIA ABSOLUTA ANUAL]]/TABLA_AVANCE_INDICADORES[[#This Row],[PROGRAMADO ANUAL]])*100,"N/A")</f>
        <v>-100</v>
      </c>
      <c r="AX32" s="108"/>
      <c r="AY32" s="35"/>
      <c r="AZ32" s="36"/>
      <c r="BA32" s="36"/>
      <c r="BB32" s="109">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0</v>
      </c>
    </row>
    <row r="33" spans="1:54" ht="63" customHeight="1" x14ac:dyDescent="0.35">
      <c r="A33" s="19" t="s">
        <v>832</v>
      </c>
      <c r="B33" s="99" t="s">
        <v>51</v>
      </c>
      <c r="C33" s="20" t="s">
        <v>52</v>
      </c>
      <c r="D33" s="100" t="s">
        <v>51</v>
      </c>
      <c r="E33" s="20" t="s">
        <v>53</v>
      </c>
      <c r="F33" s="101" t="s">
        <v>54</v>
      </c>
      <c r="G33" s="80" t="s">
        <v>55</v>
      </c>
      <c r="H33" s="80" t="s">
        <v>826</v>
      </c>
      <c r="I33" s="22" t="s">
        <v>722</v>
      </c>
      <c r="J33" s="22" t="s">
        <v>56</v>
      </c>
      <c r="K33" s="80" t="s">
        <v>57</v>
      </c>
      <c r="L33" s="22" t="s">
        <v>58</v>
      </c>
      <c r="M33" s="80" t="s">
        <v>59</v>
      </c>
      <c r="N33" s="21">
        <v>2</v>
      </c>
      <c r="O33" s="21" t="s">
        <v>723</v>
      </c>
      <c r="P33" s="102" t="s">
        <v>827</v>
      </c>
      <c r="Q33" s="102" t="s">
        <v>833</v>
      </c>
      <c r="R33" s="102" t="s">
        <v>829</v>
      </c>
      <c r="S33" s="42" t="s">
        <v>830</v>
      </c>
      <c r="T33" s="42" t="s">
        <v>831</v>
      </c>
      <c r="U33" s="42" t="s">
        <v>738</v>
      </c>
      <c r="V33" s="24">
        <v>12</v>
      </c>
      <c r="W33" s="24">
        <v>0</v>
      </c>
      <c r="X33" s="103">
        <v>0</v>
      </c>
      <c r="Y33" s="25" t="str">
        <f>IFERROR((TABLA_AVANCE_INDICADORES[[#This Row],[AVANCE 1°. TRIM]]/TABLA_AVANCE_INDICADORES[[#This Row],[PROGR. 1° TRIM]])*100,"0")</f>
        <v>0</v>
      </c>
      <c r="Z33"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33" s="104">
        <v>0</v>
      </c>
      <c r="AB33" s="105">
        <v>0</v>
      </c>
      <c r="AC33" s="27" t="str">
        <f t="shared" si="0"/>
        <v>0</v>
      </c>
      <c r="AD33" s="26" t="str">
        <f t="shared" si="1"/>
        <v>NO PROG.</v>
      </c>
      <c r="AE33" s="104">
        <v>0</v>
      </c>
      <c r="AF33" s="105">
        <v>0</v>
      </c>
      <c r="AG33" s="27" t="str">
        <f>IFERROR((TABLA_AVANCE_INDICADORES[[#This Row],[AVANCE 3°. TRIM]]/TABLA_AVANCE_INDICADORES[[#This Row],[PROGR. 3° TRIM]])*100,"0")</f>
        <v>0</v>
      </c>
      <c r="AH33"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33" s="104">
        <v>12</v>
      </c>
      <c r="AJ33" s="111">
        <v>12</v>
      </c>
      <c r="AK33" s="27">
        <f>IFERROR((TABLA_AVANCE_INDICADORES[[#This Row],[AVANCE 4°. TRIM]]/TABLA_AVANCE_INDICADORES[[#This Row],[PROGR. 4° TRIM]])*100,"0")</f>
        <v>100</v>
      </c>
      <c r="AL33"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33"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33"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33" s="27" t="str">
        <f>IFERROR((TABLA_AVANCE_INDICADORES[[#This Row],[AVANCE ACUM. TRIM.]]/TABLA_AVANCE_INDICADORES[[#This Row],[PROG. ACUM]])*100,"N/A")</f>
        <v>N/A</v>
      </c>
      <c r="AP33"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33" s="106">
        <f>TABLA_AVANCE_INDICADORES[[#This Row],[AVANCE ACUM. TRIM.]]-TABLA_AVANCE_INDICADORES[[#This Row],[PROG. ACUM]]</f>
        <v>0</v>
      </c>
      <c r="AR33" s="32" t="str">
        <f>IFERROR((TABLA_AVANCE_INDICADORES[[#This Row],[DIFERENCIA ABSOLUTA SEMESTRAL]]/TABLA_AVANCE_INDICADORES[[#This Row],[PROG. ACUM]])*100,"N/A")</f>
        <v>N/A</v>
      </c>
      <c r="AS33"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33" s="27">
        <f>IFERROR((TABLA_AVANCE_INDICADORES[[#This Row],[AVANCE ACUM. ANUAL]]/TABLA_AVANCE_INDICADORES[[#This Row],[PROGRAMADO ANUAL]])*100,"N/A")</f>
        <v>0</v>
      </c>
      <c r="AU33"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33" s="106">
        <f>TABLA_AVANCE_INDICADORES[[#This Row],[AVANCE ACUM. ANUAL]]-TABLA_AVANCE_INDICADORES[[#This Row],[PROGRAMADO ANUAL]]</f>
        <v>-12</v>
      </c>
      <c r="AW33" s="32">
        <f>IFERROR((TABLA_AVANCE_INDICADORES[[#This Row],[DIFERENCIA ABSOLUTA ANUAL]]/TABLA_AVANCE_INDICADORES[[#This Row],[PROGRAMADO ANUAL]])*100,"N/A")</f>
        <v>-100</v>
      </c>
      <c r="AX33" s="108"/>
      <c r="AY33" s="35"/>
      <c r="AZ33" s="36"/>
      <c r="BA33" s="36"/>
      <c r="BB33" s="109">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0</v>
      </c>
    </row>
    <row r="34" spans="1:54" ht="63" hidden="1" customHeight="1" x14ac:dyDescent="0.35">
      <c r="A34" s="19" t="s">
        <v>834</v>
      </c>
      <c r="B34" s="99" t="s">
        <v>73</v>
      </c>
      <c r="C34" s="20" t="s">
        <v>74</v>
      </c>
      <c r="D34" s="100" t="s">
        <v>75</v>
      </c>
      <c r="E34" s="20" t="s">
        <v>76</v>
      </c>
      <c r="F34" s="101" t="s">
        <v>77</v>
      </c>
      <c r="G34" s="80" t="s">
        <v>78</v>
      </c>
      <c r="H34" s="80" t="s">
        <v>835</v>
      </c>
      <c r="I34" s="22" t="s">
        <v>722</v>
      </c>
      <c r="J34" s="22" t="s">
        <v>56</v>
      </c>
      <c r="K34" s="80" t="s">
        <v>57</v>
      </c>
      <c r="L34" s="22" t="s">
        <v>79</v>
      </c>
      <c r="M34" s="80" t="s">
        <v>80</v>
      </c>
      <c r="N34" s="21">
        <v>1</v>
      </c>
      <c r="O34" s="21" t="s">
        <v>733</v>
      </c>
      <c r="P34" s="102" t="s">
        <v>836</v>
      </c>
      <c r="Q34" s="102" t="s">
        <v>837</v>
      </c>
      <c r="R34" s="102" t="s">
        <v>838</v>
      </c>
      <c r="S34" s="42" t="s">
        <v>86</v>
      </c>
      <c r="T34" s="42" t="s">
        <v>727</v>
      </c>
      <c r="U34" s="42" t="s">
        <v>738</v>
      </c>
      <c r="V34" s="24">
        <v>1500</v>
      </c>
      <c r="W34" s="24">
        <v>0</v>
      </c>
      <c r="X34" s="103">
        <v>0</v>
      </c>
      <c r="Y34" s="25" t="str">
        <f>IFERROR((TABLA_AVANCE_INDICADORES[[#This Row],[AVANCE 1°. TRIM]]/TABLA_AVANCE_INDICADORES[[#This Row],[PROGR. 1° TRIM]])*100,"0")</f>
        <v>0</v>
      </c>
      <c r="Z34"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34" s="104">
        <v>0</v>
      </c>
      <c r="AB34" s="105">
        <v>0</v>
      </c>
      <c r="AC34" s="27" t="str">
        <f t="shared" si="0"/>
        <v>0</v>
      </c>
      <c r="AD34" s="26" t="str">
        <f t="shared" si="1"/>
        <v>NO PROG.</v>
      </c>
      <c r="AE34" s="104">
        <v>0</v>
      </c>
      <c r="AF34" s="105">
        <v>0</v>
      </c>
      <c r="AG34" s="27" t="str">
        <f>IFERROR((TABLA_AVANCE_INDICADORES[[#This Row],[AVANCE 3°. TRIM]]/TABLA_AVANCE_INDICADORES[[#This Row],[PROGR. 3° TRIM]])*100,"0")</f>
        <v>0</v>
      </c>
      <c r="AH34"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34" s="104">
        <v>1500</v>
      </c>
      <c r="AJ34" s="105">
        <v>0</v>
      </c>
      <c r="AK34" s="27">
        <f>IFERROR((TABLA_AVANCE_INDICADORES[[#This Row],[AVANCE 4°. TRIM]]/TABLA_AVANCE_INDICADORES[[#This Row],[PROGR. 4° TRIM]])*100,"0")</f>
        <v>0</v>
      </c>
      <c r="AL34"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34"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34"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34" s="27" t="str">
        <f>IFERROR((TABLA_AVANCE_INDICADORES[[#This Row],[AVANCE ACUM. TRIM.]]/TABLA_AVANCE_INDICADORES[[#This Row],[PROG. ACUM]])*100,"N/A")</f>
        <v>N/A</v>
      </c>
      <c r="AP34"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34" s="106">
        <f>TABLA_AVANCE_INDICADORES[[#This Row],[AVANCE ACUM. TRIM.]]-TABLA_AVANCE_INDICADORES[[#This Row],[PROG. ACUM]]</f>
        <v>0</v>
      </c>
      <c r="AR34" s="32" t="str">
        <f>IFERROR((TABLA_AVANCE_INDICADORES[[#This Row],[DIFERENCIA ABSOLUTA SEMESTRAL]]/TABLA_AVANCE_INDICADORES[[#This Row],[PROG. ACUM]])*100,"N/A")</f>
        <v>N/A</v>
      </c>
      <c r="AS34"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34" s="27">
        <f>IFERROR((TABLA_AVANCE_INDICADORES[[#This Row],[AVANCE ACUM. ANUAL]]/TABLA_AVANCE_INDICADORES[[#This Row],[PROGRAMADO ANUAL]])*100,"N/A")</f>
        <v>0</v>
      </c>
      <c r="AU34"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34" s="106">
        <f>TABLA_AVANCE_INDICADORES[[#This Row],[AVANCE ACUM. ANUAL]]-TABLA_AVANCE_INDICADORES[[#This Row],[PROGRAMADO ANUAL]]</f>
        <v>-1500</v>
      </c>
      <c r="AW34" s="32">
        <f>IFERROR((TABLA_AVANCE_INDICADORES[[#This Row],[DIFERENCIA ABSOLUTA ANUAL]]/TABLA_AVANCE_INDICADORES[[#This Row],[PROGRAMADO ANUAL]])*100,"N/A")</f>
        <v>-100</v>
      </c>
      <c r="AX34" s="108"/>
      <c r="AY34" s="35"/>
      <c r="AZ34" s="36"/>
      <c r="BA34" s="36"/>
      <c r="BB34"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35" spans="1:54" ht="63" hidden="1" customHeight="1" x14ac:dyDescent="0.35">
      <c r="A35" s="19" t="s">
        <v>839</v>
      </c>
      <c r="B35" s="99" t="s">
        <v>73</v>
      </c>
      <c r="C35" s="20" t="s">
        <v>74</v>
      </c>
      <c r="D35" s="100" t="s">
        <v>75</v>
      </c>
      <c r="E35" s="20" t="s">
        <v>76</v>
      </c>
      <c r="F35" s="101" t="s">
        <v>77</v>
      </c>
      <c r="G35" s="80" t="s">
        <v>78</v>
      </c>
      <c r="H35" s="80" t="s">
        <v>835</v>
      </c>
      <c r="I35" s="22" t="s">
        <v>722</v>
      </c>
      <c r="J35" s="22" t="s">
        <v>56</v>
      </c>
      <c r="K35" s="80" t="s">
        <v>57</v>
      </c>
      <c r="L35" s="22" t="s">
        <v>79</v>
      </c>
      <c r="M35" s="80" t="s">
        <v>80</v>
      </c>
      <c r="N35" s="21">
        <v>2</v>
      </c>
      <c r="O35" s="21" t="s">
        <v>733</v>
      </c>
      <c r="P35" s="102" t="s">
        <v>836</v>
      </c>
      <c r="Q35" s="102" t="s">
        <v>840</v>
      </c>
      <c r="R35" s="102" t="s">
        <v>838</v>
      </c>
      <c r="S35" s="42" t="s">
        <v>86</v>
      </c>
      <c r="T35" s="42" t="s">
        <v>727</v>
      </c>
      <c r="U35" s="42" t="s">
        <v>738</v>
      </c>
      <c r="V35" s="24">
        <v>16</v>
      </c>
      <c r="W35" s="24">
        <v>0</v>
      </c>
      <c r="X35" s="103">
        <v>0</v>
      </c>
      <c r="Y35" s="25" t="str">
        <f>IFERROR((TABLA_AVANCE_INDICADORES[[#This Row],[AVANCE 1°. TRIM]]/TABLA_AVANCE_INDICADORES[[#This Row],[PROGR. 1° TRIM]])*100,"0")</f>
        <v>0</v>
      </c>
      <c r="Z35"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35" s="104">
        <v>0</v>
      </c>
      <c r="AB35" s="105">
        <v>0</v>
      </c>
      <c r="AC35" s="27" t="str">
        <f t="shared" si="0"/>
        <v>0</v>
      </c>
      <c r="AD35" s="26" t="str">
        <f t="shared" si="1"/>
        <v>NO PROG.</v>
      </c>
      <c r="AE35" s="104">
        <v>0</v>
      </c>
      <c r="AF35" s="105">
        <v>0</v>
      </c>
      <c r="AG35" s="27" t="str">
        <f>IFERROR((TABLA_AVANCE_INDICADORES[[#This Row],[AVANCE 3°. TRIM]]/TABLA_AVANCE_INDICADORES[[#This Row],[PROGR. 3° TRIM]])*100,"0")</f>
        <v>0</v>
      </c>
      <c r="AH35"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35" s="104">
        <v>16</v>
      </c>
      <c r="AJ35" s="111">
        <v>16</v>
      </c>
      <c r="AK35" s="27">
        <f>IFERROR((TABLA_AVANCE_INDICADORES[[#This Row],[AVANCE 4°. TRIM]]/TABLA_AVANCE_INDICADORES[[#This Row],[PROGR. 4° TRIM]])*100,"0")</f>
        <v>100</v>
      </c>
      <c r="AL35"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35"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35"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35" s="27" t="str">
        <f>IFERROR((TABLA_AVANCE_INDICADORES[[#This Row],[AVANCE ACUM. TRIM.]]/TABLA_AVANCE_INDICADORES[[#This Row],[PROG. ACUM]])*100,"N/A")</f>
        <v>N/A</v>
      </c>
      <c r="AP35"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35" s="106">
        <f>TABLA_AVANCE_INDICADORES[[#This Row],[AVANCE ACUM. TRIM.]]-TABLA_AVANCE_INDICADORES[[#This Row],[PROG. ACUM]]</f>
        <v>0</v>
      </c>
      <c r="AR35" s="32" t="str">
        <f>IFERROR((TABLA_AVANCE_INDICADORES[[#This Row],[DIFERENCIA ABSOLUTA SEMESTRAL]]/TABLA_AVANCE_INDICADORES[[#This Row],[PROG. ACUM]])*100,"N/A")</f>
        <v>N/A</v>
      </c>
      <c r="AS35"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35" s="27">
        <f>IFERROR((TABLA_AVANCE_INDICADORES[[#This Row],[AVANCE ACUM. ANUAL]]/TABLA_AVANCE_INDICADORES[[#This Row],[PROGRAMADO ANUAL]])*100,"N/A")</f>
        <v>0</v>
      </c>
      <c r="AU35"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35" s="106">
        <f>TABLA_AVANCE_INDICADORES[[#This Row],[AVANCE ACUM. ANUAL]]-TABLA_AVANCE_INDICADORES[[#This Row],[PROGRAMADO ANUAL]]</f>
        <v>-16</v>
      </c>
      <c r="AW35" s="32">
        <f>IFERROR((TABLA_AVANCE_INDICADORES[[#This Row],[DIFERENCIA ABSOLUTA ANUAL]]/TABLA_AVANCE_INDICADORES[[#This Row],[PROGRAMADO ANUAL]])*100,"N/A")</f>
        <v>-100</v>
      </c>
      <c r="AX35" s="108"/>
      <c r="AY35" s="35"/>
      <c r="AZ35" s="36"/>
      <c r="BA35" s="36"/>
      <c r="BB35"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36" spans="1:54" ht="63" hidden="1" customHeight="1" x14ac:dyDescent="0.35">
      <c r="A36" s="19" t="s">
        <v>841</v>
      </c>
      <c r="B36" s="99" t="s">
        <v>73</v>
      </c>
      <c r="C36" s="20" t="s">
        <v>74</v>
      </c>
      <c r="D36" s="100" t="s">
        <v>75</v>
      </c>
      <c r="E36" s="20" t="s">
        <v>76</v>
      </c>
      <c r="F36" s="101" t="s">
        <v>77</v>
      </c>
      <c r="G36" s="80" t="s">
        <v>78</v>
      </c>
      <c r="H36" s="80" t="s">
        <v>835</v>
      </c>
      <c r="I36" s="22" t="s">
        <v>722</v>
      </c>
      <c r="J36" s="22" t="s">
        <v>56</v>
      </c>
      <c r="K36" s="80" t="s">
        <v>57</v>
      </c>
      <c r="L36" s="22" t="s">
        <v>79</v>
      </c>
      <c r="M36" s="80" t="s">
        <v>80</v>
      </c>
      <c r="N36" s="21">
        <v>1</v>
      </c>
      <c r="O36" s="21" t="s">
        <v>742</v>
      </c>
      <c r="P36" s="102" t="s">
        <v>842</v>
      </c>
      <c r="Q36" s="102" t="s">
        <v>843</v>
      </c>
      <c r="R36" s="102" t="s">
        <v>844</v>
      </c>
      <c r="S36" s="42" t="s">
        <v>845</v>
      </c>
      <c r="T36" s="42" t="s">
        <v>727</v>
      </c>
      <c r="U36" s="42" t="s">
        <v>746</v>
      </c>
      <c r="V36" s="24">
        <v>8</v>
      </c>
      <c r="W36" s="24">
        <v>0</v>
      </c>
      <c r="X36" s="103">
        <v>0</v>
      </c>
      <c r="Y36" s="25" t="str">
        <f>IFERROR((TABLA_AVANCE_INDICADORES[[#This Row],[AVANCE 1°. TRIM]]/TABLA_AVANCE_INDICADORES[[#This Row],[PROGR. 1° TRIM]])*100,"0")</f>
        <v>0</v>
      </c>
      <c r="Z36"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36" s="104">
        <v>4</v>
      </c>
      <c r="AB36" s="105">
        <v>4</v>
      </c>
      <c r="AC36" s="27">
        <f t="shared" si="0"/>
        <v>100</v>
      </c>
      <c r="AD36" s="26" t="str">
        <f t="shared" si="1"/>
        <v>ADECUADO</v>
      </c>
      <c r="AE36" s="104">
        <v>0</v>
      </c>
      <c r="AF36" s="105">
        <v>0</v>
      </c>
      <c r="AG36" s="27" t="str">
        <f>IFERROR((TABLA_AVANCE_INDICADORES[[#This Row],[AVANCE 3°. TRIM]]/TABLA_AVANCE_INDICADORES[[#This Row],[PROGR. 3° TRIM]])*100,"0")</f>
        <v>0</v>
      </c>
      <c r="AH36"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36" s="104">
        <v>4</v>
      </c>
      <c r="AJ36" s="105">
        <v>0</v>
      </c>
      <c r="AK36" s="27">
        <f>IFERROR((TABLA_AVANCE_INDICADORES[[#This Row],[AVANCE 4°. TRIM]]/TABLA_AVANCE_INDICADORES[[#This Row],[PROGR. 4° TRIM]])*100,"0")</f>
        <v>0</v>
      </c>
      <c r="AL36"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36"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4</v>
      </c>
      <c r="AN36"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4</v>
      </c>
      <c r="AO36" s="27">
        <f>IFERROR((TABLA_AVANCE_INDICADORES[[#This Row],[AVANCE ACUM. TRIM.]]/TABLA_AVANCE_INDICADORES[[#This Row],[PROG. ACUM]])*100,"N/A")</f>
        <v>100</v>
      </c>
      <c r="AP36"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36" s="106">
        <f>TABLA_AVANCE_INDICADORES[[#This Row],[AVANCE ACUM. TRIM.]]-TABLA_AVANCE_INDICADORES[[#This Row],[PROG. ACUM]]</f>
        <v>0</v>
      </c>
      <c r="AR36" s="32">
        <f>IFERROR((TABLA_AVANCE_INDICADORES[[#This Row],[DIFERENCIA ABSOLUTA SEMESTRAL]]/TABLA_AVANCE_INDICADORES[[#This Row],[PROG. ACUM]])*100,"N/A")</f>
        <v>0</v>
      </c>
      <c r="AS36"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4</v>
      </c>
      <c r="AT36" s="27">
        <f>IFERROR((TABLA_AVANCE_INDICADORES[[#This Row],[AVANCE ACUM. ANUAL]]/TABLA_AVANCE_INDICADORES[[#This Row],[PROGRAMADO ANUAL]])*100,"N/A")</f>
        <v>50</v>
      </c>
      <c r="AU36"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36" s="106">
        <f>TABLA_AVANCE_INDICADORES[[#This Row],[AVANCE ACUM. ANUAL]]-TABLA_AVANCE_INDICADORES[[#This Row],[PROGRAMADO ANUAL]]</f>
        <v>-4</v>
      </c>
      <c r="AW36" s="32">
        <f>IFERROR((TABLA_AVANCE_INDICADORES[[#This Row],[DIFERENCIA ABSOLUTA ANUAL]]/TABLA_AVANCE_INDICADORES[[#This Row],[PROGRAMADO ANUAL]])*100,"N/A")</f>
        <v>-50</v>
      </c>
      <c r="AX36" s="108"/>
      <c r="AY36" s="35"/>
      <c r="AZ36" s="36"/>
      <c r="BA36" s="36"/>
      <c r="BB36"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37" spans="1:54" ht="63" hidden="1" customHeight="1" x14ac:dyDescent="0.35">
      <c r="A37" s="19" t="s">
        <v>846</v>
      </c>
      <c r="B37" s="99" t="s">
        <v>73</v>
      </c>
      <c r="C37" s="20" t="s">
        <v>74</v>
      </c>
      <c r="D37" s="100" t="s">
        <v>75</v>
      </c>
      <c r="E37" s="20" t="s">
        <v>76</v>
      </c>
      <c r="F37" s="101" t="s">
        <v>77</v>
      </c>
      <c r="G37" s="80" t="s">
        <v>78</v>
      </c>
      <c r="H37" s="80" t="s">
        <v>835</v>
      </c>
      <c r="I37" s="22" t="s">
        <v>722</v>
      </c>
      <c r="J37" s="22" t="s">
        <v>56</v>
      </c>
      <c r="K37" s="80" t="s">
        <v>57</v>
      </c>
      <c r="L37" s="22" t="s">
        <v>79</v>
      </c>
      <c r="M37" s="80" t="s">
        <v>80</v>
      </c>
      <c r="N37" s="21">
        <v>2</v>
      </c>
      <c r="O37" s="21" t="s">
        <v>742</v>
      </c>
      <c r="P37" s="102" t="s">
        <v>842</v>
      </c>
      <c r="Q37" s="102" t="s">
        <v>847</v>
      </c>
      <c r="R37" s="102" t="s">
        <v>844</v>
      </c>
      <c r="S37" s="42" t="s">
        <v>84</v>
      </c>
      <c r="T37" s="42" t="s">
        <v>727</v>
      </c>
      <c r="U37" s="42" t="s">
        <v>746</v>
      </c>
      <c r="V37" s="24">
        <v>8</v>
      </c>
      <c r="W37" s="24">
        <v>0</v>
      </c>
      <c r="X37" s="103">
        <v>0</v>
      </c>
      <c r="Y37" s="25" t="str">
        <f>IFERROR((TABLA_AVANCE_INDICADORES[[#This Row],[AVANCE 1°. TRIM]]/TABLA_AVANCE_INDICADORES[[#This Row],[PROGR. 1° TRIM]])*100,"0")</f>
        <v>0</v>
      </c>
      <c r="Z37"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37" s="104">
        <v>4</v>
      </c>
      <c r="AB37" s="105">
        <v>4</v>
      </c>
      <c r="AC37" s="27">
        <f t="shared" si="0"/>
        <v>100</v>
      </c>
      <c r="AD37" s="26" t="str">
        <f t="shared" si="1"/>
        <v>ADECUADO</v>
      </c>
      <c r="AE37" s="104">
        <v>0</v>
      </c>
      <c r="AF37" s="105">
        <v>0</v>
      </c>
      <c r="AG37" s="27" t="str">
        <f>IFERROR((TABLA_AVANCE_INDICADORES[[#This Row],[AVANCE 3°. TRIM]]/TABLA_AVANCE_INDICADORES[[#This Row],[PROGR. 3° TRIM]])*100,"0")</f>
        <v>0</v>
      </c>
      <c r="AH37"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37" s="104">
        <v>4</v>
      </c>
      <c r="AJ37" s="105">
        <v>0</v>
      </c>
      <c r="AK37" s="27">
        <f>IFERROR((TABLA_AVANCE_INDICADORES[[#This Row],[AVANCE 4°. TRIM]]/TABLA_AVANCE_INDICADORES[[#This Row],[PROGR. 4° TRIM]])*100,"0")</f>
        <v>0</v>
      </c>
      <c r="AL37"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37"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4</v>
      </c>
      <c r="AN37"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4</v>
      </c>
      <c r="AO37" s="27">
        <f>IFERROR((TABLA_AVANCE_INDICADORES[[#This Row],[AVANCE ACUM. TRIM.]]/TABLA_AVANCE_INDICADORES[[#This Row],[PROG. ACUM]])*100,"N/A")</f>
        <v>100</v>
      </c>
      <c r="AP37"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37" s="106">
        <f>TABLA_AVANCE_INDICADORES[[#This Row],[AVANCE ACUM. TRIM.]]-TABLA_AVANCE_INDICADORES[[#This Row],[PROG. ACUM]]</f>
        <v>0</v>
      </c>
      <c r="AR37" s="32">
        <f>IFERROR((TABLA_AVANCE_INDICADORES[[#This Row],[DIFERENCIA ABSOLUTA SEMESTRAL]]/TABLA_AVANCE_INDICADORES[[#This Row],[PROG. ACUM]])*100,"N/A")</f>
        <v>0</v>
      </c>
      <c r="AS37"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4</v>
      </c>
      <c r="AT37" s="27">
        <f>IFERROR((TABLA_AVANCE_INDICADORES[[#This Row],[AVANCE ACUM. ANUAL]]/TABLA_AVANCE_INDICADORES[[#This Row],[PROGRAMADO ANUAL]])*100,"N/A")</f>
        <v>50</v>
      </c>
      <c r="AU37"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37" s="106">
        <f>TABLA_AVANCE_INDICADORES[[#This Row],[AVANCE ACUM. ANUAL]]-TABLA_AVANCE_INDICADORES[[#This Row],[PROGRAMADO ANUAL]]</f>
        <v>-4</v>
      </c>
      <c r="AW37" s="32">
        <f>IFERROR((TABLA_AVANCE_INDICADORES[[#This Row],[DIFERENCIA ABSOLUTA ANUAL]]/TABLA_AVANCE_INDICADORES[[#This Row],[PROGRAMADO ANUAL]])*100,"N/A")</f>
        <v>-50</v>
      </c>
      <c r="AX37" s="108"/>
      <c r="AY37" s="35"/>
      <c r="AZ37" s="36"/>
      <c r="BA37" s="36"/>
      <c r="BB37"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38" spans="1:54" ht="63" hidden="1" customHeight="1" x14ac:dyDescent="0.35">
      <c r="A38" s="19" t="s">
        <v>848</v>
      </c>
      <c r="B38" s="99" t="s">
        <v>73</v>
      </c>
      <c r="C38" s="20" t="s">
        <v>74</v>
      </c>
      <c r="D38" s="100" t="s">
        <v>75</v>
      </c>
      <c r="E38" s="20" t="s">
        <v>76</v>
      </c>
      <c r="F38" s="101" t="s">
        <v>77</v>
      </c>
      <c r="G38" s="80" t="s">
        <v>78</v>
      </c>
      <c r="H38" s="80" t="s">
        <v>835</v>
      </c>
      <c r="I38" s="22" t="s">
        <v>722</v>
      </c>
      <c r="J38" s="22" t="s">
        <v>56</v>
      </c>
      <c r="K38" s="80" t="s">
        <v>57</v>
      </c>
      <c r="L38" s="22" t="s">
        <v>79</v>
      </c>
      <c r="M38" s="80" t="s">
        <v>80</v>
      </c>
      <c r="N38" s="21">
        <v>1</v>
      </c>
      <c r="O38" s="21" t="s">
        <v>849</v>
      </c>
      <c r="P38" s="102" t="s">
        <v>850</v>
      </c>
      <c r="Q38" s="102" t="s">
        <v>851</v>
      </c>
      <c r="R38" s="102" t="s">
        <v>852</v>
      </c>
      <c r="S38" s="42" t="s">
        <v>853</v>
      </c>
      <c r="T38" s="42" t="s">
        <v>727</v>
      </c>
      <c r="U38" s="42" t="s">
        <v>754</v>
      </c>
      <c r="V38" s="24">
        <v>4</v>
      </c>
      <c r="W38" s="24">
        <v>1</v>
      </c>
      <c r="X38" s="103">
        <v>1</v>
      </c>
      <c r="Y38" s="25">
        <f>IFERROR((TABLA_AVANCE_INDICADORES[[#This Row],[AVANCE 1°. TRIM]]/TABLA_AVANCE_INDICADORES[[#This Row],[PROGR. 1° TRIM]])*100,"0")</f>
        <v>100</v>
      </c>
      <c r="Z38"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38" s="24">
        <v>1</v>
      </c>
      <c r="AB38" s="103">
        <v>1</v>
      </c>
      <c r="AC38" s="27">
        <f t="shared" si="0"/>
        <v>100</v>
      </c>
      <c r="AD38" s="26" t="str">
        <f t="shared" si="1"/>
        <v>ADECUADO</v>
      </c>
      <c r="AE38" s="24">
        <v>1</v>
      </c>
      <c r="AF38" s="103">
        <v>0</v>
      </c>
      <c r="AG38" s="27">
        <f>IFERROR((TABLA_AVANCE_INDICADORES[[#This Row],[AVANCE 3°. TRIM]]/TABLA_AVANCE_INDICADORES[[#This Row],[PROGR. 3° TRIM]])*100,"0")</f>
        <v>0</v>
      </c>
      <c r="AH38"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38" s="104">
        <v>1</v>
      </c>
      <c r="AJ38" s="103">
        <v>0</v>
      </c>
      <c r="AK38" s="27">
        <f>IFERROR((TABLA_AVANCE_INDICADORES[[#This Row],[AVANCE 4°. TRIM]]/TABLA_AVANCE_INDICADORES[[#This Row],[PROGR. 4° TRIM]])*100,"0")</f>
        <v>0</v>
      </c>
      <c r="AL38"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38"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v>
      </c>
      <c r="AN38"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O38" s="27">
        <f>IFERROR((TABLA_AVANCE_INDICADORES[[#This Row],[AVANCE ACUM. TRIM.]]/TABLA_AVANCE_INDICADORES[[#This Row],[PROG. ACUM]])*100,"N/A")</f>
        <v>100</v>
      </c>
      <c r="AP38"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38" s="106">
        <f>TABLA_AVANCE_INDICADORES[[#This Row],[AVANCE ACUM. TRIM.]]-TABLA_AVANCE_INDICADORES[[#This Row],[PROG. ACUM]]</f>
        <v>0</v>
      </c>
      <c r="AR38" s="32">
        <f>IFERROR((TABLA_AVANCE_INDICADORES[[#This Row],[DIFERENCIA ABSOLUTA SEMESTRAL]]/TABLA_AVANCE_INDICADORES[[#This Row],[PROG. ACUM]])*100,"N/A")</f>
        <v>0</v>
      </c>
      <c r="AS38"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T38" s="27">
        <f>IFERROR((TABLA_AVANCE_INDICADORES[[#This Row],[AVANCE ACUM. ANUAL]]/TABLA_AVANCE_INDICADORES[[#This Row],[PROGRAMADO ANUAL]])*100,"N/A")</f>
        <v>50</v>
      </c>
      <c r="AU38"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38" s="106">
        <f>TABLA_AVANCE_INDICADORES[[#This Row],[AVANCE ACUM. ANUAL]]-TABLA_AVANCE_INDICADORES[[#This Row],[PROGRAMADO ANUAL]]</f>
        <v>-2</v>
      </c>
      <c r="AW38" s="32">
        <f>IFERROR((TABLA_AVANCE_INDICADORES[[#This Row],[DIFERENCIA ABSOLUTA ANUAL]]/TABLA_AVANCE_INDICADORES[[#This Row],[PROGRAMADO ANUAL]])*100,"N/A")</f>
        <v>-50</v>
      </c>
      <c r="AX38" s="108"/>
      <c r="AY38" s="35"/>
      <c r="AZ38" s="36"/>
      <c r="BA38" s="36"/>
      <c r="BB38"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39" spans="1:54" ht="63" hidden="1" customHeight="1" x14ac:dyDescent="0.35">
      <c r="A39" s="19" t="s">
        <v>854</v>
      </c>
      <c r="B39" s="99" t="s">
        <v>73</v>
      </c>
      <c r="C39" s="20" t="s">
        <v>74</v>
      </c>
      <c r="D39" s="100" t="s">
        <v>75</v>
      </c>
      <c r="E39" s="20" t="s">
        <v>76</v>
      </c>
      <c r="F39" s="101" t="s">
        <v>77</v>
      </c>
      <c r="G39" s="80" t="s">
        <v>78</v>
      </c>
      <c r="H39" s="80" t="s">
        <v>835</v>
      </c>
      <c r="I39" s="22" t="s">
        <v>722</v>
      </c>
      <c r="J39" s="22" t="s">
        <v>56</v>
      </c>
      <c r="K39" s="80" t="s">
        <v>57</v>
      </c>
      <c r="L39" s="22" t="s">
        <v>79</v>
      </c>
      <c r="M39" s="80" t="s">
        <v>80</v>
      </c>
      <c r="N39" s="21">
        <v>2</v>
      </c>
      <c r="O39" s="21" t="s">
        <v>849</v>
      </c>
      <c r="P39" s="102" t="s">
        <v>850</v>
      </c>
      <c r="Q39" s="102" t="s">
        <v>855</v>
      </c>
      <c r="R39" s="102" t="s">
        <v>852</v>
      </c>
      <c r="S39" s="42" t="s">
        <v>853</v>
      </c>
      <c r="T39" s="42" t="s">
        <v>727</v>
      </c>
      <c r="U39" s="42" t="s">
        <v>754</v>
      </c>
      <c r="V39" s="24">
        <v>4</v>
      </c>
      <c r="W39" s="24">
        <v>1</v>
      </c>
      <c r="X39" s="103">
        <v>1</v>
      </c>
      <c r="Y39" s="25">
        <f>IFERROR((TABLA_AVANCE_INDICADORES[[#This Row],[AVANCE 1°. TRIM]]/TABLA_AVANCE_INDICADORES[[#This Row],[PROGR. 1° TRIM]])*100,"0")</f>
        <v>100</v>
      </c>
      <c r="Z39"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39" s="24">
        <v>1</v>
      </c>
      <c r="AB39" s="103">
        <v>1</v>
      </c>
      <c r="AC39" s="27">
        <f t="shared" si="0"/>
        <v>100</v>
      </c>
      <c r="AD39" s="26" t="str">
        <f t="shared" si="1"/>
        <v>ADECUADO</v>
      </c>
      <c r="AE39" s="24">
        <v>1</v>
      </c>
      <c r="AF39" s="103">
        <v>0</v>
      </c>
      <c r="AG39" s="27">
        <f>IFERROR((TABLA_AVANCE_INDICADORES[[#This Row],[AVANCE 3°. TRIM]]/TABLA_AVANCE_INDICADORES[[#This Row],[PROGR. 3° TRIM]])*100,"0")</f>
        <v>0</v>
      </c>
      <c r="AH39"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39" s="104">
        <v>1</v>
      </c>
      <c r="AJ39" s="103">
        <v>0</v>
      </c>
      <c r="AK39" s="27">
        <f>IFERROR((TABLA_AVANCE_INDICADORES[[#This Row],[AVANCE 4°. TRIM]]/TABLA_AVANCE_INDICADORES[[#This Row],[PROGR. 4° TRIM]])*100,"0")</f>
        <v>0</v>
      </c>
      <c r="AL39"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39"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v>
      </c>
      <c r="AN39"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O39" s="27">
        <f>IFERROR((TABLA_AVANCE_INDICADORES[[#This Row],[AVANCE ACUM. TRIM.]]/TABLA_AVANCE_INDICADORES[[#This Row],[PROG. ACUM]])*100,"N/A")</f>
        <v>100</v>
      </c>
      <c r="AP39"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39" s="106">
        <f>TABLA_AVANCE_INDICADORES[[#This Row],[AVANCE ACUM. TRIM.]]-TABLA_AVANCE_INDICADORES[[#This Row],[PROG. ACUM]]</f>
        <v>0</v>
      </c>
      <c r="AR39" s="32">
        <f>IFERROR((TABLA_AVANCE_INDICADORES[[#This Row],[DIFERENCIA ABSOLUTA SEMESTRAL]]/TABLA_AVANCE_INDICADORES[[#This Row],[PROG. ACUM]])*100,"N/A")</f>
        <v>0</v>
      </c>
      <c r="AS39"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T39" s="27">
        <f>IFERROR((TABLA_AVANCE_INDICADORES[[#This Row],[AVANCE ACUM. ANUAL]]/TABLA_AVANCE_INDICADORES[[#This Row],[PROGRAMADO ANUAL]])*100,"N/A")</f>
        <v>50</v>
      </c>
      <c r="AU39"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39" s="106">
        <f>TABLA_AVANCE_INDICADORES[[#This Row],[AVANCE ACUM. ANUAL]]-TABLA_AVANCE_INDICADORES[[#This Row],[PROGRAMADO ANUAL]]</f>
        <v>-2</v>
      </c>
      <c r="AW39" s="32">
        <f>IFERROR((TABLA_AVANCE_INDICADORES[[#This Row],[DIFERENCIA ABSOLUTA ANUAL]]/TABLA_AVANCE_INDICADORES[[#This Row],[PROGRAMADO ANUAL]])*100,"N/A")</f>
        <v>-50</v>
      </c>
      <c r="AX39" s="108"/>
      <c r="AY39" s="35"/>
      <c r="AZ39" s="36"/>
      <c r="BA39" s="36"/>
      <c r="BB39"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40" spans="1:54" ht="63" customHeight="1" x14ac:dyDescent="0.35">
      <c r="A40" s="19" t="s">
        <v>856</v>
      </c>
      <c r="B40" s="99" t="s">
        <v>51</v>
      </c>
      <c r="C40" s="20" t="s">
        <v>52</v>
      </c>
      <c r="D40" s="100" t="s">
        <v>51</v>
      </c>
      <c r="E40" s="20" t="s">
        <v>53</v>
      </c>
      <c r="F40" s="101" t="s">
        <v>54</v>
      </c>
      <c r="G40" s="80" t="s">
        <v>55</v>
      </c>
      <c r="H40" s="80" t="s">
        <v>826</v>
      </c>
      <c r="I40" s="22" t="s">
        <v>722</v>
      </c>
      <c r="J40" s="22" t="s">
        <v>56</v>
      </c>
      <c r="K40" s="80" t="s">
        <v>57</v>
      </c>
      <c r="L40" s="22" t="s">
        <v>58</v>
      </c>
      <c r="M40" s="80" t="s">
        <v>59</v>
      </c>
      <c r="N40" s="21">
        <v>1</v>
      </c>
      <c r="O40" s="21" t="s">
        <v>857</v>
      </c>
      <c r="P40" s="102" t="s">
        <v>858</v>
      </c>
      <c r="Q40" s="102" t="s">
        <v>859</v>
      </c>
      <c r="R40" s="102" t="s">
        <v>860</v>
      </c>
      <c r="S40" s="42" t="s">
        <v>861</v>
      </c>
      <c r="T40" s="42" t="s">
        <v>727</v>
      </c>
      <c r="U40" s="42" t="s">
        <v>754</v>
      </c>
      <c r="V40" s="24">
        <v>12</v>
      </c>
      <c r="W40" s="24">
        <v>3</v>
      </c>
      <c r="X40" s="103">
        <v>3</v>
      </c>
      <c r="Y40" s="25">
        <f>IFERROR((TABLA_AVANCE_INDICADORES[[#This Row],[AVANCE 1°. TRIM]]/TABLA_AVANCE_INDICADORES[[#This Row],[PROGR. 1° TRIM]])*100,"0")</f>
        <v>100</v>
      </c>
      <c r="Z40"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40" s="104">
        <v>3</v>
      </c>
      <c r="AB40" s="105">
        <v>3</v>
      </c>
      <c r="AC40" s="27">
        <f t="shared" si="0"/>
        <v>100</v>
      </c>
      <c r="AD40" s="26" t="str">
        <f t="shared" si="1"/>
        <v>ADECUADO</v>
      </c>
      <c r="AE40" s="104">
        <v>3</v>
      </c>
      <c r="AF40" s="105">
        <v>0</v>
      </c>
      <c r="AG40" s="27">
        <f>IFERROR((TABLA_AVANCE_INDICADORES[[#This Row],[AVANCE 3°. TRIM]]/TABLA_AVANCE_INDICADORES[[#This Row],[PROGR. 3° TRIM]])*100,"0")</f>
        <v>0</v>
      </c>
      <c r="AH40"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40" s="104">
        <v>3</v>
      </c>
      <c r="AJ40" s="105">
        <v>0</v>
      </c>
      <c r="AK40" s="27">
        <f>IFERROR((TABLA_AVANCE_INDICADORES[[#This Row],[AVANCE 4°. TRIM]]/TABLA_AVANCE_INDICADORES[[#This Row],[PROGR. 4° TRIM]])*100,"0")</f>
        <v>0</v>
      </c>
      <c r="AL40"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40"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6</v>
      </c>
      <c r="AN40"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6</v>
      </c>
      <c r="AO40" s="27">
        <f>IFERROR((TABLA_AVANCE_INDICADORES[[#This Row],[AVANCE ACUM. TRIM.]]/TABLA_AVANCE_INDICADORES[[#This Row],[PROG. ACUM]])*100,"N/A")</f>
        <v>100</v>
      </c>
      <c r="AP40"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40" s="106">
        <f>TABLA_AVANCE_INDICADORES[[#This Row],[AVANCE ACUM. TRIM.]]-TABLA_AVANCE_INDICADORES[[#This Row],[PROG. ACUM]]</f>
        <v>0</v>
      </c>
      <c r="AR40" s="32">
        <f>IFERROR((TABLA_AVANCE_INDICADORES[[#This Row],[DIFERENCIA ABSOLUTA SEMESTRAL]]/TABLA_AVANCE_INDICADORES[[#This Row],[PROG. ACUM]])*100,"N/A")</f>
        <v>0</v>
      </c>
      <c r="AS40"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6</v>
      </c>
      <c r="AT40" s="27">
        <f>IFERROR((TABLA_AVANCE_INDICADORES[[#This Row],[AVANCE ACUM. ANUAL]]/TABLA_AVANCE_INDICADORES[[#This Row],[PROGRAMADO ANUAL]])*100,"N/A")</f>
        <v>50</v>
      </c>
      <c r="AU40"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40" s="106">
        <f>TABLA_AVANCE_INDICADORES[[#This Row],[AVANCE ACUM. ANUAL]]-TABLA_AVANCE_INDICADORES[[#This Row],[PROGRAMADO ANUAL]]</f>
        <v>-6</v>
      </c>
      <c r="AW40" s="32">
        <f>IFERROR((TABLA_AVANCE_INDICADORES[[#This Row],[DIFERENCIA ABSOLUTA ANUAL]]/TABLA_AVANCE_INDICADORES[[#This Row],[PROGRAMADO ANUAL]])*100,"N/A")</f>
        <v>-50</v>
      </c>
      <c r="AX40" s="108"/>
      <c r="AY40" s="35"/>
      <c r="AZ40" s="36"/>
      <c r="BA40" s="36"/>
      <c r="BB40"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41" spans="1:54" ht="63" customHeight="1" x14ac:dyDescent="0.35">
      <c r="A41" s="19" t="s">
        <v>862</v>
      </c>
      <c r="B41" s="99" t="s">
        <v>51</v>
      </c>
      <c r="C41" s="20" t="s">
        <v>52</v>
      </c>
      <c r="D41" s="100" t="s">
        <v>51</v>
      </c>
      <c r="E41" s="20" t="s">
        <v>53</v>
      </c>
      <c r="F41" s="101" t="s">
        <v>54</v>
      </c>
      <c r="G41" s="80" t="s">
        <v>55</v>
      </c>
      <c r="H41" s="80" t="s">
        <v>826</v>
      </c>
      <c r="I41" s="22" t="s">
        <v>722</v>
      </c>
      <c r="J41" s="22" t="s">
        <v>56</v>
      </c>
      <c r="K41" s="80" t="s">
        <v>57</v>
      </c>
      <c r="L41" s="22" t="s">
        <v>58</v>
      </c>
      <c r="M41" s="80" t="s">
        <v>59</v>
      </c>
      <c r="N41" s="21">
        <v>2</v>
      </c>
      <c r="O41" s="21" t="s">
        <v>857</v>
      </c>
      <c r="P41" s="102" t="s">
        <v>858</v>
      </c>
      <c r="Q41" s="102" t="s">
        <v>863</v>
      </c>
      <c r="R41" s="102" t="s">
        <v>860</v>
      </c>
      <c r="S41" s="42" t="s">
        <v>861</v>
      </c>
      <c r="T41" s="42" t="s">
        <v>727</v>
      </c>
      <c r="U41" s="42" t="s">
        <v>754</v>
      </c>
      <c r="V41" s="24">
        <v>12</v>
      </c>
      <c r="W41" s="24">
        <v>3</v>
      </c>
      <c r="X41" s="112">
        <v>3</v>
      </c>
      <c r="Y41" s="25">
        <f>IFERROR((TABLA_AVANCE_INDICADORES[[#This Row],[AVANCE 1°. TRIM]]/TABLA_AVANCE_INDICADORES[[#This Row],[PROGR. 1° TRIM]])*100,"0")</f>
        <v>100</v>
      </c>
      <c r="Z41"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41" s="104">
        <v>3</v>
      </c>
      <c r="AB41" s="113">
        <v>3</v>
      </c>
      <c r="AC41" s="27">
        <f t="shared" si="0"/>
        <v>100</v>
      </c>
      <c r="AD41" s="26" t="str">
        <f t="shared" si="1"/>
        <v>ADECUADO</v>
      </c>
      <c r="AE41" s="104">
        <v>3</v>
      </c>
      <c r="AF41" s="113">
        <f>AE41</f>
        <v>3</v>
      </c>
      <c r="AG41" s="27">
        <f>IFERROR((TABLA_AVANCE_INDICADORES[[#This Row],[AVANCE 3°. TRIM]]/TABLA_AVANCE_INDICADORES[[#This Row],[PROGR. 3° TRIM]])*100,"0")</f>
        <v>100</v>
      </c>
      <c r="AH41"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ADECUADO</v>
      </c>
      <c r="AI41" s="104">
        <v>3</v>
      </c>
      <c r="AJ41" s="113">
        <f>AI41</f>
        <v>3</v>
      </c>
      <c r="AK41" s="27">
        <f>IFERROR((TABLA_AVANCE_INDICADORES[[#This Row],[AVANCE 4°. TRIM]]/TABLA_AVANCE_INDICADORES[[#This Row],[PROGR. 4° TRIM]])*100,"0")</f>
        <v>100</v>
      </c>
      <c r="AL41"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41"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6</v>
      </c>
      <c r="AN41"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6</v>
      </c>
      <c r="AO41" s="27">
        <f>IFERROR((TABLA_AVANCE_INDICADORES[[#This Row],[AVANCE ACUM. TRIM.]]/TABLA_AVANCE_INDICADORES[[#This Row],[PROG. ACUM]])*100,"N/A")</f>
        <v>100</v>
      </c>
      <c r="AP41"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41" s="106">
        <f>TABLA_AVANCE_INDICADORES[[#This Row],[AVANCE ACUM. TRIM.]]-TABLA_AVANCE_INDICADORES[[#This Row],[PROG. ACUM]]</f>
        <v>0</v>
      </c>
      <c r="AR41" s="32">
        <f>IFERROR((TABLA_AVANCE_INDICADORES[[#This Row],[DIFERENCIA ABSOLUTA SEMESTRAL]]/TABLA_AVANCE_INDICADORES[[#This Row],[PROG. ACUM]])*100,"N/A")</f>
        <v>0</v>
      </c>
      <c r="AS41"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6</v>
      </c>
      <c r="AT41" s="27">
        <f>IFERROR((TABLA_AVANCE_INDICADORES[[#This Row],[AVANCE ACUM. ANUAL]]/TABLA_AVANCE_INDICADORES[[#This Row],[PROGRAMADO ANUAL]])*100,"N/A")</f>
        <v>50</v>
      </c>
      <c r="AU41"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41" s="106">
        <f>TABLA_AVANCE_INDICADORES[[#This Row],[AVANCE ACUM. ANUAL]]-TABLA_AVANCE_INDICADORES[[#This Row],[PROGRAMADO ANUAL]]</f>
        <v>-6</v>
      </c>
      <c r="AW41" s="32">
        <f>IFERROR((TABLA_AVANCE_INDICADORES[[#This Row],[DIFERENCIA ABSOLUTA ANUAL]]/TABLA_AVANCE_INDICADORES[[#This Row],[PROGRAMADO ANUAL]])*100,"N/A")</f>
        <v>-50</v>
      </c>
      <c r="AX41" s="108"/>
      <c r="AY41" s="35"/>
      <c r="AZ41" s="36"/>
      <c r="BA41" s="36"/>
      <c r="BB41"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42" spans="1:54" ht="63" hidden="1" customHeight="1" x14ac:dyDescent="0.35">
      <c r="A42" s="19" t="s">
        <v>864</v>
      </c>
      <c r="B42" s="99" t="s">
        <v>241</v>
      </c>
      <c r="C42" s="20" t="s">
        <v>213</v>
      </c>
      <c r="D42" s="100" t="s">
        <v>214</v>
      </c>
      <c r="E42" s="20" t="s">
        <v>242</v>
      </c>
      <c r="F42" s="101" t="s">
        <v>243</v>
      </c>
      <c r="G42" s="80" t="s">
        <v>244</v>
      </c>
      <c r="H42" s="80" t="s">
        <v>865</v>
      </c>
      <c r="I42" s="22" t="s">
        <v>722</v>
      </c>
      <c r="J42" s="22" t="s">
        <v>139</v>
      </c>
      <c r="K42" s="80" t="s">
        <v>140</v>
      </c>
      <c r="L42" s="22" t="s">
        <v>227</v>
      </c>
      <c r="M42" s="80" t="s">
        <v>228</v>
      </c>
      <c r="N42" s="21">
        <v>1</v>
      </c>
      <c r="O42" s="21" t="s">
        <v>723</v>
      </c>
      <c r="P42" s="110" t="s">
        <v>866</v>
      </c>
      <c r="Q42" s="110" t="s">
        <v>867</v>
      </c>
      <c r="R42" s="110" t="s">
        <v>868</v>
      </c>
      <c r="S42" s="42" t="s">
        <v>869</v>
      </c>
      <c r="T42" s="42" t="s">
        <v>727</v>
      </c>
      <c r="U42" s="42" t="s">
        <v>738</v>
      </c>
      <c r="V42" s="24">
        <v>419081362.79000002</v>
      </c>
      <c r="W42" s="24">
        <v>0</v>
      </c>
      <c r="X42" s="103">
        <v>0</v>
      </c>
      <c r="Y42" s="25" t="str">
        <f>IFERROR((TABLA_AVANCE_INDICADORES[[#This Row],[AVANCE 1°. TRIM]]/TABLA_AVANCE_INDICADORES[[#This Row],[PROGR. 1° TRIM]])*100,"0")</f>
        <v>0</v>
      </c>
      <c r="Z42"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42" s="104">
        <v>0</v>
      </c>
      <c r="AB42" s="105">
        <v>0</v>
      </c>
      <c r="AC42" s="27" t="str">
        <f t="shared" si="0"/>
        <v>0</v>
      </c>
      <c r="AD42" s="26" t="str">
        <f t="shared" si="1"/>
        <v>NO PROG.</v>
      </c>
      <c r="AE42" s="104">
        <v>0</v>
      </c>
      <c r="AF42" s="105">
        <v>0</v>
      </c>
      <c r="AG42" s="27" t="str">
        <f>IFERROR((TABLA_AVANCE_INDICADORES[[#This Row],[AVANCE 3°. TRIM]]/TABLA_AVANCE_INDICADORES[[#This Row],[PROGR. 3° TRIM]])*100,"0")</f>
        <v>0</v>
      </c>
      <c r="AH42"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42" s="104">
        <v>419081362.79000002</v>
      </c>
      <c r="AJ42" s="105">
        <v>0</v>
      </c>
      <c r="AK42" s="27">
        <f>IFERROR((TABLA_AVANCE_INDICADORES[[#This Row],[AVANCE 4°. TRIM]]/TABLA_AVANCE_INDICADORES[[#This Row],[PROGR. 4° TRIM]])*100,"0")</f>
        <v>0</v>
      </c>
      <c r="AL42"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42"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42"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42" s="27" t="str">
        <f>IFERROR((TABLA_AVANCE_INDICADORES[[#This Row],[AVANCE ACUM. TRIM.]]/TABLA_AVANCE_INDICADORES[[#This Row],[PROG. ACUM]])*100,"N/A")</f>
        <v>N/A</v>
      </c>
      <c r="AP42"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42" s="106">
        <f>TABLA_AVANCE_INDICADORES[[#This Row],[AVANCE ACUM. TRIM.]]-TABLA_AVANCE_INDICADORES[[#This Row],[PROG. ACUM]]</f>
        <v>0</v>
      </c>
      <c r="AR42" s="32" t="str">
        <f>IFERROR((TABLA_AVANCE_INDICADORES[[#This Row],[DIFERENCIA ABSOLUTA SEMESTRAL]]/TABLA_AVANCE_INDICADORES[[#This Row],[PROG. ACUM]])*100,"N/A")</f>
        <v>N/A</v>
      </c>
      <c r="AS42"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42" s="27">
        <f>IFERROR((TABLA_AVANCE_INDICADORES[[#This Row],[AVANCE ACUM. ANUAL]]/TABLA_AVANCE_INDICADORES[[#This Row],[PROGRAMADO ANUAL]])*100,"N/A")</f>
        <v>0</v>
      </c>
      <c r="AU42"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42" s="106">
        <f>TABLA_AVANCE_INDICADORES[[#This Row],[AVANCE ACUM. ANUAL]]-TABLA_AVANCE_INDICADORES[[#This Row],[PROGRAMADO ANUAL]]</f>
        <v>-419081362.79000002</v>
      </c>
      <c r="AW42" s="32">
        <f>IFERROR((TABLA_AVANCE_INDICADORES[[#This Row],[DIFERENCIA ABSOLUTA ANUAL]]/TABLA_AVANCE_INDICADORES[[#This Row],[PROGRAMADO ANUAL]])*100,"N/A")</f>
        <v>-100</v>
      </c>
      <c r="AX42" s="108"/>
      <c r="AY42" s="35"/>
      <c r="AZ42" s="36"/>
      <c r="BA42" s="36"/>
      <c r="BB42"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43" spans="1:54" ht="63" hidden="1" customHeight="1" x14ac:dyDescent="0.35">
      <c r="A43" s="19" t="s">
        <v>870</v>
      </c>
      <c r="B43" s="99" t="s">
        <v>241</v>
      </c>
      <c r="C43" s="20" t="s">
        <v>213</v>
      </c>
      <c r="D43" s="100" t="s">
        <v>214</v>
      </c>
      <c r="E43" s="20" t="s">
        <v>242</v>
      </c>
      <c r="F43" s="101" t="s">
        <v>243</v>
      </c>
      <c r="G43" s="80" t="s">
        <v>244</v>
      </c>
      <c r="H43" s="80" t="s">
        <v>865</v>
      </c>
      <c r="I43" s="22" t="s">
        <v>722</v>
      </c>
      <c r="J43" s="22" t="s">
        <v>139</v>
      </c>
      <c r="K43" s="80" t="s">
        <v>140</v>
      </c>
      <c r="L43" s="22" t="s">
        <v>227</v>
      </c>
      <c r="M43" s="80" t="s">
        <v>228</v>
      </c>
      <c r="N43" s="21">
        <v>2</v>
      </c>
      <c r="O43" s="21" t="s">
        <v>723</v>
      </c>
      <c r="P43" s="102" t="s">
        <v>866</v>
      </c>
      <c r="Q43" s="102" t="s">
        <v>871</v>
      </c>
      <c r="R43" s="102" t="s">
        <v>868</v>
      </c>
      <c r="S43" s="42" t="s">
        <v>869</v>
      </c>
      <c r="T43" s="42" t="s">
        <v>727</v>
      </c>
      <c r="U43" s="42" t="s">
        <v>738</v>
      </c>
      <c r="V43" s="24">
        <v>0</v>
      </c>
      <c r="W43" s="24">
        <v>0</v>
      </c>
      <c r="X43" s="103">
        <v>0</v>
      </c>
      <c r="Y43" s="25" t="str">
        <f>IFERROR((TABLA_AVANCE_INDICADORES[[#This Row],[AVANCE 1°. TRIM]]/TABLA_AVANCE_INDICADORES[[#This Row],[PROGR. 1° TRIM]])*100,"0")</f>
        <v>0</v>
      </c>
      <c r="Z43"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43" s="104">
        <v>0</v>
      </c>
      <c r="AB43" s="105">
        <v>0</v>
      </c>
      <c r="AC43" s="27" t="str">
        <f t="shared" si="0"/>
        <v>0</v>
      </c>
      <c r="AD43" s="26" t="str">
        <f t="shared" si="1"/>
        <v>NO PROG.</v>
      </c>
      <c r="AE43" s="104">
        <v>0</v>
      </c>
      <c r="AF43" s="105">
        <v>0</v>
      </c>
      <c r="AG43" s="27" t="str">
        <f>IFERROR((TABLA_AVANCE_INDICADORES[[#This Row],[AVANCE 3°. TRIM]]/TABLA_AVANCE_INDICADORES[[#This Row],[PROGR. 3° TRIM]])*100,"0")</f>
        <v>0</v>
      </c>
      <c r="AH43"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43" s="104">
        <v>0</v>
      </c>
      <c r="AJ43" s="111">
        <v>0</v>
      </c>
      <c r="AK43" s="27" t="str">
        <f>IFERROR((TABLA_AVANCE_INDICADORES[[#This Row],[AVANCE 4°. TRIM]]/TABLA_AVANCE_INDICADORES[[#This Row],[PROGR. 4° TRIM]])*100,"0")</f>
        <v>0</v>
      </c>
      <c r="AL43"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NO PROG.</v>
      </c>
      <c r="AM43"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43"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43" s="27" t="str">
        <f>IFERROR((TABLA_AVANCE_INDICADORES[[#This Row],[AVANCE ACUM. TRIM.]]/TABLA_AVANCE_INDICADORES[[#This Row],[PROG. ACUM]])*100,"N/A")</f>
        <v>N/A</v>
      </c>
      <c r="AP43"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43" s="106">
        <f>TABLA_AVANCE_INDICADORES[[#This Row],[AVANCE ACUM. TRIM.]]-TABLA_AVANCE_INDICADORES[[#This Row],[PROG. ACUM]]</f>
        <v>0</v>
      </c>
      <c r="AR43" s="32" t="str">
        <f>IFERROR((TABLA_AVANCE_INDICADORES[[#This Row],[DIFERENCIA ABSOLUTA SEMESTRAL]]/TABLA_AVANCE_INDICADORES[[#This Row],[PROG. ACUM]])*100,"N/A")</f>
        <v>N/A</v>
      </c>
      <c r="AS43"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43" s="27" t="str">
        <f>IFERROR((TABLA_AVANCE_INDICADORES[[#This Row],[AVANCE ACUM. ANUAL]]/TABLA_AVANCE_INDICADORES[[#This Row],[PROGRAMADO ANUAL]])*100,"N/A")</f>
        <v>N/A</v>
      </c>
      <c r="AU43"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NO PROG.</v>
      </c>
      <c r="AV43" s="106">
        <f>TABLA_AVANCE_INDICADORES[[#This Row],[AVANCE ACUM. ANUAL]]-TABLA_AVANCE_INDICADORES[[#This Row],[PROGRAMADO ANUAL]]</f>
        <v>0</v>
      </c>
      <c r="AW43" s="32" t="str">
        <f>IFERROR((TABLA_AVANCE_INDICADORES[[#This Row],[DIFERENCIA ABSOLUTA ANUAL]]/TABLA_AVANCE_INDICADORES[[#This Row],[PROGRAMADO ANUAL]])*100,"N/A")</f>
        <v>N/A</v>
      </c>
      <c r="AX43" s="108"/>
      <c r="AY43" s="35"/>
      <c r="AZ43" s="36"/>
      <c r="BA43" s="36"/>
      <c r="BB43"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44" spans="1:54" s="50" customFormat="1" ht="63" hidden="1" customHeight="1" x14ac:dyDescent="0.35">
      <c r="A44" s="19" t="s">
        <v>872</v>
      </c>
      <c r="B44" s="99" t="s">
        <v>241</v>
      </c>
      <c r="C44" s="20" t="s">
        <v>213</v>
      </c>
      <c r="D44" s="100" t="s">
        <v>214</v>
      </c>
      <c r="E44" s="20" t="s">
        <v>242</v>
      </c>
      <c r="F44" s="101" t="s">
        <v>243</v>
      </c>
      <c r="G44" s="80" t="s">
        <v>244</v>
      </c>
      <c r="H44" s="80" t="s">
        <v>865</v>
      </c>
      <c r="I44" s="22" t="s">
        <v>722</v>
      </c>
      <c r="J44" s="22" t="s">
        <v>139</v>
      </c>
      <c r="K44" s="80" t="s">
        <v>140</v>
      </c>
      <c r="L44" s="22" t="s">
        <v>227</v>
      </c>
      <c r="M44" s="80" t="s">
        <v>228</v>
      </c>
      <c r="N44" s="21">
        <v>1</v>
      </c>
      <c r="O44" s="21" t="s">
        <v>733</v>
      </c>
      <c r="P44" s="102" t="s">
        <v>873</v>
      </c>
      <c r="Q44" s="102" t="s">
        <v>874</v>
      </c>
      <c r="R44" s="102" t="s">
        <v>875</v>
      </c>
      <c r="S44" s="42" t="s">
        <v>869</v>
      </c>
      <c r="T44" s="42" t="s">
        <v>727</v>
      </c>
      <c r="U44" s="42" t="s">
        <v>738</v>
      </c>
      <c r="V44" s="24">
        <v>419081362.79000002</v>
      </c>
      <c r="W44" s="24">
        <v>0</v>
      </c>
      <c r="X44" s="103">
        <v>0</v>
      </c>
      <c r="Y44" s="25" t="str">
        <f>IFERROR((TABLA_AVANCE_INDICADORES[[#This Row],[AVANCE 1°. TRIM]]/TABLA_AVANCE_INDICADORES[[#This Row],[PROGR. 1° TRIM]])*100,"0")</f>
        <v>0</v>
      </c>
      <c r="Z44"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44" s="104">
        <v>0</v>
      </c>
      <c r="AB44" s="105">
        <v>0</v>
      </c>
      <c r="AC44" s="27" t="str">
        <f t="shared" si="0"/>
        <v>0</v>
      </c>
      <c r="AD44" s="26" t="str">
        <f t="shared" si="1"/>
        <v>NO PROG.</v>
      </c>
      <c r="AE44" s="104">
        <v>0</v>
      </c>
      <c r="AF44" s="105">
        <v>0</v>
      </c>
      <c r="AG44" s="27" t="str">
        <f>IFERROR((TABLA_AVANCE_INDICADORES[[#This Row],[AVANCE 3°. TRIM]]/TABLA_AVANCE_INDICADORES[[#This Row],[PROGR. 3° TRIM]])*100,"0")</f>
        <v>0</v>
      </c>
      <c r="AH44"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44" s="104">
        <v>419081362.79000002</v>
      </c>
      <c r="AJ44" s="105">
        <v>0</v>
      </c>
      <c r="AK44" s="27">
        <f>IFERROR((TABLA_AVANCE_INDICADORES[[#This Row],[AVANCE 4°. TRIM]]/TABLA_AVANCE_INDICADORES[[#This Row],[PROGR. 4° TRIM]])*100,"0")</f>
        <v>0</v>
      </c>
      <c r="AL44"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44"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44"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44" s="27" t="str">
        <f>IFERROR((TABLA_AVANCE_INDICADORES[[#This Row],[AVANCE ACUM. TRIM.]]/TABLA_AVANCE_INDICADORES[[#This Row],[PROG. ACUM]])*100,"N/A")</f>
        <v>N/A</v>
      </c>
      <c r="AP44"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44" s="106">
        <f>TABLA_AVANCE_INDICADORES[[#This Row],[AVANCE ACUM. TRIM.]]-TABLA_AVANCE_INDICADORES[[#This Row],[PROG. ACUM]]</f>
        <v>0</v>
      </c>
      <c r="AR44" s="32" t="str">
        <f>IFERROR((TABLA_AVANCE_INDICADORES[[#This Row],[DIFERENCIA ABSOLUTA SEMESTRAL]]/TABLA_AVANCE_INDICADORES[[#This Row],[PROG. ACUM]])*100,"N/A")</f>
        <v>N/A</v>
      </c>
      <c r="AS44"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44" s="27">
        <f>IFERROR((TABLA_AVANCE_INDICADORES[[#This Row],[AVANCE ACUM. ANUAL]]/TABLA_AVANCE_INDICADORES[[#This Row],[PROGRAMADO ANUAL]])*100,"N/A")</f>
        <v>0</v>
      </c>
      <c r="AU44"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44" s="106">
        <f>TABLA_AVANCE_INDICADORES[[#This Row],[AVANCE ACUM. ANUAL]]-TABLA_AVANCE_INDICADORES[[#This Row],[PROGRAMADO ANUAL]]</f>
        <v>-419081362.79000002</v>
      </c>
      <c r="AW44" s="32">
        <f>IFERROR((TABLA_AVANCE_INDICADORES[[#This Row],[DIFERENCIA ABSOLUTA ANUAL]]/TABLA_AVANCE_INDICADORES[[#This Row],[PROGRAMADO ANUAL]])*100,"N/A")</f>
        <v>-100</v>
      </c>
      <c r="AX44" s="108"/>
      <c r="AY44" s="35"/>
      <c r="AZ44" s="36"/>
      <c r="BA44" s="36"/>
      <c r="BB44"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45" spans="1:54" ht="63" hidden="1" customHeight="1" x14ac:dyDescent="0.35">
      <c r="A45" s="19" t="s">
        <v>876</v>
      </c>
      <c r="B45" s="99" t="s">
        <v>241</v>
      </c>
      <c r="C45" s="20" t="s">
        <v>213</v>
      </c>
      <c r="D45" s="100" t="s">
        <v>214</v>
      </c>
      <c r="E45" s="20" t="s">
        <v>242</v>
      </c>
      <c r="F45" s="101" t="s">
        <v>243</v>
      </c>
      <c r="G45" s="80" t="s">
        <v>244</v>
      </c>
      <c r="H45" s="80" t="s">
        <v>865</v>
      </c>
      <c r="I45" s="22" t="s">
        <v>722</v>
      </c>
      <c r="J45" s="22" t="s">
        <v>139</v>
      </c>
      <c r="K45" s="80" t="s">
        <v>140</v>
      </c>
      <c r="L45" s="22" t="s">
        <v>227</v>
      </c>
      <c r="M45" s="80" t="s">
        <v>228</v>
      </c>
      <c r="N45" s="21">
        <v>2</v>
      </c>
      <c r="O45" s="21" t="s">
        <v>733</v>
      </c>
      <c r="P45" s="102" t="s">
        <v>873</v>
      </c>
      <c r="Q45" s="102" t="s">
        <v>877</v>
      </c>
      <c r="R45" s="102" t="s">
        <v>875</v>
      </c>
      <c r="S45" s="42" t="s">
        <v>869</v>
      </c>
      <c r="T45" s="42" t="s">
        <v>727</v>
      </c>
      <c r="U45" s="42" t="s">
        <v>738</v>
      </c>
      <c r="V45" s="24">
        <v>419081362.79000002</v>
      </c>
      <c r="W45" s="24">
        <v>0</v>
      </c>
      <c r="X45" s="103">
        <v>0</v>
      </c>
      <c r="Y45" s="25" t="str">
        <f>IFERROR((TABLA_AVANCE_INDICADORES[[#This Row],[AVANCE 1°. TRIM]]/TABLA_AVANCE_INDICADORES[[#This Row],[PROGR. 1° TRIM]])*100,"0")</f>
        <v>0</v>
      </c>
      <c r="Z45"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45" s="104">
        <v>0</v>
      </c>
      <c r="AB45" s="105">
        <v>0</v>
      </c>
      <c r="AC45" s="27" t="str">
        <f t="shared" si="0"/>
        <v>0</v>
      </c>
      <c r="AD45" s="26" t="str">
        <f t="shared" si="1"/>
        <v>NO PROG.</v>
      </c>
      <c r="AE45" s="104">
        <v>0</v>
      </c>
      <c r="AF45" s="105">
        <v>0</v>
      </c>
      <c r="AG45" s="27" t="str">
        <f>IFERROR((TABLA_AVANCE_INDICADORES[[#This Row],[AVANCE 3°. TRIM]]/TABLA_AVANCE_INDICADORES[[#This Row],[PROGR. 3° TRIM]])*100,"0")</f>
        <v>0</v>
      </c>
      <c r="AH45"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45" s="104">
        <v>419081362.79000002</v>
      </c>
      <c r="AJ45" s="105">
        <v>0</v>
      </c>
      <c r="AK45" s="27">
        <f>IFERROR((TABLA_AVANCE_INDICADORES[[#This Row],[AVANCE 4°. TRIM]]/TABLA_AVANCE_INDICADORES[[#This Row],[PROGR. 4° TRIM]])*100,"0")</f>
        <v>0</v>
      </c>
      <c r="AL45"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45"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45"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45" s="27" t="str">
        <f>IFERROR((TABLA_AVANCE_INDICADORES[[#This Row],[AVANCE ACUM. TRIM.]]/TABLA_AVANCE_INDICADORES[[#This Row],[PROG. ACUM]])*100,"N/A")</f>
        <v>N/A</v>
      </c>
      <c r="AP45"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45" s="106">
        <f>TABLA_AVANCE_INDICADORES[[#This Row],[AVANCE ACUM. TRIM.]]-TABLA_AVANCE_INDICADORES[[#This Row],[PROG. ACUM]]</f>
        <v>0</v>
      </c>
      <c r="AR45" s="32" t="str">
        <f>IFERROR((TABLA_AVANCE_INDICADORES[[#This Row],[DIFERENCIA ABSOLUTA SEMESTRAL]]/TABLA_AVANCE_INDICADORES[[#This Row],[PROG. ACUM]])*100,"N/A")</f>
        <v>N/A</v>
      </c>
      <c r="AS45"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45" s="27">
        <f>IFERROR((TABLA_AVANCE_INDICADORES[[#This Row],[AVANCE ACUM. ANUAL]]/TABLA_AVANCE_INDICADORES[[#This Row],[PROGRAMADO ANUAL]])*100,"N/A")</f>
        <v>0</v>
      </c>
      <c r="AU45"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45" s="106">
        <f>TABLA_AVANCE_INDICADORES[[#This Row],[AVANCE ACUM. ANUAL]]-TABLA_AVANCE_INDICADORES[[#This Row],[PROGRAMADO ANUAL]]</f>
        <v>-419081362.79000002</v>
      </c>
      <c r="AW45" s="32">
        <f>IFERROR((TABLA_AVANCE_INDICADORES[[#This Row],[DIFERENCIA ABSOLUTA ANUAL]]/TABLA_AVANCE_INDICADORES[[#This Row],[PROGRAMADO ANUAL]])*100,"N/A")</f>
        <v>-100</v>
      </c>
      <c r="AX45" s="108"/>
      <c r="AY45" s="35"/>
      <c r="AZ45" s="36"/>
      <c r="BA45" s="36"/>
      <c r="BB45"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46" spans="1:54" ht="63" hidden="1" customHeight="1" x14ac:dyDescent="0.35">
      <c r="A46" s="19" t="s">
        <v>878</v>
      </c>
      <c r="B46" s="99" t="s">
        <v>212</v>
      </c>
      <c r="C46" s="20" t="s">
        <v>213</v>
      </c>
      <c r="D46" s="100" t="s">
        <v>214</v>
      </c>
      <c r="E46" s="20" t="s">
        <v>253</v>
      </c>
      <c r="F46" s="101" t="s">
        <v>254</v>
      </c>
      <c r="G46" s="80" t="s">
        <v>255</v>
      </c>
      <c r="H46" s="80" t="s">
        <v>879</v>
      </c>
      <c r="I46" s="22" t="s">
        <v>722</v>
      </c>
      <c r="J46" s="22" t="s">
        <v>139</v>
      </c>
      <c r="K46" s="80" t="s">
        <v>140</v>
      </c>
      <c r="L46" s="22" t="s">
        <v>256</v>
      </c>
      <c r="M46" s="80" t="s">
        <v>257</v>
      </c>
      <c r="N46" s="21">
        <v>1</v>
      </c>
      <c r="O46" s="21" t="s">
        <v>742</v>
      </c>
      <c r="P46" s="110" t="s">
        <v>880</v>
      </c>
      <c r="Q46" s="110" t="s">
        <v>881</v>
      </c>
      <c r="R46" s="110" t="s">
        <v>882</v>
      </c>
      <c r="S46" s="42" t="s">
        <v>883</v>
      </c>
      <c r="T46" s="42" t="s">
        <v>884</v>
      </c>
      <c r="U46" s="42" t="s">
        <v>746</v>
      </c>
      <c r="V46" s="24">
        <v>710</v>
      </c>
      <c r="W46" s="24">
        <v>0</v>
      </c>
      <c r="X46" s="103">
        <v>0</v>
      </c>
      <c r="Y46" s="25" t="str">
        <f>IFERROR((TABLA_AVANCE_INDICADORES[[#This Row],[AVANCE 1°. TRIM]]/TABLA_AVANCE_INDICADORES[[#This Row],[PROGR. 1° TRIM]])*100,"0")</f>
        <v>0</v>
      </c>
      <c r="Z46"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46" s="104">
        <v>710</v>
      </c>
      <c r="AB46" s="105">
        <v>713</v>
      </c>
      <c r="AC46" s="27">
        <f t="shared" si="0"/>
        <v>100.4225352112676</v>
      </c>
      <c r="AD46" s="26" t="str">
        <f t="shared" si="1"/>
        <v>ADECUADO</v>
      </c>
      <c r="AE46" s="104">
        <v>0</v>
      </c>
      <c r="AF46" s="105">
        <v>0</v>
      </c>
      <c r="AG46" s="27" t="str">
        <f>IFERROR((TABLA_AVANCE_INDICADORES[[#This Row],[AVANCE 3°. TRIM]]/TABLA_AVANCE_INDICADORES[[#This Row],[PROGR. 3° TRIM]])*100,"0")</f>
        <v>0</v>
      </c>
      <c r="AH46"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46" s="104">
        <v>710</v>
      </c>
      <c r="AJ46" s="105">
        <v>0</v>
      </c>
      <c r="AK46" s="27">
        <f>IFERROR((TABLA_AVANCE_INDICADORES[[#This Row],[AVANCE 4°. TRIM]]/TABLA_AVANCE_INDICADORES[[#This Row],[PROGR. 4° TRIM]])*100,"0")</f>
        <v>0</v>
      </c>
      <c r="AL46"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46"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710</v>
      </c>
      <c r="AN46"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713</v>
      </c>
      <c r="AO46" s="27">
        <f>IFERROR((TABLA_AVANCE_INDICADORES[[#This Row],[AVANCE ACUM. TRIM.]]/TABLA_AVANCE_INDICADORES[[#This Row],[PROG. ACUM]])*100,"N/A")</f>
        <v>100.4225352112676</v>
      </c>
      <c r="AP46"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46" s="106">
        <f>TABLA_AVANCE_INDICADORES[[#This Row],[AVANCE ACUM. TRIM.]]-TABLA_AVANCE_INDICADORES[[#This Row],[PROG. ACUM]]</f>
        <v>3</v>
      </c>
      <c r="AR46" s="32">
        <f>IFERROR((TABLA_AVANCE_INDICADORES[[#This Row],[DIFERENCIA ABSOLUTA SEMESTRAL]]/TABLA_AVANCE_INDICADORES[[#This Row],[PROG. ACUM]])*100,"N/A")</f>
        <v>0.42253521126760557</v>
      </c>
      <c r="AS46"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713</v>
      </c>
      <c r="AT46" s="27">
        <f>IFERROR((TABLA_AVANCE_INDICADORES[[#This Row],[AVANCE ACUM. ANUAL]]/TABLA_AVANCE_INDICADORES[[#This Row],[PROGRAMADO ANUAL]])*100,"N/A")</f>
        <v>100.4225352112676</v>
      </c>
      <c r="AU46"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ADECUADO</v>
      </c>
      <c r="AV46" s="106">
        <f>TABLA_AVANCE_INDICADORES[[#This Row],[AVANCE ACUM. ANUAL]]-TABLA_AVANCE_INDICADORES[[#This Row],[PROGRAMADO ANUAL]]</f>
        <v>3</v>
      </c>
      <c r="AW46" s="32">
        <f>IFERROR((TABLA_AVANCE_INDICADORES[[#This Row],[DIFERENCIA ABSOLUTA ANUAL]]/TABLA_AVANCE_INDICADORES[[#This Row],[PROGRAMADO ANUAL]])*100,"N/A")</f>
        <v>0.42253521126760557</v>
      </c>
      <c r="AX46" s="108"/>
      <c r="AY46" s="35"/>
      <c r="AZ46" s="36"/>
      <c r="BA46" s="36"/>
      <c r="BB46" s="109">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710</v>
      </c>
    </row>
    <row r="47" spans="1:54" ht="63" hidden="1" customHeight="1" x14ac:dyDescent="0.35">
      <c r="A47" s="19" t="s">
        <v>885</v>
      </c>
      <c r="B47" s="99" t="s">
        <v>212</v>
      </c>
      <c r="C47" s="20" t="s">
        <v>213</v>
      </c>
      <c r="D47" s="100" t="s">
        <v>214</v>
      </c>
      <c r="E47" s="20" t="s">
        <v>253</v>
      </c>
      <c r="F47" s="101" t="s">
        <v>254</v>
      </c>
      <c r="G47" s="80" t="s">
        <v>255</v>
      </c>
      <c r="H47" s="80" t="s">
        <v>879</v>
      </c>
      <c r="I47" s="22" t="s">
        <v>722</v>
      </c>
      <c r="J47" s="22" t="s">
        <v>139</v>
      </c>
      <c r="K47" s="80" t="s">
        <v>140</v>
      </c>
      <c r="L47" s="22" t="s">
        <v>256</v>
      </c>
      <c r="M47" s="80" t="s">
        <v>257</v>
      </c>
      <c r="N47" s="21">
        <v>2</v>
      </c>
      <c r="O47" s="21" t="s">
        <v>742</v>
      </c>
      <c r="P47" s="110" t="s">
        <v>880</v>
      </c>
      <c r="Q47" s="110" t="s">
        <v>886</v>
      </c>
      <c r="R47" s="110" t="s">
        <v>882</v>
      </c>
      <c r="S47" s="42" t="s">
        <v>883</v>
      </c>
      <c r="T47" s="42" t="s">
        <v>887</v>
      </c>
      <c r="U47" s="42" t="s">
        <v>746</v>
      </c>
      <c r="V47" s="24">
        <v>718</v>
      </c>
      <c r="W47" s="24">
        <v>0</v>
      </c>
      <c r="X47" s="103">
        <v>0</v>
      </c>
      <c r="Y47" s="25" t="str">
        <f>IFERROR((TABLA_AVANCE_INDICADORES[[#This Row],[AVANCE 1°. TRIM]]/TABLA_AVANCE_INDICADORES[[#This Row],[PROGR. 1° TRIM]])*100,"0")</f>
        <v>0</v>
      </c>
      <c r="Z47"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47" s="104">
        <v>718</v>
      </c>
      <c r="AB47" s="111">
        <v>718</v>
      </c>
      <c r="AC47" s="27">
        <f t="shared" si="0"/>
        <v>100</v>
      </c>
      <c r="AD47" s="26" t="str">
        <f t="shared" si="1"/>
        <v>ADECUADO</v>
      </c>
      <c r="AE47" s="104">
        <v>0</v>
      </c>
      <c r="AF47" s="105">
        <v>0</v>
      </c>
      <c r="AG47" s="27" t="str">
        <f>IFERROR((TABLA_AVANCE_INDICADORES[[#This Row],[AVANCE 3°. TRIM]]/TABLA_AVANCE_INDICADORES[[#This Row],[PROGR. 3° TRIM]])*100,"0")</f>
        <v>0</v>
      </c>
      <c r="AH47"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47" s="104">
        <v>710</v>
      </c>
      <c r="AJ47" s="111">
        <f>AB46</f>
        <v>713</v>
      </c>
      <c r="AK47" s="27">
        <f>IFERROR((TABLA_AVANCE_INDICADORES[[#This Row],[AVANCE 4°. TRIM]]/TABLA_AVANCE_INDICADORES[[#This Row],[PROGR. 4° TRIM]])*100,"0")</f>
        <v>100.4225352112676</v>
      </c>
      <c r="AL47"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47"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718</v>
      </c>
      <c r="AN47"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718</v>
      </c>
      <c r="AO47" s="27">
        <f>IFERROR((TABLA_AVANCE_INDICADORES[[#This Row],[AVANCE ACUM. TRIM.]]/TABLA_AVANCE_INDICADORES[[#This Row],[PROG. ACUM]])*100,"N/A")</f>
        <v>100</v>
      </c>
      <c r="AP47"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47" s="106">
        <f>TABLA_AVANCE_INDICADORES[[#This Row],[AVANCE ACUM. TRIM.]]-TABLA_AVANCE_INDICADORES[[#This Row],[PROG. ACUM]]</f>
        <v>0</v>
      </c>
      <c r="AR47" s="32">
        <f>IFERROR((TABLA_AVANCE_INDICADORES[[#This Row],[DIFERENCIA ABSOLUTA SEMESTRAL]]/TABLA_AVANCE_INDICADORES[[#This Row],[PROG. ACUM]])*100,"N/A")</f>
        <v>0</v>
      </c>
      <c r="AS47"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718</v>
      </c>
      <c r="AT47" s="27">
        <f>IFERROR((TABLA_AVANCE_INDICADORES[[#This Row],[AVANCE ACUM. ANUAL]]/TABLA_AVANCE_INDICADORES[[#This Row],[PROGRAMADO ANUAL]])*100,"N/A")</f>
        <v>100</v>
      </c>
      <c r="AU47"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ADECUADO</v>
      </c>
      <c r="AV47" s="106">
        <f>TABLA_AVANCE_INDICADORES[[#This Row],[AVANCE ACUM. ANUAL]]-TABLA_AVANCE_INDICADORES[[#This Row],[PROGRAMADO ANUAL]]</f>
        <v>0</v>
      </c>
      <c r="AW47" s="32">
        <f>IFERROR((TABLA_AVANCE_INDICADORES[[#This Row],[DIFERENCIA ABSOLUTA ANUAL]]/TABLA_AVANCE_INDICADORES[[#This Row],[PROGRAMADO ANUAL]])*100,"N/A")</f>
        <v>0</v>
      </c>
      <c r="AX47" s="108"/>
      <c r="AY47" s="35"/>
      <c r="AZ47" s="36"/>
      <c r="BA47" s="36"/>
      <c r="BB47" s="109">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718</v>
      </c>
    </row>
    <row r="48" spans="1:54" ht="63" hidden="1" customHeight="1" x14ac:dyDescent="0.35">
      <c r="A48" s="51" t="s">
        <v>888</v>
      </c>
      <c r="B48" s="115" t="s">
        <v>241</v>
      </c>
      <c r="C48" s="52" t="s">
        <v>213</v>
      </c>
      <c r="D48" s="116" t="s">
        <v>214</v>
      </c>
      <c r="E48" s="52" t="s">
        <v>242</v>
      </c>
      <c r="F48" s="117" t="s">
        <v>243</v>
      </c>
      <c r="G48" s="118" t="s">
        <v>244</v>
      </c>
      <c r="H48" s="118" t="s">
        <v>865</v>
      </c>
      <c r="I48" s="54" t="s">
        <v>722</v>
      </c>
      <c r="J48" s="54" t="s">
        <v>139</v>
      </c>
      <c r="K48" s="118" t="s">
        <v>140</v>
      </c>
      <c r="L48" s="54" t="s">
        <v>227</v>
      </c>
      <c r="M48" s="118" t="s">
        <v>228</v>
      </c>
      <c r="N48" s="53">
        <v>1</v>
      </c>
      <c r="O48" s="53" t="s">
        <v>785</v>
      </c>
      <c r="P48" s="119" t="s">
        <v>889</v>
      </c>
      <c r="Q48" s="119" t="s">
        <v>890</v>
      </c>
      <c r="R48" s="119" t="s">
        <v>891</v>
      </c>
      <c r="S48" s="72" t="s">
        <v>892</v>
      </c>
      <c r="T48" s="72" t="s">
        <v>727</v>
      </c>
      <c r="U48" s="72" t="s">
        <v>746</v>
      </c>
      <c r="V48" s="56">
        <v>200905150.84999999</v>
      </c>
      <c r="W48" s="56">
        <v>0</v>
      </c>
      <c r="X48" s="120">
        <v>0</v>
      </c>
      <c r="Y48" s="57" t="str">
        <f>IFERROR((TABLA_AVANCE_INDICADORES[[#This Row],[AVANCE 1°. TRIM]]/TABLA_AVANCE_INDICADORES[[#This Row],[PROGR. 1° TRIM]])*100,"0")</f>
        <v>0</v>
      </c>
      <c r="Z48" s="58"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48" s="121">
        <v>17793150.43</v>
      </c>
      <c r="AB48" s="122">
        <v>0</v>
      </c>
      <c r="AC48" s="59">
        <f t="shared" si="0"/>
        <v>0</v>
      </c>
      <c r="AD48" s="58" t="str">
        <f t="shared" si="1"/>
        <v>CRÍTICO</v>
      </c>
      <c r="AE48" s="121">
        <v>0</v>
      </c>
      <c r="AF48" s="122">
        <v>0</v>
      </c>
      <c r="AG48" s="59" t="str">
        <f>IFERROR((TABLA_AVANCE_INDICADORES[[#This Row],[AVANCE 3°. TRIM]]/TABLA_AVANCE_INDICADORES[[#This Row],[PROGR. 3° TRIM]])*100,"0")</f>
        <v>0</v>
      </c>
      <c r="AH48" s="58"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48" s="121">
        <v>183112000.41999999</v>
      </c>
      <c r="AJ48" s="122">
        <v>0</v>
      </c>
      <c r="AK48" s="59">
        <f>IFERROR((TABLA_AVANCE_INDICADORES[[#This Row],[AVANCE 4°. TRIM]]/TABLA_AVANCE_INDICADORES[[#This Row],[PROGR. 4° TRIM]])*100,"0")</f>
        <v>0</v>
      </c>
      <c r="AL48" s="60"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48" s="75">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17793150.43</v>
      </c>
      <c r="AN48" s="63">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48" s="59">
        <f>IFERROR((TABLA_AVANCE_INDICADORES[[#This Row],[AVANCE ACUM. TRIM.]]/TABLA_AVANCE_INDICADORES[[#This Row],[PROG. ACUM]])*100,"N/A")</f>
        <v>0</v>
      </c>
      <c r="AP48" s="58"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CRÍTICO</v>
      </c>
      <c r="AQ48" s="123">
        <f>TABLA_AVANCE_INDICADORES[[#This Row],[AVANCE ACUM. TRIM.]]-TABLA_AVANCE_INDICADORES[[#This Row],[PROG. ACUM]]</f>
        <v>-17793150.43</v>
      </c>
      <c r="AR48" s="62">
        <f>IFERROR((TABLA_AVANCE_INDICADORES[[#This Row],[DIFERENCIA ABSOLUTA SEMESTRAL]]/TABLA_AVANCE_INDICADORES[[#This Row],[PROG. ACUM]])*100,"N/A")</f>
        <v>-100</v>
      </c>
      <c r="AS48" s="63">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48" s="59">
        <f>IFERROR((TABLA_AVANCE_INDICADORES[[#This Row],[AVANCE ACUM. ANUAL]]/TABLA_AVANCE_INDICADORES[[#This Row],[PROGRAMADO ANUAL]])*100,"N/A")</f>
        <v>0</v>
      </c>
      <c r="AU48" s="58"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48" s="123">
        <f>TABLA_AVANCE_INDICADORES[[#This Row],[AVANCE ACUM. ANUAL]]-TABLA_AVANCE_INDICADORES[[#This Row],[PROGRAMADO ANUAL]]</f>
        <v>-200905150.84999999</v>
      </c>
      <c r="AW48" s="62">
        <f>IFERROR((TABLA_AVANCE_INDICADORES[[#This Row],[DIFERENCIA ABSOLUTA ANUAL]]/TABLA_AVANCE_INDICADORES[[#This Row],[PROGRAMADO ANUAL]])*100,"N/A")</f>
        <v>-100</v>
      </c>
      <c r="AX48" s="124"/>
      <c r="AY48" s="66"/>
      <c r="AZ48" s="79"/>
      <c r="BA48" s="79"/>
      <c r="BB48" s="51"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49" spans="1:54" ht="63" hidden="1" customHeight="1" x14ac:dyDescent="0.35">
      <c r="A49" s="51" t="s">
        <v>893</v>
      </c>
      <c r="B49" s="115" t="s">
        <v>241</v>
      </c>
      <c r="C49" s="52" t="s">
        <v>213</v>
      </c>
      <c r="D49" s="116" t="s">
        <v>214</v>
      </c>
      <c r="E49" s="52" t="s">
        <v>242</v>
      </c>
      <c r="F49" s="117" t="s">
        <v>243</v>
      </c>
      <c r="G49" s="118" t="s">
        <v>244</v>
      </c>
      <c r="H49" s="118" t="s">
        <v>865</v>
      </c>
      <c r="I49" s="54" t="s">
        <v>722</v>
      </c>
      <c r="J49" s="54" t="s">
        <v>139</v>
      </c>
      <c r="K49" s="118" t="s">
        <v>140</v>
      </c>
      <c r="L49" s="54" t="s">
        <v>227</v>
      </c>
      <c r="M49" s="118" t="s">
        <v>228</v>
      </c>
      <c r="N49" s="53">
        <v>2</v>
      </c>
      <c r="O49" s="53" t="s">
        <v>785</v>
      </c>
      <c r="P49" s="125" t="s">
        <v>889</v>
      </c>
      <c r="Q49" s="125" t="s">
        <v>894</v>
      </c>
      <c r="R49" s="125" t="s">
        <v>891</v>
      </c>
      <c r="S49" s="72" t="s">
        <v>892</v>
      </c>
      <c r="T49" s="72" t="s">
        <v>727</v>
      </c>
      <c r="U49" s="72" t="s">
        <v>746</v>
      </c>
      <c r="V49" s="56">
        <v>217513427.18000001</v>
      </c>
      <c r="W49" s="56">
        <v>0</v>
      </c>
      <c r="X49" s="120">
        <v>0</v>
      </c>
      <c r="Y49" s="57" t="str">
        <f>IFERROR((TABLA_AVANCE_INDICADORES[[#This Row],[AVANCE 1°. TRIM]]/TABLA_AVANCE_INDICADORES[[#This Row],[PROGR. 1° TRIM]])*100,"0")</f>
        <v>0</v>
      </c>
      <c r="Z49" s="58"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49" s="121">
        <v>34401426.759999998</v>
      </c>
      <c r="AB49" s="122">
        <v>34401426.759999998</v>
      </c>
      <c r="AC49" s="59">
        <f t="shared" si="0"/>
        <v>100</v>
      </c>
      <c r="AD49" s="58" t="str">
        <f t="shared" si="1"/>
        <v>ADECUADO</v>
      </c>
      <c r="AE49" s="121">
        <v>0</v>
      </c>
      <c r="AF49" s="122">
        <v>0</v>
      </c>
      <c r="AG49" s="59" t="str">
        <f>IFERROR((TABLA_AVANCE_INDICADORES[[#This Row],[AVANCE 3°. TRIM]]/TABLA_AVANCE_INDICADORES[[#This Row],[PROGR. 3° TRIM]])*100,"0")</f>
        <v>0</v>
      </c>
      <c r="AH49" s="58"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49" s="121">
        <v>183112000.41999999</v>
      </c>
      <c r="AJ49" s="122">
        <f>AB48</f>
        <v>0</v>
      </c>
      <c r="AK49" s="59">
        <f>IFERROR((TABLA_AVANCE_INDICADORES[[#This Row],[AVANCE 4°. TRIM]]/TABLA_AVANCE_INDICADORES[[#This Row],[PROGR. 4° TRIM]])*100,"0")</f>
        <v>0</v>
      </c>
      <c r="AL49" s="60"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49" s="75">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34401426.759999998</v>
      </c>
      <c r="AN49" s="63">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34401426.759999998</v>
      </c>
      <c r="AO49" s="59">
        <f>IFERROR((TABLA_AVANCE_INDICADORES[[#This Row],[AVANCE ACUM. TRIM.]]/TABLA_AVANCE_INDICADORES[[#This Row],[PROG. ACUM]])*100,"N/A")</f>
        <v>100</v>
      </c>
      <c r="AP49" s="58"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49" s="123">
        <f>TABLA_AVANCE_INDICADORES[[#This Row],[AVANCE ACUM. TRIM.]]-TABLA_AVANCE_INDICADORES[[#This Row],[PROG. ACUM]]</f>
        <v>0</v>
      </c>
      <c r="AR49" s="62">
        <f>IFERROR((TABLA_AVANCE_INDICADORES[[#This Row],[DIFERENCIA ABSOLUTA SEMESTRAL]]/TABLA_AVANCE_INDICADORES[[#This Row],[PROG. ACUM]])*100,"N/A")</f>
        <v>0</v>
      </c>
      <c r="AS49" s="63">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34401426.759999998</v>
      </c>
      <c r="AT49" s="59">
        <f>IFERROR((TABLA_AVANCE_INDICADORES[[#This Row],[AVANCE ACUM. ANUAL]]/TABLA_AVANCE_INDICADORES[[#This Row],[PROGRAMADO ANUAL]])*100,"N/A")</f>
        <v>15.815771562245493</v>
      </c>
      <c r="AU49" s="58"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49" s="123">
        <f>TABLA_AVANCE_INDICADORES[[#This Row],[AVANCE ACUM. ANUAL]]-TABLA_AVANCE_INDICADORES[[#This Row],[PROGRAMADO ANUAL]]</f>
        <v>-183112000.42000002</v>
      </c>
      <c r="AW49" s="62">
        <f>IFERROR((TABLA_AVANCE_INDICADORES[[#This Row],[DIFERENCIA ABSOLUTA ANUAL]]/TABLA_AVANCE_INDICADORES[[#This Row],[PROGRAMADO ANUAL]])*100,"N/A")</f>
        <v>-84.184228437754513</v>
      </c>
      <c r="AX49" s="124"/>
      <c r="AY49" s="66"/>
      <c r="AZ49" s="79"/>
      <c r="BA49" s="79"/>
      <c r="BB49" s="51"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50" spans="1:54" ht="63" hidden="1" customHeight="1" x14ac:dyDescent="0.35">
      <c r="A50" s="19" t="s">
        <v>895</v>
      </c>
      <c r="B50" s="99" t="s">
        <v>135</v>
      </c>
      <c r="C50" s="20" t="s">
        <v>74</v>
      </c>
      <c r="D50" s="100" t="s">
        <v>75</v>
      </c>
      <c r="E50" s="20" t="s">
        <v>136</v>
      </c>
      <c r="F50" s="101" t="s">
        <v>137</v>
      </c>
      <c r="G50" s="80" t="s">
        <v>138</v>
      </c>
      <c r="H50" s="80" t="s">
        <v>896</v>
      </c>
      <c r="I50" s="22" t="s">
        <v>722</v>
      </c>
      <c r="J50" s="22" t="s">
        <v>139</v>
      </c>
      <c r="K50" s="80" t="s">
        <v>140</v>
      </c>
      <c r="L50" s="22" t="s">
        <v>141</v>
      </c>
      <c r="M50" s="80" t="s">
        <v>142</v>
      </c>
      <c r="N50" s="21">
        <v>1</v>
      </c>
      <c r="O50" s="21" t="s">
        <v>897</v>
      </c>
      <c r="P50" s="110" t="s">
        <v>898</v>
      </c>
      <c r="Q50" s="110" t="s">
        <v>899</v>
      </c>
      <c r="R50" s="110" t="s">
        <v>900</v>
      </c>
      <c r="S50" s="42" t="s">
        <v>144</v>
      </c>
      <c r="T50" s="42" t="s">
        <v>831</v>
      </c>
      <c r="U50" s="42" t="s">
        <v>746</v>
      </c>
      <c r="V50" s="24">
        <v>1</v>
      </c>
      <c r="W50" s="24">
        <v>0</v>
      </c>
      <c r="X50" s="103">
        <v>0</v>
      </c>
      <c r="Y50" s="25" t="str">
        <f>IFERROR((TABLA_AVANCE_INDICADORES[[#This Row],[AVANCE 1°. TRIM]]/TABLA_AVANCE_INDICADORES[[#This Row],[PROGR. 1° TRIM]])*100,"0")</f>
        <v>0</v>
      </c>
      <c r="Z50"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50" s="104">
        <v>1</v>
      </c>
      <c r="AB50" s="105">
        <v>1</v>
      </c>
      <c r="AC50" s="27">
        <f t="shared" si="0"/>
        <v>100</v>
      </c>
      <c r="AD50" s="26" t="str">
        <f t="shared" si="1"/>
        <v>ADECUADO</v>
      </c>
      <c r="AE50" s="104">
        <v>0</v>
      </c>
      <c r="AF50" s="105">
        <v>0</v>
      </c>
      <c r="AG50" s="27" t="str">
        <f>IFERROR((TABLA_AVANCE_INDICADORES[[#This Row],[AVANCE 3°. TRIM]]/TABLA_AVANCE_INDICADORES[[#This Row],[PROGR. 3° TRIM]])*100,"0")</f>
        <v>0</v>
      </c>
      <c r="AH50"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50" s="104">
        <v>1</v>
      </c>
      <c r="AJ50" s="105">
        <v>0</v>
      </c>
      <c r="AK50" s="27">
        <f>IFERROR((TABLA_AVANCE_INDICADORES[[#This Row],[AVANCE 4°. TRIM]]/TABLA_AVANCE_INDICADORES[[#This Row],[PROGR. 4° TRIM]])*100,"0")</f>
        <v>0</v>
      </c>
      <c r="AL50"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50"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v>
      </c>
      <c r="AN50"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O50" s="27">
        <f>IFERROR((TABLA_AVANCE_INDICADORES[[#This Row],[AVANCE ACUM. TRIM.]]/TABLA_AVANCE_INDICADORES[[#This Row],[PROG. ACUM]])*100,"N/A")</f>
        <v>100</v>
      </c>
      <c r="AP50"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50" s="106">
        <f>TABLA_AVANCE_INDICADORES[[#This Row],[AVANCE ACUM. TRIM.]]-TABLA_AVANCE_INDICADORES[[#This Row],[PROG. ACUM]]</f>
        <v>0</v>
      </c>
      <c r="AR50" s="32">
        <f>IFERROR((TABLA_AVANCE_INDICADORES[[#This Row],[DIFERENCIA ABSOLUTA SEMESTRAL]]/TABLA_AVANCE_INDICADORES[[#This Row],[PROG. ACUM]])*100,"N/A")</f>
        <v>0</v>
      </c>
      <c r="AS50"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T50" s="27">
        <f>IFERROR((TABLA_AVANCE_INDICADORES[[#This Row],[AVANCE ACUM. ANUAL]]/TABLA_AVANCE_INDICADORES[[#This Row],[PROGRAMADO ANUAL]])*100,"N/A")</f>
        <v>100</v>
      </c>
      <c r="AU50"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ADECUADO</v>
      </c>
      <c r="AV50" s="106">
        <f>TABLA_AVANCE_INDICADORES[[#This Row],[AVANCE ACUM. ANUAL]]-TABLA_AVANCE_INDICADORES[[#This Row],[PROGRAMADO ANUAL]]</f>
        <v>0</v>
      </c>
      <c r="AW50" s="32">
        <f>IFERROR((TABLA_AVANCE_INDICADORES[[#This Row],[DIFERENCIA ABSOLUTA ANUAL]]/TABLA_AVANCE_INDICADORES[[#This Row],[PROGRAMADO ANUAL]])*100,"N/A")</f>
        <v>0</v>
      </c>
      <c r="AX50" s="108"/>
      <c r="AY50" s="35" t="e">
        <v>#N/A</v>
      </c>
      <c r="AZ50" s="36"/>
      <c r="BA50" s="36"/>
      <c r="BB50" s="109">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1</v>
      </c>
    </row>
    <row r="51" spans="1:54" ht="63" hidden="1" customHeight="1" x14ac:dyDescent="0.35">
      <c r="A51" s="19" t="s">
        <v>901</v>
      </c>
      <c r="B51" s="99" t="s">
        <v>135</v>
      </c>
      <c r="C51" s="20" t="s">
        <v>74</v>
      </c>
      <c r="D51" s="100" t="s">
        <v>75</v>
      </c>
      <c r="E51" s="20" t="s">
        <v>136</v>
      </c>
      <c r="F51" s="101" t="s">
        <v>137</v>
      </c>
      <c r="G51" s="80" t="s">
        <v>138</v>
      </c>
      <c r="H51" s="80" t="s">
        <v>896</v>
      </c>
      <c r="I51" s="22" t="s">
        <v>722</v>
      </c>
      <c r="J51" s="22" t="s">
        <v>139</v>
      </c>
      <c r="K51" s="80" t="s">
        <v>140</v>
      </c>
      <c r="L51" s="22" t="s">
        <v>141</v>
      </c>
      <c r="M51" s="80" t="s">
        <v>142</v>
      </c>
      <c r="N51" s="21">
        <v>2</v>
      </c>
      <c r="O51" s="21" t="s">
        <v>897</v>
      </c>
      <c r="P51" s="102" t="s">
        <v>898</v>
      </c>
      <c r="Q51" s="102" t="s">
        <v>902</v>
      </c>
      <c r="R51" s="102" t="s">
        <v>900</v>
      </c>
      <c r="S51" s="42" t="s">
        <v>144</v>
      </c>
      <c r="T51" s="42" t="s">
        <v>831</v>
      </c>
      <c r="U51" s="42" t="s">
        <v>746</v>
      </c>
      <c r="V51" s="24">
        <v>2</v>
      </c>
      <c r="W51" s="24">
        <v>0</v>
      </c>
      <c r="X51" s="103">
        <v>0</v>
      </c>
      <c r="Y51" s="25" t="str">
        <f>IFERROR((TABLA_AVANCE_INDICADORES[[#This Row],[AVANCE 1°. TRIM]]/TABLA_AVANCE_INDICADORES[[#This Row],[PROGR. 1° TRIM]])*100,"0")</f>
        <v>0</v>
      </c>
      <c r="Z51"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51" s="104">
        <v>1</v>
      </c>
      <c r="AB51" s="111">
        <v>1</v>
      </c>
      <c r="AC51" s="27">
        <f t="shared" si="0"/>
        <v>100</v>
      </c>
      <c r="AD51" s="26" t="str">
        <f t="shared" si="1"/>
        <v>ADECUADO</v>
      </c>
      <c r="AE51" s="104">
        <v>0</v>
      </c>
      <c r="AF51" s="105">
        <v>0</v>
      </c>
      <c r="AG51" s="27" t="str">
        <f>IFERROR((TABLA_AVANCE_INDICADORES[[#This Row],[AVANCE 3°. TRIM]]/TABLA_AVANCE_INDICADORES[[#This Row],[PROGR. 3° TRIM]])*100,"0")</f>
        <v>0</v>
      </c>
      <c r="AH51"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51" s="104">
        <v>1</v>
      </c>
      <c r="AJ51" s="111">
        <f>AB50</f>
        <v>1</v>
      </c>
      <c r="AK51" s="27">
        <f>IFERROR((TABLA_AVANCE_INDICADORES[[#This Row],[AVANCE 4°. TRIM]]/TABLA_AVANCE_INDICADORES[[#This Row],[PROGR. 4° TRIM]])*100,"0")</f>
        <v>100</v>
      </c>
      <c r="AL51"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51"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v>
      </c>
      <c r="AN51"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O51" s="27">
        <f>IFERROR((TABLA_AVANCE_INDICADORES[[#This Row],[AVANCE ACUM. TRIM.]]/TABLA_AVANCE_INDICADORES[[#This Row],[PROG. ACUM]])*100,"N/A")</f>
        <v>100</v>
      </c>
      <c r="AP51"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51" s="106">
        <f>TABLA_AVANCE_INDICADORES[[#This Row],[AVANCE ACUM. TRIM.]]-TABLA_AVANCE_INDICADORES[[#This Row],[PROG. ACUM]]</f>
        <v>0</v>
      </c>
      <c r="AR51" s="32">
        <f>IFERROR((TABLA_AVANCE_INDICADORES[[#This Row],[DIFERENCIA ABSOLUTA SEMESTRAL]]/TABLA_AVANCE_INDICADORES[[#This Row],[PROG. ACUM]])*100,"N/A")</f>
        <v>0</v>
      </c>
      <c r="AS51"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T51" s="27">
        <f>IFERROR((TABLA_AVANCE_INDICADORES[[#This Row],[AVANCE ACUM. ANUAL]]/TABLA_AVANCE_INDICADORES[[#This Row],[PROGRAMADO ANUAL]])*100,"N/A")</f>
        <v>50</v>
      </c>
      <c r="AU51"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51" s="106">
        <f>TABLA_AVANCE_INDICADORES[[#This Row],[AVANCE ACUM. ANUAL]]-TABLA_AVANCE_INDICADORES[[#This Row],[PROGRAMADO ANUAL]]</f>
        <v>-1</v>
      </c>
      <c r="AW51" s="32">
        <f>IFERROR((TABLA_AVANCE_INDICADORES[[#This Row],[DIFERENCIA ABSOLUTA ANUAL]]/TABLA_AVANCE_INDICADORES[[#This Row],[PROGRAMADO ANUAL]])*100,"N/A")</f>
        <v>-50</v>
      </c>
      <c r="AX51" s="108"/>
      <c r="AY51" s="35" t="e">
        <v>#N/A</v>
      </c>
      <c r="AZ51" s="36"/>
      <c r="BA51" s="36"/>
      <c r="BB51" s="109">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1</v>
      </c>
    </row>
    <row r="52" spans="1:54" ht="63" hidden="1" customHeight="1" x14ac:dyDescent="0.35">
      <c r="A52" s="19" t="s">
        <v>903</v>
      </c>
      <c r="B52" s="99" t="s">
        <v>157</v>
      </c>
      <c r="C52" s="20" t="s">
        <v>74</v>
      </c>
      <c r="D52" s="100" t="s">
        <v>75</v>
      </c>
      <c r="E52" s="20" t="s">
        <v>158</v>
      </c>
      <c r="F52" s="101" t="s">
        <v>159</v>
      </c>
      <c r="G52" s="80" t="s">
        <v>160</v>
      </c>
      <c r="H52" s="80" t="s">
        <v>904</v>
      </c>
      <c r="I52" s="22" t="s">
        <v>722</v>
      </c>
      <c r="J52" s="22" t="s">
        <v>139</v>
      </c>
      <c r="K52" s="80" t="s">
        <v>140</v>
      </c>
      <c r="L52" s="22" t="s">
        <v>161</v>
      </c>
      <c r="M52" s="80" t="s">
        <v>162</v>
      </c>
      <c r="N52" s="21">
        <v>1</v>
      </c>
      <c r="O52" s="21" t="s">
        <v>905</v>
      </c>
      <c r="P52" s="102" t="s">
        <v>906</v>
      </c>
      <c r="Q52" s="102" t="s">
        <v>907</v>
      </c>
      <c r="R52" s="102" t="s">
        <v>908</v>
      </c>
      <c r="S52" s="42" t="s">
        <v>154</v>
      </c>
      <c r="T52" s="42" t="s">
        <v>831</v>
      </c>
      <c r="U52" s="42" t="s">
        <v>754</v>
      </c>
      <c r="V52" s="24">
        <v>1</v>
      </c>
      <c r="W52" s="24">
        <v>0</v>
      </c>
      <c r="X52" s="103">
        <v>0</v>
      </c>
      <c r="Y52" s="25" t="str">
        <f>IFERROR((TABLA_AVANCE_INDICADORES[[#This Row],[AVANCE 1°. TRIM]]/TABLA_AVANCE_INDICADORES[[#This Row],[PROGR. 1° TRIM]])*100,"0")</f>
        <v>0</v>
      </c>
      <c r="Z52"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52" s="104">
        <v>0</v>
      </c>
      <c r="AB52" s="105">
        <v>0</v>
      </c>
      <c r="AC52" s="27" t="str">
        <f t="shared" si="0"/>
        <v>0</v>
      </c>
      <c r="AD52" s="26" t="str">
        <f t="shared" si="1"/>
        <v>NO PROG.</v>
      </c>
      <c r="AE52" s="104">
        <v>0</v>
      </c>
      <c r="AF52" s="105">
        <v>0</v>
      </c>
      <c r="AG52" s="27" t="str">
        <f>IFERROR((TABLA_AVANCE_INDICADORES[[#This Row],[AVANCE 3°. TRIM]]/TABLA_AVANCE_INDICADORES[[#This Row],[PROGR. 3° TRIM]])*100,"0")</f>
        <v>0</v>
      </c>
      <c r="AH52"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52" s="104">
        <v>1</v>
      </c>
      <c r="AJ52" s="105">
        <v>0</v>
      </c>
      <c r="AK52" s="27">
        <f>IFERROR((TABLA_AVANCE_INDICADORES[[#This Row],[AVANCE 4°. TRIM]]/TABLA_AVANCE_INDICADORES[[#This Row],[PROGR. 4° TRIM]])*100,"0")</f>
        <v>0</v>
      </c>
      <c r="AL52"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52"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52"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52" s="27" t="str">
        <f>IFERROR((TABLA_AVANCE_INDICADORES[[#This Row],[AVANCE ACUM. TRIM.]]/TABLA_AVANCE_INDICADORES[[#This Row],[PROG. ACUM]])*100,"N/A")</f>
        <v>N/A</v>
      </c>
      <c r="AP52"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52" s="106">
        <f>TABLA_AVANCE_INDICADORES[[#This Row],[AVANCE ACUM. TRIM.]]-TABLA_AVANCE_INDICADORES[[#This Row],[PROG. ACUM]]</f>
        <v>0</v>
      </c>
      <c r="AR52" s="32" t="str">
        <f>IFERROR((TABLA_AVANCE_INDICADORES[[#This Row],[DIFERENCIA ABSOLUTA SEMESTRAL]]/TABLA_AVANCE_INDICADORES[[#This Row],[PROG. ACUM]])*100,"N/A")</f>
        <v>N/A</v>
      </c>
      <c r="AS52"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52" s="27">
        <f>IFERROR((TABLA_AVANCE_INDICADORES[[#This Row],[AVANCE ACUM. ANUAL]]/TABLA_AVANCE_INDICADORES[[#This Row],[PROGRAMADO ANUAL]])*100,"N/A")</f>
        <v>0</v>
      </c>
      <c r="AU52"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52" s="106">
        <f>TABLA_AVANCE_INDICADORES[[#This Row],[AVANCE ACUM. ANUAL]]-TABLA_AVANCE_INDICADORES[[#This Row],[PROGRAMADO ANUAL]]</f>
        <v>-1</v>
      </c>
      <c r="AW52" s="32">
        <f>IFERROR((TABLA_AVANCE_INDICADORES[[#This Row],[DIFERENCIA ABSOLUTA ANUAL]]/TABLA_AVANCE_INDICADORES[[#This Row],[PROGRAMADO ANUAL]])*100,"N/A")</f>
        <v>-100</v>
      </c>
      <c r="AX52" s="108"/>
      <c r="AY52" s="35"/>
      <c r="AZ52" s="36"/>
      <c r="BA52" s="36"/>
      <c r="BB52" s="109">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0</v>
      </c>
    </row>
    <row r="53" spans="1:54" ht="63" hidden="1" customHeight="1" x14ac:dyDescent="0.35">
      <c r="A53" s="19" t="s">
        <v>909</v>
      </c>
      <c r="B53" s="99" t="s">
        <v>157</v>
      </c>
      <c r="C53" s="20" t="s">
        <v>74</v>
      </c>
      <c r="D53" s="100" t="s">
        <v>75</v>
      </c>
      <c r="E53" s="20" t="s">
        <v>158</v>
      </c>
      <c r="F53" s="101" t="s">
        <v>159</v>
      </c>
      <c r="G53" s="80" t="s">
        <v>160</v>
      </c>
      <c r="H53" s="80" t="s">
        <v>904</v>
      </c>
      <c r="I53" s="22" t="s">
        <v>722</v>
      </c>
      <c r="J53" s="22" t="s">
        <v>139</v>
      </c>
      <c r="K53" s="80" t="s">
        <v>140</v>
      </c>
      <c r="L53" s="22" t="s">
        <v>161</v>
      </c>
      <c r="M53" s="80" t="s">
        <v>162</v>
      </c>
      <c r="N53" s="21">
        <v>2</v>
      </c>
      <c r="O53" s="21" t="s">
        <v>905</v>
      </c>
      <c r="P53" s="102" t="s">
        <v>906</v>
      </c>
      <c r="Q53" s="102" t="s">
        <v>910</v>
      </c>
      <c r="R53" s="102" t="s">
        <v>908</v>
      </c>
      <c r="S53" s="42" t="s">
        <v>154</v>
      </c>
      <c r="T53" s="42" t="s">
        <v>831</v>
      </c>
      <c r="U53" s="42" t="s">
        <v>754</v>
      </c>
      <c r="V53" s="24">
        <v>1</v>
      </c>
      <c r="W53" s="24">
        <v>0</v>
      </c>
      <c r="X53" s="103">
        <v>0</v>
      </c>
      <c r="Y53" s="25" t="str">
        <f>IFERROR((TABLA_AVANCE_INDICADORES[[#This Row],[AVANCE 1°. TRIM]]/TABLA_AVANCE_INDICADORES[[#This Row],[PROGR. 1° TRIM]])*100,"0")</f>
        <v>0</v>
      </c>
      <c r="Z53"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53" s="104">
        <v>1</v>
      </c>
      <c r="AB53" s="105">
        <v>1</v>
      </c>
      <c r="AC53" s="27">
        <f t="shared" si="0"/>
        <v>100</v>
      </c>
      <c r="AD53" s="26" t="str">
        <f t="shared" si="1"/>
        <v>ADECUADO</v>
      </c>
      <c r="AE53" s="104">
        <v>0</v>
      </c>
      <c r="AF53" s="105">
        <v>0</v>
      </c>
      <c r="AG53" s="27" t="str">
        <f>IFERROR((TABLA_AVANCE_INDICADORES[[#This Row],[AVANCE 3°. TRIM]]/TABLA_AVANCE_INDICADORES[[#This Row],[PROGR. 3° TRIM]])*100,"0")</f>
        <v>0</v>
      </c>
      <c r="AH53"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53" s="104">
        <v>0</v>
      </c>
      <c r="AJ53" s="105">
        <v>0</v>
      </c>
      <c r="AK53" s="27" t="str">
        <f>IFERROR((TABLA_AVANCE_INDICADORES[[#This Row],[AVANCE 4°. TRIM]]/TABLA_AVANCE_INDICADORES[[#This Row],[PROGR. 4° TRIM]])*100,"0")</f>
        <v>0</v>
      </c>
      <c r="AL53"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NO PROG.</v>
      </c>
      <c r="AM53"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v>
      </c>
      <c r="AN53"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O53" s="27">
        <f>IFERROR((TABLA_AVANCE_INDICADORES[[#This Row],[AVANCE ACUM. TRIM.]]/TABLA_AVANCE_INDICADORES[[#This Row],[PROG. ACUM]])*100,"N/A")</f>
        <v>100</v>
      </c>
      <c r="AP53"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53" s="106">
        <f>TABLA_AVANCE_INDICADORES[[#This Row],[AVANCE ACUM. TRIM.]]-TABLA_AVANCE_INDICADORES[[#This Row],[PROG. ACUM]]</f>
        <v>0</v>
      </c>
      <c r="AR53" s="32">
        <f>IFERROR((TABLA_AVANCE_INDICADORES[[#This Row],[DIFERENCIA ABSOLUTA SEMESTRAL]]/TABLA_AVANCE_INDICADORES[[#This Row],[PROG. ACUM]])*100,"N/A")</f>
        <v>0</v>
      </c>
      <c r="AS53"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T53" s="27">
        <f>IFERROR((TABLA_AVANCE_INDICADORES[[#This Row],[AVANCE ACUM. ANUAL]]/TABLA_AVANCE_INDICADORES[[#This Row],[PROGRAMADO ANUAL]])*100,"N/A")</f>
        <v>100</v>
      </c>
      <c r="AU53"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ADECUADO</v>
      </c>
      <c r="AV53" s="106">
        <f>TABLA_AVANCE_INDICADORES[[#This Row],[AVANCE ACUM. ANUAL]]-TABLA_AVANCE_INDICADORES[[#This Row],[PROGRAMADO ANUAL]]</f>
        <v>0</v>
      </c>
      <c r="AW53" s="32">
        <f>IFERROR((TABLA_AVANCE_INDICADORES[[#This Row],[DIFERENCIA ABSOLUTA ANUAL]]/TABLA_AVANCE_INDICADORES[[#This Row],[PROGRAMADO ANUAL]])*100,"N/A")</f>
        <v>0</v>
      </c>
      <c r="AX53" s="108"/>
      <c r="AY53" s="35"/>
      <c r="AZ53" s="36"/>
      <c r="BA53" s="36"/>
      <c r="BB53" s="109">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1</v>
      </c>
    </row>
    <row r="54" spans="1:54" ht="63" hidden="1" customHeight="1" x14ac:dyDescent="0.35">
      <c r="A54" s="19" t="s">
        <v>911</v>
      </c>
      <c r="B54" s="99" t="s">
        <v>135</v>
      </c>
      <c r="C54" s="20" t="s">
        <v>74</v>
      </c>
      <c r="D54" s="100" t="s">
        <v>75</v>
      </c>
      <c r="E54" s="20" t="s">
        <v>136</v>
      </c>
      <c r="F54" s="101" t="s">
        <v>137</v>
      </c>
      <c r="G54" s="80" t="s">
        <v>138</v>
      </c>
      <c r="H54" s="80" t="s">
        <v>896</v>
      </c>
      <c r="I54" s="22" t="s">
        <v>722</v>
      </c>
      <c r="J54" s="22" t="s">
        <v>139</v>
      </c>
      <c r="K54" s="80" t="s">
        <v>140</v>
      </c>
      <c r="L54" s="22" t="s">
        <v>141</v>
      </c>
      <c r="M54" s="80" t="s">
        <v>142</v>
      </c>
      <c r="N54" s="21">
        <v>1</v>
      </c>
      <c r="O54" s="21" t="s">
        <v>912</v>
      </c>
      <c r="P54" s="102" t="s">
        <v>913</v>
      </c>
      <c r="Q54" s="102" t="s">
        <v>914</v>
      </c>
      <c r="R54" s="102" t="s">
        <v>915</v>
      </c>
      <c r="S54" s="42" t="s">
        <v>150</v>
      </c>
      <c r="T54" s="42" t="s">
        <v>831</v>
      </c>
      <c r="U54" s="42" t="s">
        <v>754</v>
      </c>
      <c r="V54" s="24">
        <v>1</v>
      </c>
      <c r="W54" s="24">
        <v>1</v>
      </c>
      <c r="X54" s="103">
        <v>1</v>
      </c>
      <c r="Y54" s="25">
        <f>IFERROR((TABLA_AVANCE_INDICADORES[[#This Row],[AVANCE 1°. TRIM]]/TABLA_AVANCE_INDICADORES[[#This Row],[PROGR. 1° TRIM]])*100,"0")</f>
        <v>100</v>
      </c>
      <c r="Z54"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54" s="104">
        <v>1</v>
      </c>
      <c r="AB54" s="105">
        <v>1</v>
      </c>
      <c r="AC54" s="27">
        <f t="shared" si="0"/>
        <v>100</v>
      </c>
      <c r="AD54" s="26" t="str">
        <f t="shared" si="1"/>
        <v>ADECUADO</v>
      </c>
      <c r="AE54" s="104">
        <v>1</v>
      </c>
      <c r="AF54" s="105">
        <v>0</v>
      </c>
      <c r="AG54" s="27">
        <f>IFERROR((TABLA_AVANCE_INDICADORES[[#This Row],[AVANCE 3°. TRIM]]/TABLA_AVANCE_INDICADORES[[#This Row],[PROGR. 3° TRIM]])*100,"0")</f>
        <v>0</v>
      </c>
      <c r="AH54"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54" s="104">
        <v>1</v>
      </c>
      <c r="AJ54" s="105">
        <v>0</v>
      </c>
      <c r="AK54" s="27">
        <f>IFERROR((TABLA_AVANCE_INDICADORES[[#This Row],[AVANCE 4°. TRIM]]/TABLA_AVANCE_INDICADORES[[#This Row],[PROGR. 4° TRIM]])*100,"0")</f>
        <v>0</v>
      </c>
      <c r="AL54"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54"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v>
      </c>
      <c r="AN54"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O54" s="27">
        <f>IFERROR((TABLA_AVANCE_INDICADORES[[#This Row],[AVANCE ACUM. TRIM.]]/TABLA_AVANCE_INDICADORES[[#This Row],[PROG. ACUM]])*100,"N/A")</f>
        <v>100</v>
      </c>
      <c r="AP54"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54" s="106">
        <f>TABLA_AVANCE_INDICADORES[[#This Row],[AVANCE ACUM. TRIM.]]-TABLA_AVANCE_INDICADORES[[#This Row],[PROG. ACUM]]</f>
        <v>0</v>
      </c>
      <c r="AR54" s="32">
        <f>IFERROR((TABLA_AVANCE_INDICADORES[[#This Row],[DIFERENCIA ABSOLUTA SEMESTRAL]]/TABLA_AVANCE_INDICADORES[[#This Row],[PROG. ACUM]])*100,"N/A")</f>
        <v>0</v>
      </c>
      <c r="AS54"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T54" s="27">
        <f>IFERROR((TABLA_AVANCE_INDICADORES[[#This Row],[AVANCE ACUM. ANUAL]]/TABLA_AVANCE_INDICADORES[[#This Row],[PROGRAMADO ANUAL]])*100,"N/A")</f>
        <v>100</v>
      </c>
      <c r="AU54"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ADECUADO</v>
      </c>
      <c r="AV54" s="106">
        <f>TABLA_AVANCE_INDICADORES[[#This Row],[AVANCE ACUM. ANUAL]]-TABLA_AVANCE_INDICADORES[[#This Row],[PROGRAMADO ANUAL]]</f>
        <v>0</v>
      </c>
      <c r="AW54" s="32">
        <f>IFERROR((TABLA_AVANCE_INDICADORES[[#This Row],[DIFERENCIA ABSOLUTA ANUAL]]/TABLA_AVANCE_INDICADORES[[#This Row],[PROGRAMADO ANUAL]])*100,"N/A")</f>
        <v>0</v>
      </c>
      <c r="AX54" s="108"/>
      <c r="AY54" s="35" t="e">
        <v>#N/A</v>
      </c>
      <c r="AZ54" s="36"/>
      <c r="BA54" s="36"/>
      <c r="BB54" s="109">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1</v>
      </c>
    </row>
    <row r="55" spans="1:54" ht="63" hidden="1" customHeight="1" x14ac:dyDescent="0.35">
      <c r="A55" s="19" t="s">
        <v>916</v>
      </c>
      <c r="B55" s="99" t="s">
        <v>135</v>
      </c>
      <c r="C55" s="20" t="s">
        <v>74</v>
      </c>
      <c r="D55" s="100" t="s">
        <v>75</v>
      </c>
      <c r="E55" s="20" t="s">
        <v>136</v>
      </c>
      <c r="F55" s="101" t="s">
        <v>137</v>
      </c>
      <c r="G55" s="80" t="s">
        <v>138</v>
      </c>
      <c r="H55" s="80" t="s">
        <v>896</v>
      </c>
      <c r="I55" s="22" t="s">
        <v>722</v>
      </c>
      <c r="J55" s="22" t="s">
        <v>139</v>
      </c>
      <c r="K55" s="80" t="s">
        <v>140</v>
      </c>
      <c r="L55" s="22" t="s">
        <v>141</v>
      </c>
      <c r="M55" s="80" t="s">
        <v>142</v>
      </c>
      <c r="N55" s="21">
        <v>2</v>
      </c>
      <c r="O55" s="21" t="s">
        <v>912</v>
      </c>
      <c r="P55" s="102" t="s">
        <v>913</v>
      </c>
      <c r="Q55" s="102" t="s">
        <v>917</v>
      </c>
      <c r="R55" s="102" t="s">
        <v>915</v>
      </c>
      <c r="S55" s="42" t="s">
        <v>150</v>
      </c>
      <c r="T55" s="42" t="s">
        <v>831</v>
      </c>
      <c r="U55" s="42" t="s">
        <v>754</v>
      </c>
      <c r="V55" s="24">
        <v>1</v>
      </c>
      <c r="W55" s="24">
        <v>1</v>
      </c>
      <c r="X55" s="112">
        <v>1</v>
      </c>
      <c r="Y55" s="25">
        <f>IFERROR((TABLA_AVANCE_INDICADORES[[#This Row],[AVANCE 1°. TRIM]]/TABLA_AVANCE_INDICADORES[[#This Row],[PROGR. 1° TRIM]])*100,"0")</f>
        <v>100</v>
      </c>
      <c r="Z55"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55" s="104">
        <v>1</v>
      </c>
      <c r="AB55" s="113">
        <v>1</v>
      </c>
      <c r="AC55" s="27">
        <f t="shared" si="0"/>
        <v>100</v>
      </c>
      <c r="AD55" s="26" t="str">
        <f t="shared" si="1"/>
        <v>ADECUADO</v>
      </c>
      <c r="AE55" s="104">
        <v>1</v>
      </c>
      <c r="AF55" s="113">
        <f>AE55</f>
        <v>1</v>
      </c>
      <c r="AG55" s="27">
        <f>IFERROR((TABLA_AVANCE_INDICADORES[[#This Row],[AVANCE 3°. TRIM]]/TABLA_AVANCE_INDICADORES[[#This Row],[PROGR. 3° TRIM]])*100,"0")</f>
        <v>100</v>
      </c>
      <c r="AH55"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ADECUADO</v>
      </c>
      <c r="AI55" s="104">
        <v>1</v>
      </c>
      <c r="AJ55" s="113">
        <f>AI55</f>
        <v>1</v>
      </c>
      <c r="AK55" s="27">
        <f>IFERROR((TABLA_AVANCE_INDICADORES[[#This Row],[AVANCE 4°. TRIM]]/TABLA_AVANCE_INDICADORES[[#This Row],[PROGR. 4° TRIM]])*100,"0")</f>
        <v>100</v>
      </c>
      <c r="AL55"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55"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v>
      </c>
      <c r="AN55"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O55" s="27">
        <f>IFERROR((TABLA_AVANCE_INDICADORES[[#This Row],[AVANCE ACUM. TRIM.]]/TABLA_AVANCE_INDICADORES[[#This Row],[PROG. ACUM]])*100,"N/A")</f>
        <v>100</v>
      </c>
      <c r="AP55"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55" s="106">
        <f>TABLA_AVANCE_INDICADORES[[#This Row],[AVANCE ACUM. TRIM.]]-TABLA_AVANCE_INDICADORES[[#This Row],[PROG. ACUM]]</f>
        <v>0</v>
      </c>
      <c r="AR55" s="32">
        <f>IFERROR((TABLA_AVANCE_INDICADORES[[#This Row],[DIFERENCIA ABSOLUTA SEMESTRAL]]/TABLA_AVANCE_INDICADORES[[#This Row],[PROG. ACUM]])*100,"N/A")</f>
        <v>0</v>
      </c>
      <c r="AS55"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T55" s="27">
        <f>IFERROR((TABLA_AVANCE_INDICADORES[[#This Row],[AVANCE ACUM. ANUAL]]/TABLA_AVANCE_INDICADORES[[#This Row],[PROGRAMADO ANUAL]])*100,"N/A")</f>
        <v>100</v>
      </c>
      <c r="AU55"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ADECUADO</v>
      </c>
      <c r="AV55" s="106">
        <f>TABLA_AVANCE_INDICADORES[[#This Row],[AVANCE ACUM. ANUAL]]-TABLA_AVANCE_INDICADORES[[#This Row],[PROGRAMADO ANUAL]]</f>
        <v>0</v>
      </c>
      <c r="AW55" s="32">
        <f>IFERROR((TABLA_AVANCE_INDICADORES[[#This Row],[DIFERENCIA ABSOLUTA ANUAL]]/TABLA_AVANCE_INDICADORES[[#This Row],[PROGRAMADO ANUAL]])*100,"N/A")</f>
        <v>0</v>
      </c>
      <c r="AX55" s="108"/>
      <c r="AY55" s="35" t="e">
        <v>#N/A</v>
      </c>
      <c r="AZ55" s="36"/>
      <c r="BA55" s="36"/>
      <c r="BB55" s="109">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1</v>
      </c>
    </row>
    <row r="56" spans="1:54" ht="63" hidden="1" customHeight="1" x14ac:dyDescent="0.35">
      <c r="A56" s="19" t="s">
        <v>918</v>
      </c>
      <c r="B56" s="99" t="s">
        <v>212</v>
      </c>
      <c r="C56" s="20" t="s">
        <v>213</v>
      </c>
      <c r="D56" s="100" t="s">
        <v>214</v>
      </c>
      <c r="E56" s="20" t="s">
        <v>253</v>
      </c>
      <c r="F56" s="101" t="s">
        <v>254</v>
      </c>
      <c r="G56" s="80" t="s">
        <v>255</v>
      </c>
      <c r="H56" s="80" t="s">
        <v>879</v>
      </c>
      <c r="I56" s="22" t="s">
        <v>722</v>
      </c>
      <c r="J56" s="22" t="s">
        <v>139</v>
      </c>
      <c r="K56" s="80" t="s">
        <v>140</v>
      </c>
      <c r="L56" s="22" t="s">
        <v>256</v>
      </c>
      <c r="M56" s="80" t="s">
        <v>257</v>
      </c>
      <c r="N56" s="21">
        <v>1</v>
      </c>
      <c r="O56" s="21" t="s">
        <v>750</v>
      </c>
      <c r="P56" s="102" t="s">
        <v>919</v>
      </c>
      <c r="Q56" s="102" t="s">
        <v>920</v>
      </c>
      <c r="R56" s="102" t="s">
        <v>921</v>
      </c>
      <c r="S56" s="42" t="s">
        <v>468</v>
      </c>
      <c r="T56" s="42" t="s">
        <v>727</v>
      </c>
      <c r="U56" s="42" t="s">
        <v>754</v>
      </c>
      <c r="V56" s="24">
        <v>10</v>
      </c>
      <c r="W56" s="24">
        <v>1</v>
      </c>
      <c r="X56" s="103">
        <v>1</v>
      </c>
      <c r="Y56" s="25">
        <f>IFERROR((TABLA_AVANCE_INDICADORES[[#This Row],[AVANCE 1°. TRIM]]/TABLA_AVANCE_INDICADORES[[#This Row],[PROGR. 1° TRIM]])*100,"0")</f>
        <v>100</v>
      </c>
      <c r="Z56"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56" s="104">
        <v>3</v>
      </c>
      <c r="AB56" s="105">
        <v>3</v>
      </c>
      <c r="AC56" s="27">
        <f t="shared" si="0"/>
        <v>100</v>
      </c>
      <c r="AD56" s="26" t="str">
        <f t="shared" si="1"/>
        <v>ADECUADO</v>
      </c>
      <c r="AE56" s="104">
        <v>3</v>
      </c>
      <c r="AF56" s="105">
        <v>0</v>
      </c>
      <c r="AG56" s="27">
        <f>IFERROR((TABLA_AVANCE_INDICADORES[[#This Row],[AVANCE 3°. TRIM]]/TABLA_AVANCE_INDICADORES[[#This Row],[PROGR. 3° TRIM]])*100,"0")</f>
        <v>0</v>
      </c>
      <c r="AH56"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56" s="104">
        <v>3</v>
      </c>
      <c r="AJ56" s="105">
        <v>0</v>
      </c>
      <c r="AK56" s="27">
        <f>IFERROR((TABLA_AVANCE_INDICADORES[[#This Row],[AVANCE 4°. TRIM]]/TABLA_AVANCE_INDICADORES[[#This Row],[PROGR. 4° TRIM]])*100,"0")</f>
        <v>0</v>
      </c>
      <c r="AL56"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56"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4</v>
      </c>
      <c r="AN56"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4</v>
      </c>
      <c r="AO56" s="27">
        <f>IFERROR((TABLA_AVANCE_INDICADORES[[#This Row],[AVANCE ACUM. TRIM.]]/TABLA_AVANCE_INDICADORES[[#This Row],[PROG. ACUM]])*100,"N/A")</f>
        <v>100</v>
      </c>
      <c r="AP56"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56" s="106">
        <f>TABLA_AVANCE_INDICADORES[[#This Row],[AVANCE ACUM. TRIM.]]-TABLA_AVANCE_INDICADORES[[#This Row],[PROG. ACUM]]</f>
        <v>0</v>
      </c>
      <c r="AR56" s="32">
        <f>IFERROR((TABLA_AVANCE_INDICADORES[[#This Row],[DIFERENCIA ABSOLUTA SEMESTRAL]]/TABLA_AVANCE_INDICADORES[[#This Row],[PROG. ACUM]])*100,"N/A")</f>
        <v>0</v>
      </c>
      <c r="AS56"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4</v>
      </c>
      <c r="AT56" s="27">
        <f>IFERROR((TABLA_AVANCE_INDICADORES[[#This Row],[AVANCE ACUM. ANUAL]]/TABLA_AVANCE_INDICADORES[[#This Row],[PROGRAMADO ANUAL]])*100,"N/A")</f>
        <v>40</v>
      </c>
      <c r="AU56"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56" s="106">
        <f>TABLA_AVANCE_INDICADORES[[#This Row],[AVANCE ACUM. ANUAL]]-TABLA_AVANCE_INDICADORES[[#This Row],[PROGRAMADO ANUAL]]</f>
        <v>-6</v>
      </c>
      <c r="AW56" s="32">
        <f>IFERROR((TABLA_AVANCE_INDICADORES[[#This Row],[DIFERENCIA ABSOLUTA ANUAL]]/TABLA_AVANCE_INDICADORES[[#This Row],[PROGRAMADO ANUAL]])*100,"N/A")</f>
        <v>-60</v>
      </c>
      <c r="AX56" s="108"/>
      <c r="AY56" s="35"/>
      <c r="AZ56" s="36"/>
      <c r="BA56" s="36"/>
      <c r="BB56"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57" spans="1:54" ht="63" hidden="1" customHeight="1" x14ac:dyDescent="0.35">
      <c r="A57" s="19" t="s">
        <v>922</v>
      </c>
      <c r="B57" s="99" t="s">
        <v>212</v>
      </c>
      <c r="C57" s="20" t="s">
        <v>213</v>
      </c>
      <c r="D57" s="100" t="s">
        <v>214</v>
      </c>
      <c r="E57" s="20" t="s">
        <v>253</v>
      </c>
      <c r="F57" s="101" t="s">
        <v>254</v>
      </c>
      <c r="G57" s="80" t="s">
        <v>255</v>
      </c>
      <c r="H57" s="80" t="s">
        <v>879</v>
      </c>
      <c r="I57" s="22" t="s">
        <v>722</v>
      </c>
      <c r="J57" s="22" t="s">
        <v>139</v>
      </c>
      <c r="K57" s="80" t="s">
        <v>140</v>
      </c>
      <c r="L57" s="22" t="s">
        <v>256</v>
      </c>
      <c r="M57" s="80" t="s">
        <v>257</v>
      </c>
      <c r="N57" s="21">
        <v>2</v>
      </c>
      <c r="O57" s="21" t="s">
        <v>750</v>
      </c>
      <c r="P57" s="102" t="s">
        <v>919</v>
      </c>
      <c r="Q57" s="102" t="s">
        <v>923</v>
      </c>
      <c r="R57" s="102" t="s">
        <v>921</v>
      </c>
      <c r="S57" s="42" t="s">
        <v>468</v>
      </c>
      <c r="T57" s="42" t="s">
        <v>727</v>
      </c>
      <c r="U57" s="42" t="s">
        <v>754</v>
      </c>
      <c r="V57" s="24">
        <v>10</v>
      </c>
      <c r="W57" s="24">
        <v>1</v>
      </c>
      <c r="X57" s="112">
        <v>1</v>
      </c>
      <c r="Y57" s="25">
        <f>IFERROR((TABLA_AVANCE_INDICADORES[[#This Row],[AVANCE 1°. TRIM]]/TABLA_AVANCE_INDICADORES[[#This Row],[PROGR. 1° TRIM]])*100,"0")</f>
        <v>100</v>
      </c>
      <c r="Z57"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57" s="104">
        <v>3</v>
      </c>
      <c r="AB57" s="113">
        <v>3</v>
      </c>
      <c r="AC57" s="27">
        <f t="shared" si="0"/>
        <v>100</v>
      </c>
      <c r="AD57" s="26" t="str">
        <f t="shared" si="1"/>
        <v>ADECUADO</v>
      </c>
      <c r="AE57" s="104">
        <v>3</v>
      </c>
      <c r="AF57" s="113">
        <f>AE57</f>
        <v>3</v>
      </c>
      <c r="AG57" s="27">
        <f>IFERROR((TABLA_AVANCE_INDICADORES[[#This Row],[AVANCE 3°. TRIM]]/TABLA_AVANCE_INDICADORES[[#This Row],[PROGR. 3° TRIM]])*100,"0")</f>
        <v>100</v>
      </c>
      <c r="AH57"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ADECUADO</v>
      </c>
      <c r="AI57" s="104">
        <v>3</v>
      </c>
      <c r="AJ57" s="113">
        <f>AI57</f>
        <v>3</v>
      </c>
      <c r="AK57" s="27">
        <f>IFERROR((TABLA_AVANCE_INDICADORES[[#This Row],[AVANCE 4°. TRIM]]/TABLA_AVANCE_INDICADORES[[#This Row],[PROGR. 4° TRIM]])*100,"0")</f>
        <v>100</v>
      </c>
      <c r="AL57"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57"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4</v>
      </c>
      <c r="AN57"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4</v>
      </c>
      <c r="AO57" s="27">
        <f>IFERROR((TABLA_AVANCE_INDICADORES[[#This Row],[AVANCE ACUM. TRIM.]]/TABLA_AVANCE_INDICADORES[[#This Row],[PROG. ACUM]])*100,"N/A")</f>
        <v>100</v>
      </c>
      <c r="AP57"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57" s="106">
        <f>TABLA_AVANCE_INDICADORES[[#This Row],[AVANCE ACUM. TRIM.]]-TABLA_AVANCE_INDICADORES[[#This Row],[PROG. ACUM]]</f>
        <v>0</v>
      </c>
      <c r="AR57" s="32">
        <f>IFERROR((TABLA_AVANCE_INDICADORES[[#This Row],[DIFERENCIA ABSOLUTA SEMESTRAL]]/TABLA_AVANCE_INDICADORES[[#This Row],[PROG. ACUM]])*100,"N/A")</f>
        <v>0</v>
      </c>
      <c r="AS57"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4</v>
      </c>
      <c r="AT57" s="27">
        <f>IFERROR((TABLA_AVANCE_INDICADORES[[#This Row],[AVANCE ACUM. ANUAL]]/TABLA_AVANCE_INDICADORES[[#This Row],[PROGRAMADO ANUAL]])*100,"N/A")</f>
        <v>40</v>
      </c>
      <c r="AU57"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57" s="106">
        <f>TABLA_AVANCE_INDICADORES[[#This Row],[AVANCE ACUM. ANUAL]]-TABLA_AVANCE_INDICADORES[[#This Row],[PROGRAMADO ANUAL]]</f>
        <v>-6</v>
      </c>
      <c r="AW57" s="32">
        <f>IFERROR((TABLA_AVANCE_INDICADORES[[#This Row],[DIFERENCIA ABSOLUTA ANUAL]]/TABLA_AVANCE_INDICADORES[[#This Row],[PROGRAMADO ANUAL]])*100,"N/A")</f>
        <v>-60</v>
      </c>
      <c r="AX57" s="108"/>
      <c r="AY57" s="35"/>
      <c r="AZ57" s="36"/>
      <c r="BA57" s="36"/>
      <c r="BB57"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58" spans="1:54" ht="63" hidden="1" customHeight="1" x14ac:dyDescent="0.35">
      <c r="A58" s="19" t="s">
        <v>924</v>
      </c>
      <c r="B58" s="99" t="s">
        <v>212</v>
      </c>
      <c r="C58" s="20" t="s">
        <v>213</v>
      </c>
      <c r="D58" s="100" t="s">
        <v>214</v>
      </c>
      <c r="E58" s="20" t="s">
        <v>253</v>
      </c>
      <c r="F58" s="101" t="s">
        <v>254</v>
      </c>
      <c r="G58" s="80" t="s">
        <v>255</v>
      </c>
      <c r="H58" s="80" t="s">
        <v>879</v>
      </c>
      <c r="I58" s="22" t="s">
        <v>722</v>
      </c>
      <c r="J58" s="22" t="s">
        <v>139</v>
      </c>
      <c r="K58" s="80" t="s">
        <v>140</v>
      </c>
      <c r="L58" s="22" t="s">
        <v>256</v>
      </c>
      <c r="M58" s="80" t="s">
        <v>257</v>
      </c>
      <c r="N58" s="21">
        <v>1</v>
      </c>
      <c r="O58" s="21" t="s">
        <v>857</v>
      </c>
      <c r="P58" s="126" t="s">
        <v>925</v>
      </c>
      <c r="Q58" s="102" t="s">
        <v>926</v>
      </c>
      <c r="R58" s="102" t="s">
        <v>927</v>
      </c>
      <c r="S58" s="42" t="s">
        <v>203</v>
      </c>
      <c r="T58" s="42" t="s">
        <v>727</v>
      </c>
      <c r="U58" s="42" t="s">
        <v>746</v>
      </c>
      <c r="V58" s="24">
        <v>260</v>
      </c>
      <c r="W58" s="24">
        <v>0</v>
      </c>
      <c r="X58" s="103">
        <v>0</v>
      </c>
      <c r="Y58" s="25" t="str">
        <f>IFERROR((TABLA_AVANCE_INDICADORES[[#This Row],[AVANCE 1°. TRIM]]/TABLA_AVANCE_INDICADORES[[#This Row],[PROGR. 1° TRIM]])*100,"0")</f>
        <v>0</v>
      </c>
      <c r="Z58"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58" s="104">
        <v>180</v>
      </c>
      <c r="AB58" s="105">
        <v>139</v>
      </c>
      <c r="AC58" s="27">
        <f t="shared" si="0"/>
        <v>77.222222222222229</v>
      </c>
      <c r="AD58" s="26" t="str">
        <f t="shared" si="1"/>
        <v>REGULAR</v>
      </c>
      <c r="AE58" s="104">
        <v>0</v>
      </c>
      <c r="AF58" s="105">
        <v>0</v>
      </c>
      <c r="AG58" s="27" t="str">
        <f>IFERROR((TABLA_AVANCE_INDICADORES[[#This Row],[AVANCE 3°. TRIM]]/TABLA_AVANCE_INDICADORES[[#This Row],[PROGR. 3° TRIM]])*100,"0")</f>
        <v>0</v>
      </c>
      <c r="AH58"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58" s="104">
        <v>80</v>
      </c>
      <c r="AJ58" s="105">
        <v>0</v>
      </c>
      <c r="AK58" s="27">
        <f>IFERROR((TABLA_AVANCE_INDICADORES[[#This Row],[AVANCE 4°. TRIM]]/TABLA_AVANCE_INDICADORES[[#This Row],[PROGR. 4° TRIM]])*100,"0")</f>
        <v>0</v>
      </c>
      <c r="AL58"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58"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180</v>
      </c>
      <c r="AN58"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139</v>
      </c>
      <c r="AO58" s="27">
        <f>IFERROR((TABLA_AVANCE_INDICADORES[[#This Row],[AVANCE ACUM. TRIM.]]/TABLA_AVANCE_INDICADORES[[#This Row],[PROG. ACUM]])*100,"N/A")</f>
        <v>77.222222222222229</v>
      </c>
      <c r="AP58"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REGULAR</v>
      </c>
      <c r="AQ58" s="106">
        <f>TABLA_AVANCE_INDICADORES[[#This Row],[AVANCE ACUM. TRIM.]]-TABLA_AVANCE_INDICADORES[[#This Row],[PROG. ACUM]]</f>
        <v>-41</v>
      </c>
      <c r="AR58" s="32">
        <f>IFERROR((TABLA_AVANCE_INDICADORES[[#This Row],[DIFERENCIA ABSOLUTA SEMESTRAL]]/TABLA_AVANCE_INDICADORES[[#This Row],[PROG. ACUM]])*100,"N/A")</f>
        <v>-22.777777777777779</v>
      </c>
      <c r="AS58"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139</v>
      </c>
      <c r="AT58" s="27">
        <f>IFERROR((TABLA_AVANCE_INDICADORES[[#This Row],[AVANCE ACUM. ANUAL]]/TABLA_AVANCE_INDICADORES[[#This Row],[PROGRAMADO ANUAL]])*100,"N/A")</f>
        <v>53.46153846153846</v>
      </c>
      <c r="AU58"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58" s="106">
        <f>TABLA_AVANCE_INDICADORES[[#This Row],[AVANCE ACUM. ANUAL]]-TABLA_AVANCE_INDICADORES[[#This Row],[PROGRAMADO ANUAL]]</f>
        <v>-121</v>
      </c>
      <c r="AW58" s="32">
        <f>IFERROR((TABLA_AVANCE_INDICADORES[[#This Row],[DIFERENCIA ABSOLUTA ANUAL]]/TABLA_AVANCE_INDICADORES[[#This Row],[PROGRAMADO ANUAL]])*100,"N/A")</f>
        <v>-46.53846153846154</v>
      </c>
      <c r="AX58" s="108"/>
      <c r="AY58" s="35"/>
      <c r="AZ58" s="36"/>
      <c r="BA58" s="36"/>
      <c r="BB58"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59" spans="1:54" ht="63" hidden="1" customHeight="1" x14ac:dyDescent="0.35">
      <c r="A59" s="19" t="s">
        <v>928</v>
      </c>
      <c r="B59" s="99" t="s">
        <v>212</v>
      </c>
      <c r="C59" s="20" t="s">
        <v>213</v>
      </c>
      <c r="D59" s="100" t="s">
        <v>214</v>
      </c>
      <c r="E59" s="20" t="s">
        <v>253</v>
      </c>
      <c r="F59" s="101" t="s">
        <v>254</v>
      </c>
      <c r="G59" s="80" t="s">
        <v>255</v>
      </c>
      <c r="H59" s="80" t="s">
        <v>879</v>
      </c>
      <c r="I59" s="22" t="s">
        <v>722</v>
      </c>
      <c r="J59" s="22" t="s">
        <v>139</v>
      </c>
      <c r="K59" s="80" t="s">
        <v>140</v>
      </c>
      <c r="L59" s="22" t="s">
        <v>256</v>
      </c>
      <c r="M59" s="80" t="s">
        <v>257</v>
      </c>
      <c r="N59" s="21">
        <v>2</v>
      </c>
      <c r="O59" s="21" t="s">
        <v>857</v>
      </c>
      <c r="P59" s="126" t="s">
        <v>925</v>
      </c>
      <c r="Q59" s="102" t="s">
        <v>929</v>
      </c>
      <c r="R59" s="102" t="s">
        <v>927</v>
      </c>
      <c r="S59" s="42" t="s">
        <v>203</v>
      </c>
      <c r="T59" s="42" t="s">
        <v>727</v>
      </c>
      <c r="U59" s="42" t="s">
        <v>746</v>
      </c>
      <c r="V59" s="24">
        <v>260</v>
      </c>
      <c r="W59" s="24">
        <v>0</v>
      </c>
      <c r="X59" s="103">
        <v>0</v>
      </c>
      <c r="Y59" s="25" t="str">
        <f>IFERROR((TABLA_AVANCE_INDICADORES[[#This Row],[AVANCE 1°. TRIM]]/TABLA_AVANCE_INDICADORES[[#This Row],[PROGR. 1° TRIM]])*100,"0")</f>
        <v>0</v>
      </c>
      <c r="Z59"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59" s="104">
        <v>180</v>
      </c>
      <c r="AB59" s="105">
        <v>139</v>
      </c>
      <c r="AC59" s="27">
        <f t="shared" si="0"/>
        <v>77.222222222222229</v>
      </c>
      <c r="AD59" s="26" t="str">
        <f t="shared" si="1"/>
        <v>REGULAR</v>
      </c>
      <c r="AE59" s="104">
        <v>0</v>
      </c>
      <c r="AF59" s="105">
        <v>0</v>
      </c>
      <c r="AG59" s="27" t="str">
        <f>IFERROR((TABLA_AVANCE_INDICADORES[[#This Row],[AVANCE 3°. TRIM]]/TABLA_AVANCE_INDICADORES[[#This Row],[PROGR. 3° TRIM]])*100,"0")</f>
        <v>0</v>
      </c>
      <c r="AH59"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59" s="104">
        <v>80</v>
      </c>
      <c r="AJ59" s="105">
        <v>0</v>
      </c>
      <c r="AK59" s="27">
        <f>IFERROR((TABLA_AVANCE_INDICADORES[[#This Row],[AVANCE 4°. TRIM]]/TABLA_AVANCE_INDICADORES[[#This Row],[PROGR. 4° TRIM]])*100,"0")</f>
        <v>0</v>
      </c>
      <c r="AL59"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59"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180</v>
      </c>
      <c r="AN59"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139</v>
      </c>
      <c r="AO59" s="27">
        <f>IFERROR((TABLA_AVANCE_INDICADORES[[#This Row],[AVANCE ACUM. TRIM.]]/TABLA_AVANCE_INDICADORES[[#This Row],[PROG. ACUM]])*100,"N/A")</f>
        <v>77.222222222222229</v>
      </c>
      <c r="AP59"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REGULAR</v>
      </c>
      <c r="AQ59" s="106">
        <f>TABLA_AVANCE_INDICADORES[[#This Row],[AVANCE ACUM. TRIM.]]-TABLA_AVANCE_INDICADORES[[#This Row],[PROG. ACUM]]</f>
        <v>-41</v>
      </c>
      <c r="AR59" s="32">
        <f>IFERROR((TABLA_AVANCE_INDICADORES[[#This Row],[DIFERENCIA ABSOLUTA SEMESTRAL]]/TABLA_AVANCE_INDICADORES[[#This Row],[PROG. ACUM]])*100,"N/A")</f>
        <v>-22.777777777777779</v>
      </c>
      <c r="AS59"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139</v>
      </c>
      <c r="AT59" s="27">
        <f>IFERROR((TABLA_AVANCE_INDICADORES[[#This Row],[AVANCE ACUM. ANUAL]]/TABLA_AVANCE_INDICADORES[[#This Row],[PROGRAMADO ANUAL]])*100,"N/A")</f>
        <v>53.46153846153846</v>
      </c>
      <c r="AU59"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59" s="106">
        <f>TABLA_AVANCE_INDICADORES[[#This Row],[AVANCE ACUM. ANUAL]]-TABLA_AVANCE_INDICADORES[[#This Row],[PROGRAMADO ANUAL]]</f>
        <v>-121</v>
      </c>
      <c r="AW59" s="32">
        <f>IFERROR((TABLA_AVANCE_INDICADORES[[#This Row],[DIFERENCIA ABSOLUTA ANUAL]]/TABLA_AVANCE_INDICADORES[[#This Row],[PROGRAMADO ANUAL]])*100,"N/A")</f>
        <v>-46.53846153846154</v>
      </c>
      <c r="AX59" s="108"/>
      <c r="AY59" s="35"/>
      <c r="AZ59" s="36"/>
      <c r="BA59" s="36"/>
      <c r="BB59"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60" spans="1:54" ht="63" hidden="1" customHeight="1" x14ac:dyDescent="0.35">
      <c r="A60" s="51" t="s">
        <v>930</v>
      </c>
      <c r="B60" s="115" t="s">
        <v>241</v>
      </c>
      <c r="C60" s="52" t="s">
        <v>213</v>
      </c>
      <c r="D60" s="116" t="s">
        <v>214</v>
      </c>
      <c r="E60" s="52" t="s">
        <v>242</v>
      </c>
      <c r="F60" s="117" t="s">
        <v>243</v>
      </c>
      <c r="G60" s="118" t="s">
        <v>244</v>
      </c>
      <c r="H60" s="118" t="s">
        <v>865</v>
      </c>
      <c r="I60" s="54" t="s">
        <v>722</v>
      </c>
      <c r="J60" s="54" t="s">
        <v>139</v>
      </c>
      <c r="K60" s="118" t="s">
        <v>140</v>
      </c>
      <c r="L60" s="54" t="s">
        <v>227</v>
      </c>
      <c r="M60" s="118" t="s">
        <v>228</v>
      </c>
      <c r="N60" s="53">
        <v>1</v>
      </c>
      <c r="O60" s="53" t="s">
        <v>758</v>
      </c>
      <c r="P60" s="125" t="s">
        <v>931</v>
      </c>
      <c r="Q60" s="125" t="s">
        <v>932</v>
      </c>
      <c r="R60" s="125" t="s">
        <v>933</v>
      </c>
      <c r="S60" s="72" t="s">
        <v>248</v>
      </c>
      <c r="T60" s="72" t="s">
        <v>727</v>
      </c>
      <c r="U60" s="72" t="s">
        <v>754</v>
      </c>
      <c r="V60" s="56">
        <v>45649883.75</v>
      </c>
      <c r="W60" s="56">
        <v>50</v>
      </c>
      <c r="X60" s="120">
        <v>0</v>
      </c>
      <c r="Y60" s="57">
        <f>IFERROR((TABLA_AVANCE_INDICADORES[[#This Row],[AVANCE 1°. TRIM]]/TABLA_AVANCE_INDICADORES[[#This Row],[PROGR. 1° TRIM]])*100,"0")</f>
        <v>0</v>
      </c>
      <c r="Z60" s="58"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CRÍTICO</v>
      </c>
      <c r="AA60" s="121">
        <v>3656283.93</v>
      </c>
      <c r="AB60" s="122">
        <v>0</v>
      </c>
      <c r="AC60" s="59">
        <f t="shared" si="0"/>
        <v>0</v>
      </c>
      <c r="AD60" s="58" t="str">
        <f t="shared" si="1"/>
        <v>CRÍTICO</v>
      </c>
      <c r="AE60" s="121">
        <v>31296796.239999998</v>
      </c>
      <c r="AF60" s="122">
        <v>0</v>
      </c>
      <c r="AG60" s="59">
        <f>IFERROR((TABLA_AVANCE_INDICADORES[[#This Row],[AVANCE 3°. TRIM]]/TABLA_AVANCE_INDICADORES[[#This Row],[PROGR. 3° TRIM]])*100,"0")</f>
        <v>0</v>
      </c>
      <c r="AH60" s="58"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60" s="121">
        <v>10696753.58</v>
      </c>
      <c r="AJ60" s="122">
        <v>0</v>
      </c>
      <c r="AK60" s="59">
        <f>IFERROR((TABLA_AVANCE_INDICADORES[[#This Row],[AVANCE 4°. TRIM]]/TABLA_AVANCE_INDICADORES[[#This Row],[PROGR. 4° TRIM]])*100,"0")</f>
        <v>0</v>
      </c>
      <c r="AL60" s="60"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60" s="75">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3656333.93</v>
      </c>
      <c r="AN60" s="63">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60" s="59">
        <f>IFERROR((TABLA_AVANCE_INDICADORES[[#This Row],[AVANCE ACUM. TRIM.]]/TABLA_AVANCE_INDICADORES[[#This Row],[PROG. ACUM]])*100,"N/A")</f>
        <v>0</v>
      </c>
      <c r="AP60" s="58"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CRÍTICO</v>
      </c>
      <c r="AQ60" s="123">
        <f>TABLA_AVANCE_INDICADORES[[#This Row],[AVANCE ACUM. TRIM.]]-TABLA_AVANCE_INDICADORES[[#This Row],[PROG. ACUM]]</f>
        <v>-3656333.93</v>
      </c>
      <c r="AR60" s="62">
        <f>IFERROR((TABLA_AVANCE_INDICADORES[[#This Row],[DIFERENCIA ABSOLUTA SEMESTRAL]]/TABLA_AVANCE_INDICADORES[[#This Row],[PROG. ACUM]])*100,"N/A")</f>
        <v>-100</v>
      </c>
      <c r="AS60" s="63">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60" s="59">
        <f>IFERROR((TABLA_AVANCE_INDICADORES[[#This Row],[AVANCE ACUM. ANUAL]]/TABLA_AVANCE_INDICADORES[[#This Row],[PROGRAMADO ANUAL]])*100,"N/A")</f>
        <v>0</v>
      </c>
      <c r="AU60" s="58"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60" s="123">
        <f>TABLA_AVANCE_INDICADORES[[#This Row],[AVANCE ACUM. ANUAL]]-TABLA_AVANCE_INDICADORES[[#This Row],[PROGRAMADO ANUAL]]</f>
        <v>-45649883.75</v>
      </c>
      <c r="AW60" s="62">
        <f>IFERROR((TABLA_AVANCE_INDICADORES[[#This Row],[DIFERENCIA ABSOLUTA ANUAL]]/TABLA_AVANCE_INDICADORES[[#This Row],[PROGRAMADO ANUAL]])*100,"N/A")</f>
        <v>-100</v>
      </c>
      <c r="AX60" s="124" t="e">
        <v>#N/A</v>
      </c>
      <c r="AY60" s="66"/>
      <c r="AZ60" s="79"/>
      <c r="BA60" s="79"/>
      <c r="BB60" s="51"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61" spans="1:54" ht="63" hidden="1" customHeight="1" x14ac:dyDescent="0.35">
      <c r="A61" s="51" t="s">
        <v>934</v>
      </c>
      <c r="B61" s="115" t="s">
        <v>241</v>
      </c>
      <c r="C61" s="52" t="s">
        <v>213</v>
      </c>
      <c r="D61" s="116" t="s">
        <v>214</v>
      </c>
      <c r="E61" s="52" t="s">
        <v>242</v>
      </c>
      <c r="F61" s="117" t="s">
        <v>243</v>
      </c>
      <c r="G61" s="118" t="s">
        <v>244</v>
      </c>
      <c r="H61" s="118" t="s">
        <v>865</v>
      </c>
      <c r="I61" s="54" t="s">
        <v>722</v>
      </c>
      <c r="J61" s="54" t="s">
        <v>139</v>
      </c>
      <c r="K61" s="118" t="s">
        <v>140</v>
      </c>
      <c r="L61" s="54" t="s">
        <v>227</v>
      </c>
      <c r="M61" s="118" t="s">
        <v>228</v>
      </c>
      <c r="N61" s="53">
        <v>2</v>
      </c>
      <c r="O61" s="53" t="s">
        <v>758</v>
      </c>
      <c r="P61" s="125" t="s">
        <v>931</v>
      </c>
      <c r="Q61" s="125" t="s">
        <v>935</v>
      </c>
      <c r="R61" s="125" t="s">
        <v>933</v>
      </c>
      <c r="S61" s="72" t="s">
        <v>248</v>
      </c>
      <c r="T61" s="72" t="s">
        <v>727</v>
      </c>
      <c r="U61" s="72" t="s">
        <v>754</v>
      </c>
      <c r="V61" s="56">
        <v>45649883.75</v>
      </c>
      <c r="W61" s="56">
        <v>50</v>
      </c>
      <c r="X61" s="120">
        <v>50</v>
      </c>
      <c r="Y61" s="57">
        <f>IFERROR((TABLA_AVANCE_INDICADORES[[#This Row],[AVANCE 1°. TRIM]]/TABLA_AVANCE_INDICADORES[[#This Row],[PROGR. 1° TRIM]])*100,"0")</f>
        <v>100</v>
      </c>
      <c r="Z61" s="58"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61" s="121">
        <v>3656283.93</v>
      </c>
      <c r="AB61" s="122">
        <v>3656283.93</v>
      </c>
      <c r="AC61" s="59">
        <f t="shared" si="0"/>
        <v>100</v>
      </c>
      <c r="AD61" s="58" t="str">
        <f t="shared" si="1"/>
        <v>ADECUADO</v>
      </c>
      <c r="AE61" s="121">
        <v>31296796.239999998</v>
      </c>
      <c r="AF61" s="122">
        <f>AE61</f>
        <v>31296796.239999998</v>
      </c>
      <c r="AG61" s="59">
        <f>IFERROR((TABLA_AVANCE_INDICADORES[[#This Row],[AVANCE 3°. TRIM]]/TABLA_AVANCE_INDICADORES[[#This Row],[PROGR. 3° TRIM]])*100,"0")</f>
        <v>100</v>
      </c>
      <c r="AH61" s="58"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ADECUADO</v>
      </c>
      <c r="AI61" s="121">
        <v>10696753.58</v>
      </c>
      <c r="AJ61" s="122">
        <v>10696753.58</v>
      </c>
      <c r="AK61" s="59">
        <f>IFERROR((TABLA_AVANCE_INDICADORES[[#This Row],[AVANCE 4°. TRIM]]/TABLA_AVANCE_INDICADORES[[#This Row],[PROGR. 4° TRIM]])*100,"0")</f>
        <v>100</v>
      </c>
      <c r="AL61" s="60"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61" s="75">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3656333.93</v>
      </c>
      <c r="AN61" s="63">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3656333.93</v>
      </c>
      <c r="AO61" s="59">
        <f>IFERROR((TABLA_AVANCE_INDICADORES[[#This Row],[AVANCE ACUM. TRIM.]]/TABLA_AVANCE_INDICADORES[[#This Row],[PROG. ACUM]])*100,"N/A")</f>
        <v>100</v>
      </c>
      <c r="AP61" s="58"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61" s="123">
        <f>TABLA_AVANCE_INDICADORES[[#This Row],[AVANCE ACUM. TRIM.]]-TABLA_AVANCE_INDICADORES[[#This Row],[PROG. ACUM]]</f>
        <v>0</v>
      </c>
      <c r="AR61" s="62">
        <f>IFERROR((TABLA_AVANCE_INDICADORES[[#This Row],[DIFERENCIA ABSOLUTA SEMESTRAL]]/TABLA_AVANCE_INDICADORES[[#This Row],[PROG. ACUM]])*100,"N/A")</f>
        <v>0</v>
      </c>
      <c r="AS61" s="63">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3656333.93</v>
      </c>
      <c r="AT61" s="59">
        <f>IFERROR((TABLA_AVANCE_INDICADORES[[#This Row],[AVANCE ACUM. ANUAL]]/TABLA_AVANCE_INDICADORES[[#This Row],[PROGRAMADO ANUAL]])*100,"N/A")</f>
        <v>8.0095142191900983</v>
      </c>
      <c r="AU61" s="58"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61" s="123">
        <f>TABLA_AVANCE_INDICADORES[[#This Row],[AVANCE ACUM. ANUAL]]-TABLA_AVANCE_INDICADORES[[#This Row],[PROGRAMADO ANUAL]]</f>
        <v>-41993549.82</v>
      </c>
      <c r="AW61" s="62">
        <f>IFERROR((TABLA_AVANCE_INDICADORES[[#This Row],[DIFERENCIA ABSOLUTA ANUAL]]/TABLA_AVANCE_INDICADORES[[#This Row],[PROGRAMADO ANUAL]])*100,"N/A")</f>
        <v>-91.990485780809905</v>
      </c>
      <c r="AX61" s="124" t="e">
        <v>#N/A</v>
      </c>
      <c r="AY61" s="66"/>
      <c r="AZ61" s="79"/>
      <c r="BA61" s="79"/>
      <c r="BB61" s="51"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62" spans="1:54" ht="63" hidden="1" customHeight="1" x14ac:dyDescent="0.35">
      <c r="A62" s="19" t="s">
        <v>936</v>
      </c>
      <c r="B62" s="99" t="s">
        <v>135</v>
      </c>
      <c r="C62" s="20" t="s">
        <v>74</v>
      </c>
      <c r="D62" s="100" t="s">
        <v>75</v>
      </c>
      <c r="E62" s="20" t="s">
        <v>136</v>
      </c>
      <c r="F62" s="101" t="s">
        <v>137</v>
      </c>
      <c r="G62" s="80" t="s">
        <v>138</v>
      </c>
      <c r="H62" s="80" t="s">
        <v>896</v>
      </c>
      <c r="I62" s="22" t="s">
        <v>722</v>
      </c>
      <c r="J62" s="22" t="s">
        <v>139</v>
      </c>
      <c r="K62" s="80" t="s">
        <v>140</v>
      </c>
      <c r="L62" s="22" t="s">
        <v>141</v>
      </c>
      <c r="M62" s="80" t="s">
        <v>142</v>
      </c>
      <c r="N62" s="21">
        <v>1</v>
      </c>
      <c r="O62" s="21" t="s">
        <v>937</v>
      </c>
      <c r="P62" s="102" t="s">
        <v>938</v>
      </c>
      <c r="Q62" s="102" t="s">
        <v>939</v>
      </c>
      <c r="R62" s="102" t="s">
        <v>940</v>
      </c>
      <c r="S62" s="42" t="s">
        <v>144</v>
      </c>
      <c r="T62" s="42" t="s">
        <v>727</v>
      </c>
      <c r="U62" s="42" t="s">
        <v>754</v>
      </c>
      <c r="V62" s="24">
        <v>2</v>
      </c>
      <c r="W62" s="24">
        <v>0</v>
      </c>
      <c r="X62" s="103">
        <v>0</v>
      </c>
      <c r="Y62" s="25" t="str">
        <f>IFERROR((TABLA_AVANCE_INDICADORES[[#This Row],[AVANCE 1°. TRIM]]/TABLA_AVANCE_INDICADORES[[#This Row],[PROGR. 1° TRIM]])*100,"0")</f>
        <v>0</v>
      </c>
      <c r="Z62"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62" s="104">
        <v>1</v>
      </c>
      <c r="AB62" s="105">
        <v>1</v>
      </c>
      <c r="AC62" s="27">
        <f t="shared" si="0"/>
        <v>100</v>
      </c>
      <c r="AD62" s="26" t="str">
        <f t="shared" si="1"/>
        <v>ADECUADO</v>
      </c>
      <c r="AE62" s="104">
        <v>0</v>
      </c>
      <c r="AF62" s="105">
        <v>0</v>
      </c>
      <c r="AG62" s="27" t="str">
        <f>IFERROR((TABLA_AVANCE_INDICADORES[[#This Row],[AVANCE 3°. TRIM]]/TABLA_AVANCE_INDICADORES[[#This Row],[PROGR. 3° TRIM]])*100,"0")</f>
        <v>0</v>
      </c>
      <c r="AH62"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62" s="104">
        <v>1</v>
      </c>
      <c r="AJ62" s="105">
        <v>0</v>
      </c>
      <c r="AK62" s="27">
        <f>IFERROR((TABLA_AVANCE_INDICADORES[[#This Row],[AVANCE 4°. TRIM]]/TABLA_AVANCE_INDICADORES[[#This Row],[PROGR. 4° TRIM]])*100,"0")</f>
        <v>0</v>
      </c>
      <c r="AL62"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62"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v>
      </c>
      <c r="AN62"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O62" s="27">
        <f>IFERROR((TABLA_AVANCE_INDICADORES[[#This Row],[AVANCE ACUM. TRIM.]]/TABLA_AVANCE_INDICADORES[[#This Row],[PROG. ACUM]])*100,"N/A")</f>
        <v>100</v>
      </c>
      <c r="AP62"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62" s="106">
        <f>TABLA_AVANCE_INDICADORES[[#This Row],[AVANCE ACUM. TRIM.]]-TABLA_AVANCE_INDICADORES[[#This Row],[PROG. ACUM]]</f>
        <v>0</v>
      </c>
      <c r="AR62" s="32">
        <f>IFERROR((TABLA_AVANCE_INDICADORES[[#This Row],[DIFERENCIA ABSOLUTA SEMESTRAL]]/TABLA_AVANCE_INDICADORES[[#This Row],[PROG. ACUM]])*100,"N/A")</f>
        <v>0</v>
      </c>
      <c r="AS62"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T62" s="27">
        <f>IFERROR((TABLA_AVANCE_INDICADORES[[#This Row],[AVANCE ACUM. ANUAL]]/TABLA_AVANCE_INDICADORES[[#This Row],[PROGRAMADO ANUAL]])*100,"N/A")</f>
        <v>50</v>
      </c>
      <c r="AU62"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62" s="106">
        <f>TABLA_AVANCE_INDICADORES[[#This Row],[AVANCE ACUM. ANUAL]]-TABLA_AVANCE_INDICADORES[[#This Row],[PROGRAMADO ANUAL]]</f>
        <v>-1</v>
      </c>
      <c r="AW62" s="32">
        <f>IFERROR((TABLA_AVANCE_INDICADORES[[#This Row],[DIFERENCIA ABSOLUTA ANUAL]]/TABLA_AVANCE_INDICADORES[[#This Row],[PROGRAMADO ANUAL]])*100,"N/A")</f>
        <v>-50</v>
      </c>
      <c r="AX62" s="108"/>
      <c r="AY62" s="35" t="e">
        <v>#N/A</v>
      </c>
      <c r="AZ62" s="36"/>
      <c r="BA62" s="36"/>
      <c r="BB62"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63" spans="1:54" ht="63" hidden="1" customHeight="1" x14ac:dyDescent="0.35">
      <c r="A63" s="19" t="s">
        <v>941</v>
      </c>
      <c r="B63" s="99" t="s">
        <v>135</v>
      </c>
      <c r="C63" s="20" t="s">
        <v>74</v>
      </c>
      <c r="D63" s="100" t="s">
        <v>75</v>
      </c>
      <c r="E63" s="20" t="s">
        <v>136</v>
      </c>
      <c r="F63" s="101" t="s">
        <v>137</v>
      </c>
      <c r="G63" s="80" t="s">
        <v>138</v>
      </c>
      <c r="H63" s="80" t="s">
        <v>896</v>
      </c>
      <c r="I63" s="22" t="s">
        <v>722</v>
      </c>
      <c r="J63" s="22" t="s">
        <v>139</v>
      </c>
      <c r="K63" s="80" t="s">
        <v>140</v>
      </c>
      <c r="L63" s="22" t="s">
        <v>141</v>
      </c>
      <c r="M63" s="80" t="s">
        <v>142</v>
      </c>
      <c r="N63" s="21">
        <v>2</v>
      </c>
      <c r="O63" s="21" t="s">
        <v>937</v>
      </c>
      <c r="P63" s="102" t="s">
        <v>938</v>
      </c>
      <c r="Q63" s="102" t="s">
        <v>942</v>
      </c>
      <c r="R63" s="102" t="s">
        <v>940</v>
      </c>
      <c r="S63" s="42" t="s">
        <v>144</v>
      </c>
      <c r="T63" s="42" t="s">
        <v>727</v>
      </c>
      <c r="U63" s="42" t="s">
        <v>754</v>
      </c>
      <c r="V63" s="24">
        <v>2</v>
      </c>
      <c r="W63" s="24">
        <v>0</v>
      </c>
      <c r="X63" s="112">
        <v>0</v>
      </c>
      <c r="Y63" s="25" t="str">
        <f>IFERROR((TABLA_AVANCE_INDICADORES[[#This Row],[AVANCE 1°. TRIM]]/TABLA_AVANCE_INDICADORES[[#This Row],[PROGR. 1° TRIM]])*100,"0")</f>
        <v>0</v>
      </c>
      <c r="Z63"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63" s="104">
        <v>1</v>
      </c>
      <c r="AB63" s="113">
        <v>1</v>
      </c>
      <c r="AC63" s="27">
        <f t="shared" si="0"/>
        <v>100</v>
      </c>
      <c r="AD63" s="26" t="str">
        <f t="shared" si="1"/>
        <v>ADECUADO</v>
      </c>
      <c r="AE63" s="104">
        <v>0</v>
      </c>
      <c r="AF63" s="113">
        <f>AE63</f>
        <v>0</v>
      </c>
      <c r="AG63" s="27" t="str">
        <f>IFERROR((TABLA_AVANCE_INDICADORES[[#This Row],[AVANCE 3°. TRIM]]/TABLA_AVANCE_INDICADORES[[#This Row],[PROGR. 3° TRIM]])*100,"0")</f>
        <v>0</v>
      </c>
      <c r="AH63"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63" s="104">
        <v>1</v>
      </c>
      <c r="AJ63" s="113">
        <f>AI63</f>
        <v>1</v>
      </c>
      <c r="AK63" s="27">
        <f>IFERROR((TABLA_AVANCE_INDICADORES[[#This Row],[AVANCE 4°. TRIM]]/TABLA_AVANCE_INDICADORES[[#This Row],[PROGR. 4° TRIM]])*100,"0")</f>
        <v>100</v>
      </c>
      <c r="AL63"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63"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v>
      </c>
      <c r="AN63"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O63" s="27">
        <f>IFERROR((TABLA_AVANCE_INDICADORES[[#This Row],[AVANCE ACUM. TRIM.]]/TABLA_AVANCE_INDICADORES[[#This Row],[PROG. ACUM]])*100,"N/A")</f>
        <v>100</v>
      </c>
      <c r="AP63"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63" s="106">
        <f>TABLA_AVANCE_INDICADORES[[#This Row],[AVANCE ACUM. TRIM.]]-TABLA_AVANCE_INDICADORES[[#This Row],[PROG. ACUM]]</f>
        <v>0</v>
      </c>
      <c r="AR63" s="32">
        <f>IFERROR((TABLA_AVANCE_INDICADORES[[#This Row],[DIFERENCIA ABSOLUTA SEMESTRAL]]/TABLA_AVANCE_INDICADORES[[#This Row],[PROG. ACUM]])*100,"N/A")</f>
        <v>0</v>
      </c>
      <c r="AS63"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T63" s="27">
        <f>IFERROR((TABLA_AVANCE_INDICADORES[[#This Row],[AVANCE ACUM. ANUAL]]/TABLA_AVANCE_INDICADORES[[#This Row],[PROGRAMADO ANUAL]])*100,"N/A")</f>
        <v>50</v>
      </c>
      <c r="AU63"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63" s="106">
        <f>TABLA_AVANCE_INDICADORES[[#This Row],[AVANCE ACUM. ANUAL]]-TABLA_AVANCE_INDICADORES[[#This Row],[PROGRAMADO ANUAL]]</f>
        <v>-1</v>
      </c>
      <c r="AW63" s="32">
        <f>IFERROR((TABLA_AVANCE_INDICADORES[[#This Row],[DIFERENCIA ABSOLUTA ANUAL]]/TABLA_AVANCE_INDICADORES[[#This Row],[PROGRAMADO ANUAL]])*100,"N/A")</f>
        <v>-50</v>
      </c>
      <c r="AX63" s="108"/>
      <c r="AY63" s="35" t="e">
        <v>#N/A</v>
      </c>
      <c r="AZ63" s="36"/>
      <c r="BA63" s="36"/>
      <c r="BB63"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64" spans="1:54" ht="63" hidden="1" customHeight="1" x14ac:dyDescent="0.35">
      <c r="A64" s="19" t="s">
        <v>943</v>
      </c>
      <c r="B64" s="99" t="s">
        <v>157</v>
      </c>
      <c r="C64" s="20" t="s">
        <v>74</v>
      </c>
      <c r="D64" s="100" t="s">
        <v>75</v>
      </c>
      <c r="E64" s="20" t="s">
        <v>158</v>
      </c>
      <c r="F64" s="101" t="s">
        <v>159</v>
      </c>
      <c r="G64" s="80" t="s">
        <v>160</v>
      </c>
      <c r="H64" s="80" t="s">
        <v>904</v>
      </c>
      <c r="I64" s="22" t="s">
        <v>722</v>
      </c>
      <c r="J64" s="22" t="s">
        <v>139</v>
      </c>
      <c r="K64" s="80" t="s">
        <v>140</v>
      </c>
      <c r="L64" s="22" t="s">
        <v>161</v>
      </c>
      <c r="M64" s="80" t="s">
        <v>162</v>
      </c>
      <c r="N64" s="21">
        <v>1</v>
      </c>
      <c r="O64" s="21" t="s">
        <v>944</v>
      </c>
      <c r="P64" s="110" t="s">
        <v>945</v>
      </c>
      <c r="Q64" s="110" t="s">
        <v>946</v>
      </c>
      <c r="R64" s="110" t="s">
        <v>947</v>
      </c>
      <c r="S64" s="42" t="s">
        <v>154</v>
      </c>
      <c r="T64" s="42" t="s">
        <v>727</v>
      </c>
      <c r="U64" s="42" t="s">
        <v>754</v>
      </c>
      <c r="V64" s="24">
        <v>1</v>
      </c>
      <c r="W64" s="24">
        <v>1</v>
      </c>
      <c r="X64" s="103">
        <v>1</v>
      </c>
      <c r="Y64" s="25">
        <f>IFERROR((TABLA_AVANCE_INDICADORES[[#This Row],[AVANCE 1°. TRIM]]/TABLA_AVANCE_INDICADORES[[#This Row],[PROGR. 1° TRIM]])*100,"0")</f>
        <v>100</v>
      </c>
      <c r="Z64"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64" s="104">
        <v>0</v>
      </c>
      <c r="AB64" s="105">
        <v>0</v>
      </c>
      <c r="AC64" s="27" t="str">
        <f t="shared" si="0"/>
        <v>0</v>
      </c>
      <c r="AD64" s="26" t="str">
        <f t="shared" si="1"/>
        <v>NO PROG.</v>
      </c>
      <c r="AE64" s="104">
        <v>0</v>
      </c>
      <c r="AF64" s="105">
        <v>0</v>
      </c>
      <c r="AG64" s="27" t="str">
        <f>IFERROR((TABLA_AVANCE_INDICADORES[[#This Row],[AVANCE 3°. TRIM]]/TABLA_AVANCE_INDICADORES[[#This Row],[PROGR. 3° TRIM]])*100,"0")</f>
        <v>0</v>
      </c>
      <c r="AH64"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64" s="104">
        <v>0</v>
      </c>
      <c r="AJ64" s="105">
        <v>0</v>
      </c>
      <c r="AK64" s="27" t="str">
        <f>IFERROR((TABLA_AVANCE_INDICADORES[[#This Row],[AVANCE 4°. TRIM]]/TABLA_AVANCE_INDICADORES[[#This Row],[PROGR. 4° TRIM]])*100,"0")</f>
        <v>0</v>
      </c>
      <c r="AL64"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NO PROG.</v>
      </c>
      <c r="AM64"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v>
      </c>
      <c r="AN64"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O64" s="27">
        <f>IFERROR((TABLA_AVANCE_INDICADORES[[#This Row],[AVANCE ACUM. TRIM.]]/TABLA_AVANCE_INDICADORES[[#This Row],[PROG. ACUM]])*100,"N/A")</f>
        <v>100</v>
      </c>
      <c r="AP64"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64" s="106">
        <f>TABLA_AVANCE_INDICADORES[[#This Row],[AVANCE ACUM. TRIM.]]-TABLA_AVANCE_INDICADORES[[#This Row],[PROG. ACUM]]</f>
        <v>0</v>
      </c>
      <c r="AR64" s="32">
        <f>IFERROR((TABLA_AVANCE_INDICADORES[[#This Row],[DIFERENCIA ABSOLUTA SEMESTRAL]]/TABLA_AVANCE_INDICADORES[[#This Row],[PROG. ACUM]])*100,"N/A")</f>
        <v>0</v>
      </c>
      <c r="AS64"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T64" s="27">
        <f>IFERROR((TABLA_AVANCE_INDICADORES[[#This Row],[AVANCE ACUM. ANUAL]]/TABLA_AVANCE_INDICADORES[[#This Row],[PROGRAMADO ANUAL]])*100,"N/A")</f>
        <v>100</v>
      </c>
      <c r="AU64"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ADECUADO</v>
      </c>
      <c r="AV64" s="106">
        <f>TABLA_AVANCE_INDICADORES[[#This Row],[AVANCE ACUM. ANUAL]]-TABLA_AVANCE_INDICADORES[[#This Row],[PROGRAMADO ANUAL]]</f>
        <v>0</v>
      </c>
      <c r="AW64" s="32">
        <f>IFERROR((TABLA_AVANCE_INDICADORES[[#This Row],[DIFERENCIA ABSOLUTA ANUAL]]/TABLA_AVANCE_INDICADORES[[#This Row],[PROGRAMADO ANUAL]])*100,"N/A")</f>
        <v>0</v>
      </c>
      <c r="AX64" s="108"/>
      <c r="AY64" s="35"/>
      <c r="AZ64" s="36"/>
      <c r="BA64" s="36"/>
      <c r="BB64"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65" spans="1:54" ht="63" hidden="1" customHeight="1" x14ac:dyDescent="0.35">
      <c r="A65" s="19" t="s">
        <v>948</v>
      </c>
      <c r="B65" s="99" t="s">
        <v>157</v>
      </c>
      <c r="C65" s="20" t="s">
        <v>74</v>
      </c>
      <c r="D65" s="100" t="s">
        <v>75</v>
      </c>
      <c r="E65" s="20" t="s">
        <v>158</v>
      </c>
      <c r="F65" s="101" t="s">
        <v>159</v>
      </c>
      <c r="G65" s="80" t="s">
        <v>160</v>
      </c>
      <c r="H65" s="80" t="s">
        <v>904</v>
      </c>
      <c r="I65" s="22" t="s">
        <v>722</v>
      </c>
      <c r="J65" s="22" t="s">
        <v>139</v>
      </c>
      <c r="K65" s="80" t="s">
        <v>140</v>
      </c>
      <c r="L65" s="22" t="s">
        <v>161</v>
      </c>
      <c r="M65" s="80" t="s">
        <v>162</v>
      </c>
      <c r="N65" s="21">
        <v>2</v>
      </c>
      <c r="O65" s="21" t="s">
        <v>944</v>
      </c>
      <c r="P65" s="102" t="s">
        <v>945</v>
      </c>
      <c r="Q65" s="102" t="s">
        <v>949</v>
      </c>
      <c r="R65" s="102" t="s">
        <v>947</v>
      </c>
      <c r="S65" s="42" t="s">
        <v>154</v>
      </c>
      <c r="T65" s="42" t="s">
        <v>727</v>
      </c>
      <c r="U65" s="42" t="s">
        <v>754</v>
      </c>
      <c r="V65" s="24">
        <v>26</v>
      </c>
      <c r="W65" s="24">
        <v>26</v>
      </c>
      <c r="X65" s="103">
        <v>26</v>
      </c>
      <c r="Y65" s="25">
        <f>IFERROR((TABLA_AVANCE_INDICADORES[[#This Row],[AVANCE 1°. TRIM]]/TABLA_AVANCE_INDICADORES[[#This Row],[PROGR. 1° TRIM]])*100,"0")</f>
        <v>100</v>
      </c>
      <c r="Z65"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65" s="104">
        <v>0</v>
      </c>
      <c r="AB65" s="105">
        <v>0</v>
      </c>
      <c r="AC65" s="27" t="str">
        <f t="shared" si="0"/>
        <v>0</v>
      </c>
      <c r="AD65" s="26" t="str">
        <f t="shared" si="1"/>
        <v>NO PROG.</v>
      </c>
      <c r="AE65" s="104">
        <v>0</v>
      </c>
      <c r="AF65" s="105">
        <v>0</v>
      </c>
      <c r="AG65" s="27" t="str">
        <f>IFERROR((TABLA_AVANCE_INDICADORES[[#This Row],[AVANCE 3°. TRIM]]/TABLA_AVANCE_INDICADORES[[#This Row],[PROGR. 3° TRIM]])*100,"0")</f>
        <v>0</v>
      </c>
      <c r="AH65"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65" s="104">
        <v>0</v>
      </c>
      <c r="AJ65" s="105">
        <v>0</v>
      </c>
      <c r="AK65" s="27" t="str">
        <f>IFERROR((TABLA_AVANCE_INDICADORES[[#This Row],[AVANCE 4°. TRIM]]/TABLA_AVANCE_INDICADORES[[#This Row],[PROGR. 4° TRIM]])*100,"0")</f>
        <v>0</v>
      </c>
      <c r="AL65"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NO PROG.</v>
      </c>
      <c r="AM65"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26</v>
      </c>
      <c r="AN65"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26</v>
      </c>
      <c r="AO65" s="27">
        <f>IFERROR((TABLA_AVANCE_INDICADORES[[#This Row],[AVANCE ACUM. TRIM.]]/TABLA_AVANCE_INDICADORES[[#This Row],[PROG. ACUM]])*100,"N/A")</f>
        <v>100</v>
      </c>
      <c r="AP65"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65" s="106">
        <f>TABLA_AVANCE_INDICADORES[[#This Row],[AVANCE ACUM. TRIM.]]-TABLA_AVANCE_INDICADORES[[#This Row],[PROG. ACUM]]</f>
        <v>0</v>
      </c>
      <c r="AR65" s="32">
        <f>IFERROR((TABLA_AVANCE_INDICADORES[[#This Row],[DIFERENCIA ABSOLUTA SEMESTRAL]]/TABLA_AVANCE_INDICADORES[[#This Row],[PROG. ACUM]])*100,"N/A")</f>
        <v>0</v>
      </c>
      <c r="AS65"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26</v>
      </c>
      <c r="AT65" s="27">
        <f>IFERROR((TABLA_AVANCE_INDICADORES[[#This Row],[AVANCE ACUM. ANUAL]]/TABLA_AVANCE_INDICADORES[[#This Row],[PROGRAMADO ANUAL]])*100,"N/A")</f>
        <v>100</v>
      </c>
      <c r="AU65"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ADECUADO</v>
      </c>
      <c r="AV65" s="106">
        <f>TABLA_AVANCE_INDICADORES[[#This Row],[AVANCE ACUM. ANUAL]]-TABLA_AVANCE_INDICADORES[[#This Row],[PROGRAMADO ANUAL]]</f>
        <v>0</v>
      </c>
      <c r="AW65" s="32">
        <f>IFERROR((TABLA_AVANCE_INDICADORES[[#This Row],[DIFERENCIA ABSOLUTA ANUAL]]/TABLA_AVANCE_INDICADORES[[#This Row],[PROGRAMADO ANUAL]])*100,"N/A")</f>
        <v>0</v>
      </c>
      <c r="AX65" s="108"/>
      <c r="AY65" s="35"/>
      <c r="AZ65" s="36"/>
      <c r="BA65" s="36"/>
      <c r="BB65"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66" spans="1:54" ht="63" hidden="1" customHeight="1" x14ac:dyDescent="0.35">
      <c r="A66" s="19" t="s">
        <v>950</v>
      </c>
      <c r="B66" s="99" t="s">
        <v>157</v>
      </c>
      <c r="C66" s="20" t="s">
        <v>74</v>
      </c>
      <c r="D66" s="100" t="s">
        <v>75</v>
      </c>
      <c r="E66" s="20" t="s">
        <v>158</v>
      </c>
      <c r="F66" s="101" t="s">
        <v>159</v>
      </c>
      <c r="G66" s="80" t="s">
        <v>160</v>
      </c>
      <c r="H66" s="80" t="s">
        <v>904</v>
      </c>
      <c r="I66" s="22" t="s">
        <v>722</v>
      </c>
      <c r="J66" s="22" t="s">
        <v>139</v>
      </c>
      <c r="K66" s="80" t="s">
        <v>140</v>
      </c>
      <c r="L66" s="22" t="s">
        <v>161</v>
      </c>
      <c r="M66" s="80" t="s">
        <v>162</v>
      </c>
      <c r="N66" s="21">
        <v>1</v>
      </c>
      <c r="O66" s="21" t="s">
        <v>951</v>
      </c>
      <c r="P66" s="110" t="s">
        <v>952</v>
      </c>
      <c r="Q66" s="110" t="s">
        <v>953</v>
      </c>
      <c r="R66" s="110" t="s">
        <v>954</v>
      </c>
      <c r="S66" s="42" t="s">
        <v>148</v>
      </c>
      <c r="T66" s="42" t="s">
        <v>727</v>
      </c>
      <c r="U66" s="42" t="s">
        <v>754</v>
      </c>
      <c r="V66" s="24">
        <v>4</v>
      </c>
      <c r="W66" s="24">
        <v>1</v>
      </c>
      <c r="X66" s="103">
        <v>1</v>
      </c>
      <c r="Y66" s="25">
        <f>IFERROR((TABLA_AVANCE_INDICADORES[[#This Row],[AVANCE 1°. TRIM]]/TABLA_AVANCE_INDICADORES[[#This Row],[PROGR. 1° TRIM]])*100,"0")</f>
        <v>100</v>
      </c>
      <c r="Z66"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66" s="104">
        <v>1</v>
      </c>
      <c r="AB66" s="105">
        <v>1</v>
      </c>
      <c r="AC66" s="27">
        <f t="shared" si="0"/>
        <v>100</v>
      </c>
      <c r="AD66" s="26" t="str">
        <f t="shared" si="1"/>
        <v>ADECUADO</v>
      </c>
      <c r="AE66" s="104">
        <v>1</v>
      </c>
      <c r="AF66" s="105">
        <v>0</v>
      </c>
      <c r="AG66" s="27">
        <f>IFERROR((TABLA_AVANCE_INDICADORES[[#This Row],[AVANCE 3°. TRIM]]/TABLA_AVANCE_INDICADORES[[#This Row],[PROGR. 3° TRIM]])*100,"0")</f>
        <v>0</v>
      </c>
      <c r="AH66"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66" s="104">
        <v>1</v>
      </c>
      <c r="AJ66" s="105">
        <v>0</v>
      </c>
      <c r="AK66" s="27">
        <f>IFERROR((TABLA_AVANCE_INDICADORES[[#This Row],[AVANCE 4°. TRIM]]/TABLA_AVANCE_INDICADORES[[#This Row],[PROGR. 4° TRIM]])*100,"0")</f>
        <v>0</v>
      </c>
      <c r="AL66"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66"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v>
      </c>
      <c r="AN66"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O66" s="27">
        <f>IFERROR((TABLA_AVANCE_INDICADORES[[#This Row],[AVANCE ACUM. TRIM.]]/TABLA_AVANCE_INDICADORES[[#This Row],[PROG. ACUM]])*100,"N/A")</f>
        <v>100</v>
      </c>
      <c r="AP66"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66" s="106">
        <f>TABLA_AVANCE_INDICADORES[[#This Row],[AVANCE ACUM. TRIM.]]-TABLA_AVANCE_INDICADORES[[#This Row],[PROG. ACUM]]</f>
        <v>0</v>
      </c>
      <c r="AR66" s="32">
        <f>IFERROR((TABLA_AVANCE_INDICADORES[[#This Row],[DIFERENCIA ABSOLUTA SEMESTRAL]]/TABLA_AVANCE_INDICADORES[[#This Row],[PROG. ACUM]])*100,"N/A")</f>
        <v>0</v>
      </c>
      <c r="AS66"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T66" s="27">
        <f>IFERROR((TABLA_AVANCE_INDICADORES[[#This Row],[AVANCE ACUM. ANUAL]]/TABLA_AVANCE_INDICADORES[[#This Row],[PROGRAMADO ANUAL]])*100,"N/A")</f>
        <v>50</v>
      </c>
      <c r="AU66"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66" s="106">
        <f>TABLA_AVANCE_INDICADORES[[#This Row],[AVANCE ACUM. ANUAL]]-TABLA_AVANCE_INDICADORES[[#This Row],[PROGRAMADO ANUAL]]</f>
        <v>-2</v>
      </c>
      <c r="AW66" s="32">
        <f>IFERROR((TABLA_AVANCE_INDICADORES[[#This Row],[DIFERENCIA ABSOLUTA ANUAL]]/TABLA_AVANCE_INDICADORES[[#This Row],[PROGRAMADO ANUAL]])*100,"N/A")</f>
        <v>-50</v>
      </c>
      <c r="AX66" s="108"/>
      <c r="AY66" s="35"/>
      <c r="AZ66" s="36"/>
      <c r="BA66" s="36"/>
      <c r="BB66"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67" spans="1:54" ht="63" hidden="1" customHeight="1" x14ac:dyDescent="0.35">
      <c r="A67" s="19" t="s">
        <v>955</v>
      </c>
      <c r="B67" s="99" t="s">
        <v>157</v>
      </c>
      <c r="C67" s="20" t="s">
        <v>74</v>
      </c>
      <c r="D67" s="100" t="s">
        <v>75</v>
      </c>
      <c r="E67" s="20" t="s">
        <v>158</v>
      </c>
      <c r="F67" s="101" t="s">
        <v>159</v>
      </c>
      <c r="G67" s="80" t="s">
        <v>160</v>
      </c>
      <c r="H67" s="80" t="s">
        <v>904</v>
      </c>
      <c r="I67" s="22" t="s">
        <v>722</v>
      </c>
      <c r="J67" s="22" t="s">
        <v>139</v>
      </c>
      <c r="K67" s="80" t="s">
        <v>140</v>
      </c>
      <c r="L67" s="22" t="s">
        <v>161</v>
      </c>
      <c r="M67" s="80" t="s">
        <v>162</v>
      </c>
      <c r="N67" s="21">
        <v>2</v>
      </c>
      <c r="O67" s="21" t="s">
        <v>951</v>
      </c>
      <c r="P67" s="102" t="s">
        <v>952</v>
      </c>
      <c r="Q67" s="102" t="s">
        <v>956</v>
      </c>
      <c r="R67" s="102" t="s">
        <v>954</v>
      </c>
      <c r="S67" s="42" t="s">
        <v>148</v>
      </c>
      <c r="T67" s="42" t="s">
        <v>727</v>
      </c>
      <c r="U67" s="42" t="s">
        <v>754</v>
      </c>
      <c r="V67" s="24">
        <v>1</v>
      </c>
      <c r="W67" s="24">
        <v>1</v>
      </c>
      <c r="X67" s="103">
        <v>1</v>
      </c>
      <c r="Y67" s="25">
        <f>IFERROR((TABLA_AVANCE_INDICADORES[[#This Row],[AVANCE 1°. TRIM]]/TABLA_AVANCE_INDICADORES[[#This Row],[PROGR. 1° TRIM]])*100,"0")</f>
        <v>100</v>
      </c>
      <c r="Z67"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67" s="104">
        <v>0</v>
      </c>
      <c r="AB67" s="105">
        <v>0</v>
      </c>
      <c r="AC67" s="27" t="str">
        <f t="shared" si="0"/>
        <v>0</v>
      </c>
      <c r="AD67" s="26" t="str">
        <f t="shared" si="1"/>
        <v>NO PROG.</v>
      </c>
      <c r="AE67" s="104">
        <v>0</v>
      </c>
      <c r="AF67" s="105">
        <v>0</v>
      </c>
      <c r="AG67" s="27" t="str">
        <f>IFERROR((TABLA_AVANCE_INDICADORES[[#This Row],[AVANCE 3°. TRIM]]/TABLA_AVANCE_INDICADORES[[#This Row],[PROGR. 3° TRIM]])*100,"0")</f>
        <v>0</v>
      </c>
      <c r="AH67"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67" s="104">
        <v>0</v>
      </c>
      <c r="AJ67" s="105">
        <v>0</v>
      </c>
      <c r="AK67" s="27" t="str">
        <f>IFERROR((TABLA_AVANCE_INDICADORES[[#This Row],[AVANCE 4°. TRIM]]/TABLA_AVANCE_INDICADORES[[#This Row],[PROGR. 4° TRIM]])*100,"0")</f>
        <v>0</v>
      </c>
      <c r="AL67"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NO PROG.</v>
      </c>
      <c r="AM67"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v>
      </c>
      <c r="AN67"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O67" s="27">
        <f>IFERROR((TABLA_AVANCE_INDICADORES[[#This Row],[AVANCE ACUM. TRIM.]]/TABLA_AVANCE_INDICADORES[[#This Row],[PROG. ACUM]])*100,"N/A")</f>
        <v>100</v>
      </c>
      <c r="AP67"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67" s="106">
        <f>TABLA_AVANCE_INDICADORES[[#This Row],[AVANCE ACUM. TRIM.]]-TABLA_AVANCE_INDICADORES[[#This Row],[PROG. ACUM]]</f>
        <v>0</v>
      </c>
      <c r="AR67" s="32">
        <f>IFERROR((TABLA_AVANCE_INDICADORES[[#This Row],[DIFERENCIA ABSOLUTA SEMESTRAL]]/TABLA_AVANCE_INDICADORES[[#This Row],[PROG. ACUM]])*100,"N/A")</f>
        <v>0</v>
      </c>
      <c r="AS67"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T67" s="27">
        <f>IFERROR((TABLA_AVANCE_INDICADORES[[#This Row],[AVANCE ACUM. ANUAL]]/TABLA_AVANCE_INDICADORES[[#This Row],[PROGRAMADO ANUAL]])*100,"N/A")</f>
        <v>100</v>
      </c>
      <c r="AU67"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ADECUADO</v>
      </c>
      <c r="AV67" s="106">
        <f>TABLA_AVANCE_INDICADORES[[#This Row],[AVANCE ACUM. ANUAL]]-TABLA_AVANCE_INDICADORES[[#This Row],[PROGRAMADO ANUAL]]</f>
        <v>0</v>
      </c>
      <c r="AW67" s="32">
        <f>IFERROR((TABLA_AVANCE_INDICADORES[[#This Row],[DIFERENCIA ABSOLUTA ANUAL]]/TABLA_AVANCE_INDICADORES[[#This Row],[PROGRAMADO ANUAL]])*100,"N/A")</f>
        <v>0</v>
      </c>
      <c r="AX67" s="108"/>
      <c r="AY67" s="35"/>
      <c r="AZ67" s="36"/>
      <c r="BA67" s="36"/>
      <c r="BB67"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68" spans="1:54" ht="63" hidden="1" customHeight="1" x14ac:dyDescent="0.35">
      <c r="A68" s="19" t="s">
        <v>957</v>
      </c>
      <c r="B68" s="99" t="s">
        <v>157</v>
      </c>
      <c r="C68" s="20" t="s">
        <v>74</v>
      </c>
      <c r="D68" s="100" t="s">
        <v>75</v>
      </c>
      <c r="E68" s="20" t="s">
        <v>158</v>
      </c>
      <c r="F68" s="101" t="s">
        <v>159</v>
      </c>
      <c r="G68" s="80" t="s">
        <v>160</v>
      </c>
      <c r="H68" s="80" t="s">
        <v>904</v>
      </c>
      <c r="I68" s="22" t="s">
        <v>722</v>
      </c>
      <c r="J68" s="22" t="s">
        <v>139</v>
      </c>
      <c r="K68" s="80" t="s">
        <v>140</v>
      </c>
      <c r="L68" s="22" t="s">
        <v>161</v>
      </c>
      <c r="M68" s="80" t="s">
        <v>162</v>
      </c>
      <c r="N68" s="21">
        <v>1</v>
      </c>
      <c r="O68" s="21" t="s">
        <v>958</v>
      </c>
      <c r="P68" s="102" t="s">
        <v>959</v>
      </c>
      <c r="Q68" s="102" t="s">
        <v>960</v>
      </c>
      <c r="R68" s="102" t="s">
        <v>961</v>
      </c>
      <c r="S68" s="42" t="s">
        <v>154</v>
      </c>
      <c r="T68" s="42" t="s">
        <v>727</v>
      </c>
      <c r="U68" s="42" t="s">
        <v>754</v>
      </c>
      <c r="V68" s="24">
        <v>1</v>
      </c>
      <c r="W68" s="24">
        <v>0</v>
      </c>
      <c r="X68" s="103">
        <v>0</v>
      </c>
      <c r="Y68" s="25" t="str">
        <f>IFERROR((TABLA_AVANCE_INDICADORES[[#This Row],[AVANCE 1°. TRIM]]/TABLA_AVANCE_INDICADORES[[#This Row],[PROGR. 1° TRIM]])*100,"0")</f>
        <v>0</v>
      </c>
      <c r="Z68"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68" s="104">
        <v>0</v>
      </c>
      <c r="AB68" s="105">
        <v>0</v>
      </c>
      <c r="AC68" s="27" t="str">
        <f t="shared" ref="AC68:AC131" si="2">IFERROR((AB68/AA68)*100,"0")</f>
        <v>0</v>
      </c>
      <c r="AD68" s="26" t="str">
        <f t="shared" ref="AD68:AD131" si="3">IF(AND(AC68&gt;=0,AC68&lt;=49.9999999999999),"CRÍTICO",IF(AND(AC68&gt;=50,AC68&lt;=69.9999999999999),"DEFICIENTE",IF(AND(AC68&gt;=70,AC68&lt;=89.9999999999999),"REGULAR",IF(AND(AC68&gt;=90,AC68&lt;=110.999999999999),"ADECUADO",IF(AND(AC68&gt;=111,AC68&lt;=999999),"SOBREPASADO","NO PROG.")))))</f>
        <v>NO PROG.</v>
      </c>
      <c r="AE68" s="104">
        <v>0</v>
      </c>
      <c r="AF68" s="105">
        <v>0</v>
      </c>
      <c r="AG68" s="27" t="str">
        <f>IFERROR((TABLA_AVANCE_INDICADORES[[#This Row],[AVANCE 3°. TRIM]]/TABLA_AVANCE_INDICADORES[[#This Row],[PROGR. 3° TRIM]])*100,"0")</f>
        <v>0</v>
      </c>
      <c r="AH68"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68" s="104">
        <v>1</v>
      </c>
      <c r="AJ68" s="105">
        <v>0</v>
      </c>
      <c r="AK68" s="27">
        <f>IFERROR((TABLA_AVANCE_INDICADORES[[#This Row],[AVANCE 4°. TRIM]]/TABLA_AVANCE_INDICADORES[[#This Row],[PROGR. 4° TRIM]])*100,"0")</f>
        <v>0</v>
      </c>
      <c r="AL68"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68"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68"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68" s="27" t="str">
        <f>IFERROR((TABLA_AVANCE_INDICADORES[[#This Row],[AVANCE ACUM. TRIM.]]/TABLA_AVANCE_INDICADORES[[#This Row],[PROG. ACUM]])*100,"N/A")</f>
        <v>N/A</v>
      </c>
      <c r="AP68"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68" s="106">
        <f>TABLA_AVANCE_INDICADORES[[#This Row],[AVANCE ACUM. TRIM.]]-TABLA_AVANCE_INDICADORES[[#This Row],[PROG. ACUM]]</f>
        <v>0</v>
      </c>
      <c r="AR68" s="32" t="str">
        <f>IFERROR((TABLA_AVANCE_INDICADORES[[#This Row],[DIFERENCIA ABSOLUTA SEMESTRAL]]/TABLA_AVANCE_INDICADORES[[#This Row],[PROG. ACUM]])*100,"N/A")</f>
        <v>N/A</v>
      </c>
      <c r="AS68"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68" s="27">
        <f>IFERROR((TABLA_AVANCE_INDICADORES[[#This Row],[AVANCE ACUM. ANUAL]]/TABLA_AVANCE_INDICADORES[[#This Row],[PROGRAMADO ANUAL]])*100,"N/A")</f>
        <v>0</v>
      </c>
      <c r="AU68"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68" s="106">
        <f>TABLA_AVANCE_INDICADORES[[#This Row],[AVANCE ACUM. ANUAL]]-TABLA_AVANCE_INDICADORES[[#This Row],[PROGRAMADO ANUAL]]</f>
        <v>-1</v>
      </c>
      <c r="AW68" s="32">
        <f>IFERROR((TABLA_AVANCE_INDICADORES[[#This Row],[DIFERENCIA ABSOLUTA ANUAL]]/TABLA_AVANCE_INDICADORES[[#This Row],[PROGRAMADO ANUAL]])*100,"N/A")</f>
        <v>-100</v>
      </c>
      <c r="AX68" s="108"/>
      <c r="AY68" s="35"/>
      <c r="AZ68" s="36"/>
      <c r="BA68" s="36"/>
      <c r="BB68"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69" spans="1:54" ht="63" hidden="1" customHeight="1" x14ac:dyDescent="0.35">
      <c r="A69" s="19" t="s">
        <v>962</v>
      </c>
      <c r="B69" s="99" t="s">
        <v>157</v>
      </c>
      <c r="C69" s="20" t="s">
        <v>74</v>
      </c>
      <c r="D69" s="100" t="s">
        <v>75</v>
      </c>
      <c r="E69" s="20" t="s">
        <v>158</v>
      </c>
      <c r="F69" s="101" t="s">
        <v>159</v>
      </c>
      <c r="G69" s="80" t="s">
        <v>160</v>
      </c>
      <c r="H69" s="80" t="s">
        <v>904</v>
      </c>
      <c r="I69" s="22" t="s">
        <v>722</v>
      </c>
      <c r="J69" s="22" t="s">
        <v>139</v>
      </c>
      <c r="K69" s="80" t="s">
        <v>140</v>
      </c>
      <c r="L69" s="22" t="s">
        <v>161</v>
      </c>
      <c r="M69" s="80" t="s">
        <v>162</v>
      </c>
      <c r="N69" s="21">
        <v>2</v>
      </c>
      <c r="O69" s="21" t="s">
        <v>958</v>
      </c>
      <c r="P69" s="102" t="s">
        <v>959</v>
      </c>
      <c r="Q69" s="102" t="s">
        <v>917</v>
      </c>
      <c r="R69" s="102" t="s">
        <v>961</v>
      </c>
      <c r="S69" s="42" t="s">
        <v>154</v>
      </c>
      <c r="T69" s="42" t="s">
        <v>727</v>
      </c>
      <c r="U69" s="42" t="s">
        <v>754</v>
      </c>
      <c r="V69" s="24">
        <v>1</v>
      </c>
      <c r="W69" s="24">
        <v>0</v>
      </c>
      <c r="X69" s="112">
        <v>0</v>
      </c>
      <c r="Y69" s="25" t="str">
        <f>IFERROR((TABLA_AVANCE_INDICADORES[[#This Row],[AVANCE 1°. TRIM]]/TABLA_AVANCE_INDICADORES[[#This Row],[PROGR. 1° TRIM]])*100,"0")</f>
        <v>0</v>
      </c>
      <c r="Z69"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69" s="104">
        <v>0</v>
      </c>
      <c r="AB69" s="113">
        <v>0</v>
      </c>
      <c r="AC69" s="27" t="str">
        <f t="shared" si="2"/>
        <v>0</v>
      </c>
      <c r="AD69" s="26" t="str">
        <f t="shared" si="3"/>
        <v>NO PROG.</v>
      </c>
      <c r="AE69" s="104">
        <v>0</v>
      </c>
      <c r="AF69" s="113">
        <f>AE69</f>
        <v>0</v>
      </c>
      <c r="AG69" s="27" t="str">
        <f>IFERROR((TABLA_AVANCE_INDICADORES[[#This Row],[AVANCE 3°. TRIM]]/TABLA_AVANCE_INDICADORES[[#This Row],[PROGR. 3° TRIM]])*100,"0")</f>
        <v>0</v>
      </c>
      <c r="AH69"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69" s="104">
        <v>1</v>
      </c>
      <c r="AJ69" s="113">
        <f>AI69</f>
        <v>1</v>
      </c>
      <c r="AK69" s="27">
        <f>IFERROR((TABLA_AVANCE_INDICADORES[[#This Row],[AVANCE 4°. TRIM]]/TABLA_AVANCE_INDICADORES[[#This Row],[PROGR. 4° TRIM]])*100,"0")</f>
        <v>100</v>
      </c>
      <c r="AL69"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69"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69"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69" s="27" t="str">
        <f>IFERROR((TABLA_AVANCE_INDICADORES[[#This Row],[AVANCE ACUM. TRIM.]]/TABLA_AVANCE_INDICADORES[[#This Row],[PROG. ACUM]])*100,"N/A")</f>
        <v>N/A</v>
      </c>
      <c r="AP69"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69" s="106">
        <f>TABLA_AVANCE_INDICADORES[[#This Row],[AVANCE ACUM. TRIM.]]-TABLA_AVANCE_INDICADORES[[#This Row],[PROG. ACUM]]</f>
        <v>0</v>
      </c>
      <c r="AR69" s="32" t="str">
        <f>IFERROR((TABLA_AVANCE_INDICADORES[[#This Row],[DIFERENCIA ABSOLUTA SEMESTRAL]]/TABLA_AVANCE_INDICADORES[[#This Row],[PROG. ACUM]])*100,"N/A")</f>
        <v>N/A</v>
      </c>
      <c r="AS69"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69" s="27">
        <f>IFERROR((TABLA_AVANCE_INDICADORES[[#This Row],[AVANCE ACUM. ANUAL]]/TABLA_AVANCE_INDICADORES[[#This Row],[PROGRAMADO ANUAL]])*100,"N/A")</f>
        <v>0</v>
      </c>
      <c r="AU69"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69" s="106">
        <f>TABLA_AVANCE_INDICADORES[[#This Row],[AVANCE ACUM. ANUAL]]-TABLA_AVANCE_INDICADORES[[#This Row],[PROGRAMADO ANUAL]]</f>
        <v>-1</v>
      </c>
      <c r="AW69" s="32">
        <f>IFERROR((TABLA_AVANCE_INDICADORES[[#This Row],[DIFERENCIA ABSOLUTA ANUAL]]/TABLA_AVANCE_INDICADORES[[#This Row],[PROGRAMADO ANUAL]])*100,"N/A")</f>
        <v>-100</v>
      </c>
      <c r="AX69" s="108"/>
      <c r="AY69" s="35"/>
      <c r="AZ69" s="36"/>
      <c r="BA69" s="36"/>
      <c r="BB69"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70" spans="1:54" ht="63" hidden="1" customHeight="1" x14ac:dyDescent="0.35">
      <c r="A70" s="19" t="s">
        <v>963</v>
      </c>
      <c r="B70" s="99" t="s">
        <v>135</v>
      </c>
      <c r="C70" s="20" t="s">
        <v>74</v>
      </c>
      <c r="D70" s="100" t="s">
        <v>75</v>
      </c>
      <c r="E70" s="20" t="s">
        <v>136</v>
      </c>
      <c r="F70" s="101" t="s">
        <v>137</v>
      </c>
      <c r="G70" s="80" t="s">
        <v>138</v>
      </c>
      <c r="H70" s="80" t="s">
        <v>896</v>
      </c>
      <c r="I70" s="22" t="s">
        <v>722</v>
      </c>
      <c r="J70" s="22" t="s">
        <v>139</v>
      </c>
      <c r="K70" s="80" t="s">
        <v>140</v>
      </c>
      <c r="L70" s="22" t="s">
        <v>141</v>
      </c>
      <c r="M70" s="80" t="s">
        <v>142</v>
      </c>
      <c r="N70" s="21">
        <v>1</v>
      </c>
      <c r="O70" s="21" t="s">
        <v>964</v>
      </c>
      <c r="P70" s="102" t="s">
        <v>965</v>
      </c>
      <c r="Q70" s="102" t="s">
        <v>966</v>
      </c>
      <c r="R70" s="102" t="s">
        <v>967</v>
      </c>
      <c r="S70" s="42" t="s">
        <v>156</v>
      </c>
      <c r="T70" s="42" t="s">
        <v>727</v>
      </c>
      <c r="U70" s="42" t="s">
        <v>754</v>
      </c>
      <c r="V70" s="24">
        <v>20</v>
      </c>
      <c r="W70" s="24">
        <v>5</v>
      </c>
      <c r="X70" s="103">
        <v>5</v>
      </c>
      <c r="Y70" s="25">
        <f>IFERROR((TABLA_AVANCE_INDICADORES[[#This Row],[AVANCE 1°. TRIM]]/TABLA_AVANCE_INDICADORES[[#This Row],[PROGR. 1° TRIM]])*100,"0")</f>
        <v>100</v>
      </c>
      <c r="Z70"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70" s="104">
        <v>5</v>
      </c>
      <c r="AB70" s="105">
        <v>5</v>
      </c>
      <c r="AC70" s="27">
        <f t="shared" si="2"/>
        <v>100</v>
      </c>
      <c r="AD70" s="26" t="str">
        <f t="shared" si="3"/>
        <v>ADECUADO</v>
      </c>
      <c r="AE70" s="104">
        <v>5</v>
      </c>
      <c r="AF70" s="105">
        <v>0</v>
      </c>
      <c r="AG70" s="27">
        <f>IFERROR((TABLA_AVANCE_INDICADORES[[#This Row],[AVANCE 3°. TRIM]]/TABLA_AVANCE_INDICADORES[[#This Row],[PROGR. 3° TRIM]])*100,"0")</f>
        <v>0</v>
      </c>
      <c r="AH70"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70" s="104">
        <v>5</v>
      </c>
      <c r="AJ70" s="105">
        <v>0</v>
      </c>
      <c r="AK70" s="27">
        <f>IFERROR((TABLA_AVANCE_INDICADORES[[#This Row],[AVANCE 4°. TRIM]]/TABLA_AVANCE_INDICADORES[[#This Row],[PROGR. 4° TRIM]])*100,"0")</f>
        <v>0</v>
      </c>
      <c r="AL70"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70"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10</v>
      </c>
      <c r="AN70"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10</v>
      </c>
      <c r="AO70" s="27">
        <f>IFERROR((TABLA_AVANCE_INDICADORES[[#This Row],[AVANCE ACUM. TRIM.]]/TABLA_AVANCE_INDICADORES[[#This Row],[PROG. ACUM]])*100,"N/A")</f>
        <v>100</v>
      </c>
      <c r="AP70"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70" s="106">
        <f>TABLA_AVANCE_INDICADORES[[#This Row],[AVANCE ACUM. TRIM.]]-TABLA_AVANCE_INDICADORES[[#This Row],[PROG. ACUM]]</f>
        <v>0</v>
      </c>
      <c r="AR70" s="32">
        <f>IFERROR((TABLA_AVANCE_INDICADORES[[#This Row],[DIFERENCIA ABSOLUTA SEMESTRAL]]/TABLA_AVANCE_INDICADORES[[#This Row],[PROG. ACUM]])*100,"N/A")</f>
        <v>0</v>
      </c>
      <c r="AS70"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10</v>
      </c>
      <c r="AT70" s="27">
        <f>IFERROR((TABLA_AVANCE_INDICADORES[[#This Row],[AVANCE ACUM. ANUAL]]/TABLA_AVANCE_INDICADORES[[#This Row],[PROGRAMADO ANUAL]])*100,"N/A")</f>
        <v>50</v>
      </c>
      <c r="AU70"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70" s="106">
        <f>TABLA_AVANCE_INDICADORES[[#This Row],[AVANCE ACUM. ANUAL]]-TABLA_AVANCE_INDICADORES[[#This Row],[PROGRAMADO ANUAL]]</f>
        <v>-10</v>
      </c>
      <c r="AW70" s="32">
        <f>IFERROR((TABLA_AVANCE_INDICADORES[[#This Row],[DIFERENCIA ABSOLUTA ANUAL]]/TABLA_AVANCE_INDICADORES[[#This Row],[PROGRAMADO ANUAL]])*100,"N/A")</f>
        <v>-50</v>
      </c>
      <c r="AX70" s="108"/>
      <c r="AY70" s="35" t="e">
        <v>#N/A</v>
      </c>
      <c r="AZ70" s="36"/>
      <c r="BA70" s="36"/>
      <c r="BB70"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71" spans="1:54" ht="63" hidden="1" customHeight="1" x14ac:dyDescent="0.35">
      <c r="A71" s="19" t="s">
        <v>968</v>
      </c>
      <c r="B71" s="99" t="s">
        <v>135</v>
      </c>
      <c r="C71" s="20" t="s">
        <v>74</v>
      </c>
      <c r="D71" s="100" t="s">
        <v>75</v>
      </c>
      <c r="E71" s="20" t="s">
        <v>136</v>
      </c>
      <c r="F71" s="101" t="s">
        <v>137</v>
      </c>
      <c r="G71" s="80" t="s">
        <v>138</v>
      </c>
      <c r="H71" s="80" t="s">
        <v>896</v>
      </c>
      <c r="I71" s="22" t="s">
        <v>722</v>
      </c>
      <c r="J71" s="22" t="s">
        <v>139</v>
      </c>
      <c r="K71" s="80" t="s">
        <v>140</v>
      </c>
      <c r="L71" s="22" t="s">
        <v>141</v>
      </c>
      <c r="M71" s="80" t="s">
        <v>142</v>
      </c>
      <c r="N71" s="21">
        <v>2</v>
      </c>
      <c r="O71" s="21" t="s">
        <v>964</v>
      </c>
      <c r="P71" s="102" t="s">
        <v>965</v>
      </c>
      <c r="Q71" s="102" t="s">
        <v>969</v>
      </c>
      <c r="R71" s="102" t="s">
        <v>967</v>
      </c>
      <c r="S71" s="42" t="s">
        <v>156</v>
      </c>
      <c r="T71" s="42" t="s">
        <v>727</v>
      </c>
      <c r="U71" s="42" t="s">
        <v>754</v>
      </c>
      <c r="V71" s="24">
        <v>20</v>
      </c>
      <c r="W71" s="24">
        <v>5</v>
      </c>
      <c r="X71" s="112">
        <v>5</v>
      </c>
      <c r="Y71" s="25">
        <f>IFERROR((TABLA_AVANCE_INDICADORES[[#This Row],[AVANCE 1°. TRIM]]/TABLA_AVANCE_INDICADORES[[#This Row],[PROGR. 1° TRIM]])*100,"0")</f>
        <v>100</v>
      </c>
      <c r="Z71"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71" s="104">
        <v>5</v>
      </c>
      <c r="AB71" s="113">
        <v>5</v>
      </c>
      <c r="AC71" s="27">
        <f t="shared" si="2"/>
        <v>100</v>
      </c>
      <c r="AD71" s="26" t="str">
        <f t="shared" si="3"/>
        <v>ADECUADO</v>
      </c>
      <c r="AE71" s="104">
        <v>5</v>
      </c>
      <c r="AF71" s="113">
        <f>AE71</f>
        <v>5</v>
      </c>
      <c r="AG71" s="27">
        <f>IFERROR((TABLA_AVANCE_INDICADORES[[#This Row],[AVANCE 3°. TRIM]]/TABLA_AVANCE_INDICADORES[[#This Row],[PROGR. 3° TRIM]])*100,"0")</f>
        <v>100</v>
      </c>
      <c r="AH71"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ADECUADO</v>
      </c>
      <c r="AI71" s="104">
        <v>5</v>
      </c>
      <c r="AJ71" s="113">
        <f>AI71</f>
        <v>5</v>
      </c>
      <c r="AK71" s="27">
        <f>IFERROR((TABLA_AVANCE_INDICADORES[[#This Row],[AVANCE 4°. TRIM]]/TABLA_AVANCE_INDICADORES[[#This Row],[PROGR. 4° TRIM]])*100,"0")</f>
        <v>100</v>
      </c>
      <c r="AL71"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71"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10</v>
      </c>
      <c r="AN71"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10</v>
      </c>
      <c r="AO71" s="27">
        <f>IFERROR((TABLA_AVANCE_INDICADORES[[#This Row],[AVANCE ACUM. TRIM.]]/TABLA_AVANCE_INDICADORES[[#This Row],[PROG. ACUM]])*100,"N/A")</f>
        <v>100</v>
      </c>
      <c r="AP71"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71" s="106">
        <f>TABLA_AVANCE_INDICADORES[[#This Row],[AVANCE ACUM. TRIM.]]-TABLA_AVANCE_INDICADORES[[#This Row],[PROG. ACUM]]</f>
        <v>0</v>
      </c>
      <c r="AR71" s="32">
        <f>IFERROR((TABLA_AVANCE_INDICADORES[[#This Row],[DIFERENCIA ABSOLUTA SEMESTRAL]]/TABLA_AVANCE_INDICADORES[[#This Row],[PROG. ACUM]])*100,"N/A")</f>
        <v>0</v>
      </c>
      <c r="AS71"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10</v>
      </c>
      <c r="AT71" s="27">
        <f>IFERROR((TABLA_AVANCE_INDICADORES[[#This Row],[AVANCE ACUM. ANUAL]]/TABLA_AVANCE_INDICADORES[[#This Row],[PROGRAMADO ANUAL]])*100,"N/A")</f>
        <v>50</v>
      </c>
      <c r="AU71"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71" s="106">
        <f>TABLA_AVANCE_INDICADORES[[#This Row],[AVANCE ACUM. ANUAL]]-TABLA_AVANCE_INDICADORES[[#This Row],[PROGRAMADO ANUAL]]</f>
        <v>-10</v>
      </c>
      <c r="AW71" s="32">
        <f>IFERROR((TABLA_AVANCE_INDICADORES[[#This Row],[DIFERENCIA ABSOLUTA ANUAL]]/TABLA_AVANCE_INDICADORES[[#This Row],[PROGRAMADO ANUAL]])*100,"N/A")</f>
        <v>-50</v>
      </c>
      <c r="AX71" s="108"/>
      <c r="AY71" s="35" t="e">
        <v>#N/A</v>
      </c>
      <c r="AZ71" s="36"/>
      <c r="BA71" s="36"/>
      <c r="BB71"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72" spans="1:54" ht="63" hidden="1" customHeight="1" x14ac:dyDescent="0.35">
      <c r="A72" s="19" t="s">
        <v>970</v>
      </c>
      <c r="B72" s="99" t="s">
        <v>275</v>
      </c>
      <c r="C72" s="20" t="s">
        <v>213</v>
      </c>
      <c r="D72" s="100" t="s">
        <v>214</v>
      </c>
      <c r="E72" s="20" t="s">
        <v>276</v>
      </c>
      <c r="F72" s="101" t="s">
        <v>277</v>
      </c>
      <c r="G72" s="80" t="s">
        <v>278</v>
      </c>
      <c r="H72" s="80" t="s">
        <v>971</v>
      </c>
      <c r="I72" s="22" t="s">
        <v>722</v>
      </c>
      <c r="J72" s="22" t="s">
        <v>279</v>
      </c>
      <c r="K72" s="80" t="s">
        <v>280</v>
      </c>
      <c r="L72" s="22" t="s">
        <v>281</v>
      </c>
      <c r="M72" s="80" t="s">
        <v>282</v>
      </c>
      <c r="N72" s="21">
        <v>1</v>
      </c>
      <c r="O72" s="21" t="s">
        <v>723</v>
      </c>
      <c r="P72" s="102" t="s">
        <v>972</v>
      </c>
      <c r="Q72" s="102" t="s">
        <v>973</v>
      </c>
      <c r="R72" s="102" t="s">
        <v>974</v>
      </c>
      <c r="S72" s="42" t="s">
        <v>975</v>
      </c>
      <c r="T72" s="42" t="s">
        <v>727</v>
      </c>
      <c r="U72" s="42" t="s">
        <v>738</v>
      </c>
      <c r="V72" s="24">
        <v>714968761</v>
      </c>
      <c r="W72" s="24">
        <v>0</v>
      </c>
      <c r="X72" s="103">
        <v>0</v>
      </c>
      <c r="Y72" s="25" t="str">
        <f>IFERROR((TABLA_AVANCE_INDICADORES[[#This Row],[AVANCE 1°. TRIM]]/TABLA_AVANCE_INDICADORES[[#This Row],[PROGR. 1° TRIM]])*100,"0")</f>
        <v>0</v>
      </c>
      <c r="Z72"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72" s="104">
        <v>0</v>
      </c>
      <c r="AB72" s="105">
        <v>0</v>
      </c>
      <c r="AC72" s="27" t="str">
        <f t="shared" si="2"/>
        <v>0</v>
      </c>
      <c r="AD72" s="26" t="str">
        <f t="shared" si="3"/>
        <v>NO PROG.</v>
      </c>
      <c r="AE72" s="104">
        <v>0</v>
      </c>
      <c r="AF72" s="105">
        <v>0</v>
      </c>
      <c r="AG72" s="27" t="str">
        <f>IFERROR((TABLA_AVANCE_INDICADORES[[#This Row],[AVANCE 3°. TRIM]]/TABLA_AVANCE_INDICADORES[[#This Row],[PROGR. 3° TRIM]])*100,"0")</f>
        <v>0</v>
      </c>
      <c r="AH72"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72" s="104">
        <v>714968761</v>
      </c>
      <c r="AJ72" s="105">
        <v>0</v>
      </c>
      <c r="AK72" s="27">
        <f>IFERROR((TABLA_AVANCE_INDICADORES[[#This Row],[AVANCE 4°. TRIM]]/TABLA_AVANCE_INDICADORES[[#This Row],[PROGR. 4° TRIM]])*100,"0")</f>
        <v>0</v>
      </c>
      <c r="AL72"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72"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72"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72" s="27" t="str">
        <f>IFERROR((TABLA_AVANCE_INDICADORES[[#This Row],[AVANCE ACUM. TRIM.]]/TABLA_AVANCE_INDICADORES[[#This Row],[PROG. ACUM]])*100,"N/A")</f>
        <v>N/A</v>
      </c>
      <c r="AP72"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72" s="106">
        <f>TABLA_AVANCE_INDICADORES[[#This Row],[AVANCE ACUM. TRIM.]]-TABLA_AVANCE_INDICADORES[[#This Row],[PROG. ACUM]]</f>
        <v>0</v>
      </c>
      <c r="AR72" s="32" t="str">
        <f>IFERROR((TABLA_AVANCE_INDICADORES[[#This Row],[DIFERENCIA ABSOLUTA SEMESTRAL]]/TABLA_AVANCE_INDICADORES[[#This Row],[PROG. ACUM]])*100,"N/A")</f>
        <v>N/A</v>
      </c>
      <c r="AS72"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72" s="27">
        <f>IFERROR((TABLA_AVANCE_INDICADORES[[#This Row],[AVANCE ACUM. ANUAL]]/TABLA_AVANCE_INDICADORES[[#This Row],[PROGRAMADO ANUAL]])*100,"N/A")</f>
        <v>0</v>
      </c>
      <c r="AU72"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72" s="106">
        <f>TABLA_AVANCE_INDICADORES[[#This Row],[AVANCE ACUM. ANUAL]]-TABLA_AVANCE_INDICADORES[[#This Row],[PROGRAMADO ANUAL]]</f>
        <v>-714968761</v>
      </c>
      <c r="AW72" s="32">
        <f>IFERROR((TABLA_AVANCE_INDICADORES[[#This Row],[DIFERENCIA ABSOLUTA ANUAL]]/TABLA_AVANCE_INDICADORES[[#This Row],[PROGRAMADO ANUAL]])*100,"N/A")</f>
        <v>-100</v>
      </c>
      <c r="AX72" s="108"/>
      <c r="AY72" s="35"/>
      <c r="AZ72" s="36"/>
      <c r="BA72" s="36"/>
      <c r="BB72"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73" spans="1:54" ht="63" hidden="1" customHeight="1" x14ac:dyDescent="0.35">
      <c r="A73" s="19" t="s">
        <v>976</v>
      </c>
      <c r="B73" s="99" t="s">
        <v>275</v>
      </c>
      <c r="C73" s="20" t="s">
        <v>213</v>
      </c>
      <c r="D73" s="100" t="s">
        <v>214</v>
      </c>
      <c r="E73" s="20" t="s">
        <v>276</v>
      </c>
      <c r="F73" s="101" t="s">
        <v>277</v>
      </c>
      <c r="G73" s="80" t="s">
        <v>278</v>
      </c>
      <c r="H73" s="80" t="s">
        <v>971</v>
      </c>
      <c r="I73" s="22" t="s">
        <v>722</v>
      </c>
      <c r="J73" s="22" t="s">
        <v>279</v>
      </c>
      <c r="K73" s="80" t="s">
        <v>280</v>
      </c>
      <c r="L73" s="22" t="s">
        <v>281</v>
      </c>
      <c r="M73" s="80" t="s">
        <v>282</v>
      </c>
      <c r="N73" s="21">
        <v>2</v>
      </c>
      <c r="O73" s="21" t="s">
        <v>723</v>
      </c>
      <c r="P73" s="102" t="s">
        <v>972</v>
      </c>
      <c r="Q73" s="102" t="s">
        <v>977</v>
      </c>
      <c r="R73" s="102" t="s">
        <v>974</v>
      </c>
      <c r="S73" s="42" t="s">
        <v>975</v>
      </c>
      <c r="T73" s="42" t="s">
        <v>727</v>
      </c>
      <c r="U73" s="42" t="s">
        <v>738</v>
      </c>
      <c r="V73" s="24">
        <v>516981571</v>
      </c>
      <c r="W73" s="24">
        <v>0</v>
      </c>
      <c r="X73" s="103">
        <v>0</v>
      </c>
      <c r="Y73" s="25" t="str">
        <f>IFERROR((TABLA_AVANCE_INDICADORES[[#This Row],[AVANCE 1°. TRIM]]/TABLA_AVANCE_INDICADORES[[#This Row],[PROGR. 1° TRIM]])*100,"0")</f>
        <v>0</v>
      </c>
      <c r="Z73"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73" s="104">
        <v>0</v>
      </c>
      <c r="AB73" s="105">
        <v>0</v>
      </c>
      <c r="AC73" s="27" t="str">
        <f t="shared" si="2"/>
        <v>0</v>
      </c>
      <c r="AD73" s="26" t="str">
        <f t="shared" si="3"/>
        <v>NO PROG.</v>
      </c>
      <c r="AE73" s="104">
        <v>0</v>
      </c>
      <c r="AF73" s="105">
        <v>0</v>
      </c>
      <c r="AG73" s="27" t="str">
        <f>IFERROR((TABLA_AVANCE_INDICADORES[[#This Row],[AVANCE 3°. TRIM]]/TABLA_AVANCE_INDICADORES[[#This Row],[PROGR. 3° TRIM]])*100,"0")</f>
        <v>0</v>
      </c>
      <c r="AH73"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73" s="104">
        <v>516981571</v>
      </c>
      <c r="AJ73" s="111">
        <v>516981571</v>
      </c>
      <c r="AK73" s="27">
        <f>IFERROR((TABLA_AVANCE_INDICADORES[[#This Row],[AVANCE 4°. TRIM]]/TABLA_AVANCE_INDICADORES[[#This Row],[PROGR. 4° TRIM]])*100,"0")</f>
        <v>100</v>
      </c>
      <c r="AL73"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73"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73"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73" s="27" t="str">
        <f>IFERROR((TABLA_AVANCE_INDICADORES[[#This Row],[AVANCE ACUM. TRIM.]]/TABLA_AVANCE_INDICADORES[[#This Row],[PROG. ACUM]])*100,"N/A")</f>
        <v>N/A</v>
      </c>
      <c r="AP73"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73" s="106">
        <f>TABLA_AVANCE_INDICADORES[[#This Row],[AVANCE ACUM. TRIM.]]-TABLA_AVANCE_INDICADORES[[#This Row],[PROG. ACUM]]</f>
        <v>0</v>
      </c>
      <c r="AR73" s="32" t="str">
        <f>IFERROR((TABLA_AVANCE_INDICADORES[[#This Row],[DIFERENCIA ABSOLUTA SEMESTRAL]]/TABLA_AVANCE_INDICADORES[[#This Row],[PROG. ACUM]])*100,"N/A")</f>
        <v>N/A</v>
      </c>
      <c r="AS73"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73" s="27">
        <f>IFERROR((TABLA_AVANCE_INDICADORES[[#This Row],[AVANCE ACUM. ANUAL]]/TABLA_AVANCE_INDICADORES[[#This Row],[PROGRAMADO ANUAL]])*100,"N/A")</f>
        <v>0</v>
      </c>
      <c r="AU73"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73" s="106">
        <f>TABLA_AVANCE_INDICADORES[[#This Row],[AVANCE ACUM. ANUAL]]-TABLA_AVANCE_INDICADORES[[#This Row],[PROGRAMADO ANUAL]]</f>
        <v>-516981571</v>
      </c>
      <c r="AW73" s="32">
        <f>IFERROR((TABLA_AVANCE_INDICADORES[[#This Row],[DIFERENCIA ABSOLUTA ANUAL]]/TABLA_AVANCE_INDICADORES[[#This Row],[PROGRAMADO ANUAL]])*100,"N/A")</f>
        <v>-100</v>
      </c>
      <c r="AX73" s="108"/>
      <c r="AY73" s="35"/>
      <c r="AZ73" s="36"/>
      <c r="BA73" s="36"/>
      <c r="BB73"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74" spans="1:54" ht="63" hidden="1" customHeight="1" x14ac:dyDescent="0.35">
      <c r="A74" s="19" t="s">
        <v>978</v>
      </c>
      <c r="B74" s="99" t="s">
        <v>275</v>
      </c>
      <c r="C74" s="20" t="s">
        <v>213</v>
      </c>
      <c r="D74" s="100" t="s">
        <v>214</v>
      </c>
      <c r="E74" s="20" t="s">
        <v>276</v>
      </c>
      <c r="F74" s="101" t="s">
        <v>277</v>
      </c>
      <c r="G74" s="80" t="s">
        <v>278</v>
      </c>
      <c r="H74" s="80" t="s">
        <v>971</v>
      </c>
      <c r="I74" s="22" t="s">
        <v>722</v>
      </c>
      <c r="J74" s="22" t="s">
        <v>279</v>
      </c>
      <c r="K74" s="80" t="s">
        <v>280</v>
      </c>
      <c r="L74" s="22" t="s">
        <v>281</v>
      </c>
      <c r="M74" s="80" t="s">
        <v>282</v>
      </c>
      <c r="N74" s="21">
        <v>1</v>
      </c>
      <c r="O74" s="21" t="s">
        <v>733</v>
      </c>
      <c r="P74" s="102" t="s">
        <v>979</v>
      </c>
      <c r="Q74" s="102" t="s">
        <v>980</v>
      </c>
      <c r="R74" s="102" t="s">
        <v>981</v>
      </c>
      <c r="S74" s="42" t="s">
        <v>982</v>
      </c>
      <c r="T74" s="42" t="s">
        <v>727</v>
      </c>
      <c r="U74" s="42" t="s">
        <v>738</v>
      </c>
      <c r="V74" s="24">
        <v>714968761</v>
      </c>
      <c r="W74" s="24">
        <v>0</v>
      </c>
      <c r="X74" s="103">
        <v>0</v>
      </c>
      <c r="Y74" s="25" t="str">
        <f>IFERROR((TABLA_AVANCE_INDICADORES[[#This Row],[AVANCE 1°. TRIM]]/TABLA_AVANCE_INDICADORES[[#This Row],[PROGR. 1° TRIM]])*100,"0")</f>
        <v>0</v>
      </c>
      <c r="Z74"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74" s="104">
        <v>0</v>
      </c>
      <c r="AB74" s="105">
        <v>0</v>
      </c>
      <c r="AC74" s="27" t="str">
        <f t="shared" si="2"/>
        <v>0</v>
      </c>
      <c r="AD74" s="26" t="str">
        <f t="shared" si="3"/>
        <v>NO PROG.</v>
      </c>
      <c r="AE74" s="104">
        <v>0</v>
      </c>
      <c r="AF74" s="105">
        <v>0</v>
      </c>
      <c r="AG74" s="27" t="str">
        <f>IFERROR((TABLA_AVANCE_INDICADORES[[#This Row],[AVANCE 3°. TRIM]]/TABLA_AVANCE_INDICADORES[[#This Row],[PROGR. 3° TRIM]])*100,"0")</f>
        <v>0</v>
      </c>
      <c r="AH74"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74" s="104">
        <v>714968761</v>
      </c>
      <c r="AJ74" s="105">
        <v>0</v>
      </c>
      <c r="AK74" s="27">
        <f>IFERROR((TABLA_AVANCE_INDICADORES[[#This Row],[AVANCE 4°. TRIM]]/TABLA_AVANCE_INDICADORES[[#This Row],[PROGR. 4° TRIM]])*100,"0")</f>
        <v>0</v>
      </c>
      <c r="AL74"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74"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74"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74" s="27" t="str">
        <f>IFERROR((TABLA_AVANCE_INDICADORES[[#This Row],[AVANCE ACUM. TRIM.]]/TABLA_AVANCE_INDICADORES[[#This Row],[PROG. ACUM]])*100,"N/A")</f>
        <v>N/A</v>
      </c>
      <c r="AP74"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74" s="106">
        <f>TABLA_AVANCE_INDICADORES[[#This Row],[AVANCE ACUM. TRIM.]]-TABLA_AVANCE_INDICADORES[[#This Row],[PROG. ACUM]]</f>
        <v>0</v>
      </c>
      <c r="AR74" s="32" t="str">
        <f>IFERROR((TABLA_AVANCE_INDICADORES[[#This Row],[DIFERENCIA ABSOLUTA SEMESTRAL]]/TABLA_AVANCE_INDICADORES[[#This Row],[PROG. ACUM]])*100,"N/A")</f>
        <v>N/A</v>
      </c>
      <c r="AS74"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74" s="27">
        <f>IFERROR((TABLA_AVANCE_INDICADORES[[#This Row],[AVANCE ACUM. ANUAL]]/TABLA_AVANCE_INDICADORES[[#This Row],[PROGRAMADO ANUAL]])*100,"N/A")</f>
        <v>0</v>
      </c>
      <c r="AU74"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74" s="106">
        <f>TABLA_AVANCE_INDICADORES[[#This Row],[AVANCE ACUM. ANUAL]]-TABLA_AVANCE_INDICADORES[[#This Row],[PROGRAMADO ANUAL]]</f>
        <v>-714968761</v>
      </c>
      <c r="AW74" s="32">
        <f>IFERROR((TABLA_AVANCE_INDICADORES[[#This Row],[DIFERENCIA ABSOLUTA ANUAL]]/TABLA_AVANCE_INDICADORES[[#This Row],[PROGRAMADO ANUAL]])*100,"N/A")</f>
        <v>-100</v>
      </c>
      <c r="AX74" s="108"/>
      <c r="AY74" s="35"/>
      <c r="AZ74" s="36"/>
      <c r="BA74" s="36"/>
      <c r="BB74"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75" spans="1:54" ht="63" hidden="1" customHeight="1" x14ac:dyDescent="0.35">
      <c r="A75" s="19" t="s">
        <v>983</v>
      </c>
      <c r="B75" s="99" t="s">
        <v>275</v>
      </c>
      <c r="C75" s="20" t="s">
        <v>213</v>
      </c>
      <c r="D75" s="100" t="s">
        <v>214</v>
      </c>
      <c r="E75" s="20" t="s">
        <v>276</v>
      </c>
      <c r="F75" s="101" t="s">
        <v>277</v>
      </c>
      <c r="G75" s="80" t="s">
        <v>278</v>
      </c>
      <c r="H75" s="80" t="s">
        <v>971</v>
      </c>
      <c r="I75" s="22" t="s">
        <v>722</v>
      </c>
      <c r="J75" s="22" t="s">
        <v>279</v>
      </c>
      <c r="K75" s="80" t="s">
        <v>280</v>
      </c>
      <c r="L75" s="22" t="s">
        <v>281</v>
      </c>
      <c r="M75" s="80" t="s">
        <v>282</v>
      </c>
      <c r="N75" s="21">
        <v>2</v>
      </c>
      <c r="O75" s="21" t="s">
        <v>733</v>
      </c>
      <c r="P75" s="102" t="s">
        <v>979</v>
      </c>
      <c r="Q75" s="102" t="s">
        <v>984</v>
      </c>
      <c r="R75" s="102" t="s">
        <v>981</v>
      </c>
      <c r="S75" s="42" t="s">
        <v>982</v>
      </c>
      <c r="T75" s="42" t="s">
        <v>727</v>
      </c>
      <c r="U75" s="42" t="s">
        <v>738</v>
      </c>
      <c r="V75" s="24">
        <v>516981571</v>
      </c>
      <c r="W75" s="24">
        <v>0</v>
      </c>
      <c r="X75" s="103">
        <v>0</v>
      </c>
      <c r="Y75" s="25" t="str">
        <f>IFERROR((TABLA_AVANCE_INDICADORES[[#This Row],[AVANCE 1°. TRIM]]/TABLA_AVANCE_INDICADORES[[#This Row],[PROGR. 1° TRIM]])*100,"0")</f>
        <v>0</v>
      </c>
      <c r="Z75"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75" s="104">
        <v>0</v>
      </c>
      <c r="AB75" s="105">
        <v>0</v>
      </c>
      <c r="AC75" s="27" t="str">
        <f t="shared" si="2"/>
        <v>0</v>
      </c>
      <c r="AD75" s="26" t="str">
        <f t="shared" si="3"/>
        <v>NO PROG.</v>
      </c>
      <c r="AE75" s="104">
        <v>0</v>
      </c>
      <c r="AF75" s="105">
        <v>0</v>
      </c>
      <c r="AG75" s="27" t="str">
        <f>IFERROR((TABLA_AVANCE_INDICADORES[[#This Row],[AVANCE 3°. TRIM]]/TABLA_AVANCE_INDICADORES[[#This Row],[PROGR. 3° TRIM]])*100,"0")</f>
        <v>0</v>
      </c>
      <c r="AH75"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75" s="104">
        <v>516981571</v>
      </c>
      <c r="AJ75" s="111">
        <v>516981571</v>
      </c>
      <c r="AK75" s="27">
        <f>IFERROR((TABLA_AVANCE_INDICADORES[[#This Row],[AVANCE 4°. TRIM]]/TABLA_AVANCE_INDICADORES[[#This Row],[PROGR. 4° TRIM]])*100,"0")</f>
        <v>100</v>
      </c>
      <c r="AL75"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75"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75"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75" s="27" t="str">
        <f>IFERROR((TABLA_AVANCE_INDICADORES[[#This Row],[AVANCE ACUM. TRIM.]]/TABLA_AVANCE_INDICADORES[[#This Row],[PROG. ACUM]])*100,"N/A")</f>
        <v>N/A</v>
      </c>
      <c r="AP75"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75" s="106">
        <f>TABLA_AVANCE_INDICADORES[[#This Row],[AVANCE ACUM. TRIM.]]-TABLA_AVANCE_INDICADORES[[#This Row],[PROG. ACUM]]</f>
        <v>0</v>
      </c>
      <c r="AR75" s="32" t="str">
        <f>IFERROR((TABLA_AVANCE_INDICADORES[[#This Row],[DIFERENCIA ABSOLUTA SEMESTRAL]]/TABLA_AVANCE_INDICADORES[[#This Row],[PROG. ACUM]])*100,"N/A")</f>
        <v>N/A</v>
      </c>
      <c r="AS75"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75" s="27">
        <f>IFERROR((TABLA_AVANCE_INDICADORES[[#This Row],[AVANCE ACUM. ANUAL]]/TABLA_AVANCE_INDICADORES[[#This Row],[PROGRAMADO ANUAL]])*100,"N/A")</f>
        <v>0</v>
      </c>
      <c r="AU75"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75" s="106">
        <f>TABLA_AVANCE_INDICADORES[[#This Row],[AVANCE ACUM. ANUAL]]-TABLA_AVANCE_INDICADORES[[#This Row],[PROGRAMADO ANUAL]]</f>
        <v>-516981571</v>
      </c>
      <c r="AW75" s="32">
        <f>IFERROR((TABLA_AVANCE_INDICADORES[[#This Row],[DIFERENCIA ABSOLUTA ANUAL]]/TABLA_AVANCE_INDICADORES[[#This Row],[PROGRAMADO ANUAL]])*100,"N/A")</f>
        <v>-100</v>
      </c>
      <c r="AX75" s="108"/>
      <c r="AY75" s="35"/>
      <c r="AZ75" s="36"/>
      <c r="BA75" s="36"/>
      <c r="BB75"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76" spans="1:54" ht="63" hidden="1" customHeight="1" x14ac:dyDescent="0.35">
      <c r="A76" s="19" t="s">
        <v>985</v>
      </c>
      <c r="B76" s="99" t="s">
        <v>275</v>
      </c>
      <c r="C76" s="20" t="s">
        <v>213</v>
      </c>
      <c r="D76" s="100" t="s">
        <v>214</v>
      </c>
      <c r="E76" s="20" t="s">
        <v>276</v>
      </c>
      <c r="F76" s="101" t="s">
        <v>277</v>
      </c>
      <c r="G76" s="80" t="s">
        <v>278</v>
      </c>
      <c r="H76" s="80" t="s">
        <v>971</v>
      </c>
      <c r="I76" s="22" t="s">
        <v>722</v>
      </c>
      <c r="J76" s="22" t="s">
        <v>279</v>
      </c>
      <c r="K76" s="80" t="s">
        <v>280</v>
      </c>
      <c r="L76" s="22" t="s">
        <v>281</v>
      </c>
      <c r="M76" s="80" t="s">
        <v>282</v>
      </c>
      <c r="N76" s="21">
        <v>1</v>
      </c>
      <c r="O76" s="21" t="s">
        <v>742</v>
      </c>
      <c r="P76" s="102" t="s">
        <v>986</v>
      </c>
      <c r="Q76" s="102" t="s">
        <v>987</v>
      </c>
      <c r="R76" s="102" t="s">
        <v>988</v>
      </c>
      <c r="S76" s="42" t="s">
        <v>989</v>
      </c>
      <c r="T76" s="42" t="s">
        <v>727</v>
      </c>
      <c r="U76" s="42" t="s">
        <v>754</v>
      </c>
      <c r="V76" s="24">
        <v>714968761</v>
      </c>
      <c r="W76" s="24">
        <v>277802255</v>
      </c>
      <c r="X76" s="103">
        <v>258283259.86000001</v>
      </c>
      <c r="Y76" s="25">
        <f>IFERROR((TABLA_AVANCE_INDICADORES[[#This Row],[AVANCE 1°. TRIM]]/TABLA_AVANCE_INDICADORES[[#This Row],[PROGR. 1° TRIM]])*100,"0")</f>
        <v>92.973780885975899</v>
      </c>
      <c r="Z76"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76" s="104">
        <v>154848675</v>
      </c>
      <c r="AB76" s="105">
        <v>159316001</v>
      </c>
      <c r="AC76" s="27">
        <f t="shared" si="2"/>
        <v>102.88496236729181</v>
      </c>
      <c r="AD76" s="26" t="str">
        <f t="shared" si="3"/>
        <v>ADECUADO</v>
      </c>
      <c r="AE76" s="104">
        <v>112497870</v>
      </c>
      <c r="AF76" s="105">
        <v>0</v>
      </c>
      <c r="AG76" s="27">
        <f>IFERROR((TABLA_AVANCE_INDICADORES[[#This Row],[AVANCE 3°. TRIM]]/TABLA_AVANCE_INDICADORES[[#This Row],[PROGR. 3° TRIM]])*100,"0")</f>
        <v>0</v>
      </c>
      <c r="AH76"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76" s="104">
        <v>169819961</v>
      </c>
      <c r="AJ76" s="105">
        <v>0</v>
      </c>
      <c r="AK76" s="27">
        <f>IFERROR((TABLA_AVANCE_INDICADORES[[#This Row],[AVANCE 4°. TRIM]]/TABLA_AVANCE_INDICADORES[[#This Row],[PROGR. 4° TRIM]])*100,"0")</f>
        <v>0</v>
      </c>
      <c r="AL76"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76"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432650930</v>
      </c>
      <c r="AN76"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417599260.86000001</v>
      </c>
      <c r="AO76" s="27">
        <f>IFERROR((TABLA_AVANCE_INDICADORES[[#This Row],[AVANCE ACUM. TRIM.]]/TABLA_AVANCE_INDICADORES[[#This Row],[PROG. ACUM]])*100,"N/A")</f>
        <v>96.5210593352937</v>
      </c>
      <c r="AP76"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76" s="106">
        <f>TABLA_AVANCE_INDICADORES[[#This Row],[AVANCE ACUM. TRIM.]]-TABLA_AVANCE_INDICADORES[[#This Row],[PROG. ACUM]]</f>
        <v>-15051669.139999986</v>
      </c>
      <c r="AR76" s="32">
        <f>IFERROR((TABLA_AVANCE_INDICADORES[[#This Row],[DIFERENCIA ABSOLUTA SEMESTRAL]]/TABLA_AVANCE_INDICADORES[[#This Row],[PROG. ACUM]])*100,"N/A")</f>
        <v>-3.4789406647062995</v>
      </c>
      <c r="AS76"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417599260.86000001</v>
      </c>
      <c r="AT76" s="27">
        <f>IFERROR((TABLA_AVANCE_INDICADORES[[#This Row],[AVANCE ACUM. ANUAL]]/TABLA_AVANCE_INDICADORES[[#This Row],[PROGRAMADO ANUAL]])*100,"N/A")</f>
        <v>58.408042929864457</v>
      </c>
      <c r="AU76"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76" s="106">
        <f>TABLA_AVANCE_INDICADORES[[#This Row],[AVANCE ACUM. ANUAL]]-TABLA_AVANCE_INDICADORES[[#This Row],[PROGRAMADO ANUAL]]</f>
        <v>-297369500.13999999</v>
      </c>
      <c r="AW76" s="32">
        <f>IFERROR((TABLA_AVANCE_INDICADORES[[#This Row],[DIFERENCIA ABSOLUTA ANUAL]]/TABLA_AVANCE_INDICADORES[[#This Row],[PROGRAMADO ANUAL]])*100,"N/A")</f>
        <v>-41.591957070135543</v>
      </c>
      <c r="AX76" s="108" t="e">
        <v>#N/A</v>
      </c>
      <c r="AY76" s="35"/>
      <c r="AZ76" s="36"/>
      <c r="BA76" s="36"/>
      <c r="BB76"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77" spans="1:54" ht="63" hidden="1" customHeight="1" x14ac:dyDescent="0.35">
      <c r="A77" s="19" t="s">
        <v>990</v>
      </c>
      <c r="B77" s="99" t="s">
        <v>275</v>
      </c>
      <c r="C77" s="20" t="s">
        <v>213</v>
      </c>
      <c r="D77" s="100" t="s">
        <v>214</v>
      </c>
      <c r="E77" s="20" t="s">
        <v>276</v>
      </c>
      <c r="F77" s="101" t="s">
        <v>277</v>
      </c>
      <c r="G77" s="80" t="s">
        <v>278</v>
      </c>
      <c r="H77" s="80" t="s">
        <v>971</v>
      </c>
      <c r="I77" s="22" t="s">
        <v>722</v>
      </c>
      <c r="J77" s="22" t="s">
        <v>279</v>
      </c>
      <c r="K77" s="80" t="s">
        <v>280</v>
      </c>
      <c r="L77" s="22" t="s">
        <v>281</v>
      </c>
      <c r="M77" s="80" t="s">
        <v>282</v>
      </c>
      <c r="N77" s="21">
        <v>2</v>
      </c>
      <c r="O77" s="21" t="s">
        <v>742</v>
      </c>
      <c r="P77" s="102" t="s">
        <v>986</v>
      </c>
      <c r="Q77" s="102" t="s">
        <v>991</v>
      </c>
      <c r="R77" s="102" t="s">
        <v>988</v>
      </c>
      <c r="S77" s="42" t="s">
        <v>989</v>
      </c>
      <c r="T77" s="42" t="s">
        <v>727</v>
      </c>
      <c r="U77" s="42" t="s">
        <v>754</v>
      </c>
      <c r="V77" s="24">
        <v>259346972</v>
      </c>
      <c r="W77" s="24">
        <v>142791191</v>
      </c>
      <c r="X77" s="127">
        <v>208727851</v>
      </c>
      <c r="Y77" s="25">
        <f>IFERROR((TABLA_AVANCE_INDICADORES[[#This Row],[AVANCE 1°. TRIM]]/TABLA_AVANCE_INDICADORES[[#This Row],[PROGR. 1° TRIM]])*100,"0")</f>
        <v>146.17698020321154</v>
      </c>
      <c r="Z77"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SOBREPASADO</v>
      </c>
      <c r="AA77" s="104">
        <v>38851927</v>
      </c>
      <c r="AB77" s="111">
        <v>24862055.550000001</v>
      </c>
      <c r="AC77" s="27">
        <f t="shared" si="2"/>
        <v>63.991820920491286</v>
      </c>
      <c r="AD77" s="26" t="str">
        <f t="shared" si="3"/>
        <v>DEFICIENTE</v>
      </c>
      <c r="AE77" s="104">
        <v>38851927</v>
      </c>
      <c r="AF77" s="111">
        <v>69056770</v>
      </c>
      <c r="AG77" s="27">
        <f>IFERROR((TABLA_AVANCE_INDICADORES[[#This Row],[AVANCE 3°. TRIM]]/TABLA_AVANCE_INDICADORES[[#This Row],[PROGR. 3° TRIM]])*100,"0")</f>
        <v>177.74348747232023</v>
      </c>
      <c r="AH77"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SOBREPASADO</v>
      </c>
      <c r="AI77" s="104">
        <v>38851927</v>
      </c>
      <c r="AJ77" s="111">
        <v>142791191</v>
      </c>
      <c r="AK77" s="27">
        <f>IFERROR((TABLA_AVANCE_INDICADORES[[#This Row],[AVANCE 4°. TRIM]]/TABLA_AVANCE_INDICADORES[[#This Row],[PROGR. 4° TRIM]])*100,"0")</f>
        <v>367.52666347797884</v>
      </c>
      <c r="AL77"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SOBREPASADO</v>
      </c>
      <c r="AM77"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181643118</v>
      </c>
      <c r="AN77"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233589906.55000001</v>
      </c>
      <c r="AO77" s="27">
        <f>IFERROR((TABLA_AVANCE_INDICADORES[[#This Row],[AVANCE ACUM. TRIM.]]/TABLA_AVANCE_INDICADORES[[#This Row],[PROG. ACUM]])*100,"N/A")</f>
        <v>128.59826957495852</v>
      </c>
      <c r="AP77"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SOBREPASADO</v>
      </c>
      <c r="AQ77" s="106">
        <f>TABLA_AVANCE_INDICADORES[[#This Row],[AVANCE ACUM. TRIM.]]-TABLA_AVANCE_INDICADORES[[#This Row],[PROG. ACUM]]</f>
        <v>51946788.550000012</v>
      </c>
      <c r="AR77" s="32">
        <f>IFERROR((TABLA_AVANCE_INDICADORES[[#This Row],[DIFERENCIA ABSOLUTA SEMESTRAL]]/TABLA_AVANCE_INDICADORES[[#This Row],[PROG. ACUM]])*100,"N/A")</f>
        <v>28.598269574958522</v>
      </c>
      <c r="AS77"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233589906.55000001</v>
      </c>
      <c r="AT77" s="27">
        <f>IFERROR((TABLA_AVANCE_INDICADORES[[#This Row],[AVANCE ACUM. ANUAL]]/TABLA_AVANCE_INDICADORES[[#This Row],[PROGRAMADO ANUAL]])*100,"N/A")</f>
        <v>90.068491931342081</v>
      </c>
      <c r="AU77"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ADECUADO</v>
      </c>
      <c r="AV77" s="106">
        <f>TABLA_AVANCE_INDICADORES[[#This Row],[AVANCE ACUM. ANUAL]]-TABLA_AVANCE_INDICADORES[[#This Row],[PROGRAMADO ANUAL]]</f>
        <v>-25757065.449999988</v>
      </c>
      <c r="AW77" s="32">
        <f>IFERROR((TABLA_AVANCE_INDICADORES[[#This Row],[DIFERENCIA ABSOLUTA ANUAL]]/TABLA_AVANCE_INDICADORES[[#This Row],[PROGRAMADO ANUAL]])*100,"N/A")</f>
        <v>-9.9315080686579176</v>
      </c>
      <c r="AX77" s="108" t="e">
        <v>#N/A</v>
      </c>
      <c r="AY77" s="35"/>
      <c r="AZ77" s="36"/>
      <c r="BA77" s="36"/>
      <c r="BB77"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78" spans="1:54" ht="63" hidden="1" customHeight="1" x14ac:dyDescent="0.35">
      <c r="A78" s="19" t="s">
        <v>992</v>
      </c>
      <c r="B78" s="99" t="s">
        <v>275</v>
      </c>
      <c r="C78" s="20" t="s">
        <v>213</v>
      </c>
      <c r="D78" s="100" t="s">
        <v>214</v>
      </c>
      <c r="E78" s="20" t="s">
        <v>276</v>
      </c>
      <c r="F78" s="101" t="s">
        <v>277</v>
      </c>
      <c r="G78" s="80" t="s">
        <v>278</v>
      </c>
      <c r="H78" s="80" t="s">
        <v>971</v>
      </c>
      <c r="I78" s="22" t="s">
        <v>722</v>
      </c>
      <c r="J78" s="22" t="s">
        <v>279</v>
      </c>
      <c r="K78" s="80" t="s">
        <v>280</v>
      </c>
      <c r="L78" s="22" t="s">
        <v>281</v>
      </c>
      <c r="M78" s="80" t="s">
        <v>282</v>
      </c>
      <c r="N78" s="21">
        <v>1</v>
      </c>
      <c r="O78" s="21" t="s">
        <v>785</v>
      </c>
      <c r="P78" s="102" t="s">
        <v>993</v>
      </c>
      <c r="Q78" s="102" t="s">
        <v>994</v>
      </c>
      <c r="R78" s="102" t="s">
        <v>995</v>
      </c>
      <c r="S78" s="42" t="s">
        <v>975</v>
      </c>
      <c r="T78" s="42" t="s">
        <v>727</v>
      </c>
      <c r="U78" s="42" t="s">
        <v>754</v>
      </c>
      <c r="V78" s="24">
        <v>35372896</v>
      </c>
      <c r="W78" s="24">
        <v>5962408</v>
      </c>
      <c r="X78" s="103">
        <v>7812485</v>
      </c>
      <c r="Y78" s="25">
        <f>IFERROR((TABLA_AVANCE_INDICADORES[[#This Row],[AVANCE 1°. TRIM]]/TABLA_AVANCE_INDICADORES[[#This Row],[PROGR. 1° TRIM]])*100,"0")</f>
        <v>131.02902384405763</v>
      </c>
      <c r="Z78"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SOBREPASADO</v>
      </c>
      <c r="AA78" s="104">
        <v>8800000</v>
      </c>
      <c r="AB78" s="105">
        <v>11313052</v>
      </c>
      <c r="AC78" s="27">
        <f t="shared" si="2"/>
        <v>128.55740909090909</v>
      </c>
      <c r="AD78" s="26" t="str">
        <f t="shared" si="3"/>
        <v>SOBREPASADO</v>
      </c>
      <c r="AE78" s="104">
        <v>8000000</v>
      </c>
      <c r="AF78" s="105">
        <v>0</v>
      </c>
      <c r="AG78" s="27">
        <f>IFERROR((TABLA_AVANCE_INDICADORES[[#This Row],[AVANCE 3°. TRIM]]/TABLA_AVANCE_INDICADORES[[#This Row],[PROGR. 3° TRIM]])*100,"0")</f>
        <v>0</v>
      </c>
      <c r="AH78"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78" s="104">
        <v>12610488</v>
      </c>
      <c r="AJ78" s="105">
        <v>0</v>
      </c>
      <c r="AK78" s="27">
        <f>IFERROR((TABLA_AVANCE_INDICADORES[[#This Row],[AVANCE 4°. TRIM]]/TABLA_AVANCE_INDICADORES[[#This Row],[PROGR. 4° TRIM]])*100,"0")</f>
        <v>0</v>
      </c>
      <c r="AL78"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78"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14762408</v>
      </c>
      <c r="AN78"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19125537</v>
      </c>
      <c r="AO78" s="27">
        <f>IFERROR((TABLA_AVANCE_INDICADORES[[#This Row],[AVANCE ACUM. TRIM.]]/TABLA_AVANCE_INDICADORES[[#This Row],[PROG. ACUM]])*100,"N/A")</f>
        <v>129.55567276016217</v>
      </c>
      <c r="AP78"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SOBREPASADO</v>
      </c>
      <c r="AQ78" s="106">
        <f>TABLA_AVANCE_INDICADORES[[#This Row],[AVANCE ACUM. TRIM.]]-TABLA_AVANCE_INDICADORES[[#This Row],[PROG. ACUM]]</f>
        <v>4363129</v>
      </c>
      <c r="AR78" s="32">
        <f>IFERROR((TABLA_AVANCE_INDICADORES[[#This Row],[DIFERENCIA ABSOLUTA SEMESTRAL]]/TABLA_AVANCE_INDICADORES[[#This Row],[PROG. ACUM]])*100,"N/A")</f>
        <v>29.55567276016216</v>
      </c>
      <c r="AS78"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19125537</v>
      </c>
      <c r="AT78" s="27">
        <f>IFERROR((TABLA_AVANCE_INDICADORES[[#This Row],[AVANCE ACUM. ANUAL]]/TABLA_AVANCE_INDICADORES[[#This Row],[PROGRAMADO ANUAL]])*100,"N/A")</f>
        <v>54.068338085747911</v>
      </c>
      <c r="AU78"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78" s="106">
        <f>TABLA_AVANCE_INDICADORES[[#This Row],[AVANCE ACUM. ANUAL]]-TABLA_AVANCE_INDICADORES[[#This Row],[PROGRAMADO ANUAL]]</f>
        <v>-16247359</v>
      </c>
      <c r="AW78" s="32">
        <f>IFERROR((TABLA_AVANCE_INDICADORES[[#This Row],[DIFERENCIA ABSOLUTA ANUAL]]/TABLA_AVANCE_INDICADORES[[#This Row],[PROGRAMADO ANUAL]])*100,"N/A")</f>
        <v>-45.931661914252089</v>
      </c>
      <c r="AX78" s="108" t="e">
        <v>#N/A</v>
      </c>
      <c r="AY78" s="35"/>
      <c r="AZ78" s="36"/>
      <c r="BA78" s="36"/>
      <c r="BB78"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79" spans="1:54" ht="63" hidden="1" customHeight="1" x14ac:dyDescent="0.35">
      <c r="A79" s="19" t="s">
        <v>996</v>
      </c>
      <c r="B79" s="99" t="s">
        <v>275</v>
      </c>
      <c r="C79" s="20" t="s">
        <v>213</v>
      </c>
      <c r="D79" s="100" t="s">
        <v>214</v>
      </c>
      <c r="E79" s="20" t="s">
        <v>276</v>
      </c>
      <c r="F79" s="101" t="s">
        <v>277</v>
      </c>
      <c r="G79" s="80" t="s">
        <v>278</v>
      </c>
      <c r="H79" s="80" t="s">
        <v>971</v>
      </c>
      <c r="I79" s="22" t="s">
        <v>722</v>
      </c>
      <c r="J79" s="22" t="s">
        <v>279</v>
      </c>
      <c r="K79" s="80" t="s">
        <v>280</v>
      </c>
      <c r="L79" s="22" t="s">
        <v>281</v>
      </c>
      <c r="M79" s="80" t="s">
        <v>282</v>
      </c>
      <c r="N79" s="21">
        <v>2</v>
      </c>
      <c r="O79" s="21" t="s">
        <v>785</v>
      </c>
      <c r="P79" s="102" t="s">
        <v>993</v>
      </c>
      <c r="Q79" s="102" t="s">
        <v>997</v>
      </c>
      <c r="R79" s="102" t="s">
        <v>995</v>
      </c>
      <c r="S79" s="42" t="s">
        <v>975</v>
      </c>
      <c r="T79" s="42" t="s">
        <v>727</v>
      </c>
      <c r="U79" s="42" t="s">
        <v>754</v>
      </c>
      <c r="V79" s="24">
        <v>13373342</v>
      </c>
      <c r="W79" s="24">
        <v>10323428</v>
      </c>
      <c r="X79" s="127">
        <v>10323428</v>
      </c>
      <c r="Y79" s="25">
        <f>IFERROR((TABLA_AVANCE_INDICADORES[[#This Row],[AVANCE 1°. TRIM]]/TABLA_AVANCE_INDICADORES[[#This Row],[PROGR. 1° TRIM]])*100,"0")</f>
        <v>100</v>
      </c>
      <c r="Z79"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79" s="104">
        <v>1016638</v>
      </c>
      <c r="AB79" s="128">
        <v>7812485</v>
      </c>
      <c r="AC79" s="27">
        <f t="shared" si="2"/>
        <v>768.4628156728354</v>
      </c>
      <c r="AD79" s="26" t="str">
        <f t="shared" si="3"/>
        <v>SOBREPASADO</v>
      </c>
      <c r="AE79" s="104">
        <v>1016638</v>
      </c>
      <c r="AF79" s="128">
        <f>AB78</f>
        <v>11313052</v>
      </c>
      <c r="AG79" s="27">
        <f>IFERROR((TABLA_AVANCE_INDICADORES[[#This Row],[AVANCE 3°. TRIM]]/TABLA_AVANCE_INDICADORES[[#This Row],[PROGR. 3° TRIM]])*100,"0")</f>
        <v>1112.7905901609029</v>
      </c>
      <c r="AH79"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SOBREPASADO</v>
      </c>
      <c r="AI79" s="104">
        <v>1016638</v>
      </c>
      <c r="AJ79" s="128">
        <f>AF78</f>
        <v>0</v>
      </c>
      <c r="AK79" s="27">
        <f>IFERROR((TABLA_AVANCE_INDICADORES[[#This Row],[AVANCE 4°. TRIM]]/TABLA_AVANCE_INDICADORES[[#This Row],[PROGR. 4° TRIM]])*100,"0")</f>
        <v>0</v>
      </c>
      <c r="AL79"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79"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11340066</v>
      </c>
      <c r="AN79"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18135913</v>
      </c>
      <c r="AO79" s="27">
        <f>IFERROR((TABLA_AVANCE_INDICADORES[[#This Row],[AVANCE ACUM. TRIM.]]/TABLA_AVANCE_INDICADORES[[#This Row],[PROG. ACUM]])*100,"N/A")</f>
        <v>159.92775527056017</v>
      </c>
      <c r="AP79"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SOBREPASADO</v>
      </c>
      <c r="AQ79" s="106">
        <f>TABLA_AVANCE_INDICADORES[[#This Row],[AVANCE ACUM. TRIM.]]-TABLA_AVANCE_INDICADORES[[#This Row],[PROG. ACUM]]</f>
        <v>6795847</v>
      </c>
      <c r="AR79" s="32">
        <f>IFERROR((TABLA_AVANCE_INDICADORES[[#This Row],[DIFERENCIA ABSOLUTA SEMESTRAL]]/TABLA_AVANCE_INDICADORES[[#This Row],[PROG. ACUM]])*100,"N/A")</f>
        <v>59.927755270560155</v>
      </c>
      <c r="AS79"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18135913</v>
      </c>
      <c r="AT79" s="27">
        <f>IFERROR((TABLA_AVANCE_INDICADORES[[#This Row],[AVANCE ACUM. ANUAL]]/TABLA_AVANCE_INDICADORES[[#This Row],[PROGRAMADO ANUAL]])*100,"N/A")</f>
        <v>135.61242208566864</v>
      </c>
      <c r="AU79"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SOBREPASADO</v>
      </c>
      <c r="AV79" s="106">
        <f>TABLA_AVANCE_INDICADORES[[#This Row],[AVANCE ACUM. ANUAL]]-TABLA_AVANCE_INDICADORES[[#This Row],[PROGRAMADO ANUAL]]</f>
        <v>4762571</v>
      </c>
      <c r="AW79" s="32">
        <f>IFERROR((TABLA_AVANCE_INDICADORES[[#This Row],[DIFERENCIA ABSOLUTA ANUAL]]/TABLA_AVANCE_INDICADORES[[#This Row],[PROGRAMADO ANUAL]])*100,"N/A")</f>
        <v>35.612422085668641</v>
      </c>
      <c r="AX79" s="108" t="e">
        <v>#N/A</v>
      </c>
      <c r="AY79" s="35"/>
      <c r="AZ79" s="36"/>
      <c r="BA79" s="36"/>
      <c r="BB79"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80" spans="1:54" ht="63" hidden="1" customHeight="1" x14ac:dyDescent="0.35">
      <c r="A80" s="19" t="s">
        <v>998</v>
      </c>
      <c r="B80" s="99" t="s">
        <v>386</v>
      </c>
      <c r="C80" s="20" t="s">
        <v>366</v>
      </c>
      <c r="D80" s="100" t="s">
        <v>367</v>
      </c>
      <c r="E80" s="20" t="s">
        <v>387</v>
      </c>
      <c r="F80" s="101" t="s">
        <v>388</v>
      </c>
      <c r="G80" s="80" t="s">
        <v>389</v>
      </c>
      <c r="H80" s="80" t="s">
        <v>999</v>
      </c>
      <c r="I80" s="22" t="s">
        <v>722</v>
      </c>
      <c r="J80" s="22" t="s">
        <v>279</v>
      </c>
      <c r="K80" s="80" t="s">
        <v>280</v>
      </c>
      <c r="L80" s="22" t="s">
        <v>281</v>
      </c>
      <c r="M80" s="80" t="s">
        <v>282</v>
      </c>
      <c r="N80" s="21">
        <v>1</v>
      </c>
      <c r="O80" s="21" t="s">
        <v>750</v>
      </c>
      <c r="P80" s="102" t="s">
        <v>1000</v>
      </c>
      <c r="Q80" s="102" t="s">
        <v>1001</v>
      </c>
      <c r="R80" s="102" t="s">
        <v>1002</v>
      </c>
      <c r="S80" s="42" t="s">
        <v>1003</v>
      </c>
      <c r="T80" s="42" t="s">
        <v>727</v>
      </c>
      <c r="U80" s="42" t="s">
        <v>746</v>
      </c>
      <c r="V80" s="24">
        <v>3600</v>
      </c>
      <c r="W80" s="24">
        <v>0</v>
      </c>
      <c r="X80" s="103">
        <v>0</v>
      </c>
      <c r="Y80" s="25" t="str">
        <f>IFERROR((TABLA_AVANCE_INDICADORES[[#This Row],[AVANCE 1°. TRIM]]/TABLA_AVANCE_INDICADORES[[#This Row],[PROGR. 1° TRIM]])*100,"0")</f>
        <v>0</v>
      </c>
      <c r="Z80"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80" s="104">
        <v>1800</v>
      </c>
      <c r="AB80" s="105">
        <v>1771</v>
      </c>
      <c r="AC80" s="27">
        <f t="shared" si="2"/>
        <v>98.388888888888886</v>
      </c>
      <c r="AD80" s="26" t="str">
        <f t="shared" si="3"/>
        <v>ADECUADO</v>
      </c>
      <c r="AE80" s="104">
        <v>0</v>
      </c>
      <c r="AF80" s="105">
        <v>0</v>
      </c>
      <c r="AG80" s="27" t="str">
        <f>IFERROR((TABLA_AVANCE_INDICADORES[[#This Row],[AVANCE 3°. TRIM]]/TABLA_AVANCE_INDICADORES[[#This Row],[PROGR. 3° TRIM]])*100,"0")</f>
        <v>0</v>
      </c>
      <c r="AH80"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80" s="104">
        <v>1800</v>
      </c>
      <c r="AJ80" s="105">
        <v>0</v>
      </c>
      <c r="AK80" s="27">
        <f>IFERROR((TABLA_AVANCE_INDICADORES[[#This Row],[AVANCE 4°. TRIM]]/TABLA_AVANCE_INDICADORES[[#This Row],[PROGR. 4° TRIM]])*100,"0")</f>
        <v>0</v>
      </c>
      <c r="AL80"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80"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1800</v>
      </c>
      <c r="AN80"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1771</v>
      </c>
      <c r="AO80" s="27">
        <f>IFERROR((TABLA_AVANCE_INDICADORES[[#This Row],[AVANCE ACUM. TRIM.]]/TABLA_AVANCE_INDICADORES[[#This Row],[PROG. ACUM]])*100,"N/A")</f>
        <v>98.388888888888886</v>
      </c>
      <c r="AP80"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80" s="106">
        <f>TABLA_AVANCE_INDICADORES[[#This Row],[AVANCE ACUM. TRIM.]]-TABLA_AVANCE_INDICADORES[[#This Row],[PROG. ACUM]]</f>
        <v>-29</v>
      </c>
      <c r="AR80" s="32">
        <f>IFERROR((TABLA_AVANCE_INDICADORES[[#This Row],[DIFERENCIA ABSOLUTA SEMESTRAL]]/TABLA_AVANCE_INDICADORES[[#This Row],[PROG. ACUM]])*100,"N/A")</f>
        <v>-1.6111111111111112</v>
      </c>
      <c r="AS80"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1771</v>
      </c>
      <c r="AT80" s="27">
        <f>IFERROR((TABLA_AVANCE_INDICADORES[[#This Row],[AVANCE ACUM. ANUAL]]/TABLA_AVANCE_INDICADORES[[#This Row],[PROGRAMADO ANUAL]])*100,"N/A")</f>
        <v>49.194444444444443</v>
      </c>
      <c r="AU80"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80" s="106">
        <f>TABLA_AVANCE_INDICADORES[[#This Row],[AVANCE ACUM. ANUAL]]-TABLA_AVANCE_INDICADORES[[#This Row],[PROGRAMADO ANUAL]]</f>
        <v>-1829</v>
      </c>
      <c r="AW80" s="32">
        <f>IFERROR((TABLA_AVANCE_INDICADORES[[#This Row],[DIFERENCIA ABSOLUTA ANUAL]]/TABLA_AVANCE_INDICADORES[[#This Row],[PROGRAMADO ANUAL]])*100,"N/A")</f>
        <v>-50.805555555555557</v>
      </c>
      <c r="AX80" s="108" t="s">
        <v>1004</v>
      </c>
      <c r="AY80" s="35"/>
      <c r="AZ80" s="36"/>
      <c r="BA80" s="36"/>
      <c r="BB80"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81" spans="1:54" ht="63" hidden="1" customHeight="1" x14ac:dyDescent="0.35">
      <c r="A81" s="19" t="s">
        <v>1005</v>
      </c>
      <c r="B81" s="99" t="s">
        <v>386</v>
      </c>
      <c r="C81" s="20" t="s">
        <v>366</v>
      </c>
      <c r="D81" s="100" t="s">
        <v>367</v>
      </c>
      <c r="E81" s="20" t="s">
        <v>387</v>
      </c>
      <c r="F81" s="101" t="s">
        <v>388</v>
      </c>
      <c r="G81" s="80" t="s">
        <v>389</v>
      </c>
      <c r="H81" s="80" t="s">
        <v>999</v>
      </c>
      <c r="I81" s="22" t="s">
        <v>722</v>
      </c>
      <c r="J81" s="22" t="s">
        <v>279</v>
      </c>
      <c r="K81" s="80" t="s">
        <v>280</v>
      </c>
      <c r="L81" s="22" t="s">
        <v>281</v>
      </c>
      <c r="M81" s="80" t="s">
        <v>282</v>
      </c>
      <c r="N81" s="21">
        <v>2</v>
      </c>
      <c r="O81" s="21" t="s">
        <v>750</v>
      </c>
      <c r="P81" s="102" t="s">
        <v>1000</v>
      </c>
      <c r="Q81" s="102" t="s">
        <v>1006</v>
      </c>
      <c r="R81" s="102" t="s">
        <v>1002</v>
      </c>
      <c r="S81" s="42" t="s">
        <v>1003</v>
      </c>
      <c r="T81" s="42" t="s">
        <v>727</v>
      </c>
      <c r="U81" s="42" t="s">
        <v>746</v>
      </c>
      <c r="V81" s="24">
        <v>2694</v>
      </c>
      <c r="W81" s="24">
        <v>0</v>
      </c>
      <c r="X81" s="103">
        <v>0</v>
      </c>
      <c r="Y81" s="25" t="str">
        <f>IFERROR((TABLA_AVANCE_INDICADORES[[#This Row],[AVANCE 1°. TRIM]]/TABLA_AVANCE_INDICADORES[[#This Row],[PROGR. 1° TRIM]])*100,"0")</f>
        <v>0</v>
      </c>
      <c r="Z81"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81" s="104">
        <v>894</v>
      </c>
      <c r="AB81" s="111">
        <v>894</v>
      </c>
      <c r="AC81" s="27">
        <f t="shared" si="2"/>
        <v>100</v>
      </c>
      <c r="AD81" s="26" t="str">
        <f t="shared" si="3"/>
        <v>ADECUADO</v>
      </c>
      <c r="AE81" s="104">
        <v>0</v>
      </c>
      <c r="AF81" s="105">
        <v>0</v>
      </c>
      <c r="AG81" s="27" t="str">
        <f>IFERROR((TABLA_AVANCE_INDICADORES[[#This Row],[AVANCE 3°. TRIM]]/TABLA_AVANCE_INDICADORES[[#This Row],[PROGR. 3° TRIM]])*100,"0")</f>
        <v>0</v>
      </c>
      <c r="AH81"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81" s="104">
        <v>1800</v>
      </c>
      <c r="AJ81" s="111">
        <f>AB80</f>
        <v>1771</v>
      </c>
      <c r="AK81" s="27">
        <f>IFERROR((TABLA_AVANCE_INDICADORES[[#This Row],[AVANCE 4°. TRIM]]/TABLA_AVANCE_INDICADORES[[#This Row],[PROGR. 4° TRIM]])*100,"0")</f>
        <v>98.388888888888886</v>
      </c>
      <c r="AL81"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81"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894</v>
      </c>
      <c r="AN81"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894</v>
      </c>
      <c r="AO81" s="27">
        <f>IFERROR((TABLA_AVANCE_INDICADORES[[#This Row],[AVANCE ACUM. TRIM.]]/TABLA_AVANCE_INDICADORES[[#This Row],[PROG. ACUM]])*100,"N/A")</f>
        <v>100</v>
      </c>
      <c r="AP81"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81" s="106">
        <f>TABLA_AVANCE_INDICADORES[[#This Row],[AVANCE ACUM. TRIM.]]-TABLA_AVANCE_INDICADORES[[#This Row],[PROG. ACUM]]</f>
        <v>0</v>
      </c>
      <c r="AR81" s="32">
        <f>IFERROR((TABLA_AVANCE_INDICADORES[[#This Row],[DIFERENCIA ABSOLUTA SEMESTRAL]]/TABLA_AVANCE_INDICADORES[[#This Row],[PROG. ACUM]])*100,"N/A")</f>
        <v>0</v>
      </c>
      <c r="AS81"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894</v>
      </c>
      <c r="AT81" s="27">
        <f>IFERROR((TABLA_AVANCE_INDICADORES[[#This Row],[AVANCE ACUM. ANUAL]]/TABLA_AVANCE_INDICADORES[[#This Row],[PROGRAMADO ANUAL]])*100,"N/A")</f>
        <v>33.184855233853007</v>
      </c>
      <c r="AU81"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81" s="106">
        <f>TABLA_AVANCE_INDICADORES[[#This Row],[AVANCE ACUM. ANUAL]]-TABLA_AVANCE_INDICADORES[[#This Row],[PROGRAMADO ANUAL]]</f>
        <v>-1800</v>
      </c>
      <c r="AW81" s="32">
        <f>IFERROR((TABLA_AVANCE_INDICADORES[[#This Row],[DIFERENCIA ABSOLUTA ANUAL]]/TABLA_AVANCE_INDICADORES[[#This Row],[PROGRAMADO ANUAL]])*100,"N/A")</f>
        <v>-66.815144766147</v>
      </c>
      <c r="AX81" s="108" t="s">
        <v>1007</v>
      </c>
      <c r="AY81" s="35"/>
      <c r="AZ81" s="36"/>
      <c r="BA81" s="36"/>
      <c r="BB81"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82" spans="1:54" ht="63" hidden="1" customHeight="1" x14ac:dyDescent="0.35">
      <c r="A82" s="19" t="s">
        <v>1008</v>
      </c>
      <c r="B82" s="99" t="s">
        <v>367</v>
      </c>
      <c r="C82" s="20" t="s">
        <v>366</v>
      </c>
      <c r="D82" s="100" t="s">
        <v>367</v>
      </c>
      <c r="E82" s="20" t="s">
        <v>379</v>
      </c>
      <c r="F82" s="101" t="s">
        <v>380</v>
      </c>
      <c r="G82" s="80" t="s">
        <v>381</v>
      </c>
      <c r="H82" s="80" t="s">
        <v>1009</v>
      </c>
      <c r="I82" s="22" t="s">
        <v>722</v>
      </c>
      <c r="J82" s="22" t="s">
        <v>279</v>
      </c>
      <c r="K82" s="80" t="s">
        <v>280</v>
      </c>
      <c r="L82" s="22" t="s">
        <v>281</v>
      </c>
      <c r="M82" s="80" t="s">
        <v>282</v>
      </c>
      <c r="N82" s="21">
        <v>1</v>
      </c>
      <c r="O82" s="21" t="s">
        <v>857</v>
      </c>
      <c r="P82" s="110" t="s">
        <v>1010</v>
      </c>
      <c r="Q82" s="110" t="s">
        <v>1011</v>
      </c>
      <c r="R82" s="110" t="s">
        <v>1012</v>
      </c>
      <c r="S82" s="22" t="s">
        <v>130</v>
      </c>
      <c r="T82" s="42" t="s">
        <v>727</v>
      </c>
      <c r="U82" s="22" t="s">
        <v>754</v>
      </c>
      <c r="V82" s="24">
        <v>2</v>
      </c>
      <c r="W82" s="24">
        <v>1</v>
      </c>
      <c r="X82" s="103">
        <v>1</v>
      </c>
      <c r="Y82" s="25">
        <f>IFERROR((TABLA_AVANCE_INDICADORES[[#This Row],[AVANCE 1°. TRIM]]/TABLA_AVANCE_INDICADORES[[#This Row],[PROGR. 1° TRIM]])*100,"0")</f>
        <v>100</v>
      </c>
      <c r="Z82"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82" s="104">
        <v>0</v>
      </c>
      <c r="AB82" s="105">
        <v>1</v>
      </c>
      <c r="AC82" s="27" t="str">
        <f t="shared" si="2"/>
        <v>0</v>
      </c>
      <c r="AD82" s="26" t="str">
        <f t="shared" si="3"/>
        <v>NO PROG.</v>
      </c>
      <c r="AE82" s="104">
        <v>1</v>
      </c>
      <c r="AF82" s="105">
        <v>0</v>
      </c>
      <c r="AG82" s="27">
        <f>IFERROR((TABLA_AVANCE_INDICADORES[[#This Row],[AVANCE 3°. TRIM]]/TABLA_AVANCE_INDICADORES[[#This Row],[PROGR. 3° TRIM]])*100,"0")</f>
        <v>0</v>
      </c>
      <c r="AH82"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82" s="104">
        <v>0</v>
      </c>
      <c r="AJ82" s="105">
        <v>0</v>
      </c>
      <c r="AK82" s="27" t="str">
        <f>IFERROR((TABLA_AVANCE_INDICADORES[[#This Row],[AVANCE 4°. TRIM]]/TABLA_AVANCE_INDICADORES[[#This Row],[PROGR. 4° TRIM]])*100,"0")</f>
        <v>0</v>
      </c>
      <c r="AL82"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NO PROG.</v>
      </c>
      <c r="AM82"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v>
      </c>
      <c r="AN82"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O82" s="27">
        <f>IFERROR((TABLA_AVANCE_INDICADORES[[#This Row],[AVANCE ACUM. TRIM.]]/TABLA_AVANCE_INDICADORES[[#This Row],[PROG. ACUM]])*100,"N/A")</f>
        <v>200</v>
      </c>
      <c r="AP82"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SOBREPASADO</v>
      </c>
      <c r="AQ82" s="106">
        <f>TABLA_AVANCE_INDICADORES[[#This Row],[AVANCE ACUM. TRIM.]]-TABLA_AVANCE_INDICADORES[[#This Row],[PROG. ACUM]]</f>
        <v>1</v>
      </c>
      <c r="AR82" s="32">
        <f>IFERROR((TABLA_AVANCE_INDICADORES[[#This Row],[DIFERENCIA ABSOLUTA SEMESTRAL]]/TABLA_AVANCE_INDICADORES[[#This Row],[PROG. ACUM]])*100,"N/A")</f>
        <v>100</v>
      </c>
      <c r="AS82"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T82" s="27">
        <f>IFERROR((TABLA_AVANCE_INDICADORES[[#This Row],[AVANCE ACUM. ANUAL]]/TABLA_AVANCE_INDICADORES[[#This Row],[PROGRAMADO ANUAL]])*100,"N/A")</f>
        <v>100</v>
      </c>
      <c r="AU82"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ADECUADO</v>
      </c>
      <c r="AV82" s="106">
        <f>TABLA_AVANCE_INDICADORES[[#This Row],[AVANCE ACUM. ANUAL]]-TABLA_AVANCE_INDICADORES[[#This Row],[PROGRAMADO ANUAL]]</f>
        <v>0</v>
      </c>
      <c r="AW82" s="32">
        <f>IFERROR((TABLA_AVANCE_INDICADORES[[#This Row],[DIFERENCIA ABSOLUTA ANUAL]]/TABLA_AVANCE_INDICADORES[[#This Row],[PROGRAMADO ANUAL]])*100,"N/A")</f>
        <v>0</v>
      </c>
      <c r="AX82" s="108"/>
      <c r="AY82" s="35" t="s">
        <v>1013</v>
      </c>
      <c r="AZ82" s="36"/>
      <c r="BA82" s="36"/>
      <c r="BB82"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83" spans="1:54" ht="63" hidden="1" customHeight="1" x14ac:dyDescent="0.35">
      <c r="A83" s="19" t="s">
        <v>1014</v>
      </c>
      <c r="B83" s="99" t="s">
        <v>367</v>
      </c>
      <c r="C83" s="20" t="s">
        <v>366</v>
      </c>
      <c r="D83" s="100" t="s">
        <v>367</v>
      </c>
      <c r="E83" s="20" t="s">
        <v>379</v>
      </c>
      <c r="F83" s="101" t="s">
        <v>380</v>
      </c>
      <c r="G83" s="80" t="s">
        <v>381</v>
      </c>
      <c r="H83" s="80" t="s">
        <v>1009</v>
      </c>
      <c r="I83" s="22" t="s">
        <v>722</v>
      </c>
      <c r="J83" s="22" t="s">
        <v>279</v>
      </c>
      <c r="K83" s="80" t="s">
        <v>280</v>
      </c>
      <c r="L83" s="22" t="s">
        <v>281</v>
      </c>
      <c r="M83" s="80" t="s">
        <v>282</v>
      </c>
      <c r="N83" s="21">
        <v>2</v>
      </c>
      <c r="O83" s="21" t="s">
        <v>857</v>
      </c>
      <c r="P83" s="102" t="s">
        <v>1010</v>
      </c>
      <c r="Q83" s="102" t="s">
        <v>1015</v>
      </c>
      <c r="R83" s="102" t="s">
        <v>1012</v>
      </c>
      <c r="S83" s="42" t="s">
        <v>1016</v>
      </c>
      <c r="T83" s="42" t="s">
        <v>727</v>
      </c>
      <c r="U83" s="42" t="s">
        <v>754</v>
      </c>
      <c r="V83" s="24">
        <v>2</v>
      </c>
      <c r="W83" s="24">
        <v>1</v>
      </c>
      <c r="X83" s="112">
        <v>1</v>
      </c>
      <c r="Y83" s="25">
        <f>IFERROR((TABLA_AVANCE_INDICADORES[[#This Row],[AVANCE 1°. TRIM]]/TABLA_AVANCE_INDICADORES[[#This Row],[PROGR. 1° TRIM]])*100,"0")</f>
        <v>100</v>
      </c>
      <c r="Z83"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83" s="104">
        <v>0</v>
      </c>
      <c r="AB83" s="113">
        <v>1</v>
      </c>
      <c r="AC83" s="27" t="str">
        <f t="shared" si="2"/>
        <v>0</v>
      </c>
      <c r="AD83" s="26" t="str">
        <f t="shared" si="3"/>
        <v>NO PROG.</v>
      </c>
      <c r="AE83" s="104">
        <v>1</v>
      </c>
      <c r="AF83" s="113">
        <f>AE83</f>
        <v>1</v>
      </c>
      <c r="AG83" s="27">
        <f>IFERROR((TABLA_AVANCE_INDICADORES[[#This Row],[AVANCE 3°. TRIM]]/TABLA_AVANCE_INDICADORES[[#This Row],[PROGR. 3° TRIM]])*100,"0")</f>
        <v>100</v>
      </c>
      <c r="AH83"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ADECUADO</v>
      </c>
      <c r="AI83" s="104">
        <v>0</v>
      </c>
      <c r="AJ83" s="113">
        <f>AI83</f>
        <v>0</v>
      </c>
      <c r="AK83" s="27" t="str">
        <f>IFERROR((TABLA_AVANCE_INDICADORES[[#This Row],[AVANCE 4°. TRIM]]/TABLA_AVANCE_INDICADORES[[#This Row],[PROGR. 4° TRIM]])*100,"0")</f>
        <v>0</v>
      </c>
      <c r="AL83"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NO PROG.</v>
      </c>
      <c r="AM83"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v>
      </c>
      <c r="AN83"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O83" s="27">
        <f>IFERROR((TABLA_AVANCE_INDICADORES[[#This Row],[AVANCE ACUM. TRIM.]]/TABLA_AVANCE_INDICADORES[[#This Row],[PROG. ACUM]])*100,"N/A")</f>
        <v>200</v>
      </c>
      <c r="AP83"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SOBREPASADO</v>
      </c>
      <c r="AQ83" s="106">
        <f>TABLA_AVANCE_INDICADORES[[#This Row],[AVANCE ACUM. TRIM.]]-TABLA_AVANCE_INDICADORES[[#This Row],[PROG. ACUM]]</f>
        <v>1</v>
      </c>
      <c r="AR83" s="32">
        <f>IFERROR((TABLA_AVANCE_INDICADORES[[#This Row],[DIFERENCIA ABSOLUTA SEMESTRAL]]/TABLA_AVANCE_INDICADORES[[#This Row],[PROG. ACUM]])*100,"N/A")</f>
        <v>100</v>
      </c>
      <c r="AS83"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T83" s="27">
        <f>IFERROR((TABLA_AVANCE_INDICADORES[[#This Row],[AVANCE ACUM. ANUAL]]/TABLA_AVANCE_INDICADORES[[#This Row],[PROGRAMADO ANUAL]])*100,"N/A")</f>
        <v>100</v>
      </c>
      <c r="AU83"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ADECUADO</v>
      </c>
      <c r="AV83" s="106">
        <f>TABLA_AVANCE_INDICADORES[[#This Row],[AVANCE ACUM. ANUAL]]-TABLA_AVANCE_INDICADORES[[#This Row],[PROGRAMADO ANUAL]]</f>
        <v>0</v>
      </c>
      <c r="AW83" s="32">
        <f>IFERROR((TABLA_AVANCE_INDICADORES[[#This Row],[DIFERENCIA ABSOLUTA ANUAL]]/TABLA_AVANCE_INDICADORES[[#This Row],[PROGRAMADO ANUAL]])*100,"N/A")</f>
        <v>0</v>
      </c>
      <c r="AX83" s="108"/>
      <c r="AY83" s="35"/>
      <c r="AZ83" s="36"/>
      <c r="BA83" s="36"/>
      <c r="BB83"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84" spans="1:54" ht="63" hidden="1" customHeight="1" x14ac:dyDescent="0.35">
      <c r="A84" s="19" t="s">
        <v>1017</v>
      </c>
      <c r="B84" s="99" t="s">
        <v>386</v>
      </c>
      <c r="C84" s="20" t="s">
        <v>366</v>
      </c>
      <c r="D84" s="100" t="s">
        <v>367</v>
      </c>
      <c r="E84" s="20" t="s">
        <v>387</v>
      </c>
      <c r="F84" s="101" t="s">
        <v>388</v>
      </c>
      <c r="G84" s="80" t="s">
        <v>389</v>
      </c>
      <c r="H84" s="80" t="s">
        <v>999</v>
      </c>
      <c r="I84" s="22" t="s">
        <v>722</v>
      </c>
      <c r="J84" s="22" t="s">
        <v>279</v>
      </c>
      <c r="K84" s="80" t="s">
        <v>280</v>
      </c>
      <c r="L84" s="22" t="s">
        <v>281</v>
      </c>
      <c r="M84" s="80" t="s">
        <v>282</v>
      </c>
      <c r="N84" s="21">
        <v>1</v>
      </c>
      <c r="O84" s="21" t="s">
        <v>758</v>
      </c>
      <c r="P84" s="102" t="s">
        <v>1018</v>
      </c>
      <c r="Q84" s="102" t="s">
        <v>1019</v>
      </c>
      <c r="R84" s="102" t="s">
        <v>1020</v>
      </c>
      <c r="S84" s="42" t="s">
        <v>239</v>
      </c>
      <c r="T84" s="42" t="s">
        <v>727</v>
      </c>
      <c r="U84" s="42" t="s">
        <v>754</v>
      </c>
      <c r="V84" s="24">
        <v>900</v>
      </c>
      <c r="W84" s="24">
        <v>225</v>
      </c>
      <c r="X84" s="103">
        <v>52</v>
      </c>
      <c r="Y84" s="25">
        <f>IFERROR((TABLA_AVANCE_INDICADORES[[#This Row],[AVANCE 1°. TRIM]]/TABLA_AVANCE_INDICADORES[[#This Row],[PROGR. 1° TRIM]])*100,"0")</f>
        <v>23.111111111111111</v>
      </c>
      <c r="Z84"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CRÍTICO</v>
      </c>
      <c r="AA84" s="104">
        <v>225</v>
      </c>
      <c r="AB84" s="105">
        <v>44</v>
      </c>
      <c r="AC84" s="27">
        <f t="shared" si="2"/>
        <v>19.555555555555557</v>
      </c>
      <c r="AD84" s="26" t="str">
        <f t="shared" si="3"/>
        <v>CRÍTICO</v>
      </c>
      <c r="AE84" s="104">
        <v>225</v>
      </c>
      <c r="AF84" s="105">
        <v>0</v>
      </c>
      <c r="AG84" s="27">
        <f>IFERROR((TABLA_AVANCE_INDICADORES[[#This Row],[AVANCE 3°. TRIM]]/TABLA_AVANCE_INDICADORES[[#This Row],[PROGR. 3° TRIM]])*100,"0")</f>
        <v>0</v>
      </c>
      <c r="AH84"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84" s="104">
        <v>225</v>
      </c>
      <c r="AJ84" s="105">
        <v>0</v>
      </c>
      <c r="AK84" s="27">
        <f>IFERROR((TABLA_AVANCE_INDICADORES[[#This Row],[AVANCE 4°. TRIM]]/TABLA_AVANCE_INDICADORES[[#This Row],[PROGR. 4° TRIM]])*100,"0")</f>
        <v>0</v>
      </c>
      <c r="AL84"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84"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450</v>
      </c>
      <c r="AN84"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96</v>
      </c>
      <c r="AO84" s="27">
        <f>IFERROR((TABLA_AVANCE_INDICADORES[[#This Row],[AVANCE ACUM. TRIM.]]/TABLA_AVANCE_INDICADORES[[#This Row],[PROG. ACUM]])*100,"N/A")</f>
        <v>21.333333333333336</v>
      </c>
      <c r="AP84"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CRÍTICO</v>
      </c>
      <c r="AQ84" s="106">
        <f>TABLA_AVANCE_INDICADORES[[#This Row],[AVANCE ACUM. TRIM.]]-TABLA_AVANCE_INDICADORES[[#This Row],[PROG. ACUM]]</f>
        <v>-354</v>
      </c>
      <c r="AR84" s="32">
        <f>IFERROR((TABLA_AVANCE_INDICADORES[[#This Row],[DIFERENCIA ABSOLUTA SEMESTRAL]]/TABLA_AVANCE_INDICADORES[[#This Row],[PROG. ACUM]])*100,"N/A")</f>
        <v>-78.666666666666657</v>
      </c>
      <c r="AS84"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96</v>
      </c>
      <c r="AT84" s="27">
        <f>IFERROR((TABLA_AVANCE_INDICADORES[[#This Row],[AVANCE ACUM. ANUAL]]/TABLA_AVANCE_INDICADORES[[#This Row],[PROGRAMADO ANUAL]])*100,"N/A")</f>
        <v>10.666666666666668</v>
      </c>
      <c r="AU84"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84" s="106">
        <f>TABLA_AVANCE_INDICADORES[[#This Row],[AVANCE ACUM. ANUAL]]-TABLA_AVANCE_INDICADORES[[#This Row],[PROGRAMADO ANUAL]]</f>
        <v>-804</v>
      </c>
      <c r="AW84" s="32">
        <f>IFERROR((TABLA_AVANCE_INDICADORES[[#This Row],[DIFERENCIA ABSOLUTA ANUAL]]/TABLA_AVANCE_INDICADORES[[#This Row],[PROGRAMADO ANUAL]])*100,"N/A")</f>
        <v>-89.333333333333329</v>
      </c>
      <c r="AX84" s="108"/>
      <c r="AY84" s="35"/>
      <c r="AZ84" s="36"/>
      <c r="BA84" s="36"/>
      <c r="BB84"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85" spans="1:54" ht="63" hidden="1" customHeight="1" x14ac:dyDescent="0.35">
      <c r="A85" s="19" t="s">
        <v>1021</v>
      </c>
      <c r="B85" s="99" t="s">
        <v>386</v>
      </c>
      <c r="C85" s="20" t="s">
        <v>366</v>
      </c>
      <c r="D85" s="100" t="s">
        <v>367</v>
      </c>
      <c r="E85" s="20" t="s">
        <v>387</v>
      </c>
      <c r="F85" s="101" t="s">
        <v>388</v>
      </c>
      <c r="G85" s="80" t="s">
        <v>389</v>
      </c>
      <c r="H85" s="80" t="s">
        <v>999</v>
      </c>
      <c r="I85" s="22" t="s">
        <v>722</v>
      </c>
      <c r="J85" s="22" t="s">
        <v>279</v>
      </c>
      <c r="K85" s="80" t="s">
        <v>280</v>
      </c>
      <c r="L85" s="22" t="s">
        <v>281</v>
      </c>
      <c r="M85" s="80" t="s">
        <v>282</v>
      </c>
      <c r="N85" s="21">
        <v>2</v>
      </c>
      <c r="O85" s="21" t="s">
        <v>758</v>
      </c>
      <c r="P85" s="102" t="s">
        <v>1018</v>
      </c>
      <c r="Q85" s="102" t="s">
        <v>1022</v>
      </c>
      <c r="R85" s="102" t="s">
        <v>1020</v>
      </c>
      <c r="S85" s="42" t="s">
        <v>239</v>
      </c>
      <c r="T85" s="42" t="s">
        <v>727</v>
      </c>
      <c r="U85" s="42" t="s">
        <v>754</v>
      </c>
      <c r="V85" s="24">
        <v>1000</v>
      </c>
      <c r="W85" s="24">
        <v>325</v>
      </c>
      <c r="X85" s="127">
        <v>164</v>
      </c>
      <c r="Y85" s="25">
        <f>IFERROR((TABLA_AVANCE_INDICADORES[[#This Row],[AVANCE 1°. TRIM]]/TABLA_AVANCE_INDICADORES[[#This Row],[PROGR. 1° TRIM]])*100,"0")</f>
        <v>50.46153846153846</v>
      </c>
      <c r="Z85"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DEFICIENTE</v>
      </c>
      <c r="AA85" s="104">
        <v>225</v>
      </c>
      <c r="AB85" s="111">
        <v>123</v>
      </c>
      <c r="AC85" s="27">
        <f t="shared" si="2"/>
        <v>54.666666666666664</v>
      </c>
      <c r="AD85" s="26" t="str">
        <f t="shared" si="3"/>
        <v>DEFICIENTE</v>
      </c>
      <c r="AE85" s="104">
        <v>225</v>
      </c>
      <c r="AF85" s="111">
        <v>0</v>
      </c>
      <c r="AG85" s="27">
        <f>IFERROR((TABLA_AVANCE_INDICADORES[[#This Row],[AVANCE 3°. TRIM]]/TABLA_AVANCE_INDICADORES[[#This Row],[PROGR. 3° TRIM]])*100,"0")</f>
        <v>0</v>
      </c>
      <c r="AH85"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85" s="104">
        <v>225</v>
      </c>
      <c r="AJ85" s="111">
        <v>142791191</v>
      </c>
      <c r="AK85" s="27">
        <f>IFERROR((TABLA_AVANCE_INDICADORES[[#This Row],[AVANCE 4°. TRIM]]/TABLA_AVANCE_INDICADORES[[#This Row],[PROGR. 4° TRIM]])*100,"0")</f>
        <v>63462751.55555556</v>
      </c>
      <c r="AL85"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NO PROG.</v>
      </c>
      <c r="AM85"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550</v>
      </c>
      <c r="AN85"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287</v>
      </c>
      <c r="AO85" s="27">
        <f>IFERROR((TABLA_AVANCE_INDICADORES[[#This Row],[AVANCE ACUM. TRIM.]]/TABLA_AVANCE_INDICADORES[[#This Row],[PROG. ACUM]])*100,"N/A")</f>
        <v>52.181818181818187</v>
      </c>
      <c r="AP85"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DEFICIENTE</v>
      </c>
      <c r="AQ85" s="106">
        <f>TABLA_AVANCE_INDICADORES[[#This Row],[AVANCE ACUM. TRIM.]]-TABLA_AVANCE_INDICADORES[[#This Row],[PROG. ACUM]]</f>
        <v>-263</v>
      </c>
      <c r="AR85" s="32">
        <f>IFERROR((TABLA_AVANCE_INDICADORES[[#This Row],[DIFERENCIA ABSOLUTA SEMESTRAL]]/TABLA_AVANCE_INDICADORES[[#This Row],[PROG. ACUM]])*100,"N/A")</f>
        <v>-47.81818181818182</v>
      </c>
      <c r="AS85"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287</v>
      </c>
      <c r="AT85" s="27">
        <f>IFERROR((TABLA_AVANCE_INDICADORES[[#This Row],[AVANCE ACUM. ANUAL]]/TABLA_AVANCE_INDICADORES[[#This Row],[PROGRAMADO ANUAL]])*100,"N/A")</f>
        <v>28.7</v>
      </c>
      <c r="AU85"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85" s="106">
        <f>TABLA_AVANCE_INDICADORES[[#This Row],[AVANCE ACUM. ANUAL]]-TABLA_AVANCE_INDICADORES[[#This Row],[PROGRAMADO ANUAL]]</f>
        <v>-713</v>
      </c>
      <c r="AW85" s="32">
        <f>IFERROR((TABLA_AVANCE_INDICADORES[[#This Row],[DIFERENCIA ABSOLUTA ANUAL]]/TABLA_AVANCE_INDICADORES[[#This Row],[PROGRAMADO ANUAL]])*100,"N/A")</f>
        <v>-71.3</v>
      </c>
      <c r="AX85" s="108"/>
      <c r="AY85" s="35"/>
      <c r="AZ85" s="36"/>
      <c r="BA85" s="36"/>
      <c r="BB85"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86" spans="1:54" ht="63" hidden="1" customHeight="1" x14ac:dyDescent="0.35">
      <c r="A86" s="19" t="s">
        <v>1023</v>
      </c>
      <c r="B86" s="99" t="s">
        <v>408</v>
      </c>
      <c r="C86" s="20" t="s">
        <v>366</v>
      </c>
      <c r="D86" s="100" t="s">
        <v>367</v>
      </c>
      <c r="E86" s="20" t="s">
        <v>409</v>
      </c>
      <c r="F86" s="101" t="s">
        <v>410</v>
      </c>
      <c r="G86" s="80" t="s">
        <v>411</v>
      </c>
      <c r="H86" s="80" t="s">
        <v>1024</v>
      </c>
      <c r="I86" s="22" t="s">
        <v>722</v>
      </c>
      <c r="J86" s="22" t="s">
        <v>279</v>
      </c>
      <c r="K86" s="80" t="s">
        <v>280</v>
      </c>
      <c r="L86" s="22" t="s">
        <v>281</v>
      </c>
      <c r="M86" s="80" t="s">
        <v>282</v>
      </c>
      <c r="N86" s="21">
        <v>1</v>
      </c>
      <c r="O86" s="21" t="s">
        <v>798</v>
      </c>
      <c r="P86" s="102" t="s">
        <v>1025</v>
      </c>
      <c r="Q86" s="102" t="s">
        <v>1026</v>
      </c>
      <c r="R86" s="102" t="s">
        <v>1027</v>
      </c>
      <c r="S86" s="42" t="s">
        <v>503</v>
      </c>
      <c r="T86" s="42" t="s">
        <v>727</v>
      </c>
      <c r="U86" s="42" t="s">
        <v>754</v>
      </c>
      <c r="V86" s="24">
        <v>21500</v>
      </c>
      <c r="W86" s="24">
        <v>3500</v>
      </c>
      <c r="X86" s="114">
        <v>3990</v>
      </c>
      <c r="Y86" s="25">
        <f>IFERROR((TABLA_AVANCE_INDICADORES[[#This Row],[AVANCE 1°. TRIM]]/TABLA_AVANCE_INDICADORES[[#This Row],[PROGR. 1° TRIM]])*100,"0")</f>
        <v>113.99999999999999</v>
      </c>
      <c r="Z86"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SOBREPASADO</v>
      </c>
      <c r="AA86" s="104">
        <v>6000</v>
      </c>
      <c r="AB86" s="105">
        <v>6644</v>
      </c>
      <c r="AC86" s="27">
        <f t="shared" si="2"/>
        <v>110.73333333333333</v>
      </c>
      <c r="AD86" s="26" t="str">
        <f t="shared" si="3"/>
        <v>ADECUADO</v>
      </c>
      <c r="AE86" s="104">
        <v>6000</v>
      </c>
      <c r="AF86" s="105">
        <v>0</v>
      </c>
      <c r="AG86" s="27">
        <f>IFERROR((TABLA_AVANCE_INDICADORES[[#This Row],[AVANCE 3°. TRIM]]/TABLA_AVANCE_INDICADORES[[#This Row],[PROGR. 3° TRIM]])*100,"0")</f>
        <v>0</v>
      </c>
      <c r="AH86"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86" s="104">
        <v>6000</v>
      </c>
      <c r="AJ86" s="105">
        <v>0</v>
      </c>
      <c r="AK86" s="27">
        <f>IFERROR((TABLA_AVANCE_INDICADORES[[#This Row],[AVANCE 4°. TRIM]]/TABLA_AVANCE_INDICADORES[[#This Row],[PROGR. 4° TRIM]])*100,"0")</f>
        <v>0</v>
      </c>
      <c r="AL86"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86"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9500</v>
      </c>
      <c r="AN86"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10634</v>
      </c>
      <c r="AO86" s="27">
        <f>IFERROR((TABLA_AVANCE_INDICADORES[[#This Row],[AVANCE ACUM. TRIM.]]/TABLA_AVANCE_INDICADORES[[#This Row],[PROG. ACUM]])*100,"N/A")</f>
        <v>111.93684210526315</v>
      </c>
      <c r="AP86"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SOBREPASADO</v>
      </c>
      <c r="AQ86" s="106">
        <f>TABLA_AVANCE_INDICADORES[[#This Row],[AVANCE ACUM. TRIM.]]-TABLA_AVANCE_INDICADORES[[#This Row],[PROG. ACUM]]</f>
        <v>1134</v>
      </c>
      <c r="AR86" s="32">
        <f>IFERROR((TABLA_AVANCE_INDICADORES[[#This Row],[DIFERENCIA ABSOLUTA SEMESTRAL]]/TABLA_AVANCE_INDICADORES[[#This Row],[PROG. ACUM]])*100,"N/A")</f>
        <v>11.936842105263159</v>
      </c>
      <c r="AS86"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10634</v>
      </c>
      <c r="AT86" s="27">
        <f>IFERROR((TABLA_AVANCE_INDICADORES[[#This Row],[AVANCE ACUM. ANUAL]]/TABLA_AVANCE_INDICADORES[[#This Row],[PROGRAMADO ANUAL]])*100,"N/A")</f>
        <v>49.460465116279067</v>
      </c>
      <c r="AU86"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86" s="106">
        <f>TABLA_AVANCE_INDICADORES[[#This Row],[AVANCE ACUM. ANUAL]]-TABLA_AVANCE_INDICADORES[[#This Row],[PROGRAMADO ANUAL]]</f>
        <v>-10866</v>
      </c>
      <c r="AW86" s="32">
        <f>IFERROR((TABLA_AVANCE_INDICADORES[[#This Row],[DIFERENCIA ABSOLUTA ANUAL]]/TABLA_AVANCE_INDICADORES[[#This Row],[PROGRAMADO ANUAL]])*100,"N/A")</f>
        <v>-50.539534883720926</v>
      </c>
      <c r="AX86" s="108" t="s">
        <v>1028</v>
      </c>
      <c r="AY86" s="35" t="s">
        <v>1029</v>
      </c>
      <c r="AZ86" s="36"/>
      <c r="BA86" s="36"/>
      <c r="BB86"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87" spans="1:54" ht="63" hidden="1" customHeight="1" x14ac:dyDescent="0.35">
      <c r="A87" s="19" t="s">
        <v>1030</v>
      </c>
      <c r="B87" s="99" t="s">
        <v>408</v>
      </c>
      <c r="C87" s="20" t="s">
        <v>366</v>
      </c>
      <c r="D87" s="100" t="s">
        <v>367</v>
      </c>
      <c r="E87" s="20" t="s">
        <v>409</v>
      </c>
      <c r="F87" s="101" t="s">
        <v>410</v>
      </c>
      <c r="G87" s="80" t="s">
        <v>411</v>
      </c>
      <c r="H87" s="80" t="s">
        <v>1024</v>
      </c>
      <c r="I87" s="22" t="s">
        <v>722</v>
      </c>
      <c r="J87" s="22" t="s">
        <v>279</v>
      </c>
      <c r="K87" s="80" t="s">
        <v>280</v>
      </c>
      <c r="L87" s="22" t="s">
        <v>281</v>
      </c>
      <c r="M87" s="80" t="s">
        <v>282</v>
      </c>
      <c r="N87" s="21">
        <v>2</v>
      </c>
      <c r="O87" s="21" t="s">
        <v>798</v>
      </c>
      <c r="P87" s="102" t="s">
        <v>1025</v>
      </c>
      <c r="Q87" s="102" t="s">
        <v>1031</v>
      </c>
      <c r="R87" s="102" t="s">
        <v>1027</v>
      </c>
      <c r="S87" s="42" t="s">
        <v>503</v>
      </c>
      <c r="T87" s="42" t="s">
        <v>727</v>
      </c>
      <c r="U87" s="42" t="s">
        <v>754</v>
      </c>
      <c r="V87" s="24">
        <v>181239</v>
      </c>
      <c r="W87" s="24">
        <v>144839</v>
      </c>
      <c r="X87" s="127">
        <v>144839</v>
      </c>
      <c r="Y87" s="25">
        <f>IFERROR((TABLA_AVANCE_INDICADORES[[#This Row],[AVANCE 1°. TRIM]]/TABLA_AVANCE_INDICADORES[[#This Row],[PROGR. 1° TRIM]])*100,"0")</f>
        <v>100</v>
      </c>
      <c r="Z87"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87" s="104">
        <v>5000</v>
      </c>
      <c r="AB87" s="128">
        <v>3990</v>
      </c>
      <c r="AC87" s="27">
        <f t="shared" si="2"/>
        <v>79.800000000000011</v>
      </c>
      <c r="AD87" s="26" t="str">
        <f t="shared" si="3"/>
        <v>REGULAR</v>
      </c>
      <c r="AE87" s="104">
        <v>16400</v>
      </c>
      <c r="AF87" s="128">
        <f>AB86</f>
        <v>6644</v>
      </c>
      <c r="AG87" s="27">
        <f>IFERROR((TABLA_AVANCE_INDICADORES[[#This Row],[AVANCE 3°. TRIM]]/TABLA_AVANCE_INDICADORES[[#This Row],[PROGR. 3° TRIM]])*100,"0")</f>
        <v>40.512195121951223</v>
      </c>
      <c r="AH87"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87" s="104">
        <v>15000</v>
      </c>
      <c r="AJ87" s="128">
        <f>AF86</f>
        <v>0</v>
      </c>
      <c r="AK87" s="27">
        <f>IFERROR((TABLA_AVANCE_INDICADORES[[#This Row],[AVANCE 4°. TRIM]]/TABLA_AVANCE_INDICADORES[[#This Row],[PROGR. 4° TRIM]])*100,"0")</f>
        <v>0</v>
      </c>
      <c r="AL87"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87"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149839</v>
      </c>
      <c r="AN87"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148829</v>
      </c>
      <c r="AO87" s="27">
        <f>IFERROR((TABLA_AVANCE_INDICADORES[[#This Row],[AVANCE ACUM. TRIM.]]/TABLA_AVANCE_INDICADORES[[#This Row],[PROG. ACUM]])*100,"N/A")</f>
        <v>99.325943179012143</v>
      </c>
      <c r="AP87"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87" s="106">
        <f>TABLA_AVANCE_INDICADORES[[#This Row],[AVANCE ACUM. TRIM.]]-TABLA_AVANCE_INDICADORES[[#This Row],[PROG. ACUM]]</f>
        <v>-1010</v>
      </c>
      <c r="AR87" s="32">
        <f>IFERROR((TABLA_AVANCE_INDICADORES[[#This Row],[DIFERENCIA ABSOLUTA SEMESTRAL]]/TABLA_AVANCE_INDICADORES[[#This Row],[PROG. ACUM]])*100,"N/A")</f>
        <v>-0.67405682098786035</v>
      </c>
      <c r="AS87"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148829</v>
      </c>
      <c r="AT87" s="27">
        <f>IFERROR((TABLA_AVANCE_INDICADORES[[#This Row],[AVANCE ACUM. ANUAL]]/TABLA_AVANCE_INDICADORES[[#This Row],[PROGRAMADO ANUAL]])*100,"N/A")</f>
        <v>82.117535409045516</v>
      </c>
      <c r="AU87"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REGULAR</v>
      </c>
      <c r="AV87" s="106">
        <f>TABLA_AVANCE_INDICADORES[[#This Row],[AVANCE ACUM. ANUAL]]-TABLA_AVANCE_INDICADORES[[#This Row],[PROGRAMADO ANUAL]]</f>
        <v>-32410</v>
      </c>
      <c r="AW87" s="32">
        <f>IFERROR((TABLA_AVANCE_INDICADORES[[#This Row],[DIFERENCIA ABSOLUTA ANUAL]]/TABLA_AVANCE_INDICADORES[[#This Row],[PROGRAMADO ANUAL]])*100,"N/A")</f>
        <v>-17.882464590954488</v>
      </c>
      <c r="AX87" s="108" t="s">
        <v>1028</v>
      </c>
      <c r="AY87" s="35"/>
      <c r="AZ87" s="36"/>
      <c r="BA87" s="36"/>
      <c r="BB87"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88" spans="1:54" ht="63" hidden="1" customHeight="1" x14ac:dyDescent="0.35">
      <c r="A88" s="19" t="s">
        <v>1032</v>
      </c>
      <c r="B88" s="99" t="s">
        <v>408</v>
      </c>
      <c r="C88" s="20" t="s">
        <v>366</v>
      </c>
      <c r="D88" s="100" t="s">
        <v>367</v>
      </c>
      <c r="E88" s="20" t="s">
        <v>409</v>
      </c>
      <c r="F88" s="101" t="s">
        <v>410</v>
      </c>
      <c r="G88" s="80" t="s">
        <v>411</v>
      </c>
      <c r="H88" s="80" t="s">
        <v>1024</v>
      </c>
      <c r="I88" s="22" t="s">
        <v>722</v>
      </c>
      <c r="J88" s="22" t="s">
        <v>279</v>
      </c>
      <c r="K88" s="80" t="s">
        <v>280</v>
      </c>
      <c r="L88" s="22" t="s">
        <v>281</v>
      </c>
      <c r="M88" s="80" t="s">
        <v>282</v>
      </c>
      <c r="N88" s="21">
        <v>1</v>
      </c>
      <c r="O88" s="21" t="s">
        <v>805</v>
      </c>
      <c r="P88" s="102" t="s">
        <v>1033</v>
      </c>
      <c r="Q88" s="102" t="s">
        <v>1034</v>
      </c>
      <c r="R88" s="102" t="s">
        <v>1035</v>
      </c>
      <c r="S88" s="42" t="s">
        <v>1036</v>
      </c>
      <c r="T88" s="42" t="s">
        <v>727</v>
      </c>
      <c r="U88" s="42" t="s">
        <v>754</v>
      </c>
      <c r="V88" s="24">
        <v>27000</v>
      </c>
      <c r="W88" s="24">
        <v>3000</v>
      </c>
      <c r="X88" s="103">
        <v>11046</v>
      </c>
      <c r="Y88" s="25">
        <f>IFERROR((TABLA_AVANCE_INDICADORES[[#This Row],[AVANCE 1°. TRIM]]/TABLA_AVANCE_INDICADORES[[#This Row],[PROGR. 1° TRIM]])*100,"0")</f>
        <v>368.2</v>
      </c>
      <c r="Z88"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SOBREPASADO</v>
      </c>
      <c r="AA88" s="104">
        <v>8000</v>
      </c>
      <c r="AB88" s="105">
        <v>8000</v>
      </c>
      <c r="AC88" s="27">
        <f t="shared" si="2"/>
        <v>100</v>
      </c>
      <c r="AD88" s="26" t="str">
        <f t="shared" si="3"/>
        <v>ADECUADO</v>
      </c>
      <c r="AE88" s="104">
        <v>8000</v>
      </c>
      <c r="AF88" s="105">
        <v>0</v>
      </c>
      <c r="AG88" s="27">
        <f>IFERROR((TABLA_AVANCE_INDICADORES[[#This Row],[AVANCE 3°. TRIM]]/TABLA_AVANCE_INDICADORES[[#This Row],[PROGR. 3° TRIM]])*100,"0")</f>
        <v>0</v>
      </c>
      <c r="AH88"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88" s="104">
        <v>8000</v>
      </c>
      <c r="AJ88" s="105">
        <v>0</v>
      </c>
      <c r="AK88" s="27">
        <f>IFERROR((TABLA_AVANCE_INDICADORES[[#This Row],[AVANCE 4°. TRIM]]/TABLA_AVANCE_INDICADORES[[#This Row],[PROGR. 4° TRIM]])*100,"0")</f>
        <v>0</v>
      </c>
      <c r="AL88"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88"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11000</v>
      </c>
      <c r="AN88"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19046</v>
      </c>
      <c r="AO88" s="27">
        <f>IFERROR((TABLA_AVANCE_INDICADORES[[#This Row],[AVANCE ACUM. TRIM.]]/TABLA_AVANCE_INDICADORES[[#This Row],[PROG. ACUM]])*100,"N/A")</f>
        <v>173.14545454545453</v>
      </c>
      <c r="AP88"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SOBREPASADO</v>
      </c>
      <c r="AQ88" s="106">
        <f>TABLA_AVANCE_INDICADORES[[#This Row],[AVANCE ACUM. TRIM.]]-TABLA_AVANCE_INDICADORES[[#This Row],[PROG. ACUM]]</f>
        <v>8046</v>
      </c>
      <c r="AR88" s="32">
        <f>IFERROR((TABLA_AVANCE_INDICADORES[[#This Row],[DIFERENCIA ABSOLUTA SEMESTRAL]]/TABLA_AVANCE_INDICADORES[[#This Row],[PROG. ACUM]])*100,"N/A")</f>
        <v>73.145454545454541</v>
      </c>
      <c r="AS88"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19046</v>
      </c>
      <c r="AT88" s="27">
        <f>IFERROR((TABLA_AVANCE_INDICADORES[[#This Row],[AVANCE ACUM. ANUAL]]/TABLA_AVANCE_INDICADORES[[#This Row],[PROGRAMADO ANUAL]])*100,"N/A")</f>
        <v>70.540740740740731</v>
      </c>
      <c r="AU88"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REGULAR</v>
      </c>
      <c r="AV88" s="106">
        <f>TABLA_AVANCE_INDICADORES[[#This Row],[AVANCE ACUM. ANUAL]]-TABLA_AVANCE_INDICADORES[[#This Row],[PROGRAMADO ANUAL]]</f>
        <v>-7954</v>
      </c>
      <c r="AW88" s="32">
        <f>IFERROR((TABLA_AVANCE_INDICADORES[[#This Row],[DIFERENCIA ABSOLUTA ANUAL]]/TABLA_AVANCE_INDICADORES[[#This Row],[PROGRAMADO ANUAL]])*100,"N/A")</f>
        <v>-29.459259259259259</v>
      </c>
      <c r="AX88" s="108" t="s">
        <v>1028</v>
      </c>
      <c r="AY88" s="35" t="s">
        <v>1037</v>
      </c>
      <c r="AZ88" s="36"/>
      <c r="BA88" s="36"/>
      <c r="BB88"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89" spans="1:54" ht="63" hidden="1" customHeight="1" x14ac:dyDescent="0.35">
      <c r="A89" s="19" t="s">
        <v>1038</v>
      </c>
      <c r="B89" s="99" t="s">
        <v>408</v>
      </c>
      <c r="C89" s="20" t="s">
        <v>366</v>
      </c>
      <c r="D89" s="100" t="s">
        <v>367</v>
      </c>
      <c r="E89" s="20" t="s">
        <v>409</v>
      </c>
      <c r="F89" s="101" t="s">
        <v>410</v>
      </c>
      <c r="G89" s="80" t="s">
        <v>411</v>
      </c>
      <c r="H89" s="80" t="s">
        <v>1024</v>
      </c>
      <c r="I89" s="22" t="s">
        <v>722</v>
      </c>
      <c r="J89" s="22" t="s">
        <v>279</v>
      </c>
      <c r="K89" s="80" t="s">
        <v>280</v>
      </c>
      <c r="L89" s="22" t="s">
        <v>281</v>
      </c>
      <c r="M89" s="80" t="s">
        <v>282</v>
      </c>
      <c r="N89" s="21">
        <v>2</v>
      </c>
      <c r="O89" s="21" t="s">
        <v>805</v>
      </c>
      <c r="P89" s="102" t="s">
        <v>1033</v>
      </c>
      <c r="Q89" s="102" t="s">
        <v>1039</v>
      </c>
      <c r="R89" s="102" t="s">
        <v>1035</v>
      </c>
      <c r="S89" s="42" t="s">
        <v>1036</v>
      </c>
      <c r="T89" s="42" t="s">
        <v>727</v>
      </c>
      <c r="U89" s="42" t="s">
        <v>754</v>
      </c>
      <c r="V89" s="24">
        <v>27000</v>
      </c>
      <c r="W89" s="24">
        <v>3000</v>
      </c>
      <c r="X89" s="103">
        <v>11046</v>
      </c>
      <c r="Y89" s="25">
        <f>IFERROR((TABLA_AVANCE_INDICADORES[[#This Row],[AVANCE 1°. TRIM]]/TABLA_AVANCE_INDICADORES[[#This Row],[PROGR. 1° TRIM]])*100,"0")</f>
        <v>368.2</v>
      </c>
      <c r="Z89"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SOBREPASADO</v>
      </c>
      <c r="AA89" s="104">
        <v>8000</v>
      </c>
      <c r="AB89" s="105">
        <v>8000</v>
      </c>
      <c r="AC89" s="27">
        <f t="shared" si="2"/>
        <v>100</v>
      </c>
      <c r="AD89" s="26" t="str">
        <f t="shared" si="3"/>
        <v>ADECUADO</v>
      </c>
      <c r="AE89" s="104">
        <v>8000</v>
      </c>
      <c r="AF89" s="105">
        <v>0</v>
      </c>
      <c r="AG89" s="27">
        <f>IFERROR((TABLA_AVANCE_INDICADORES[[#This Row],[AVANCE 3°. TRIM]]/TABLA_AVANCE_INDICADORES[[#This Row],[PROGR. 3° TRIM]])*100,"0")</f>
        <v>0</v>
      </c>
      <c r="AH89"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89" s="104">
        <v>8000</v>
      </c>
      <c r="AJ89" s="105">
        <v>0</v>
      </c>
      <c r="AK89" s="27">
        <f>IFERROR((TABLA_AVANCE_INDICADORES[[#This Row],[AVANCE 4°. TRIM]]/TABLA_AVANCE_INDICADORES[[#This Row],[PROGR. 4° TRIM]])*100,"0")</f>
        <v>0</v>
      </c>
      <c r="AL89"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89"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11000</v>
      </c>
      <c r="AN89"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19046</v>
      </c>
      <c r="AO89" s="27">
        <f>IFERROR((TABLA_AVANCE_INDICADORES[[#This Row],[AVANCE ACUM. TRIM.]]/TABLA_AVANCE_INDICADORES[[#This Row],[PROG. ACUM]])*100,"N/A")</f>
        <v>173.14545454545453</v>
      </c>
      <c r="AP89"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SOBREPASADO</v>
      </c>
      <c r="AQ89" s="106">
        <f>TABLA_AVANCE_INDICADORES[[#This Row],[AVANCE ACUM. TRIM.]]-TABLA_AVANCE_INDICADORES[[#This Row],[PROG. ACUM]]</f>
        <v>8046</v>
      </c>
      <c r="AR89" s="32">
        <f>IFERROR((TABLA_AVANCE_INDICADORES[[#This Row],[DIFERENCIA ABSOLUTA SEMESTRAL]]/TABLA_AVANCE_INDICADORES[[#This Row],[PROG. ACUM]])*100,"N/A")</f>
        <v>73.145454545454541</v>
      </c>
      <c r="AS89"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19046</v>
      </c>
      <c r="AT89" s="27">
        <f>IFERROR((TABLA_AVANCE_INDICADORES[[#This Row],[AVANCE ACUM. ANUAL]]/TABLA_AVANCE_INDICADORES[[#This Row],[PROGRAMADO ANUAL]])*100,"N/A")</f>
        <v>70.540740740740731</v>
      </c>
      <c r="AU89"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REGULAR</v>
      </c>
      <c r="AV89" s="106">
        <f>TABLA_AVANCE_INDICADORES[[#This Row],[AVANCE ACUM. ANUAL]]-TABLA_AVANCE_INDICADORES[[#This Row],[PROGRAMADO ANUAL]]</f>
        <v>-7954</v>
      </c>
      <c r="AW89" s="32">
        <f>IFERROR((TABLA_AVANCE_INDICADORES[[#This Row],[DIFERENCIA ABSOLUTA ANUAL]]/TABLA_AVANCE_INDICADORES[[#This Row],[PROGRAMADO ANUAL]])*100,"N/A")</f>
        <v>-29.459259259259259</v>
      </c>
      <c r="AX89" s="108" t="s">
        <v>1028</v>
      </c>
      <c r="AY89" s="35" t="s">
        <v>1037</v>
      </c>
      <c r="AZ89" s="36"/>
      <c r="BA89" s="36"/>
      <c r="BB89"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90" spans="1:54" ht="63" hidden="1" customHeight="1" x14ac:dyDescent="0.35">
      <c r="A90" s="19" t="s">
        <v>1040</v>
      </c>
      <c r="B90" s="99" t="s">
        <v>408</v>
      </c>
      <c r="C90" s="20" t="s">
        <v>366</v>
      </c>
      <c r="D90" s="100" t="s">
        <v>367</v>
      </c>
      <c r="E90" s="20" t="s">
        <v>409</v>
      </c>
      <c r="F90" s="101" t="s">
        <v>410</v>
      </c>
      <c r="G90" s="80" t="s">
        <v>411</v>
      </c>
      <c r="H90" s="80" t="s">
        <v>1024</v>
      </c>
      <c r="I90" s="22" t="s">
        <v>722</v>
      </c>
      <c r="J90" s="22" t="s">
        <v>279</v>
      </c>
      <c r="K90" s="80" t="s">
        <v>280</v>
      </c>
      <c r="L90" s="22" t="s">
        <v>281</v>
      </c>
      <c r="M90" s="80" t="s">
        <v>282</v>
      </c>
      <c r="N90" s="21">
        <v>1</v>
      </c>
      <c r="O90" s="21" t="s">
        <v>812</v>
      </c>
      <c r="P90" s="102" t="s">
        <v>1041</v>
      </c>
      <c r="Q90" s="102" t="s">
        <v>1042</v>
      </c>
      <c r="R90" s="102" t="s">
        <v>1043</v>
      </c>
      <c r="S90" s="42" t="s">
        <v>1044</v>
      </c>
      <c r="T90" s="42" t="s">
        <v>727</v>
      </c>
      <c r="U90" s="42" t="s">
        <v>754</v>
      </c>
      <c r="V90" s="24">
        <v>21000</v>
      </c>
      <c r="W90" s="24">
        <v>3000</v>
      </c>
      <c r="X90" s="103">
        <v>10487</v>
      </c>
      <c r="Y90" s="25">
        <f>IFERROR((TABLA_AVANCE_INDICADORES[[#This Row],[AVANCE 1°. TRIM]]/TABLA_AVANCE_INDICADORES[[#This Row],[PROGR. 1° TRIM]])*100,"0")</f>
        <v>349.56666666666666</v>
      </c>
      <c r="Z90"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SOBREPASADO</v>
      </c>
      <c r="AA90" s="104">
        <v>6000</v>
      </c>
      <c r="AB90" s="105">
        <v>10320</v>
      </c>
      <c r="AC90" s="27">
        <f t="shared" si="2"/>
        <v>172</v>
      </c>
      <c r="AD90" s="26" t="str">
        <f t="shared" si="3"/>
        <v>SOBREPASADO</v>
      </c>
      <c r="AE90" s="104">
        <v>6000</v>
      </c>
      <c r="AF90" s="105">
        <v>0</v>
      </c>
      <c r="AG90" s="27">
        <f>IFERROR((TABLA_AVANCE_INDICADORES[[#This Row],[AVANCE 3°. TRIM]]/TABLA_AVANCE_INDICADORES[[#This Row],[PROGR. 3° TRIM]])*100,"0")</f>
        <v>0</v>
      </c>
      <c r="AH90"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90" s="104">
        <v>6000</v>
      </c>
      <c r="AJ90" s="105">
        <v>0</v>
      </c>
      <c r="AK90" s="27">
        <f>IFERROR((TABLA_AVANCE_INDICADORES[[#This Row],[AVANCE 4°. TRIM]]/TABLA_AVANCE_INDICADORES[[#This Row],[PROGR. 4° TRIM]])*100,"0")</f>
        <v>0</v>
      </c>
      <c r="AL90"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90"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9000</v>
      </c>
      <c r="AN90"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20807</v>
      </c>
      <c r="AO90" s="27">
        <f>IFERROR((TABLA_AVANCE_INDICADORES[[#This Row],[AVANCE ACUM. TRIM.]]/TABLA_AVANCE_INDICADORES[[#This Row],[PROG. ACUM]])*100,"N/A")</f>
        <v>231.1888888888889</v>
      </c>
      <c r="AP90"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SOBREPASADO</v>
      </c>
      <c r="AQ90" s="106">
        <f>TABLA_AVANCE_INDICADORES[[#This Row],[AVANCE ACUM. TRIM.]]-TABLA_AVANCE_INDICADORES[[#This Row],[PROG. ACUM]]</f>
        <v>11807</v>
      </c>
      <c r="AR90" s="32">
        <f>IFERROR((TABLA_AVANCE_INDICADORES[[#This Row],[DIFERENCIA ABSOLUTA SEMESTRAL]]/TABLA_AVANCE_INDICADORES[[#This Row],[PROG. ACUM]])*100,"N/A")</f>
        <v>131.1888888888889</v>
      </c>
      <c r="AS90"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20807</v>
      </c>
      <c r="AT90" s="27">
        <f>IFERROR((TABLA_AVANCE_INDICADORES[[#This Row],[AVANCE ACUM. ANUAL]]/TABLA_AVANCE_INDICADORES[[#This Row],[PROGRAMADO ANUAL]])*100,"N/A")</f>
        <v>99.080952380952382</v>
      </c>
      <c r="AU90"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ADECUADO</v>
      </c>
      <c r="AV90" s="106">
        <f>TABLA_AVANCE_INDICADORES[[#This Row],[AVANCE ACUM. ANUAL]]-TABLA_AVANCE_INDICADORES[[#This Row],[PROGRAMADO ANUAL]]</f>
        <v>-193</v>
      </c>
      <c r="AW90" s="32">
        <f>IFERROR((TABLA_AVANCE_INDICADORES[[#This Row],[DIFERENCIA ABSOLUTA ANUAL]]/TABLA_AVANCE_INDICADORES[[#This Row],[PROGRAMADO ANUAL]])*100,"N/A")</f>
        <v>-0.919047619047619</v>
      </c>
      <c r="AX90" s="108" t="s">
        <v>1028</v>
      </c>
      <c r="AY90" s="35" t="s">
        <v>1037</v>
      </c>
      <c r="AZ90" s="36"/>
      <c r="BA90" s="36"/>
      <c r="BB90"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91" spans="1:54" ht="63" hidden="1" customHeight="1" x14ac:dyDescent="0.35">
      <c r="A91" s="19" t="s">
        <v>1045</v>
      </c>
      <c r="B91" s="99" t="s">
        <v>408</v>
      </c>
      <c r="C91" s="20" t="s">
        <v>366</v>
      </c>
      <c r="D91" s="100" t="s">
        <v>367</v>
      </c>
      <c r="E91" s="20" t="s">
        <v>409</v>
      </c>
      <c r="F91" s="101" t="s">
        <v>410</v>
      </c>
      <c r="G91" s="80" t="s">
        <v>411</v>
      </c>
      <c r="H91" s="80" t="s">
        <v>1024</v>
      </c>
      <c r="I91" s="22" t="s">
        <v>722</v>
      </c>
      <c r="J91" s="22" t="s">
        <v>279</v>
      </c>
      <c r="K91" s="80" t="s">
        <v>280</v>
      </c>
      <c r="L91" s="22" t="s">
        <v>281</v>
      </c>
      <c r="M91" s="80" t="s">
        <v>282</v>
      </c>
      <c r="N91" s="21">
        <v>2</v>
      </c>
      <c r="O91" s="21" t="s">
        <v>812</v>
      </c>
      <c r="P91" s="102" t="s">
        <v>1041</v>
      </c>
      <c r="Q91" s="102" t="s">
        <v>1046</v>
      </c>
      <c r="R91" s="102" t="s">
        <v>1043</v>
      </c>
      <c r="S91" s="42" t="s">
        <v>415</v>
      </c>
      <c r="T91" s="42" t="s">
        <v>727</v>
      </c>
      <c r="U91" s="42" t="s">
        <v>754</v>
      </c>
      <c r="V91" s="24">
        <v>21000</v>
      </c>
      <c r="W91" s="24">
        <v>3000</v>
      </c>
      <c r="X91" s="103">
        <v>10487</v>
      </c>
      <c r="Y91" s="25">
        <f>IFERROR((TABLA_AVANCE_INDICADORES[[#This Row],[AVANCE 1°. TRIM]]/TABLA_AVANCE_INDICADORES[[#This Row],[PROGR. 1° TRIM]])*100,"0")</f>
        <v>349.56666666666666</v>
      </c>
      <c r="Z91"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SOBREPASADO</v>
      </c>
      <c r="AA91" s="104">
        <v>6000</v>
      </c>
      <c r="AB91" s="105">
        <v>10320</v>
      </c>
      <c r="AC91" s="27">
        <f t="shared" si="2"/>
        <v>172</v>
      </c>
      <c r="AD91" s="26" t="str">
        <f t="shared" si="3"/>
        <v>SOBREPASADO</v>
      </c>
      <c r="AE91" s="104">
        <v>6000</v>
      </c>
      <c r="AF91" s="105">
        <v>0</v>
      </c>
      <c r="AG91" s="27">
        <f>IFERROR((TABLA_AVANCE_INDICADORES[[#This Row],[AVANCE 3°. TRIM]]/TABLA_AVANCE_INDICADORES[[#This Row],[PROGR. 3° TRIM]])*100,"0")</f>
        <v>0</v>
      </c>
      <c r="AH91"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91" s="104">
        <v>6000</v>
      </c>
      <c r="AJ91" s="105">
        <v>0</v>
      </c>
      <c r="AK91" s="27">
        <f>IFERROR((TABLA_AVANCE_INDICADORES[[#This Row],[AVANCE 4°. TRIM]]/TABLA_AVANCE_INDICADORES[[#This Row],[PROGR. 4° TRIM]])*100,"0")</f>
        <v>0</v>
      </c>
      <c r="AL91"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91"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9000</v>
      </c>
      <c r="AN91"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20807</v>
      </c>
      <c r="AO91" s="27">
        <f>IFERROR((TABLA_AVANCE_INDICADORES[[#This Row],[AVANCE ACUM. TRIM.]]/TABLA_AVANCE_INDICADORES[[#This Row],[PROG. ACUM]])*100,"N/A")</f>
        <v>231.1888888888889</v>
      </c>
      <c r="AP91"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SOBREPASADO</v>
      </c>
      <c r="AQ91" s="106">
        <f>TABLA_AVANCE_INDICADORES[[#This Row],[AVANCE ACUM. TRIM.]]-TABLA_AVANCE_INDICADORES[[#This Row],[PROG. ACUM]]</f>
        <v>11807</v>
      </c>
      <c r="AR91" s="32">
        <f>IFERROR((TABLA_AVANCE_INDICADORES[[#This Row],[DIFERENCIA ABSOLUTA SEMESTRAL]]/TABLA_AVANCE_INDICADORES[[#This Row],[PROG. ACUM]])*100,"N/A")</f>
        <v>131.1888888888889</v>
      </c>
      <c r="AS91"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20807</v>
      </c>
      <c r="AT91" s="27">
        <f>IFERROR((TABLA_AVANCE_INDICADORES[[#This Row],[AVANCE ACUM. ANUAL]]/TABLA_AVANCE_INDICADORES[[#This Row],[PROGRAMADO ANUAL]])*100,"N/A")</f>
        <v>99.080952380952382</v>
      </c>
      <c r="AU91"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ADECUADO</v>
      </c>
      <c r="AV91" s="106">
        <f>TABLA_AVANCE_INDICADORES[[#This Row],[AVANCE ACUM. ANUAL]]-TABLA_AVANCE_INDICADORES[[#This Row],[PROGRAMADO ANUAL]]</f>
        <v>-193</v>
      </c>
      <c r="AW91" s="32">
        <f>IFERROR((TABLA_AVANCE_INDICADORES[[#This Row],[DIFERENCIA ABSOLUTA ANUAL]]/TABLA_AVANCE_INDICADORES[[#This Row],[PROGRAMADO ANUAL]])*100,"N/A")</f>
        <v>-0.919047619047619</v>
      </c>
      <c r="AX91" s="108" t="s">
        <v>1028</v>
      </c>
      <c r="AY91" s="35" t="s">
        <v>1037</v>
      </c>
      <c r="AZ91" s="36"/>
      <c r="BA91" s="36"/>
      <c r="BB91"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92" spans="1:54" ht="63" hidden="1" customHeight="1" x14ac:dyDescent="0.35">
      <c r="A92" s="19" t="s">
        <v>1047</v>
      </c>
      <c r="B92" s="99" t="s">
        <v>641</v>
      </c>
      <c r="C92" s="20" t="s">
        <v>629</v>
      </c>
      <c r="D92" s="100" t="s">
        <v>628</v>
      </c>
      <c r="E92" s="20" t="s">
        <v>613</v>
      </c>
      <c r="F92" s="101" t="s">
        <v>614</v>
      </c>
      <c r="G92" s="80" t="s">
        <v>642</v>
      </c>
      <c r="H92" s="80" t="s">
        <v>1048</v>
      </c>
      <c r="I92" s="22" t="s">
        <v>722</v>
      </c>
      <c r="J92" s="22" t="s">
        <v>631</v>
      </c>
      <c r="K92" s="80" t="s">
        <v>632</v>
      </c>
      <c r="L92" s="22" t="s">
        <v>643</v>
      </c>
      <c r="M92" s="80" t="s">
        <v>644</v>
      </c>
      <c r="N92" s="21">
        <v>1</v>
      </c>
      <c r="O92" s="21" t="s">
        <v>723</v>
      </c>
      <c r="P92" s="102" t="s">
        <v>1049</v>
      </c>
      <c r="Q92" s="102" t="s">
        <v>1050</v>
      </c>
      <c r="R92" s="102" t="s">
        <v>1051</v>
      </c>
      <c r="S92" s="42" t="s">
        <v>1052</v>
      </c>
      <c r="T92" s="42" t="s">
        <v>727</v>
      </c>
      <c r="U92" s="42" t="s">
        <v>738</v>
      </c>
      <c r="V92" s="24">
        <v>5</v>
      </c>
      <c r="W92" s="24">
        <v>0</v>
      </c>
      <c r="X92" s="103">
        <v>0</v>
      </c>
      <c r="Y92" s="25" t="str">
        <f>IFERROR((TABLA_AVANCE_INDICADORES[[#This Row],[AVANCE 1°. TRIM]]/TABLA_AVANCE_INDICADORES[[#This Row],[PROGR. 1° TRIM]])*100,"0")</f>
        <v>0</v>
      </c>
      <c r="Z92"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92" s="104">
        <v>0</v>
      </c>
      <c r="AB92" s="105">
        <v>0</v>
      </c>
      <c r="AC92" s="27" t="str">
        <f t="shared" si="2"/>
        <v>0</v>
      </c>
      <c r="AD92" s="26" t="str">
        <f t="shared" si="3"/>
        <v>NO PROG.</v>
      </c>
      <c r="AE92" s="104">
        <v>0</v>
      </c>
      <c r="AF92" s="105">
        <v>0</v>
      </c>
      <c r="AG92" s="27" t="str">
        <f>IFERROR((TABLA_AVANCE_INDICADORES[[#This Row],[AVANCE 3°. TRIM]]/TABLA_AVANCE_INDICADORES[[#This Row],[PROGR. 3° TRIM]])*100,"0")</f>
        <v>0</v>
      </c>
      <c r="AH92"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92" s="104">
        <v>5</v>
      </c>
      <c r="AJ92" s="105">
        <v>0</v>
      </c>
      <c r="AK92" s="27">
        <f>IFERROR((TABLA_AVANCE_INDICADORES[[#This Row],[AVANCE 4°. TRIM]]/TABLA_AVANCE_INDICADORES[[#This Row],[PROGR. 4° TRIM]])*100,"0")</f>
        <v>0</v>
      </c>
      <c r="AL92"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92"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92"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92" s="27" t="str">
        <f>IFERROR((TABLA_AVANCE_INDICADORES[[#This Row],[AVANCE ACUM. TRIM.]]/TABLA_AVANCE_INDICADORES[[#This Row],[PROG. ACUM]])*100,"N/A")</f>
        <v>N/A</v>
      </c>
      <c r="AP92"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92" s="106">
        <f>TABLA_AVANCE_INDICADORES[[#This Row],[AVANCE ACUM. TRIM.]]-TABLA_AVANCE_INDICADORES[[#This Row],[PROG. ACUM]]</f>
        <v>0</v>
      </c>
      <c r="AR92" s="32" t="str">
        <f>IFERROR((TABLA_AVANCE_INDICADORES[[#This Row],[DIFERENCIA ABSOLUTA SEMESTRAL]]/TABLA_AVANCE_INDICADORES[[#This Row],[PROG. ACUM]])*100,"N/A")</f>
        <v>N/A</v>
      </c>
      <c r="AS92"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92" s="27">
        <f>IFERROR((TABLA_AVANCE_INDICADORES[[#This Row],[AVANCE ACUM. ANUAL]]/TABLA_AVANCE_INDICADORES[[#This Row],[PROGRAMADO ANUAL]])*100,"N/A")</f>
        <v>0</v>
      </c>
      <c r="AU92"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92" s="106">
        <f>TABLA_AVANCE_INDICADORES[[#This Row],[AVANCE ACUM. ANUAL]]-TABLA_AVANCE_INDICADORES[[#This Row],[PROGRAMADO ANUAL]]</f>
        <v>-5</v>
      </c>
      <c r="AW92" s="32">
        <f>IFERROR((TABLA_AVANCE_INDICADORES[[#This Row],[DIFERENCIA ABSOLUTA ANUAL]]/TABLA_AVANCE_INDICADORES[[#This Row],[PROGRAMADO ANUAL]])*100,"N/A")</f>
        <v>-100</v>
      </c>
      <c r="AX92" s="108"/>
      <c r="AY92" s="35"/>
      <c r="AZ92" s="36"/>
      <c r="BA92" s="36"/>
      <c r="BB92"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93" spans="1:54" ht="63" hidden="1" customHeight="1" x14ac:dyDescent="0.35">
      <c r="A93" s="19" t="s">
        <v>1053</v>
      </c>
      <c r="B93" s="99" t="s">
        <v>641</v>
      </c>
      <c r="C93" s="20" t="s">
        <v>629</v>
      </c>
      <c r="D93" s="100" t="s">
        <v>628</v>
      </c>
      <c r="E93" s="20" t="s">
        <v>613</v>
      </c>
      <c r="F93" s="101" t="s">
        <v>614</v>
      </c>
      <c r="G93" s="80" t="s">
        <v>642</v>
      </c>
      <c r="H93" s="80" t="s">
        <v>1048</v>
      </c>
      <c r="I93" s="22" t="s">
        <v>722</v>
      </c>
      <c r="J93" s="22" t="s">
        <v>631</v>
      </c>
      <c r="K93" s="80" t="s">
        <v>632</v>
      </c>
      <c r="L93" s="22" t="s">
        <v>643</v>
      </c>
      <c r="M93" s="80" t="s">
        <v>644</v>
      </c>
      <c r="N93" s="21">
        <v>2</v>
      </c>
      <c r="O93" s="21" t="s">
        <v>723</v>
      </c>
      <c r="P93" s="102" t="s">
        <v>1049</v>
      </c>
      <c r="Q93" s="102" t="s">
        <v>1054</v>
      </c>
      <c r="R93" s="102" t="s">
        <v>1051</v>
      </c>
      <c r="S93" s="42" t="s">
        <v>1052</v>
      </c>
      <c r="T93" s="42" t="s">
        <v>727</v>
      </c>
      <c r="U93" s="42" t="s">
        <v>738</v>
      </c>
      <c r="V93" s="24">
        <v>5</v>
      </c>
      <c r="W93" s="24">
        <v>0</v>
      </c>
      <c r="X93" s="103">
        <v>0</v>
      </c>
      <c r="Y93" s="25" t="str">
        <f>IFERROR((TABLA_AVANCE_INDICADORES[[#This Row],[AVANCE 1°. TRIM]]/TABLA_AVANCE_INDICADORES[[#This Row],[PROGR. 1° TRIM]])*100,"0")</f>
        <v>0</v>
      </c>
      <c r="Z93"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93" s="104">
        <v>0</v>
      </c>
      <c r="AB93" s="105">
        <v>0</v>
      </c>
      <c r="AC93" s="27" t="str">
        <f t="shared" si="2"/>
        <v>0</v>
      </c>
      <c r="AD93" s="26" t="str">
        <f t="shared" si="3"/>
        <v>NO PROG.</v>
      </c>
      <c r="AE93" s="104">
        <v>0</v>
      </c>
      <c r="AF93" s="105">
        <v>0</v>
      </c>
      <c r="AG93" s="27" t="str">
        <f>IFERROR((TABLA_AVANCE_INDICADORES[[#This Row],[AVANCE 3°. TRIM]]/TABLA_AVANCE_INDICADORES[[#This Row],[PROGR. 3° TRIM]])*100,"0")</f>
        <v>0</v>
      </c>
      <c r="AH93"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93" s="104">
        <v>5</v>
      </c>
      <c r="AJ93" s="105">
        <v>0</v>
      </c>
      <c r="AK93" s="27">
        <f>IFERROR((TABLA_AVANCE_INDICADORES[[#This Row],[AVANCE 4°. TRIM]]/TABLA_AVANCE_INDICADORES[[#This Row],[PROGR. 4° TRIM]])*100,"0")</f>
        <v>0</v>
      </c>
      <c r="AL93"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93"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93"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93" s="27" t="str">
        <f>IFERROR((TABLA_AVANCE_INDICADORES[[#This Row],[AVANCE ACUM. TRIM.]]/TABLA_AVANCE_INDICADORES[[#This Row],[PROG. ACUM]])*100,"N/A")</f>
        <v>N/A</v>
      </c>
      <c r="AP93"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93" s="106">
        <f>TABLA_AVANCE_INDICADORES[[#This Row],[AVANCE ACUM. TRIM.]]-TABLA_AVANCE_INDICADORES[[#This Row],[PROG. ACUM]]</f>
        <v>0</v>
      </c>
      <c r="AR93" s="32" t="str">
        <f>IFERROR((TABLA_AVANCE_INDICADORES[[#This Row],[DIFERENCIA ABSOLUTA SEMESTRAL]]/TABLA_AVANCE_INDICADORES[[#This Row],[PROG. ACUM]])*100,"N/A")</f>
        <v>N/A</v>
      </c>
      <c r="AS93"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93" s="27">
        <f>IFERROR((TABLA_AVANCE_INDICADORES[[#This Row],[AVANCE ACUM. ANUAL]]/TABLA_AVANCE_INDICADORES[[#This Row],[PROGRAMADO ANUAL]])*100,"N/A")</f>
        <v>0</v>
      </c>
      <c r="AU93"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93" s="106">
        <f>TABLA_AVANCE_INDICADORES[[#This Row],[AVANCE ACUM. ANUAL]]-TABLA_AVANCE_INDICADORES[[#This Row],[PROGRAMADO ANUAL]]</f>
        <v>-5</v>
      </c>
      <c r="AW93" s="32">
        <f>IFERROR((TABLA_AVANCE_INDICADORES[[#This Row],[DIFERENCIA ABSOLUTA ANUAL]]/TABLA_AVANCE_INDICADORES[[#This Row],[PROGRAMADO ANUAL]])*100,"N/A")</f>
        <v>-100</v>
      </c>
      <c r="AX93" s="108"/>
      <c r="AY93" s="35"/>
      <c r="AZ93" s="36"/>
      <c r="BA93" s="36"/>
      <c r="BB93"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94" spans="1:54" ht="63" hidden="1" customHeight="1" x14ac:dyDescent="0.35">
      <c r="A94" s="19" t="s">
        <v>1055</v>
      </c>
      <c r="B94" s="99" t="s">
        <v>641</v>
      </c>
      <c r="C94" s="20" t="s">
        <v>629</v>
      </c>
      <c r="D94" s="100" t="s">
        <v>628</v>
      </c>
      <c r="E94" s="20" t="s">
        <v>613</v>
      </c>
      <c r="F94" s="101" t="s">
        <v>614</v>
      </c>
      <c r="G94" s="80" t="s">
        <v>642</v>
      </c>
      <c r="H94" s="80" t="s">
        <v>1048</v>
      </c>
      <c r="I94" s="22" t="s">
        <v>722</v>
      </c>
      <c r="J94" s="22" t="s">
        <v>631</v>
      </c>
      <c r="K94" s="80" t="s">
        <v>632</v>
      </c>
      <c r="L94" s="22" t="s">
        <v>643</v>
      </c>
      <c r="M94" s="80" t="s">
        <v>644</v>
      </c>
      <c r="N94" s="21">
        <v>1</v>
      </c>
      <c r="O94" s="21" t="s">
        <v>733</v>
      </c>
      <c r="P94" s="102" t="s">
        <v>1056</v>
      </c>
      <c r="Q94" s="102" t="s">
        <v>1057</v>
      </c>
      <c r="R94" s="102" t="s">
        <v>1058</v>
      </c>
      <c r="S94" s="42" t="s">
        <v>649</v>
      </c>
      <c r="T94" s="42" t="s">
        <v>727</v>
      </c>
      <c r="U94" s="42" t="s">
        <v>738</v>
      </c>
      <c r="V94" s="24">
        <v>2</v>
      </c>
      <c r="W94" s="24">
        <v>0</v>
      </c>
      <c r="X94" s="103">
        <v>0</v>
      </c>
      <c r="Y94" s="25" t="str">
        <f>IFERROR((TABLA_AVANCE_INDICADORES[[#This Row],[AVANCE 1°. TRIM]]/TABLA_AVANCE_INDICADORES[[#This Row],[PROGR. 1° TRIM]])*100,"0")</f>
        <v>0</v>
      </c>
      <c r="Z94"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94" s="104">
        <v>0</v>
      </c>
      <c r="AB94" s="105">
        <v>0</v>
      </c>
      <c r="AC94" s="27" t="str">
        <f t="shared" si="2"/>
        <v>0</v>
      </c>
      <c r="AD94" s="26" t="str">
        <f t="shared" si="3"/>
        <v>NO PROG.</v>
      </c>
      <c r="AE94" s="104">
        <v>0</v>
      </c>
      <c r="AF94" s="105">
        <v>0</v>
      </c>
      <c r="AG94" s="27" t="str">
        <f>IFERROR((TABLA_AVANCE_INDICADORES[[#This Row],[AVANCE 3°. TRIM]]/TABLA_AVANCE_INDICADORES[[#This Row],[PROGR. 3° TRIM]])*100,"0")</f>
        <v>0</v>
      </c>
      <c r="AH94"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94" s="104">
        <v>2</v>
      </c>
      <c r="AJ94" s="105">
        <v>0</v>
      </c>
      <c r="AK94" s="27">
        <f>IFERROR((TABLA_AVANCE_INDICADORES[[#This Row],[AVANCE 4°. TRIM]]/TABLA_AVANCE_INDICADORES[[#This Row],[PROGR. 4° TRIM]])*100,"0")</f>
        <v>0</v>
      </c>
      <c r="AL94"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94"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94"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94" s="27" t="str">
        <f>IFERROR((TABLA_AVANCE_INDICADORES[[#This Row],[AVANCE ACUM. TRIM.]]/TABLA_AVANCE_INDICADORES[[#This Row],[PROG. ACUM]])*100,"N/A")</f>
        <v>N/A</v>
      </c>
      <c r="AP94"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94" s="106">
        <f>TABLA_AVANCE_INDICADORES[[#This Row],[AVANCE ACUM. TRIM.]]-TABLA_AVANCE_INDICADORES[[#This Row],[PROG. ACUM]]</f>
        <v>0</v>
      </c>
      <c r="AR94" s="32" t="str">
        <f>IFERROR((TABLA_AVANCE_INDICADORES[[#This Row],[DIFERENCIA ABSOLUTA SEMESTRAL]]/TABLA_AVANCE_INDICADORES[[#This Row],[PROG. ACUM]])*100,"N/A")</f>
        <v>N/A</v>
      </c>
      <c r="AS94"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94" s="27">
        <f>IFERROR((TABLA_AVANCE_INDICADORES[[#This Row],[AVANCE ACUM. ANUAL]]/TABLA_AVANCE_INDICADORES[[#This Row],[PROGRAMADO ANUAL]])*100,"N/A")</f>
        <v>0</v>
      </c>
      <c r="AU94"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94" s="106">
        <f>TABLA_AVANCE_INDICADORES[[#This Row],[AVANCE ACUM. ANUAL]]-TABLA_AVANCE_INDICADORES[[#This Row],[PROGRAMADO ANUAL]]</f>
        <v>-2</v>
      </c>
      <c r="AW94" s="32">
        <f>IFERROR((TABLA_AVANCE_INDICADORES[[#This Row],[DIFERENCIA ABSOLUTA ANUAL]]/TABLA_AVANCE_INDICADORES[[#This Row],[PROGRAMADO ANUAL]])*100,"N/A")</f>
        <v>-100</v>
      </c>
      <c r="AX94" s="108"/>
      <c r="AY94" s="35"/>
      <c r="AZ94" s="36"/>
      <c r="BA94" s="36"/>
      <c r="BB94"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95" spans="1:54" ht="63" hidden="1" customHeight="1" x14ac:dyDescent="0.35">
      <c r="A95" s="19" t="s">
        <v>1059</v>
      </c>
      <c r="B95" s="99" t="s">
        <v>641</v>
      </c>
      <c r="C95" s="20" t="s">
        <v>629</v>
      </c>
      <c r="D95" s="100" t="s">
        <v>628</v>
      </c>
      <c r="E95" s="20" t="s">
        <v>613</v>
      </c>
      <c r="F95" s="101" t="s">
        <v>614</v>
      </c>
      <c r="G95" s="80" t="s">
        <v>642</v>
      </c>
      <c r="H95" s="80" t="s">
        <v>1048</v>
      </c>
      <c r="I95" s="22" t="s">
        <v>722</v>
      </c>
      <c r="J95" s="22" t="s">
        <v>631</v>
      </c>
      <c r="K95" s="80" t="s">
        <v>632</v>
      </c>
      <c r="L95" s="22" t="s">
        <v>643</v>
      </c>
      <c r="M95" s="80" t="s">
        <v>644</v>
      </c>
      <c r="N95" s="21">
        <v>2</v>
      </c>
      <c r="O95" s="21" t="s">
        <v>733</v>
      </c>
      <c r="P95" s="102" t="s">
        <v>1056</v>
      </c>
      <c r="Q95" s="102" t="s">
        <v>1060</v>
      </c>
      <c r="R95" s="102" t="s">
        <v>1058</v>
      </c>
      <c r="S95" s="42" t="s">
        <v>649</v>
      </c>
      <c r="T95" s="42" t="s">
        <v>727</v>
      </c>
      <c r="U95" s="42" t="s">
        <v>738</v>
      </c>
      <c r="V95" s="24">
        <v>2</v>
      </c>
      <c r="W95" s="24">
        <v>0</v>
      </c>
      <c r="X95" s="103">
        <v>0</v>
      </c>
      <c r="Y95" s="25" t="str">
        <f>IFERROR((TABLA_AVANCE_INDICADORES[[#This Row],[AVANCE 1°. TRIM]]/TABLA_AVANCE_INDICADORES[[#This Row],[PROGR. 1° TRIM]])*100,"0")</f>
        <v>0</v>
      </c>
      <c r="Z95"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95" s="104">
        <v>0</v>
      </c>
      <c r="AB95" s="105">
        <v>0</v>
      </c>
      <c r="AC95" s="27" t="str">
        <f t="shared" si="2"/>
        <v>0</v>
      </c>
      <c r="AD95" s="26" t="str">
        <f t="shared" si="3"/>
        <v>NO PROG.</v>
      </c>
      <c r="AE95" s="104">
        <v>0</v>
      </c>
      <c r="AF95" s="105">
        <v>0</v>
      </c>
      <c r="AG95" s="27" t="str">
        <f>IFERROR((TABLA_AVANCE_INDICADORES[[#This Row],[AVANCE 3°. TRIM]]/TABLA_AVANCE_INDICADORES[[#This Row],[PROGR. 3° TRIM]])*100,"0")</f>
        <v>0</v>
      </c>
      <c r="AH95"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95" s="104">
        <v>2</v>
      </c>
      <c r="AJ95" s="105">
        <v>0</v>
      </c>
      <c r="AK95" s="27">
        <f>IFERROR((TABLA_AVANCE_INDICADORES[[#This Row],[AVANCE 4°. TRIM]]/TABLA_AVANCE_INDICADORES[[#This Row],[PROGR. 4° TRIM]])*100,"0")</f>
        <v>0</v>
      </c>
      <c r="AL95"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95"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95"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95" s="27" t="str">
        <f>IFERROR((TABLA_AVANCE_INDICADORES[[#This Row],[AVANCE ACUM. TRIM.]]/TABLA_AVANCE_INDICADORES[[#This Row],[PROG. ACUM]])*100,"N/A")</f>
        <v>N/A</v>
      </c>
      <c r="AP95"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95" s="106">
        <f>TABLA_AVANCE_INDICADORES[[#This Row],[AVANCE ACUM. TRIM.]]-TABLA_AVANCE_INDICADORES[[#This Row],[PROG. ACUM]]</f>
        <v>0</v>
      </c>
      <c r="AR95" s="32" t="str">
        <f>IFERROR((TABLA_AVANCE_INDICADORES[[#This Row],[DIFERENCIA ABSOLUTA SEMESTRAL]]/TABLA_AVANCE_INDICADORES[[#This Row],[PROG. ACUM]])*100,"N/A")</f>
        <v>N/A</v>
      </c>
      <c r="AS95"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95" s="27">
        <f>IFERROR((TABLA_AVANCE_INDICADORES[[#This Row],[AVANCE ACUM. ANUAL]]/TABLA_AVANCE_INDICADORES[[#This Row],[PROGRAMADO ANUAL]])*100,"N/A")</f>
        <v>0</v>
      </c>
      <c r="AU95"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95" s="106">
        <f>TABLA_AVANCE_INDICADORES[[#This Row],[AVANCE ACUM. ANUAL]]-TABLA_AVANCE_INDICADORES[[#This Row],[PROGRAMADO ANUAL]]</f>
        <v>-2</v>
      </c>
      <c r="AW95" s="32">
        <f>IFERROR((TABLA_AVANCE_INDICADORES[[#This Row],[DIFERENCIA ABSOLUTA ANUAL]]/TABLA_AVANCE_INDICADORES[[#This Row],[PROGRAMADO ANUAL]])*100,"N/A")</f>
        <v>-100</v>
      </c>
      <c r="AX95" s="108"/>
      <c r="AY95" s="35"/>
      <c r="AZ95" s="36"/>
      <c r="BA95" s="36"/>
      <c r="BB95"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96" spans="1:54" ht="63" hidden="1" customHeight="1" x14ac:dyDescent="0.35">
      <c r="A96" s="19" t="s">
        <v>1061</v>
      </c>
      <c r="B96" s="99" t="s">
        <v>641</v>
      </c>
      <c r="C96" s="20" t="s">
        <v>629</v>
      </c>
      <c r="D96" s="100" t="s">
        <v>628</v>
      </c>
      <c r="E96" s="20" t="s">
        <v>613</v>
      </c>
      <c r="F96" s="101" t="s">
        <v>614</v>
      </c>
      <c r="G96" s="80" t="s">
        <v>642</v>
      </c>
      <c r="H96" s="80" t="s">
        <v>1048</v>
      </c>
      <c r="I96" s="22" t="s">
        <v>722</v>
      </c>
      <c r="J96" s="22" t="s">
        <v>631</v>
      </c>
      <c r="K96" s="80" t="s">
        <v>632</v>
      </c>
      <c r="L96" s="22" t="s">
        <v>643</v>
      </c>
      <c r="M96" s="80" t="s">
        <v>644</v>
      </c>
      <c r="N96" s="21">
        <v>1</v>
      </c>
      <c r="O96" s="21" t="s">
        <v>897</v>
      </c>
      <c r="P96" s="102" t="s">
        <v>1062</v>
      </c>
      <c r="Q96" s="102" t="s">
        <v>1063</v>
      </c>
      <c r="R96" s="102" t="s">
        <v>1064</v>
      </c>
      <c r="S96" s="42" t="s">
        <v>649</v>
      </c>
      <c r="T96" s="42" t="s">
        <v>727</v>
      </c>
      <c r="U96" s="42" t="s">
        <v>746</v>
      </c>
      <c r="V96" s="24">
        <v>2</v>
      </c>
      <c r="W96" s="24">
        <v>0</v>
      </c>
      <c r="X96" s="103">
        <v>0</v>
      </c>
      <c r="Y96" s="25" t="str">
        <f>IFERROR((TABLA_AVANCE_INDICADORES[[#This Row],[AVANCE 1°. TRIM]]/TABLA_AVANCE_INDICADORES[[#This Row],[PROGR. 1° TRIM]])*100,"0")</f>
        <v>0</v>
      </c>
      <c r="Z96"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96" s="104">
        <v>1</v>
      </c>
      <c r="AB96" s="105">
        <v>1</v>
      </c>
      <c r="AC96" s="27">
        <f t="shared" si="2"/>
        <v>100</v>
      </c>
      <c r="AD96" s="26" t="str">
        <f t="shared" si="3"/>
        <v>ADECUADO</v>
      </c>
      <c r="AE96" s="104">
        <v>0</v>
      </c>
      <c r="AF96" s="105">
        <v>0</v>
      </c>
      <c r="AG96" s="27" t="str">
        <f>IFERROR((TABLA_AVANCE_INDICADORES[[#This Row],[AVANCE 3°. TRIM]]/TABLA_AVANCE_INDICADORES[[#This Row],[PROGR. 3° TRIM]])*100,"0")</f>
        <v>0</v>
      </c>
      <c r="AH96"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96" s="104">
        <v>1</v>
      </c>
      <c r="AJ96" s="105">
        <v>0</v>
      </c>
      <c r="AK96" s="27">
        <f>IFERROR((TABLA_AVANCE_INDICADORES[[#This Row],[AVANCE 4°. TRIM]]/TABLA_AVANCE_INDICADORES[[#This Row],[PROGR. 4° TRIM]])*100,"0")</f>
        <v>0</v>
      </c>
      <c r="AL96"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96"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v>
      </c>
      <c r="AN96"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O96" s="27">
        <f>IFERROR((TABLA_AVANCE_INDICADORES[[#This Row],[AVANCE ACUM. TRIM.]]/TABLA_AVANCE_INDICADORES[[#This Row],[PROG. ACUM]])*100,"N/A")</f>
        <v>100</v>
      </c>
      <c r="AP96"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96" s="106">
        <f>TABLA_AVANCE_INDICADORES[[#This Row],[AVANCE ACUM. TRIM.]]-TABLA_AVANCE_INDICADORES[[#This Row],[PROG. ACUM]]</f>
        <v>0</v>
      </c>
      <c r="AR96" s="32">
        <f>IFERROR((TABLA_AVANCE_INDICADORES[[#This Row],[DIFERENCIA ABSOLUTA SEMESTRAL]]/TABLA_AVANCE_INDICADORES[[#This Row],[PROG. ACUM]])*100,"N/A")</f>
        <v>0</v>
      </c>
      <c r="AS96"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T96" s="27">
        <f>IFERROR((TABLA_AVANCE_INDICADORES[[#This Row],[AVANCE ACUM. ANUAL]]/TABLA_AVANCE_INDICADORES[[#This Row],[PROGRAMADO ANUAL]])*100,"N/A")</f>
        <v>50</v>
      </c>
      <c r="AU96"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96" s="106">
        <f>TABLA_AVANCE_INDICADORES[[#This Row],[AVANCE ACUM. ANUAL]]-TABLA_AVANCE_INDICADORES[[#This Row],[PROGRAMADO ANUAL]]</f>
        <v>-1</v>
      </c>
      <c r="AW96" s="32">
        <f>IFERROR((TABLA_AVANCE_INDICADORES[[#This Row],[DIFERENCIA ABSOLUTA ANUAL]]/TABLA_AVANCE_INDICADORES[[#This Row],[PROGRAMADO ANUAL]])*100,"N/A")</f>
        <v>-50</v>
      </c>
      <c r="AX96" s="108"/>
      <c r="AY96" s="35" t="s">
        <v>1065</v>
      </c>
      <c r="AZ96" s="36"/>
      <c r="BA96" s="36"/>
      <c r="BB96"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97" spans="1:54" ht="63" hidden="1" customHeight="1" x14ac:dyDescent="0.35">
      <c r="A97" s="19" t="s">
        <v>1066</v>
      </c>
      <c r="B97" s="99" t="s">
        <v>641</v>
      </c>
      <c r="C97" s="20" t="s">
        <v>629</v>
      </c>
      <c r="D97" s="100" t="s">
        <v>628</v>
      </c>
      <c r="E97" s="20" t="s">
        <v>613</v>
      </c>
      <c r="F97" s="101" t="s">
        <v>614</v>
      </c>
      <c r="G97" s="80" t="s">
        <v>642</v>
      </c>
      <c r="H97" s="80" t="s">
        <v>1048</v>
      </c>
      <c r="I97" s="22" t="s">
        <v>722</v>
      </c>
      <c r="J97" s="22" t="s">
        <v>631</v>
      </c>
      <c r="K97" s="80" t="s">
        <v>632</v>
      </c>
      <c r="L97" s="22" t="s">
        <v>643</v>
      </c>
      <c r="M97" s="80" t="s">
        <v>644</v>
      </c>
      <c r="N97" s="21">
        <v>2</v>
      </c>
      <c r="O97" s="21" t="s">
        <v>897</v>
      </c>
      <c r="P97" s="102" t="s">
        <v>1062</v>
      </c>
      <c r="Q97" s="102" t="s">
        <v>1067</v>
      </c>
      <c r="R97" s="102" t="s">
        <v>1064</v>
      </c>
      <c r="S97" s="42" t="s">
        <v>649</v>
      </c>
      <c r="T97" s="42" t="s">
        <v>727</v>
      </c>
      <c r="U97" s="42" t="s">
        <v>746</v>
      </c>
      <c r="V97" s="24">
        <v>2</v>
      </c>
      <c r="W97" s="24">
        <v>0</v>
      </c>
      <c r="X97" s="112">
        <v>0</v>
      </c>
      <c r="Y97" s="25" t="str">
        <f>IFERROR((TABLA_AVANCE_INDICADORES[[#This Row],[AVANCE 1°. TRIM]]/TABLA_AVANCE_INDICADORES[[#This Row],[PROGR. 1° TRIM]])*100,"0")</f>
        <v>0</v>
      </c>
      <c r="Z97"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97" s="104">
        <v>1</v>
      </c>
      <c r="AB97" s="113">
        <v>1</v>
      </c>
      <c r="AC97" s="27">
        <f t="shared" si="2"/>
        <v>100</v>
      </c>
      <c r="AD97" s="26" t="str">
        <f t="shared" si="3"/>
        <v>ADECUADO</v>
      </c>
      <c r="AE97" s="104">
        <v>0</v>
      </c>
      <c r="AF97" s="113">
        <f>AE97</f>
        <v>0</v>
      </c>
      <c r="AG97" s="27" t="str">
        <f>IFERROR((TABLA_AVANCE_INDICADORES[[#This Row],[AVANCE 3°. TRIM]]/TABLA_AVANCE_INDICADORES[[#This Row],[PROGR. 3° TRIM]])*100,"0")</f>
        <v>0</v>
      </c>
      <c r="AH97"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97" s="104">
        <v>1</v>
      </c>
      <c r="AJ97" s="113">
        <f>AI97</f>
        <v>1</v>
      </c>
      <c r="AK97" s="27">
        <f>IFERROR((TABLA_AVANCE_INDICADORES[[#This Row],[AVANCE 4°. TRIM]]/TABLA_AVANCE_INDICADORES[[#This Row],[PROGR. 4° TRIM]])*100,"0")</f>
        <v>100</v>
      </c>
      <c r="AL97"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97"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v>
      </c>
      <c r="AN97"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O97" s="27">
        <f>IFERROR((TABLA_AVANCE_INDICADORES[[#This Row],[AVANCE ACUM. TRIM.]]/TABLA_AVANCE_INDICADORES[[#This Row],[PROG. ACUM]])*100,"N/A")</f>
        <v>100</v>
      </c>
      <c r="AP97"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97" s="106">
        <f>TABLA_AVANCE_INDICADORES[[#This Row],[AVANCE ACUM. TRIM.]]-TABLA_AVANCE_INDICADORES[[#This Row],[PROG. ACUM]]</f>
        <v>0</v>
      </c>
      <c r="AR97" s="32">
        <f>IFERROR((TABLA_AVANCE_INDICADORES[[#This Row],[DIFERENCIA ABSOLUTA SEMESTRAL]]/TABLA_AVANCE_INDICADORES[[#This Row],[PROG. ACUM]])*100,"N/A")</f>
        <v>0</v>
      </c>
      <c r="AS97"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T97" s="27">
        <f>IFERROR((TABLA_AVANCE_INDICADORES[[#This Row],[AVANCE ACUM. ANUAL]]/TABLA_AVANCE_INDICADORES[[#This Row],[PROGRAMADO ANUAL]])*100,"N/A")</f>
        <v>50</v>
      </c>
      <c r="AU97"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97" s="106">
        <f>TABLA_AVANCE_INDICADORES[[#This Row],[AVANCE ACUM. ANUAL]]-TABLA_AVANCE_INDICADORES[[#This Row],[PROGRAMADO ANUAL]]</f>
        <v>-1</v>
      </c>
      <c r="AW97" s="32">
        <f>IFERROR((TABLA_AVANCE_INDICADORES[[#This Row],[DIFERENCIA ABSOLUTA ANUAL]]/TABLA_AVANCE_INDICADORES[[#This Row],[PROGRAMADO ANUAL]])*100,"N/A")</f>
        <v>-50</v>
      </c>
      <c r="AX97" s="108"/>
      <c r="AY97" s="35" t="s">
        <v>1065</v>
      </c>
      <c r="AZ97" s="36"/>
      <c r="BA97" s="36"/>
      <c r="BB97"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98" spans="1:54" ht="63" hidden="1" customHeight="1" x14ac:dyDescent="0.35">
      <c r="A98" s="19" t="s">
        <v>1068</v>
      </c>
      <c r="B98" s="99" t="s">
        <v>628</v>
      </c>
      <c r="C98" s="20" t="s">
        <v>629</v>
      </c>
      <c r="D98" s="100" t="s">
        <v>628</v>
      </c>
      <c r="E98" s="20" t="s">
        <v>613</v>
      </c>
      <c r="F98" s="101" t="s">
        <v>614</v>
      </c>
      <c r="G98" s="80" t="s">
        <v>630</v>
      </c>
      <c r="H98" s="80" t="s">
        <v>1048</v>
      </c>
      <c r="I98" s="22" t="s">
        <v>722</v>
      </c>
      <c r="J98" s="22" t="s">
        <v>631</v>
      </c>
      <c r="K98" s="80" t="s">
        <v>632</v>
      </c>
      <c r="L98" s="22" t="s">
        <v>633</v>
      </c>
      <c r="M98" s="80" t="s">
        <v>634</v>
      </c>
      <c r="N98" s="21">
        <v>1</v>
      </c>
      <c r="O98" s="21" t="s">
        <v>758</v>
      </c>
      <c r="P98" s="102" t="s">
        <v>1069</v>
      </c>
      <c r="Q98" s="102" t="s">
        <v>1070</v>
      </c>
      <c r="R98" s="102" t="s">
        <v>1071</v>
      </c>
      <c r="S98" s="42" t="s">
        <v>1072</v>
      </c>
      <c r="T98" s="42" t="s">
        <v>727</v>
      </c>
      <c r="U98" s="42" t="s">
        <v>754</v>
      </c>
      <c r="V98" s="24">
        <v>10</v>
      </c>
      <c r="W98" s="24">
        <v>0</v>
      </c>
      <c r="X98" s="103">
        <v>0</v>
      </c>
      <c r="Y98" s="25" t="str">
        <f>IFERROR((TABLA_AVANCE_INDICADORES[[#This Row],[AVANCE 1°. TRIM]]/TABLA_AVANCE_INDICADORES[[#This Row],[PROGR. 1° TRIM]])*100,"0")</f>
        <v>0</v>
      </c>
      <c r="Z98"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98" s="104">
        <v>10</v>
      </c>
      <c r="AB98" s="105">
        <v>10</v>
      </c>
      <c r="AC98" s="27">
        <f t="shared" si="2"/>
        <v>100</v>
      </c>
      <c r="AD98" s="26" t="str">
        <f t="shared" si="3"/>
        <v>ADECUADO</v>
      </c>
      <c r="AE98" s="104">
        <v>0</v>
      </c>
      <c r="AF98" s="105">
        <v>0</v>
      </c>
      <c r="AG98" s="27" t="str">
        <f>IFERROR((TABLA_AVANCE_INDICADORES[[#This Row],[AVANCE 3°. TRIM]]/TABLA_AVANCE_INDICADORES[[#This Row],[PROGR. 3° TRIM]])*100,"0")</f>
        <v>0</v>
      </c>
      <c r="AH98"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98" s="104">
        <v>0</v>
      </c>
      <c r="AJ98" s="105">
        <v>0</v>
      </c>
      <c r="AK98" s="27" t="str">
        <f>IFERROR((TABLA_AVANCE_INDICADORES[[#This Row],[AVANCE 4°. TRIM]]/TABLA_AVANCE_INDICADORES[[#This Row],[PROGR. 4° TRIM]])*100,"0")</f>
        <v>0</v>
      </c>
      <c r="AL98"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NO PROG.</v>
      </c>
      <c r="AM98"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10</v>
      </c>
      <c r="AN98"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10</v>
      </c>
      <c r="AO98" s="27">
        <f>IFERROR((TABLA_AVANCE_INDICADORES[[#This Row],[AVANCE ACUM. TRIM.]]/TABLA_AVANCE_INDICADORES[[#This Row],[PROG. ACUM]])*100,"N/A")</f>
        <v>100</v>
      </c>
      <c r="AP98"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98" s="106">
        <f>TABLA_AVANCE_INDICADORES[[#This Row],[AVANCE ACUM. TRIM.]]-TABLA_AVANCE_INDICADORES[[#This Row],[PROG. ACUM]]</f>
        <v>0</v>
      </c>
      <c r="AR98" s="32">
        <f>IFERROR((TABLA_AVANCE_INDICADORES[[#This Row],[DIFERENCIA ABSOLUTA SEMESTRAL]]/TABLA_AVANCE_INDICADORES[[#This Row],[PROG. ACUM]])*100,"N/A")</f>
        <v>0</v>
      </c>
      <c r="AS98"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10</v>
      </c>
      <c r="AT98" s="27">
        <f>IFERROR((TABLA_AVANCE_INDICADORES[[#This Row],[AVANCE ACUM. ANUAL]]/TABLA_AVANCE_INDICADORES[[#This Row],[PROGRAMADO ANUAL]])*100,"N/A")</f>
        <v>100</v>
      </c>
      <c r="AU98"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ADECUADO</v>
      </c>
      <c r="AV98" s="106">
        <f>TABLA_AVANCE_INDICADORES[[#This Row],[AVANCE ACUM. ANUAL]]-TABLA_AVANCE_INDICADORES[[#This Row],[PROGRAMADO ANUAL]]</f>
        <v>0</v>
      </c>
      <c r="AW98" s="32">
        <f>IFERROR((TABLA_AVANCE_INDICADORES[[#This Row],[DIFERENCIA ABSOLUTA ANUAL]]/TABLA_AVANCE_INDICADORES[[#This Row],[PROGRAMADO ANUAL]])*100,"N/A")</f>
        <v>0</v>
      </c>
      <c r="AX98" s="108"/>
      <c r="AY98" s="35" t="s">
        <v>1073</v>
      </c>
      <c r="AZ98" s="36"/>
      <c r="BA98" s="36"/>
      <c r="BB98"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99" spans="1:54" ht="63" hidden="1" customHeight="1" x14ac:dyDescent="0.35">
      <c r="A99" s="19" t="s">
        <v>1074</v>
      </c>
      <c r="B99" s="99" t="s">
        <v>628</v>
      </c>
      <c r="C99" s="20" t="s">
        <v>629</v>
      </c>
      <c r="D99" s="100" t="s">
        <v>628</v>
      </c>
      <c r="E99" s="20" t="s">
        <v>613</v>
      </c>
      <c r="F99" s="101" t="s">
        <v>614</v>
      </c>
      <c r="G99" s="80" t="s">
        <v>630</v>
      </c>
      <c r="H99" s="80" t="s">
        <v>1048</v>
      </c>
      <c r="I99" s="22" t="s">
        <v>722</v>
      </c>
      <c r="J99" s="22" t="s">
        <v>631</v>
      </c>
      <c r="K99" s="80" t="s">
        <v>632</v>
      </c>
      <c r="L99" s="22" t="s">
        <v>633</v>
      </c>
      <c r="M99" s="80" t="s">
        <v>634</v>
      </c>
      <c r="N99" s="21">
        <v>2</v>
      </c>
      <c r="O99" s="21" t="s">
        <v>758</v>
      </c>
      <c r="P99" s="102" t="s">
        <v>1069</v>
      </c>
      <c r="Q99" s="102" t="s">
        <v>1075</v>
      </c>
      <c r="R99" s="102" t="s">
        <v>1071</v>
      </c>
      <c r="S99" s="42" t="s">
        <v>1072</v>
      </c>
      <c r="T99" s="42" t="s">
        <v>727</v>
      </c>
      <c r="U99" s="42" t="s">
        <v>754</v>
      </c>
      <c r="V99" s="24">
        <v>10</v>
      </c>
      <c r="W99" s="24">
        <v>0</v>
      </c>
      <c r="X99" s="112">
        <v>0</v>
      </c>
      <c r="Y99" s="25" t="str">
        <f>IFERROR((TABLA_AVANCE_INDICADORES[[#This Row],[AVANCE 1°. TRIM]]/TABLA_AVANCE_INDICADORES[[#This Row],[PROGR. 1° TRIM]])*100,"0")</f>
        <v>0</v>
      </c>
      <c r="Z99"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99" s="104">
        <v>10</v>
      </c>
      <c r="AB99" s="113">
        <v>10</v>
      </c>
      <c r="AC99" s="27">
        <f t="shared" si="2"/>
        <v>100</v>
      </c>
      <c r="AD99" s="26" t="str">
        <f t="shared" si="3"/>
        <v>ADECUADO</v>
      </c>
      <c r="AE99" s="104">
        <v>0</v>
      </c>
      <c r="AF99" s="113">
        <f>AE99</f>
        <v>0</v>
      </c>
      <c r="AG99" s="27" t="str">
        <f>IFERROR((TABLA_AVANCE_INDICADORES[[#This Row],[AVANCE 3°. TRIM]]/TABLA_AVANCE_INDICADORES[[#This Row],[PROGR. 3° TRIM]])*100,"0")</f>
        <v>0</v>
      </c>
      <c r="AH99"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99" s="104">
        <v>0</v>
      </c>
      <c r="AJ99" s="113">
        <f>AI99</f>
        <v>0</v>
      </c>
      <c r="AK99" s="27" t="str">
        <f>IFERROR((TABLA_AVANCE_INDICADORES[[#This Row],[AVANCE 4°. TRIM]]/TABLA_AVANCE_INDICADORES[[#This Row],[PROGR. 4° TRIM]])*100,"0")</f>
        <v>0</v>
      </c>
      <c r="AL99"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NO PROG.</v>
      </c>
      <c r="AM99"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10</v>
      </c>
      <c r="AN99"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10</v>
      </c>
      <c r="AO99" s="27">
        <f>IFERROR((TABLA_AVANCE_INDICADORES[[#This Row],[AVANCE ACUM. TRIM.]]/TABLA_AVANCE_INDICADORES[[#This Row],[PROG. ACUM]])*100,"N/A")</f>
        <v>100</v>
      </c>
      <c r="AP99"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99" s="106">
        <f>TABLA_AVANCE_INDICADORES[[#This Row],[AVANCE ACUM. TRIM.]]-TABLA_AVANCE_INDICADORES[[#This Row],[PROG. ACUM]]</f>
        <v>0</v>
      </c>
      <c r="AR99" s="32">
        <f>IFERROR((TABLA_AVANCE_INDICADORES[[#This Row],[DIFERENCIA ABSOLUTA SEMESTRAL]]/TABLA_AVANCE_INDICADORES[[#This Row],[PROG. ACUM]])*100,"N/A")</f>
        <v>0</v>
      </c>
      <c r="AS99"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10</v>
      </c>
      <c r="AT99" s="27">
        <f>IFERROR((TABLA_AVANCE_INDICADORES[[#This Row],[AVANCE ACUM. ANUAL]]/TABLA_AVANCE_INDICADORES[[#This Row],[PROGRAMADO ANUAL]])*100,"N/A")</f>
        <v>100</v>
      </c>
      <c r="AU99"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ADECUADO</v>
      </c>
      <c r="AV99" s="106">
        <f>TABLA_AVANCE_INDICADORES[[#This Row],[AVANCE ACUM. ANUAL]]-TABLA_AVANCE_INDICADORES[[#This Row],[PROGRAMADO ANUAL]]</f>
        <v>0</v>
      </c>
      <c r="AW99" s="32">
        <f>IFERROR((TABLA_AVANCE_INDICADORES[[#This Row],[DIFERENCIA ABSOLUTA ANUAL]]/TABLA_AVANCE_INDICADORES[[#This Row],[PROGRAMADO ANUAL]])*100,"N/A")</f>
        <v>0</v>
      </c>
      <c r="AX99" s="108"/>
      <c r="AY99" s="35" t="s">
        <v>1073</v>
      </c>
      <c r="AZ99" s="36"/>
      <c r="BA99" s="36"/>
      <c r="BB99"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00" spans="1:54" ht="63" hidden="1" customHeight="1" x14ac:dyDescent="0.35">
      <c r="A100" s="19" t="s">
        <v>1076</v>
      </c>
      <c r="B100" s="99" t="s">
        <v>641</v>
      </c>
      <c r="C100" s="20" t="s">
        <v>629</v>
      </c>
      <c r="D100" s="100" t="s">
        <v>628</v>
      </c>
      <c r="E100" s="20" t="s">
        <v>613</v>
      </c>
      <c r="F100" s="101" t="s">
        <v>614</v>
      </c>
      <c r="G100" s="80" t="s">
        <v>642</v>
      </c>
      <c r="H100" s="80" t="s">
        <v>1048</v>
      </c>
      <c r="I100" s="22" t="s">
        <v>722</v>
      </c>
      <c r="J100" s="22" t="s">
        <v>631</v>
      </c>
      <c r="K100" s="80" t="s">
        <v>632</v>
      </c>
      <c r="L100" s="22" t="s">
        <v>643</v>
      </c>
      <c r="M100" s="80" t="s">
        <v>644</v>
      </c>
      <c r="N100" s="21">
        <v>1</v>
      </c>
      <c r="O100" s="21" t="s">
        <v>1077</v>
      </c>
      <c r="P100" s="102" t="s">
        <v>1078</v>
      </c>
      <c r="Q100" s="102" t="s">
        <v>1079</v>
      </c>
      <c r="R100" s="102" t="s">
        <v>1080</v>
      </c>
      <c r="S100" s="42" t="s">
        <v>523</v>
      </c>
      <c r="T100" s="42" t="s">
        <v>727</v>
      </c>
      <c r="U100" s="42" t="s">
        <v>754</v>
      </c>
      <c r="V100" s="24">
        <v>2</v>
      </c>
      <c r="W100" s="24">
        <v>0</v>
      </c>
      <c r="X100" s="103">
        <v>0</v>
      </c>
      <c r="Y100" s="25" t="str">
        <f>IFERROR((TABLA_AVANCE_INDICADORES[[#This Row],[AVANCE 1°. TRIM]]/TABLA_AVANCE_INDICADORES[[#This Row],[PROGR. 1° TRIM]])*100,"0")</f>
        <v>0</v>
      </c>
      <c r="Z100"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00" s="104">
        <v>1</v>
      </c>
      <c r="AB100" s="105">
        <v>1</v>
      </c>
      <c r="AC100" s="27">
        <f t="shared" si="2"/>
        <v>100</v>
      </c>
      <c r="AD100" s="26" t="str">
        <f t="shared" si="3"/>
        <v>ADECUADO</v>
      </c>
      <c r="AE100" s="104">
        <v>0</v>
      </c>
      <c r="AF100" s="105">
        <v>0</v>
      </c>
      <c r="AG100" s="27" t="str">
        <f>IFERROR((TABLA_AVANCE_INDICADORES[[#This Row],[AVANCE 3°. TRIM]]/TABLA_AVANCE_INDICADORES[[#This Row],[PROGR. 3° TRIM]])*100,"0")</f>
        <v>0</v>
      </c>
      <c r="AH100"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00" s="104">
        <v>1</v>
      </c>
      <c r="AJ100" s="105">
        <v>0</v>
      </c>
      <c r="AK100" s="27">
        <f>IFERROR((TABLA_AVANCE_INDICADORES[[#This Row],[AVANCE 4°. TRIM]]/TABLA_AVANCE_INDICADORES[[#This Row],[PROGR. 4° TRIM]])*100,"0")</f>
        <v>0</v>
      </c>
      <c r="AL100"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00"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v>
      </c>
      <c r="AN100"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O100" s="27">
        <f>IFERROR((TABLA_AVANCE_INDICADORES[[#This Row],[AVANCE ACUM. TRIM.]]/TABLA_AVANCE_INDICADORES[[#This Row],[PROG. ACUM]])*100,"N/A")</f>
        <v>100</v>
      </c>
      <c r="AP100"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00" s="106">
        <f>TABLA_AVANCE_INDICADORES[[#This Row],[AVANCE ACUM. TRIM.]]-TABLA_AVANCE_INDICADORES[[#This Row],[PROG. ACUM]]</f>
        <v>0</v>
      </c>
      <c r="AR100" s="32">
        <f>IFERROR((TABLA_AVANCE_INDICADORES[[#This Row],[DIFERENCIA ABSOLUTA SEMESTRAL]]/TABLA_AVANCE_INDICADORES[[#This Row],[PROG. ACUM]])*100,"N/A")</f>
        <v>0</v>
      </c>
      <c r="AS100"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T100" s="27">
        <f>IFERROR((TABLA_AVANCE_INDICADORES[[#This Row],[AVANCE ACUM. ANUAL]]/TABLA_AVANCE_INDICADORES[[#This Row],[PROGRAMADO ANUAL]])*100,"N/A")</f>
        <v>50</v>
      </c>
      <c r="AU100"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00" s="106">
        <f>TABLA_AVANCE_INDICADORES[[#This Row],[AVANCE ACUM. ANUAL]]-TABLA_AVANCE_INDICADORES[[#This Row],[PROGRAMADO ANUAL]]</f>
        <v>-1</v>
      </c>
      <c r="AW100" s="32">
        <f>IFERROR((TABLA_AVANCE_INDICADORES[[#This Row],[DIFERENCIA ABSOLUTA ANUAL]]/TABLA_AVANCE_INDICADORES[[#This Row],[PROGRAMADO ANUAL]])*100,"N/A")</f>
        <v>-50</v>
      </c>
      <c r="AX100" s="108"/>
      <c r="AY100" s="35" t="s">
        <v>1081</v>
      </c>
      <c r="AZ100" s="36"/>
      <c r="BA100" s="36"/>
      <c r="BB100"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01" spans="1:54" ht="63" hidden="1" customHeight="1" x14ac:dyDescent="0.35">
      <c r="A101" s="19" t="s">
        <v>1082</v>
      </c>
      <c r="B101" s="99" t="s">
        <v>641</v>
      </c>
      <c r="C101" s="20" t="s">
        <v>629</v>
      </c>
      <c r="D101" s="100" t="s">
        <v>628</v>
      </c>
      <c r="E101" s="20" t="s">
        <v>613</v>
      </c>
      <c r="F101" s="101" t="s">
        <v>614</v>
      </c>
      <c r="G101" s="80" t="s">
        <v>642</v>
      </c>
      <c r="H101" s="80" t="s">
        <v>1048</v>
      </c>
      <c r="I101" s="22" t="s">
        <v>722</v>
      </c>
      <c r="J101" s="22" t="s">
        <v>631</v>
      </c>
      <c r="K101" s="80" t="s">
        <v>632</v>
      </c>
      <c r="L101" s="22" t="s">
        <v>643</v>
      </c>
      <c r="M101" s="80" t="s">
        <v>644</v>
      </c>
      <c r="N101" s="21">
        <v>2</v>
      </c>
      <c r="O101" s="21" t="s">
        <v>1077</v>
      </c>
      <c r="P101" s="110" t="s">
        <v>1078</v>
      </c>
      <c r="Q101" s="110" t="s">
        <v>1083</v>
      </c>
      <c r="R101" s="110" t="s">
        <v>1080</v>
      </c>
      <c r="S101" s="42" t="s">
        <v>523</v>
      </c>
      <c r="T101" s="42" t="s">
        <v>727</v>
      </c>
      <c r="U101" s="42" t="s">
        <v>754</v>
      </c>
      <c r="V101" s="24">
        <v>2</v>
      </c>
      <c r="W101" s="24">
        <v>0</v>
      </c>
      <c r="X101" s="103">
        <v>0</v>
      </c>
      <c r="Y101" s="25" t="str">
        <f>IFERROR((TABLA_AVANCE_INDICADORES[[#This Row],[AVANCE 1°. TRIM]]/TABLA_AVANCE_INDICADORES[[#This Row],[PROGR. 1° TRIM]])*100,"0")</f>
        <v>0</v>
      </c>
      <c r="Z101"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01" s="104">
        <v>0</v>
      </c>
      <c r="AB101" s="105">
        <v>0</v>
      </c>
      <c r="AC101" s="27" t="str">
        <f t="shared" si="2"/>
        <v>0</v>
      </c>
      <c r="AD101" s="26" t="str">
        <f t="shared" si="3"/>
        <v>NO PROG.</v>
      </c>
      <c r="AE101" s="104">
        <v>1</v>
      </c>
      <c r="AF101" s="105">
        <v>0</v>
      </c>
      <c r="AG101" s="27">
        <f>IFERROR((TABLA_AVANCE_INDICADORES[[#This Row],[AVANCE 3°. TRIM]]/TABLA_AVANCE_INDICADORES[[#This Row],[PROGR. 3° TRIM]])*100,"0")</f>
        <v>0</v>
      </c>
      <c r="AH101"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01" s="104">
        <v>1</v>
      </c>
      <c r="AJ101" s="105">
        <v>0</v>
      </c>
      <c r="AK101" s="27">
        <f>IFERROR((TABLA_AVANCE_INDICADORES[[#This Row],[AVANCE 4°. TRIM]]/TABLA_AVANCE_INDICADORES[[#This Row],[PROGR. 4° TRIM]])*100,"0")</f>
        <v>0</v>
      </c>
      <c r="AL101"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01"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01"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01" s="27" t="str">
        <f>IFERROR((TABLA_AVANCE_INDICADORES[[#This Row],[AVANCE ACUM. TRIM.]]/TABLA_AVANCE_INDICADORES[[#This Row],[PROG. ACUM]])*100,"N/A")</f>
        <v>N/A</v>
      </c>
      <c r="AP101"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01" s="106">
        <f>TABLA_AVANCE_INDICADORES[[#This Row],[AVANCE ACUM. TRIM.]]-TABLA_AVANCE_INDICADORES[[#This Row],[PROG. ACUM]]</f>
        <v>0</v>
      </c>
      <c r="AR101" s="32" t="str">
        <f>IFERROR((TABLA_AVANCE_INDICADORES[[#This Row],[DIFERENCIA ABSOLUTA SEMESTRAL]]/TABLA_AVANCE_INDICADORES[[#This Row],[PROG. ACUM]])*100,"N/A")</f>
        <v>N/A</v>
      </c>
      <c r="AS101"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01" s="27">
        <f>IFERROR((TABLA_AVANCE_INDICADORES[[#This Row],[AVANCE ACUM. ANUAL]]/TABLA_AVANCE_INDICADORES[[#This Row],[PROGRAMADO ANUAL]])*100,"N/A")</f>
        <v>0</v>
      </c>
      <c r="AU101"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01" s="106">
        <f>TABLA_AVANCE_INDICADORES[[#This Row],[AVANCE ACUM. ANUAL]]-TABLA_AVANCE_INDICADORES[[#This Row],[PROGRAMADO ANUAL]]</f>
        <v>-2</v>
      </c>
      <c r="AW101" s="32">
        <f>IFERROR((TABLA_AVANCE_INDICADORES[[#This Row],[DIFERENCIA ABSOLUTA ANUAL]]/TABLA_AVANCE_INDICADORES[[#This Row],[PROGRAMADO ANUAL]])*100,"N/A")</f>
        <v>-100</v>
      </c>
      <c r="AX101" s="108"/>
      <c r="AY101" s="35"/>
      <c r="AZ101" s="36"/>
      <c r="BA101" s="36"/>
      <c r="BB101"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02" spans="1:54" ht="63" hidden="1" customHeight="1" x14ac:dyDescent="0.35">
      <c r="A102" s="19" t="s">
        <v>1084</v>
      </c>
      <c r="B102" s="99" t="s">
        <v>628</v>
      </c>
      <c r="C102" s="20" t="s">
        <v>629</v>
      </c>
      <c r="D102" s="100" t="s">
        <v>628</v>
      </c>
      <c r="E102" s="20" t="s">
        <v>613</v>
      </c>
      <c r="F102" s="101" t="s">
        <v>614</v>
      </c>
      <c r="G102" s="80" t="s">
        <v>630</v>
      </c>
      <c r="H102" s="80" t="s">
        <v>1048</v>
      </c>
      <c r="I102" s="22" t="s">
        <v>722</v>
      </c>
      <c r="J102" s="22" t="s">
        <v>631</v>
      </c>
      <c r="K102" s="80" t="s">
        <v>632</v>
      </c>
      <c r="L102" s="22" t="s">
        <v>633</v>
      </c>
      <c r="M102" s="80" t="s">
        <v>634</v>
      </c>
      <c r="N102" s="21">
        <v>1</v>
      </c>
      <c r="O102" s="21" t="s">
        <v>765</v>
      </c>
      <c r="P102" s="102" t="s">
        <v>1085</v>
      </c>
      <c r="Q102" s="102" t="s">
        <v>1086</v>
      </c>
      <c r="R102" s="102" t="s">
        <v>1087</v>
      </c>
      <c r="S102" s="42" t="s">
        <v>130</v>
      </c>
      <c r="T102" s="42" t="s">
        <v>727</v>
      </c>
      <c r="U102" s="42" t="s">
        <v>746</v>
      </c>
      <c r="V102" s="24">
        <v>1</v>
      </c>
      <c r="W102" s="24">
        <v>0</v>
      </c>
      <c r="X102" s="103">
        <v>0</v>
      </c>
      <c r="Y102" s="25" t="str">
        <f>IFERROR((TABLA_AVANCE_INDICADORES[[#This Row],[AVANCE 1°. TRIM]]/TABLA_AVANCE_INDICADORES[[#This Row],[PROGR. 1° TRIM]])*100,"0")</f>
        <v>0</v>
      </c>
      <c r="Z102"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02" s="104">
        <v>1</v>
      </c>
      <c r="AB102" s="105">
        <v>1</v>
      </c>
      <c r="AC102" s="27">
        <f t="shared" si="2"/>
        <v>100</v>
      </c>
      <c r="AD102" s="26" t="str">
        <f t="shared" si="3"/>
        <v>ADECUADO</v>
      </c>
      <c r="AE102" s="104">
        <v>0</v>
      </c>
      <c r="AF102" s="105">
        <v>0</v>
      </c>
      <c r="AG102" s="27" t="str">
        <f>IFERROR((TABLA_AVANCE_INDICADORES[[#This Row],[AVANCE 3°. TRIM]]/TABLA_AVANCE_INDICADORES[[#This Row],[PROGR. 3° TRIM]])*100,"0")</f>
        <v>0</v>
      </c>
      <c r="AH102"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02" s="104">
        <v>0</v>
      </c>
      <c r="AJ102" s="105">
        <v>0</v>
      </c>
      <c r="AK102" s="27" t="str">
        <f>IFERROR((TABLA_AVANCE_INDICADORES[[#This Row],[AVANCE 4°. TRIM]]/TABLA_AVANCE_INDICADORES[[#This Row],[PROGR. 4° TRIM]])*100,"0")</f>
        <v>0</v>
      </c>
      <c r="AL102"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NO PROG.</v>
      </c>
      <c r="AM102"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v>
      </c>
      <c r="AN102"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O102" s="27">
        <f>IFERROR((TABLA_AVANCE_INDICADORES[[#This Row],[AVANCE ACUM. TRIM.]]/TABLA_AVANCE_INDICADORES[[#This Row],[PROG. ACUM]])*100,"N/A")</f>
        <v>100</v>
      </c>
      <c r="AP102"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02" s="106">
        <f>TABLA_AVANCE_INDICADORES[[#This Row],[AVANCE ACUM. TRIM.]]-TABLA_AVANCE_INDICADORES[[#This Row],[PROG. ACUM]]</f>
        <v>0</v>
      </c>
      <c r="AR102" s="32">
        <f>IFERROR((TABLA_AVANCE_INDICADORES[[#This Row],[DIFERENCIA ABSOLUTA SEMESTRAL]]/TABLA_AVANCE_INDICADORES[[#This Row],[PROG. ACUM]])*100,"N/A")</f>
        <v>0</v>
      </c>
      <c r="AS102"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T102" s="27">
        <f>IFERROR((TABLA_AVANCE_INDICADORES[[#This Row],[AVANCE ACUM. ANUAL]]/TABLA_AVANCE_INDICADORES[[#This Row],[PROGRAMADO ANUAL]])*100,"N/A")</f>
        <v>100</v>
      </c>
      <c r="AU102"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ADECUADO</v>
      </c>
      <c r="AV102" s="106">
        <f>TABLA_AVANCE_INDICADORES[[#This Row],[AVANCE ACUM. ANUAL]]-TABLA_AVANCE_INDICADORES[[#This Row],[PROGRAMADO ANUAL]]</f>
        <v>0</v>
      </c>
      <c r="AW102" s="32">
        <f>IFERROR((TABLA_AVANCE_INDICADORES[[#This Row],[DIFERENCIA ABSOLUTA ANUAL]]/TABLA_AVANCE_INDICADORES[[#This Row],[PROGRAMADO ANUAL]])*100,"N/A")</f>
        <v>0</v>
      </c>
      <c r="AX102" s="108"/>
      <c r="AY102" s="35" t="s">
        <v>1088</v>
      </c>
      <c r="AZ102" s="36"/>
      <c r="BA102" s="36"/>
      <c r="BB102"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03" spans="1:54" ht="63" hidden="1" customHeight="1" x14ac:dyDescent="0.35">
      <c r="A103" s="19" t="s">
        <v>1089</v>
      </c>
      <c r="B103" s="99" t="s">
        <v>628</v>
      </c>
      <c r="C103" s="20" t="s">
        <v>629</v>
      </c>
      <c r="D103" s="100" t="s">
        <v>628</v>
      </c>
      <c r="E103" s="20" t="s">
        <v>613</v>
      </c>
      <c r="F103" s="101" t="s">
        <v>614</v>
      </c>
      <c r="G103" s="80" t="s">
        <v>630</v>
      </c>
      <c r="H103" s="80" t="s">
        <v>1048</v>
      </c>
      <c r="I103" s="22" t="s">
        <v>722</v>
      </c>
      <c r="J103" s="22" t="s">
        <v>631</v>
      </c>
      <c r="K103" s="80" t="s">
        <v>632</v>
      </c>
      <c r="L103" s="22" t="s">
        <v>633</v>
      </c>
      <c r="M103" s="80" t="s">
        <v>634</v>
      </c>
      <c r="N103" s="21">
        <v>2</v>
      </c>
      <c r="O103" s="21" t="s">
        <v>765</v>
      </c>
      <c r="P103" s="102" t="s">
        <v>1085</v>
      </c>
      <c r="Q103" s="102" t="s">
        <v>1090</v>
      </c>
      <c r="R103" s="102" t="s">
        <v>1087</v>
      </c>
      <c r="S103" s="42" t="s">
        <v>130</v>
      </c>
      <c r="T103" s="42" t="s">
        <v>727</v>
      </c>
      <c r="U103" s="42" t="s">
        <v>746</v>
      </c>
      <c r="V103" s="24">
        <v>1</v>
      </c>
      <c r="W103" s="24">
        <v>0</v>
      </c>
      <c r="X103" s="112">
        <v>0</v>
      </c>
      <c r="Y103" s="25" t="str">
        <f>IFERROR((TABLA_AVANCE_INDICADORES[[#This Row],[AVANCE 1°. TRIM]]/TABLA_AVANCE_INDICADORES[[#This Row],[PROGR. 1° TRIM]])*100,"0")</f>
        <v>0</v>
      </c>
      <c r="Z103"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03" s="104">
        <v>1</v>
      </c>
      <c r="AB103" s="113">
        <v>1</v>
      </c>
      <c r="AC103" s="27">
        <f t="shared" si="2"/>
        <v>100</v>
      </c>
      <c r="AD103" s="26" t="str">
        <f t="shared" si="3"/>
        <v>ADECUADO</v>
      </c>
      <c r="AE103" s="104">
        <v>0</v>
      </c>
      <c r="AF103" s="113">
        <f>AE103</f>
        <v>0</v>
      </c>
      <c r="AG103" s="27" t="str">
        <f>IFERROR((TABLA_AVANCE_INDICADORES[[#This Row],[AVANCE 3°. TRIM]]/TABLA_AVANCE_INDICADORES[[#This Row],[PROGR. 3° TRIM]])*100,"0")</f>
        <v>0</v>
      </c>
      <c r="AH103"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03" s="104">
        <v>0</v>
      </c>
      <c r="AJ103" s="113">
        <f>AI103</f>
        <v>0</v>
      </c>
      <c r="AK103" s="27" t="str">
        <f>IFERROR((TABLA_AVANCE_INDICADORES[[#This Row],[AVANCE 4°. TRIM]]/TABLA_AVANCE_INDICADORES[[#This Row],[PROGR. 4° TRIM]])*100,"0")</f>
        <v>0</v>
      </c>
      <c r="AL103"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NO PROG.</v>
      </c>
      <c r="AM103"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v>
      </c>
      <c r="AN103"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O103" s="27">
        <f>IFERROR((TABLA_AVANCE_INDICADORES[[#This Row],[AVANCE ACUM. TRIM.]]/TABLA_AVANCE_INDICADORES[[#This Row],[PROG. ACUM]])*100,"N/A")</f>
        <v>100</v>
      </c>
      <c r="AP103"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03" s="106">
        <f>TABLA_AVANCE_INDICADORES[[#This Row],[AVANCE ACUM. TRIM.]]-TABLA_AVANCE_INDICADORES[[#This Row],[PROG. ACUM]]</f>
        <v>0</v>
      </c>
      <c r="AR103" s="32">
        <f>IFERROR((TABLA_AVANCE_INDICADORES[[#This Row],[DIFERENCIA ABSOLUTA SEMESTRAL]]/TABLA_AVANCE_INDICADORES[[#This Row],[PROG. ACUM]])*100,"N/A")</f>
        <v>0</v>
      </c>
      <c r="AS103"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T103" s="27">
        <f>IFERROR((TABLA_AVANCE_INDICADORES[[#This Row],[AVANCE ACUM. ANUAL]]/TABLA_AVANCE_INDICADORES[[#This Row],[PROGRAMADO ANUAL]])*100,"N/A")</f>
        <v>100</v>
      </c>
      <c r="AU103"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ADECUADO</v>
      </c>
      <c r="AV103" s="106">
        <f>TABLA_AVANCE_INDICADORES[[#This Row],[AVANCE ACUM. ANUAL]]-TABLA_AVANCE_INDICADORES[[#This Row],[PROGRAMADO ANUAL]]</f>
        <v>0</v>
      </c>
      <c r="AW103" s="32">
        <f>IFERROR((TABLA_AVANCE_INDICADORES[[#This Row],[DIFERENCIA ABSOLUTA ANUAL]]/TABLA_AVANCE_INDICADORES[[#This Row],[PROGRAMADO ANUAL]])*100,"N/A")</f>
        <v>0</v>
      </c>
      <c r="AX103" s="108"/>
      <c r="AY103" s="35" t="s">
        <v>1091</v>
      </c>
      <c r="AZ103" s="36"/>
      <c r="BA103" s="36"/>
      <c r="BB103"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04" spans="1:54" ht="63" hidden="1" customHeight="1" x14ac:dyDescent="0.35">
      <c r="A104" s="19" t="s">
        <v>1092</v>
      </c>
      <c r="B104" s="99" t="s">
        <v>157</v>
      </c>
      <c r="C104" s="20" t="s">
        <v>74</v>
      </c>
      <c r="D104" s="100" t="s">
        <v>75</v>
      </c>
      <c r="E104" s="20" t="s">
        <v>158</v>
      </c>
      <c r="F104" s="101" t="s">
        <v>159</v>
      </c>
      <c r="G104" s="80" t="s">
        <v>168</v>
      </c>
      <c r="H104" s="80" t="s">
        <v>1093</v>
      </c>
      <c r="I104" s="22" t="s">
        <v>722</v>
      </c>
      <c r="J104" s="22" t="s">
        <v>169</v>
      </c>
      <c r="K104" s="80" t="s">
        <v>170</v>
      </c>
      <c r="L104" s="22" t="s">
        <v>171</v>
      </c>
      <c r="M104" s="80" t="s">
        <v>172</v>
      </c>
      <c r="N104" s="21">
        <v>1</v>
      </c>
      <c r="O104" s="21" t="s">
        <v>723</v>
      </c>
      <c r="P104" s="102" t="s">
        <v>1094</v>
      </c>
      <c r="Q104" s="102" t="s">
        <v>1095</v>
      </c>
      <c r="R104" s="102" t="s">
        <v>1096</v>
      </c>
      <c r="S104" s="42" t="s">
        <v>1097</v>
      </c>
      <c r="T104" s="42" t="s">
        <v>727</v>
      </c>
      <c r="U104" s="42" t="s">
        <v>738</v>
      </c>
      <c r="V104" s="24">
        <v>0</v>
      </c>
      <c r="W104" s="24">
        <v>0</v>
      </c>
      <c r="X104" s="103">
        <v>0</v>
      </c>
      <c r="Y104" s="25" t="str">
        <f>IFERROR((TABLA_AVANCE_INDICADORES[[#This Row],[AVANCE 1°. TRIM]]/TABLA_AVANCE_INDICADORES[[#This Row],[PROGR. 1° TRIM]])*100,"0")</f>
        <v>0</v>
      </c>
      <c r="Z104"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04" s="104">
        <v>0</v>
      </c>
      <c r="AB104" s="105">
        <v>0</v>
      </c>
      <c r="AC104" s="27" t="str">
        <f t="shared" si="2"/>
        <v>0</v>
      </c>
      <c r="AD104" s="26" t="str">
        <f t="shared" si="3"/>
        <v>NO PROG.</v>
      </c>
      <c r="AE104" s="104">
        <v>0</v>
      </c>
      <c r="AF104" s="105">
        <v>0</v>
      </c>
      <c r="AG104" s="27" t="str">
        <f>IFERROR((TABLA_AVANCE_INDICADORES[[#This Row],[AVANCE 3°. TRIM]]/TABLA_AVANCE_INDICADORES[[#This Row],[PROGR. 3° TRIM]])*100,"0")</f>
        <v>0</v>
      </c>
      <c r="AH104"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04" s="104">
        <v>0</v>
      </c>
      <c r="AJ104" s="105">
        <v>0</v>
      </c>
      <c r="AK104" s="27" t="str">
        <f>IFERROR((TABLA_AVANCE_INDICADORES[[#This Row],[AVANCE 4°. TRIM]]/TABLA_AVANCE_INDICADORES[[#This Row],[PROGR. 4° TRIM]])*100,"0")</f>
        <v>0</v>
      </c>
      <c r="AL104"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NO PROG.</v>
      </c>
      <c r="AM104"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04"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04" s="27" t="str">
        <f>IFERROR((TABLA_AVANCE_INDICADORES[[#This Row],[AVANCE ACUM. TRIM.]]/TABLA_AVANCE_INDICADORES[[#This Row],[PROG. ACUM]])*100,"N/A")</f>
        <v>N/A</v>
      </c>
      <c r="AP104"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04" s="106">
        <f>TABLA_AVANCE_INDICADORES[[#This Row],[AVANCE ACUM. TRIM.]]-TABLA_AVANCE_INDICADORES[[#This Row],[PROG. ACUM]]</f>
        <v>0</v>
      </c>
      <c r="AR104" s="32" t="str">
        <f>IFERROR((TABLA_AVANCE_INDICADORES[[#This Row],[DIFERENCIA ABSOLUTA SEMESTRAL]]/TABLA_AVANCE_INDICADORES[[#This Row],[PROG. ACUM]])*100,"N/A")</f>
        <v>N/A</v>
      </c>
      <c r="AS104"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04" s="27" t="str">
        <f>IFERROR((TABLA_AVANCE_INDICADORES[[#This Row],[AVANCE ACUM. ANUAL]]/TABLA_AVANCE_INDICADORES[[#This Row],[PROGRAMADO ANUAL]])*100,"N/A")</f>
        <v>N/A</v>
      </c>
      <c r="AU104"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NO PROG.</v>
      </c>
      <c r="AV104" s="106">
        <f>TABLA_AVANCE_INDICADORES[[#This Row],[AVANCE ACUM. ANUAL]]-TABLA_AVANCE_INDICADORES[[#This Row],[PROGRAMADO ANUAL]]</f>
        <v>0</v>
      </c>
      <c r="AW104" s="32" t="str">
        <f>IFERROR((TABLA_AVANCE_INDICADORES[[#This Row],[DIFERENCIA ABSOLUTA ANUAL]]/TABLA_AVANCE_INDICADORES[[#This Row],[PROGRAMADO ANUAL]])*100,"N/A")</f>
        <v>N/A</v>
      </c>
      <c r="AX104" s="108"/>
      <c r="AY104" s="35"/>
      <c r="AZ104" s="36"/>
      <c r="BA104" s="36"/>
      <c r="BB104"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05" spans="1:54" ht="63" hidden="1" customHeight="1" x14ac:dyDescent="0.35">
      <c r="A105" s="19" t="s">
        <v>1098</v>
      </c>
      <c r="B105" s="99" t="s">
        <v>157</v>
      </c>
      <c r="C105" s="20" t="s">
        <v>74</v>
      </c>
      <c r="D105" s="100" t="s">
        <v>75</v>
      </c>
      <c r="E105" s="20" t="s">
        <v>158</v>
      </c>
      <c r="F105" s="101" t="s">
        <v>159</v>
      </c>
      <c r="G105" s="80" t="s">
        <v>168</v>
      </c>
      <c r="H105" s="80" t="s">
        <v>1093</v>
      </c>
      <c r="I105" s="22" t="s">
        <v>722</v>
      </c>
      <c r="J105" s="22" t="s">
        <v>169</v>
      </c>
      <c r="K105" s="80" t="s">
        <v>170</v>
      </c>
      <c r="L105" s="22" t="s">
        <v>171</v>
      </c>
      <c r="M105" s="80" t="s">
        <v>172</v>
      </c>
      <c r="N105" s="21">
        <v>2</v>
      </c>
      <c r="O105" s="21" t="s">
        <v>723</v>
      </c>
      <c r="P105" s="102" t="s">
        <v>1094</v>
      </c>
      <c r="Q105" s="102" t="s">
        <v>1099</v>
      </c>
      <c r="R105" s="102" t="s">
        <v>1096</v>
      </c>
      <c r="S105" s="42" t="s">
        <v>1097</v>
      </c>
      <c r="T105" s="42" t="s">
        <v>727</v>
      </c>
      <c r="U105" s="42" t="s">
        <v>738</v>
      </c>
      <c r="V105" s="24">
        <v>0</v>
      </c>
      <c r="W105" s="24">
        <v>0</v>
      </c>
      <c r="X105" s="103">
        <v>0</v>
      </c>
      <c r="Y105" s="25" t="str">
        <f>IFERROR((TABLA_AVANCE_INDICADORES[[#This Row],[AVANCE 1°. TRIM]]/TABLA_AVANCE_INDICADORES[[#This Row],[PROGR. 1° TRIM]])*100,"0")</f>
        <v>0</v>
      </c>
      <c r="Z105"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05" s="104">
        <v>0</v>
      </c>
      <c r="AB105" s="105">
        <v>0</v>
      </c>
      <c r="AC105" s="27" t="str">
        <f t="shared" si="2"/>
        <v>0</v>
      </c>
      <c r="AD105" s="26" t="str">
        <f t="shared" si="3"/>
        <v>NO PROG.</v>
      </c>
      <c r="AE105" s="104">
        <v>0</v>
      </c>
      <c r="AF105" s="105">
        <v>0</v>
      </c>
      <c r="AG105" s="27" t="str">
        <f>IFERROR((TABLA_AVANCE_INDICADORES[[#This Row],[AVANCE 3°. TRIM]]/TABLA_AVANCE_INDICADORES[[#This Row],[PROGR. 3° TRIM]])*100,"0")</f>
        <v>0</v>
      </c>
      <c r="AH105"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05" s="104">
        <v>0</v>
      </c>
      <c r="AJ105" s="111">
        <v>0</v>
      </c>
      <c r="AK105" s="27" t="str">
        <f>IFERROR((TABLA_AVANCE_INDICADORES[[#This Row],[AVANCE 4°. TRIM]]/TABLA_AVANCE_INDICADORES[[#This Row],[PROGR. 4° TRIM]])*100,"0")</f>
        <v>0</v>
      </c>
      <c r="AL105"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NO PROG.</v>
      </c>
      <c r="AM105"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05"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05" s="27" t="str">
        <f>IFERROR((TABLA_AVANCE_INDICADORES[[#This Row],[AVANCE ACUM. TRIM.]]/TABLA_AVANCE_INDICADORES[[#This Row],[PROG. ACUM]])*100,"N/A")</f>
        <v>N/A</v>
      </c>
      <c r="AP105"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05" s="106">
        <f>TABLA_AVANCE_INDICADORES[[#This Row],[AVANCE ACUM. TRIM.]]-TABLA_AVANCE_INDICADORES[[#This Row],[PROG. ACUM]]</f>
        <v>0</v>
      </c>
      <c r="AR105" s="32" t="str">
        <f>IFERROR((TABLA_AVANCE_INDICADORES[[#This Row],[DIFERENCIA ABSOLUTA SEMESTRAL]]/TABLA_AVANCE_INDICADORES[[#This Row],[PROG. ACUM]])*100,"N/A")</f>
        <v>N/A</v>
      </c>
      <c r="AS105"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05" s="27" t="str">
        <f>IFERROR((TABLA_AVANCE_INDICADORES[[#This Row],[AVANCE ACUM. ANUAL]]/TABLA_AVANCE_INDICADORES[[#This Row],[PROGRAMADO ANUAL]])*100,"N/A")</f>
        <v>N/A</v>
      </c>
      <c r="AU105"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NO PROG.</v>
      </c>
      <c r="AV105" s="106">
        <f>TABLA_AVANCE_INDICADORES[[#This Row],[AVANCE ACUM. ANUAL]]-TABLA_AVANCE_INDICADORES[[#This Row],[PROGRAMADO ANUAL]]</f>
        <v>0</v>
      </c>
      <c r="AW105" s="32" t="str">
        <f>IFERROR((TABLA_AVANCE_INDICADORES[[#This Row],[DIFERENCIA ABSOLUTA ANUAL]]/TABLA_AVANCE_INDICADORES[[#This Row],[PROGRAMADO ANUAL]])*100,"N/A")</f>
        <v>N/A</v>
      </c>
      <c r="AX105" s="108"/>
      <c r="AY105" s="35"/>
      <c r="AZ105" s="36"/>
      <c r="BA105" s="36"/>
      <c r="BB105"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06" spans="1:54" ht="63" hidden="1" customHeight="1" x14ac:dyDescent="0.35">
      <c r="A106" s="19" t="s">
        <v>1100</v>
      </c>
      <c r="B106" s="99" t="s">
        <v>157</v>
      </c>
      <c r="C106" s="20" t="s">
        <v>74</v>
      </c>
      <c r="D106" s="100" t="s">
        <v>75</v>
      </c>
      <c r="E106" s="20" t="s">
        <v>158</v>
      </c>
      <c r="F106" s="101" t="s">
        <v>159</v>
      </c>
      <c r="G106" s="80" t="s">
        <v>168</v>
      </c>
      <c r="H106" s="80" t="s">
        <v>1093</v>
      </c>
      <c r="I106" s="22" t="s">
        <v>722</v>
      </c>
      <c r="J106" s="22" t="s">
        <v>169</v>
      </c>
      <c r="K106" s="80" t="s">
        <v>170</v>
      </c>
      <c r="L106" s="22" t="s">
        <v>171</v>
      </c>
      <c r="M106" s="80" t="s">
        <v>172</v>
      </c>
      <c r="N106" s="21">
        <v>1</v>
      </c>
      <c r="O106" s="21" t="s">
        <v>733</v>
      </c>
      <c r="P106" s="102" t="s">
        <v>1101</v>
      </c>
      <c r="Q106" s="102" t="s">
        <v>1102</v>
      </c>
      <c r="R106" s="102" t="s">
        <v>1103</v>
      </c>
      <c r="S106" s="42" t="s">
        <v>150</v>
      </c>
      <c r="T106" s="42" t="s">
        <v>727</v>
      </c>
      <c r="U106" s="42" t="s">
        <v>738</v>
      </c>
      <c r="V106" s="24">
        <v>1</v>
      </c>
      <c r="W106" s="24">
        <v>0</v>
      </c>
      <c r="X106" s="103">
        <v>0</v>
      </c>
      <c r="Y106" s="25" t="str">
        <f>IFERROR((TABLA_AVANCE_INDICADORES[[#This Row],[AVANCE 1°. TRIM]]/TABLA_AVANCE_INDICADORES[[#This Row],[PROGR. 1° TRIM]])*100,"0")</f>
        <v>0</v>
      </c>
      <c r="Z106"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06" s="104">
        <v>0</v>
      </c>
      <c r="AB106" s="105">
        <v>0</v>
      </c>
      <c r="AC106" s="27" t="str">
        <f t="shared" si="2"/>
        <v>0</v>
      </c>
      <c r="AD106" s="26" t="str">
        <f t="shared" si="3"/>
        <v>NO PROG.</v>
      </c>
      <c r="AE106" s="104">
        <v>0</v>
      </c>
      <c r="AF106" s="105">
        <v>0</v>
      </c>
      <c r="AG106" s="27" t="str">
        <f>IFERROR((TABLA_AVANCE_INDICADORES[[#This Row],[AVANCE 3°. TRIM]]/TABLA_AVANCE_INDICADORES[[#This Row],[PROGR. 3° TRIM]])*100,"0")</f>
        <v>0</v>
      </c>
      <c r="AH106"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06" s="104">
        <v>1</v>
      </c>
      <c r="AJ106" s="105">
        <v>0</v>
      </c>
      <c r="AK106" s="27">
        <f>IFERROR((TABLA_AVANCE_INDICADORES[[#This Row],[AVANCE 4°. TRIM]]/TABLA_AVANCE_INDICADORES[[#This Row],[PROGR. 4° TRIM]])*100,"0")</f>
        <v>0</v>
      </c>
      <c r="AL106"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06"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06"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06" s="27" t="str">
        <f>IFERROR((TABLA_AVANCE_INDICADORES[[#This Row],[AVANCE ACUM. TRIM.]]/TABLA_AVANCE_INDICADORES[[#This Row],[PROG. ACUM]])*100,"N/A")</f>
        <v>N/A</v>
      </c>
      <c r="AP106"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06" s="106">
        <f>TABLA_AVANCE_INDICADORES[[#This Row],[AVANCE ACUM. TRIM.]]-TABLA_AVANCE_INDICADORES[[#This Row],[PROG. ACUM]]</f>
        <v>0</v>
      </c>
      <c r="AR106" s="32" t="str">
        <f>IFERROR((TABLA_AVANCE_INDICADORES[[#This Row],[DIFERENCIA ABSOLUTA SEMESTRAL]]/TABLA_AVANCE_INDICADORES[[#This Row],[PROG. ACUM]])*100,"N/A")</f>
        <v>N/A</v>
      </c>
      <c r="AS106"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06" s="27">
        <f>IFERROR((TABLA_AVANCE_INDICADORES[[#This Row],[AVANCE ACUM. ANUAL]]/TABLA_AVANCE_INDICADORES[[#This Row],[PROGRAMADO ANUAL]])*100,"N/A")</f>
        <v>0</v>
      </c>
      <c r="AU106"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06" s="106">
        <f>TABLA_AVANCE_INDICADORES[[#This Row],[AVANCE ACUM. ANUAL]]-TABLA_AVANCE_INDICADORES[[#This Row],[PROGRAMADO ANUAL]]</f>
        <v>-1</v>
      </c>
      <c r="AW106" s="32">
        <f>IFERROR((TABLA_AVANCE_INDICADORES[[#This Row],[DIFERENCIA ABSOLUTA ANUAL]]/TABLA_AVANCE_INDICADORES[[#This Row],[PROGRAMADO ANUAL]])*100,"N/A")</f>
        <v>-100</v>
      </c>
      <c r="AX106" s="108"/>
      <c r="AY106" s="35"/>
      <c r="AZ106" s="36"/>
      <c r="BA106" s="36"/>
      <c r="BB106"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07" spans="1:54" ht="63" hidden="1" customHeight="1" x14ac:dyDescent="0.35">
      <c r="A107" s="19" t="s">
        <v>1104</v>
      </c>
      <c r="B107" s="99" t="s">
        <v>157</v>
      </c>
      <c r="C107" s="20" t="s">
        <v>74</v>
      </c>
      <c r="D107" s="100" t="s">
        <v>75</v>
      </c>
      <c r="E107" s="20" t="s">
        <v>158</v>
      </c>
      <c r="F107" s="101" t="s">
        <v>159</v>
      </c>
      <c r="G107" s="80" t="s">
        <v>168</v>
      </c>
      <c r="H107" s="80" t="s">
        <v>1093</v>
      </c>
      <c r="I107" s="22" t="s">
        <v>722</v>
      </c>
      <c r="J107" s="22" t="s">
        <v>169</v>
      </c>
      <c r="K107" s="80" t="s">
        <v>170</v>
      </c>
      <c r="L107" s="22" t="s">
        <v>171</v>
      </c>
      <c r="M107" s="80" t="s">
        <v>172</v>
      </c>
      <c r="N107" s="21">
        <v>2</v>
      </c>
      <c r="O107" s="21" t="s">
        <v>733</v>
      </c>
      <c r="P107" s="102" t="s">
        <v>1101</v>
      </c>
      <c r="Q107" s="102" t="s">
        <v>1105</v>
      </c>
      <c r="R107" s="102" t="s">
        <v>1103</v>
      </c>
      <c r="S107" s="42" t="s">
        <v>150</v>
      </c>
      <c r="T107" s="42" t="s">
        <v>727</v>
      </c>
      <c r="U107" s="42" t="s">
        <v>738</v>
      </c>
      <c r="V107" s="137">
        <v>1</v>
      </c>
      <c r="W107" s="137">
        <v>0</v>
      </c>
      <c r="X107" s="103">
        <v>0</v>
      </c>
      <c r="Y107" s="25" t="str">
        <f>IFERROR((TABLA_AVANCE_INDICADORES[[#This Row],[AVANCE 1°. TRIM]]/TABLA_AVANCE_INDICADORES[[#This Row],[PROGR. 1° TRIM]])*100,"0")</f>
        <v>0</v>
      </c>
      <c r="Z107"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07" s="104">
        <v>0</v>
      </c>
      <c r="AB107" s="105">
        <v>0</v>
      </c>
      <c r="AC107" s="27" t="str">
        <f t="shared" si="2"/>
        <v>0</v>
      </c>
      <c r="AD107" s="26" t="str">
        <f t="shared" si="3"/>
        <v>NO PROG.</v>
      </c>
      <c r="AE107" s="104">
        <v>0</v>
      </c>
      <c r="AF107" s="105">
        <v>0</v>
      </c>
      <c r="AG107" s="27" t="str">
        <f>IFERROR((TABLA_AVANCE_INDICADORES[[#This Row],[AVANCE 3°. TRIM]]/TABLA_AVANCE_INDICADORES[[#This Row],[PROGR. 3° TRIM]])*100,"0")</f>
        <v>0</v>
      </c>
      <c r="AH107"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07" s="104">
        <v>1</v>
      </c>
      <c r="AJ107" s="105">
        <v>0</v>
      </c>
      <c r="AK107" s="27">
        <f>IFERROR((TABLA_AVANCE_INDICADORES[[#This Row],[AVANCE 4°. TRIM]]/TABLA_AVANCE_INDICADORES[[#This Row],[PROGR. 4° TRIM]])*100,"0")</f>
        <v>0</v>
      </c>
      <c r="AL107"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07"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07"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07" s="27" t="str">
        <f>IFERROR((TABLA_AVANCE_INDICADORES[[#This Row],[AVANCE ACUM. TRIM.]]/TABLA_AVANCE_INDICADORES[[#This Row],[PROG. ACUM]])*100,"N/A")</f>
        <v>N/A</v>
      </c>
      <c r="AP107"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07" s="129">
        <f>TABLA_AVANCE_INDICADORES[[#This Row],[AVANCE ACUM. TRIM.]]-TABLA_AVANCE_INDICADORES[[#This Row],[PROG. ACUM]]</f>
        <v>0</v>
      </c>
      <c r="AR107" s="32" t="str">
        <f>IFERROR((TABLA_AVANCE_INDICADORES[[#This Row],[DIFERENCIA ABSOLUTA SEMESTRAL]]/TABLA_AVANCE_INDICADORES[[#This Row],[PROG. ACUM]])*100,"N/A")</f>
        <v>N/A</v>
      </c>
      <c r="AS107"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07" s="27">
        <f>IFERROR((TABLA_AVANCE_INDICADORES[[#This Row],[AVANCE ACUM. ANUAL]]/TABLA_AVANCE_INDICADORES[[#This Row],[PROGRAMADO ANUAL]])*100,"N/A")</f>
        <v>0</v>
      </c>
      <c r="AU107"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07" s="129">
        <f>TABLA_AVANCE_INDICADORES[[#This Row],[AVANCE ACUM. ANUAL]]-TABLA_AVANCE_INDICADORES[[#This Row],[PROGRAMADO ANUAL]]</f>
        <v>-1</v>
      </c>
      <c r="AW107" s="32">
        <f>IFERROR((TABLA_AVANCE_INDICADORES[[#This Row],[DIFERENCIA ABSOLUTA ANUAL]]/TABLA_AVANCE_INDICADORES[[#This Row],[PROGRAMADO ANUAL]])*100,"N/A")</f>
        <v>-100</v>
      </c>
      <c r="AX107" s="108"/>
      <c r="AY107" s="35"/>
      <c r="AZ107" s="36"/>
      <c r="BA107" s="36"/>
      <c r="BB107"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08" spans="1:54" ht="63" hidden="1" customHeight="1" x14ac:dyDescent="0.35">
      <c r="A108" s="19" t="s">
        <v>1106</v>
      </c>
      <c r="B108" s="99" t="s">
        <v>157</v>
      </c>
      <c r="C108" s="20" t="s">
        <v>74</v>
      </c>
      <c r="D108" s="100" t="s">
        <v>75</v>
      </c>
      <c r="E108" s="20" t="s">
        <v>158</v>
      </c>
      <c r="F108" s="101" t="s">
        <v>159</v>
      </c>
      <c r="G108" s="80" t="s">
        <v>168</v>
      </c>
      <c r="H108" s="80" t="s">
        <v>1093</v>
      </c>
      <c r="I108" s="22" t="s">
        <v>722</v>
      </c>
      <c r="J108" s="22" t="s">
        <v>169</v>
      </c>
      <c r="K108" s="80" t="s">
        <v>170</v>
      </c>
      <c r="L108" s="22" t="s">
        <v>171</v>
      </c>
      <c r="M108" s="80" t="s">
        <v>172</v>
      </c>
      <c r="N108" s="21">
        <v>1</v>
      </c>
      <c r="O108" s="21" t="s">
        <v>742</v>
      </c>
      <c r="P108" s="102" t="s">
        <v>1107</v>
      </c>
      <c r="Q108" s="102" t="s">
        <v>1108</v>
      </c>
      <c r="R108" s="102" t="s">
        <v>1109</v>
      </c>
      <c r="S108" s="42" t="s">
        <v>84</v>
      </c>
      <c r="T108" s="42" t="s">
        <v>727</v>
      </c>
      <c r="U108" s="42" t="s">
        <v>746</v>
      </c>
      <c r="V108" s="24">
        <v>4</v>
      </c>
      <c r="W108" s="24">
        <v>0</v>
      </c>
      <c r="X108" s="103">
        <v>0</v>
      </c>
      <c r="Y108" s="25" t="str">
        <f>IFERROR((TABLA_AVANCE_INDICADORES[[#This Row],[AVANCE 1°. TRIM]]/TABLA_AVANCE_INDICADORES[[#This Row],[PROGR. 1° TRIM]])*100,"0")</f>
        <v>0</v>
      </c>
      <c r="Z108"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08" s="104">
        <v>2</v>
      </c>
      <c r="AB108" s="105">
        <v>2</v>
      </c>
      <c r="AC108" s="27">
        <f t="shared" si="2"/>
        <v>100</v>
      </c>
      <c r="AD108" s="26" t="str">
        <f t="shared" si="3"/>
        <v>ADECUADO</v>
      </c>
      <c r="AE108" s="104">
        <v>0</v>
      </c>
      <c r="AF108" s="105">
        <v>0</v>
      </c>
      <c r="AG108" s="27" t="str">
        <f>IFERROR((TABLA_AVANCE_INDICADORES[[#This Row],[AVANCE 3°. TRIM]]/TABLA_AVANCE_INDICADORES[[#This Row],[PROGR. 3° TRIM]])*100,"0")</f>
        <v>0</v>
      </c>
      <c r="AH108"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08" s="104">
        <v>2</v>
      </c>
      <c r="AJ108" s="105">
        <v>0</v>
      </c>
      <c r="AK108" s="27">
        <f>IFERROR((TABLA_AVANCE_INDICADORES[[#This Row],[AVANCE 4°. TRIM]]/TABLA_AVANCE_INDICADORES[[#This Row],[PROGR. 4° TRIM]])*100,"0")</f>
        <v>0</v>
      </c>
      <c r="AL108"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08"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v>
      </c>
      <c r="AN108"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O108" s="27">
        <f>IFERROR((TABLA_AVANCE_INDICADORES[[#This Row],[AVANCE ACUM. TRIM.]]/TABLA_AVANCE_INDICADORES[[#This Row],[PROG. ACUM]])*100,"N/A")</f>
        <v>100</v>
      </c>
      <c r="AP108"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08" s="106">
        <f>TABLA_AVANCE_INDICADORES[[#This Row],[AVANCE ACUM. TRIM.]]-TABLA_AVANCE_INDICADORES[[#This Row],[PROG. ACUM]]</f>
        <v>0</v>
      </c>
      <c r="AR108" s="32">
        <f>IFERROR((TABLA_AVANCE_INDICADORES[[#This Row],[DIFERENCIA ABSOLUTA SEMESTRAL]]/TABLA_AVANCE_INDICADORES[[#This Row],[PROG. ACUM]])*100,"N/A")</f>
        <v>0</v>
      </c>
      <c r="AS108"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T108" s="27">
        <f>IFERROR((TABLA_AVANCE_INDICADORES[[#This Row],[AVANCE ACUM. ANUAL]]/TABLA_AVANCE_INDICADORES[[#This Row],[PROGRAMADO ANUAL]])*100,"N/A")</f>
        <v>50</v>
      </c>
      <c r="AU108"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08" s="106">
        <f>TABLA_AVANCE_INDICADORES[[#This Row],[AVANCE ACUM. ANUAL]]-TABLA_AVANCE_INDICADORES[[#This Row],[PROGRAMADO ANUAL]]</f>
        <v>-2</v>
      </c>
      <c r="AW108" s="32">
        <f>IFERROR((TABLA_AVANCE_INDICADORES[[#This Row],[DIFERENCIA ABSOLUTA ANUAL]]/TABLA_AVANCE_INDICADORES[[#This Row],[PROGRAMADO ANUAL]])*100,"N/A")</f>
        <v>-50</v>
      </c>
      <c r="AX108" s="108"/>
      <c r="AY108" s="35"/>
      <c r="AZ108" s="36"/>
      <c r="BA108" s="36"/>
      <c r="BB108"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09" spans="1:54" ht="63" hidden="1" customHeight="1" x14ac:dyDescent="0.35">
      <c r="A109" s="19" t="s">
        <v>1110</v>
      </c>
      <c r="B109" s="99" t="s">
        <v>157</v>
      </c>
      <c r="C109" s="20" t="s">
        <v>74</v>
      </c>
      <c r="D109" s="100" t="s">
        <v>75</v>
      </c>
      <c r="E109" s="20" t="s">
        <v>158</v>
      </c>
      <c r="F109" s="101" t="s">
        <v>159</v>
      </c>
      <c r="G109" s="80" t="s">
        <v>168</v>
      </c>
      <c r="H109" s="80" t="s">
        <v>1093</v>
      </c>
      <c r="I109" s="22" t="s">
        <v>722</v>
      </c>
      <c r="J109" s="22" t="s">
        <v>169</v>
      </c>
      <c r="K109" s="80" t="s">
        <v>170</v>
      </c>
      <c r="L109" s="22" t="s">
        <v>171</v>
      </c>
      <c r="M109" s="80" t="s">
        <v>172</v>
      </c>
      <c r="N109" s="21">
        <v>2</v>
      </c>
      <c r="O109" s="21" t="s">
        <v>742</v>
      </c>
      <c r="P109" s="110" t="s">
        <v>1107</v>
      </c>
      <c r="Q109" s="110" t="s">
        <v>1111</v>
      </c>
      <c r="R109" s="110" t="s">
        <v>1109</v>
      </c>
      <c r="S109" s="42" t="s">
        <v>84</v>
      </c>
      <c r="T109" s="42" t="s">
        <v>727</v>
      </c>
      <c r="U109" s="42" t="s">
        <v>746</v>
      </c>
      <c r="V109" s="24">
        <v>2</v>
      </c>
      <c r="W109" s="24">
        <v>0</v>
      </c>
      <c r="X109" s="103">
        <v>0</v>
      </c>
      <c r="Y109" s="25" t="str">
        <f>IFERROR((TABLA_AVANCE_INDICADORES[[#This Row],[AVANCE 1°. TRIM]]/TABLA_AVANCE_INDICADORES[[#This Row],[PROGR. 1° TRIM]])*100,"0")</f>
        <v>0</v>
      </c>
      <c r="Z109"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09" s="104">
        <v>2</v>
      </c>
      <c r="AB109" s="105">
        <v>2</v>
      </c>
      <c r="AC109" s="27">
        <f t="shared" si="2"/>
        <v>100</v>
      </c>
      <c r="AD109" s="26" t="str">
        <f t="shared" si="3"/>
        <v>ADECUADO</v>
      </c>
      <c r="AE109" s="104">
        <v>0</v>
      </c>
      <c r="AF109" s="105">
        <v>0</v>
      </c>
      <c r="AG109" s="27" t="str">
        <f>IFERROR((TABLA_AVANCE_INDICADORES[[#This Row],[AVANCE 3°. TRIM]]/TABLA_AVANCE_INDICADORES[[#This Row],[PROGR. 3° TRIM]])*100,"0")</f>
        <v>0</v>
      </c>
      <c r="AH109"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09" s="104">
        <v>0</v>
      </c>
      <c r="AJ109" s="105">
        <v>0</v>
      </c>
      <c r="AK109" s="27" t="str">
        <f>IFERROR((TABLA_AVANCE_INDICADORES[[#This Row],[AVANCE 4°. TRIM]]/TABLA_AVANCE_INDICADORES[[#This Row],[PROGR. 4° TRIM]])*100,"0")</f>
        <v>0</v>
      </c>
      <c r="AL109"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NO PROG.</v>
      </c>
      <c r="AM109"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v>
      </c>
      <c r="AN109"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O109" s="27">
        <f>IFERROR((TABLA_AVANCE_INDICADORES[[#This Row],[AVANCE ACUM. TRIM.]]/TABLA_AVANCE_INDICADORES[[#This Row],[PROG. ACUM]])*100,"N/A")</f>
        <v>100</v>
      </c>
      <c r="AP109"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09" s="106">
        <f>TABLA_AVANCE_INDICADORES[[#This Row],[AVANCE ACUM. TRIM.]]-TABLA_AVANCE_INDICADORES[[#This Row],[PROG. ACUM]]</f>
        <v>0</v>
      </c>
      <c r="AR109" s="32">
        <f>IFERROR((TABLA_AVANCE_INDICADORES[[#This Row],[DIFERENCIA ABSOLUTA SEMESTRAL]]/TABLA_AVANCE_INDICADORES[[#This Row],[PROG. ACUM]])*100,"N/A")</f>
        <v>0</v>
      </c>
      <c r="AS109"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T109" s="27">
        <f>IFERROR((TABLA_AVANCE_INDICADORES[[#This Row],[AVANCE ACUM. ANUAL]]/TABLA_AVANCE_INDICADORES[[#This Row],[PROGRAMADO ANUAL]])*100,"N/A")</f>
        <v>100</v>
      </c>
      <c r="AU109"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ADECUADO</v>
      </c>
      <c r="AV109" s="106">
        <f>TABLA_AVANCE_INDICADORES[[#This Row],[AVANCE ACUM. ANUAL]]-TABLA_AVANCE_INDICADORES[[#This Row],[PROGRAMADO ANUAL]]</f>
        <v>0</v>
      </c>
      <c r="AW109" s="32">
        <f>IFERROR((TABLA_AVANCE_INDICADORES[[#This Row],[DIFERENCIA ABSOLUTA ANUAL]]/TABLA_AVANCE_INDICADORES[[#This Row],[PROGRAMADO ANUAL]])*100,"N/A")</f>
        <v>0</v>
      </c>
      <c r="AX109" s="108"/>
      <c r="AY109" s="35"/>
      <c r="AZ109" s="36"/>
      <c r="BA109" s="36"/>
      <c r="BB109"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10" spans="1:54" ht="63" hidden="1" customHeight="1" x14ac:dyDescent="0.35">
      <c r="A110" s="19" t="s">
        <v>1112</v>
      </c>
      <c r="B110" s="99" t="s">
        <v>319</v>
      </c>
      <c r="C110" s="20" t="s">
        <v>213</v>
      </c>
      <c r="D110" s="100" t="s">
        <v>214</v>
      </c>
      <c r="E110" s="20" t="s">
        <v>320</v>
      </c>
      <c r="F110" s="101" t="s">
        <v>321</v>
      </c>
      <c r="G110" s="80" t="s">
        <v>322</v>
      </c>
      <c r="H110" s="80" t="s">
        <v>1113</v>
      </c>
      <c r="I110" s="22" t="s">
        <v>722</v>
      </c>
      <c r="J110" s="22" t="s">
        <v>169</v>
      </c>
      <c r="K110" s="80" t="s">
        <v>170</v>
      </c>
      <c r="L110" s="22" t="s">
        <v>171</v>
      </c>
      <c r="M110" s="80" t="s">
        <v>172</v>
      </c>
      <c r="N110" s="21">
        <v>1</v>
      </c>
      <c r="O110" s="21" t="s">
        <v>897</v>
      </c>
      <c r="P110" s="110" t="s">
        <v>1114</v>
      </c>
      <c r="Q110" s="110" t="s">
        <v>1115</v>
      </c>
      <c r="R110" s="110" t="s">
        <v>1116</v>
      </c>
      <c r="S110" s="42" t="s">
        <v>1117</v>
      </c>
      <c r="T110" s="42" t="s">
        <v>727</v>
      </c>
      <c r="U110" s="42" t="s">
        <v>754</v>
      </c>
      <c r="V110" s="24">
        <v>4</v>
      </c>
      <c r="W110" s="24">
        <v>1</v>
      </c>
      <c r="X110" s="103">
        <v>1</v>
      </c>
      <c r="Y110" s="25">
        <f>IFERROR((TABLA_AVANCE_INDICADORES[[#This Row],[AVANCE 1°. TRIM]]/TABLA_AVANCE_INDICADORES[[#This Row],[PROGR. 1° TRIM]])*100,"0")</f>
        <v>100</v>
      </c>
      <c r="Z110"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10" s="104">
        <v>1</v>
      </c>
      <c r="AB110" s="105">
        <v>1</v>
      </c>
      <c r="AC110" s="27">
        <f t="shared" si="2"/>
        <v>100</v>
      </c>
      <c r="AD110" s="26" t="str">
        <f t="shared" si="3"/>
        <v>ADECUADO</v>
      </c>
      <c r="AE110" s="104">
        <v>1</v>
      </c>
      <c r="AF110" s="105">
        <v>0</v>
      </c>
      <c r="AG110" s="27">
        <f>IFERROR((TABLA_AVANCE_INDICADORES[[#This Row],[AVANCE 3°. TRIM]]/TABLA_AVANCE_INDICADORES[[#This Row],[PROGR. 3° TRIM]])*100,"0")</f>
        <v>0</v>
      </c>
      <c r="AH110"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10" s="104">
        <v>1</v>
      </c>
      <c r="AJ110" s="105">
        <v>0</v>
      </c>
      <c r="AK110" s="27">
        <f>IFERROR((TABLA_AVANCE_INDICADORES[[#This Row],[AVANCE 4°. TRIM]]/TABLA_AVANCE_INDICADORES[[#This Row],[PROGR. 4° TRIM]])*100,"0")</f>
        <v>0</v>
      </c>
      <c r="AL110"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10"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v>
      </c>
      <c r="AN110"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O110" s="27">
        <f>IFERROR((TABLA_AVANCE_INDICADORES[[#This Row],[AVANCE ACUM. TRIM.]]/TABLA_AVANCE_INDICADORES[[#This Row],[PROG. ACUM]])*100,"N/A")</f>
        <v>100</v>
      </c>
      <c r="AP110"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10" s="106">
        <f>TABLA_AVANCE_INDICADORES[[#This Row],[AVANCE ACUM. TRIM.]]-TABLA_AVANCE_INDICADORES[[#This Row],[PROG. ACUM]]</f>
        <v>0</v>
      </c>
      <c r="AR110" s="32">
        <f>IFERROR((TABLA_AVANCE_INDICADORES[[#This Row],[DIFERENCIA ABSOLUTA SEMESTRAL]]/TABLA_AVANCE_INDICADORES[[#This Row],[PROG. ACUM]])*100,"N/A")</f>
        <v>0</v>
      </c>
      <c r="AS110"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T110" s="27">
        <f>IFERROR((TABLA_AVANCE_INDICADORES[[#This Row],[AVANCE ACUM. ANUAL]]/TABLA_AVANCE_INDICADORES[[#This Row],[PROGRAMADO ANUAL]])*100,"N/A")</f>
        <v>50</v>
      </c>
      <c r="AU110"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10" s="106">
        <f>TABLA_AVANCE_INDICADORES[[#This Row],[AVANCE ACUM. ANUAL]]-TABLA_AVANCE_INDICADORES[[#This Row],[PROGRAMADO ANUAL]]</f>
        <v>-2</v>
      </c>
      <c r="AW110" s="32">
        <f>IFERROR((TABLA_AVANCE_INDICADORES[[#This Row],[DIFERENCIA ABSOLUTA ANUAL]]/TABLA_AVANCE_INDICADORES[[#This Row],[PROGRAMADO ANUAL]])*100,"N/A")</f>
        <v>-50</v>
      </c>
      <c r="AX110" s="108"/>
      <c r="AY110" s="35"/>
      <c r="AZ110" s="36"/>
      <c r="BA110" s="36"/>
      <c r="BB110"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11" spans="1:54" ht="63" hidden="1" customHeight="1" x14ac:dyDescent="0.35">
      <c r="A111" s="19" t="s">
        <v>1118</v>
      </c>
      <c r="B111" s="99" t="s">
        <v>319</v>
      </c>
      <c r="C111" s="20" t="s">
        <v>213</v>
      </c>
      <c r="D111" s="100" t="s">
        <v>214</v>
      </c>
      <c r="E111" s="20" t="s">
        <v>320</v>
      </c>
      <c r="F111" s="101" t="s">
        <v>321</v>
      </c>
      <c r="G111" s="80" t="s">
        <v>322</v>
      </c>
      <c r="H111" s="80" t="s">
        <v>1113</v>
      </c>
      <c r="I111" s="22" t="s">
        <v>722</v>
      </c>
      <c r="J111" s="22" t="s">
        <v>169</v>
      </c>
      <c r="K111" s="80" t="s">
        <v>170</v>
      </c>
      <c r="L111" s="22" t="s">
        <v>171</v>
      </c>
      <c r="M111" s="80" t="s">
        <v>172</v>
      </c>
      <c r="N111" s="21">
        <v>2</v>
      </c>
      <c r="O111" s="21" t="s">
        <v>897</v>
      </c>
      <c r="P111" s="102" t="s">
        <v>1114</v>
      </c>
      <c r="Q111" s="102" t="s">
        <v>1119</v>
      </c>
      <c r="R111" s="102" t="s">
        <v>1116</v>
      </c>
      <c r="S111" s="42" t="s">
        <v>1117</v>
      </c>
      <c r="T111" s="42" t="s">
        <v>727</v>
      </c>
      <c r="U111" s="42" t="s">
        <v>754</v>
      </c>
      <c r="V111" s="24">
        <v>4</v>
      </c>
      <c r="W111" s="24">
        <v>1</v>
      </c>
      <c r="X111" s="112">
        <v>1</v>
      </c>
      <c r="Y111" s="25">
        <f>IFERROR((TABLA_AVANCE_INDICADORES[[#This Row],[AVANCE 1°. TRIM]]/TABLA_AVANCE_INDICADORES[[#This Row],[PROGR. 1° TRIM]])*100,"0")</f>
        <v>100</v>
      </c>
      <c r="Z111"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11" s="104">
        <v>1</v>
      </c>
      <c r="AB111" s="113">
        <v>1</v>
      </c>
      <c r="AC111" s="27">
        <f t="shared" si="2"/>
        <v>100</v>
      </c>
      <c r="AD111" s="26" t="str">
        <f t="shared" si="3"/>
        <v>ADECUADO</v>
      </c>
      <c r="AE111" s="104">
        <v>1</v>
      </c>
      <c r="AF111" s="113">
        <f>AE111</f>
        <v>1</v>
      </c>
      <c r="AG111" s="27">
        <f>IFERROR((TABLA_AVANCE_INDICADORES[[#This Row],[AVANCE 3°. TRIM]]/TABLA_AVANCE_INDICADORES[[#This Row],[PROGR. 3° TRIM]])*100,"0")</f>
        <v>100</v>
      </c>
      <c r="AH111"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ADECUADO</v>
      </c>
      <c r="AI111" s="104">
        <v>1</v>
      </c>
      <c r="AJ111" s="113">
        <f>AI111</f>
        <v>1</v>
      </c>
      <c r="AK111" s="27">
        <f>IFERROR((TABLA_AVANCE_INDICADORES[[#This Row],[AVANCE 4°. TRIM]]/TABLA_AVANCE_INDICADORES[[#This Row],[PROGR. 4° TRIM]])*100,"0")</f>
        <v>100</v>
      </c>
      <c r="AL111"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11"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v>
      </c>
      <c r="AN111"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O111" s="27">
        <f>IFERROR((TABLA_AVANCE_INDICADORES[[#This Row],[AVANCE ACUM. TRIM.]]/TABLA_AVANCE_INDICADORES[[#This Row],[PROG. ACUM]])*100,"N/A")</f>
        <v>100</v>
      </c>
      <c r="AP111"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11" s="106">
        <f>TABLA_AVANCE_INDICADORES[[#This Row],[AVANCE ACUM. TRIM.]]-TABLA_AVANCE_INDICADORES[[#This Row],[PROG. ACUM]]</f>
        <v>0</v>
      </c>
      <c r="AR111" s="32">
        <f>IFERROR((TABLA_AVANCE_INDICADORES[[#This Row],[DIFERENCIA ABSOLUTA SEMESTRAL]]/TABLA_AVANCE_INDICADORES[[#This Row],[PROG. ACUM]])*100,"N/A")</f>
        <v>0</v>
      </c>
      <c r="AS111"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T111" s="27">
        <f>IFERROR((TABLA_AVANCE_INDICADORES[[#This Row],[AVANCE ACUM. ANUAL]]/TABLA_AVANCE_INDICADORES[[#This Row],[PROGRAMADO ANUAL]])*100,"N/A")</f>
        <v>50</v>
      </c>
      <c r="AU111"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11" s="106">
        <f>TABLA_AVANCE_INDICADORES[[#This Row],[AVANCE ACUM. ANUAL]]-TABLA_AVANCE_INDICADORES[[#This Row],[PROGRAMADO ANUAL]]</f>
        <v>-2</v>
      </c>
      <c r="AW111" s="32">
        <f>IFERROR((TABLA_AVANCE_INDICADORES[[#This Row],[DIFERENCIA ABSOLUTA ANUAL]]/TABLA_AVANCE_INDICADORES[[#This Row],[PROGRAMADO ANUAL]])*100,"N/A")</f>
        <v>-50</v>
      </c>
      <c r="AX111" s="108"/>
      <c r="AY111" s="35"/>
      <c r="AZ111" s="36"/>
      <c r="BA111" s="36"/>
      <c r="BB111"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12" spans="1:54" ht="63" hidden="1" customHeight="1" x14ac:dyDescent="0.35">
      <c r="A112" s="19" t="s">
        <v>1120</v>
      </c>
      <c r="B112" s="99" t="s">
        <v>319</v>
      </c>
      <c r="C112" s="20" t="s">
        <v>213</v>
      </c>
      <c r="D112" s="100" t="s">
        <v>214</v>
      </c>
      <c r="E112" s="20" t="s">
        <v>320</v>
      </c>
      <c r="F112" s="101" t="s">
        <v>321</v>
      </c>
      <c r="G112" s="80" t="s">
        <v>322</v>
      </c>
      <c r="H112" s="80" t="s">
        <v>1113</v>
      </c>
      <c r="I112" s="22" t="s">
        <v>722</v>
      </c>
      <c r="J112" s="22" t="s">
        <v>169</v>
      </c>
      <c r="K112" s="80" t="s">
        <v>170</v>
      </c>
      <c r="L112" s="22" t="s">
        <v>171</v>
      </c>
      <c r="M112" s="80" t="s">
        <v>172</v>
      </c>
      <c r="N112" s="21">
        <v>1</v>
      </c>
      <c r="O112" s="21" t="s">
        <v>905</v>
      </c>
      <c r="P112" s="102" t="s">
        <v>1121</v>
      </c>
      <c r="Q112" s="102" t="s">
        <v>1122</v>
      </c>
      <c r="R112" s="102" t="s">
        <v>1123</v>
      </c>
      <c r="S112" s="42" t="s">
        <v>327</v>
      </c>
      <c r="T112" s="42" t="s">
        <v>727</v>
      </c>
      <c r="U112" s="42" t="s">
        <v>754</v>
      </c>
      <c r="V112" s="24">
        <v>600</v>
      </c>
      <c r="W112" s="24">
        <v>150</v>
      </c>
      <c r="X112" s="103">
        <v>150</v>
      </c>
      <c r="Y112" s="25">
        <f>IFERROR((TABLA_AVANCE_INDICADORES[[#This Row],[AVANCE 1°. TRIM]]/TABLA_AVANCE_INDICADORES[[#This Row],[PROGR. 1° TRIM]])*100,"0")</f>
        <v>100</v>
      </c>
      <c r="Z112"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12" s="104">
        <v>150</v>
      </c>
      <c r="AB112" s="105">
        <v>150</v>
      </c>
      <c r="AC112" s="27">
        <f t="shared" si="2"/>
        <v>100</v>
      </c>
      <c r="AD112" s="26" t="str">
        <f t="shared" si="3"/>
        <v>ADECUADO</v>
      </c>
      <c r="AE112" s="104">
        <v>150</v>
      </c>
      <c r="AF112" s="105">
        <v>0</v>
      </c>
      <c r="AG112" s="27">
        <f>IFERROR((TABLA_AVANCE_INDICADORES[[#This Row],[AVANCE 3°. TRIM]]/TABLA_AVANCE_INDICADORES[[#This Row],[PROGR. 3° TRIM]])*100,"0")</f>
        <v>0</v>
      </c>
      <c r="AH112"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12" s="104">
        <v>150</v>
      </c>
      <c r="AJ112" s="105">
        <v>0</v>
      </c>
      <c r="AK112" s="27">
        <f>IFERROR((TABLA_AVANCE_INDICADORES[[#This Row],[AVANCE 4°. TRIM]]/TABLA_AVANCE_INDICADORES[[#This Row],[PROGR. 4° TRIM]])*100,"0")</f>
        <v>0</v>
      </c>
      <c r="AL112"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12"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300</v>
      </c>
      <c r="AN112"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300</v>
      </c>
      <c r="AO112" s="27">
        <f>IFERROR((TABLA_AVANCE_INDICADORES[[#This Row],[AVANCE ACUM. TRIM.]]/TABLA_AVANCE_INDICADORES[[#This Row],[PROG. ACUM]])*100,"N/A")</f>
        <v>100</v>
      </c>
      <c r="AP112"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12" s="106">
        <f>TABLA_AVANCE_INDICADORES[[#This Row],[AVANCE ACUM. TRIM.]]-TABLA_AVANCE_INDICADORES[[#This Row],[PROG. ACUM]]</f>
        <v>0</v>
      </c>
      <c r="AR112" s="32">
        <f>IFERROR((TABLA_AVANCE_INDICADORES[[#This Row],[DIFERENCIA ABSOLUTA SEMESTRAL]]/TABLA_AVANCE_INDICADORES[[#This Row],[PROG. ACUM]])*100,"N/A")</f>
        <v>0</v>
      </c>
      <c r="AS112"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300</v>
      </c>
      <c r="AT112" s="27">
        <f>IFERROR((TABLA_AVANCE_INDICADORES[[#This Row],[AVANCE ACUM. ANUAL]]/TABLA_AVANCE_INDICADORES[[#This Row],[PROGRAMADO ANUAL]])*100,"N/A")</f>
        <v>50</v>
      </c>
      <c r="AU112"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12" s="106">
        <f>TABLA_AVANCE_INDICADORES[[#This Row],[AVANCE ACUM. ANUAL]]-TABLA_AVANCE_INDICADORES[[#This Row],[PROGRAMADO ANUAL]]</f>
        <v>-300</v>
      </c>
      <c r="AW112" s="32">
        <f>IFERROR((TABLA_AVANCE_INDICADORES[[#This Row],[DIFERENCIA ABSOLUTA ANUAL]]/TABLA_AVANCE_INDICADORES[[#This Row],[PROGRAMADO ANUAL]])*100,"N/A")</f>
        <v>-50</v>
      </c>
      <c r="AX112" s="108"/>
      <c r="AY112" s="35"/>
      <c r="AZ112" s="36"/>
      <c r="BA112" s="36"/>
      <c r="BB112"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13" spans="1:54" ht="63" hidden="1" customHeight="1" x14ac:dyDescent="0.35">
      <c r="A113" s="19" t="s">
        <v>1124</v>
      </c>
      <c r="B113" s="99" t="s">
        <v>319</v>
      </c>
      <c r="C113" s="20" t="s">
        <v>213</v>
      </c>
      <c r="D113" s="100" t="s">
        <v>214</v>
      </c>
      <c r="E113" s="20" t="s">
        <v>320</v>
      </c>
      <c r="F113" s="101" t="s">
        <v>321</v>
      </c>
      <c r="G113" s="80" t="s">
        <v>322</v>
      </c>
      <c r="H113" s="80" t="s">
        <v>1113</v>
      </c>
      <c r="I113" s="22" t="s">
        <v>722</v>
      </c>
      <c r="J113" s="22" t="s">
        <v>169</v>
      </c>
      <c r="K113" s="80" t="s">
        <v>170</v>
      </c>
      <c r="L113" s="22" t="s">
        <v>171</v>
      </c>
      <c r="M113" s="80" t="s">
        <v>172</v>
      </c>
      <c r="N113" s="21">
        <v>2</v>
      </c>
      <c r="O113" s="21" t="s">
        <v>905</v>
      </c>
      <c r="P113" s="102" t="s">
        <v>1121</v>
      </c>
      <c r="Q113" s="102" t="s">
        <v>1125</v>
      </c>
      <c r="R113" s="102" t="s">
        <v>1123</v>
      </c>
      <c r="S113" s="42" t="s">
        <v>327</v>
      </c>
      <c r="T113" s="42" t="s">
        <v>727</v>
      </c>
      <c r="U113" s="42" t="s">
        <v>754</v>
      </c>
      <c r="V113" s="137">
        <v>600</v>
      </c>
      <c r="W113" s="137">
        <v>150</v>
      </c>
      <c r="X113" s="112">
        <v>150</v>
      </c>
      <c r="Y113" s="25">
        <f>IFERROR((TABLA_AVANCE_INDICADORES[[#This Row],[AVANCE 1°. TRIM]]/TABLA_AVANCE_INDICADORES[[#This Row],[PROGR. 1° TRIM]])*100,"0")</f>
        <v>100</v>
      </c>
      <c r="Z113"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13" s="104">
        <v>150</v>
      </c>
      <c r="AB113" s="113">
        <v>150</v>
      </c>
      <c r="AC113" s="27">
        <f t="shared" si="2"/>
        <v>100</v>
      </c>
      <c r="AD113" s="26" t="str">
        <f t="shared" si="3"/>
        <v>ADECUADO</v>
      </c>
      <c r="AE113" s="104">
        <v>150</v>
      </c>
      <c r="AF113" s="113">
        <f>AE113</f>
        <v>150</v>
      </c>
      <c r="AG113" s="27">
        <f>IFERROR((TABLA_AVANCE_INDICADORES[[#This Row],[AVANCE 3°. TRIM]]/TABLA_AVANCE_INDICADORES[[#This Row],[PROGR. 3° TRIM]])*100,"0")</f>
        <v>100</v>
      </c>
      <c r="AH113"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ADECUADO</v>
      </c>
      <c r="AI113" s="104">
        <v>150</v>
      </c>
      <c r="AJ113" s="113">
        <f>AI113</f>
        <v>150</v>
      </c>
      <c r="AK113" s="27">
        <f>IFERROR((TABLA_AVANCE_INDICADORES[[#This Row],[AVANCE 4°. TRIM]]/TABLA_AVANCE_INDICADORES[[#This Row],[PROGR. 4° TRIM]])*100,"0")</f>
        <v>100</v>
      </c>
      <c r="AL113"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13"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300</v>
      </c>
      <c r="AN113"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300</v>
      </c>
      <c r="AO113" s="27">
        <f>IFERROR((TABLA_AVANCE_INDICADORES[[#This Row],[AVANCE ACUM. TRIM.]]/TABLA_AVANCE_INDICADORES[[#This Row],[PROG. ACUM]])*100,"N/A")</f>
        <v>100</v>
      </c>
      <c r="AP113"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13" s="106">
        <f>TABLA_AVANCE_INDICADORES[[#This Row],[AVANCE ACUM. TRIM.]]-TABLA_AVANCE_INDICADORES[[#This Row],[PROG. ACUM]]</f>
        <v>0</v>
      </c>
      <c r="AR113" s="32">
        <f>IFERROR((TABLA_AVANCE_INDICADORES[[#This Row],[DIFERENCIA ABSOLUTA SEMESTRAL]]/TABLA_AVANCE_INDICADORES[[#This Row],[PROG. ACUM]])*100,"N/A")</f>
        <v>0</v>
      </c>
      <c r="AS113"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300</v>
      </c>
      <c r="AT113" s="27">
        <f>IFERROR((TABLA_AVANCE_INDICADORES[[#This Row],[AVANCE ACUM. ANUAL]]/TABLA_AVANCE_INDICADORES[[#This Row],[PROGRAMADO ANUAL]])*100,"N/A")</f>
        <v>50</v>
      </c>
      <c r="AU113"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13" s="129">
        <f>TABLA_AVANCE_INDICADORES[[#This Row],[AVANCE ACUM. ANUAL]]-TABLA_AVANCE_INDICADORES[[#This Row],[PROGRAMADO ANUAL]]</f>
        <v>-300</v>
      </c>
      <c r="AW113" s="32">
        <f>IFERROR((TABLA_AVANCE_INDICADORES[[#This Row],[DIFERENCIA ABSOLUTA ANUAL]]/TABLA_AVANCE_INDICADORES[[#This Row],[PROGRAMADO ANUAL]])*100,"N/A")</f>
        <v>-50</v>
      </c>
      <c r="AX113" s="108"/>
      <c r="AY113" s="35"/>
      <c r="AZ113" s="36"/>
      <c r="BA113" s="36"/>
      <c r="BB113"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14" spans="1:54" ht="63" hidden="1" customHeight="1" x14ac:dyDescent="0.35">
      <c r="A114" s="19" t="s">
        <v>1126</v>
      </c>
      <c r="B114" s="99" t="s">
        <v>157</v>
      </c>
      <c r="C114" s="20" t="s">
        <v>74</v>
      </c>
      <c r="D114" s="100" t="s">
        <v>75</v>
      </c>
      <c r="E114" s="20" t="s">
        <v>158</v>
      </c>
      <c r="F114" s="101" t="s">
        <v>159</v>
      </c>
      <c r="G114" s="80" t="s">
        <v>168</v>
      </c>
      <c r="H114" s="80" t="s">
        <v>1093</v>
      </c>
      <c r="I114" s="22" t="s">
        <v>722</v>
      </c>
      <c r="J114" s="22" t="s">
        <v>169</v>
      </c>
      <c r="K114" s="80" t="s">
        <v>170</v>
      </c>
      <c r="L114" s="22" t="s">
        <v>171</v>
      </c>
      <c r="M114" s="80" t="s">
        <v>172</v>
      </c>
      <c r="N114" s="21">
        <v>1</v>
      </c>
      <c r="O114" s="21" t="s">
        <v>750</v>
      </c>
      <c r="P114" s="102" t="s">
        <v>1127</v>
      </c>
      <c r="Q114" s="102" t="s">
        <v>1128</v>
      </c>
      <c r="R114" s="102" t="s">
        <v>1129</v>
      </c>
      <c r="S114" s="42" t="s">
        <v>123</v>
      </c>
      <c r="T114" s="42" t="s">
        <v>727</v>
      </c>
      <c r="U114" s="42" t="s">
        <v>1130</v>
      </c>
      <c r="V114" s="24">
        <v>4</v>
      </c>
      <c r="W114" s="24">
        <v>1</v>
      </c>
      <c r="X114" s="103">
        <v>1</v>
      </c>
      <c r="Y114" s="25">
        <f>IFERROR((TABLA_AVANCE_INDICADORES[[#This Row],[AVANCE 1°. TRIM]]/TABLA_AVANCE_INDICADORES[[#This Row],[PROGR. 1° TRIM]])*100,"0")</f>
        <v>100</v>
      </c>
      <c r="Z114"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14" s="104">
        <v>1</v>
      </c>
      <c r="AB114" s="105">
        <v>1</v>
      </c>
      <c r="AC114" s="27">
        <f t="shared" si="2"/>
        <v>100</v>
      </c>
      <c r="AD114" s="26" t="str">
        <f t="shared" si="3"/>
        <v>ADECUADO</v>
      </c>
      <c r="AE114" s="104">
        <v>1</v>
      </c>
      <c r="AF114" s="105">
        <v>0</v>
      </c>
      <c r="AG114" s="27">
        <f>IFERROR((TABLA_AVANCE_INDICADORES[[#This Row],[AVANCE 3°. TRIM]]/TABLA_AVANCE_INDICADORES[[#This Row],[PROGR. 3° TRIM]])*100,"0")</f>
        <v>0</v>
      </c>
      <c r="AH114"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14" s="104">
        <v>1</v>
      </c>
      <c r="AJ114" s="105">
        <v>0</v>
      </c>
      <c r="AK114" s="27">
        <f>IFERROR((TABLA_AVANCE_INDICADORES[[#This Row],[AVANCE 4°. TRIM]]/TABLA_AVANCE_INDICADORES[[#This Row],[PROGR. 4° TRIM]])*100,"0")</f>
        <v>0</v>
      </c>
      <c r="AL114"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14"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v>
      </c>
      <c r="AN114"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O114" s="27">
        <f>IFERROR((TABLA_AVANCE_INDICADORES[[#This Row],[AVANCE ACUM. TRIM.]]/TABLA_AVANCE_INDICADORES[[#This Row],[PROG. ACUM]])*100,"N/A")</f>
        <v>100</v>
      </c>
      <c r="AP114"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14" s="106">
        <f>TABLA_AVANCE_INDICADORES[[#This Row],[AVANCE ACUM. TRIM.]]-TABLA_AVANCE_INDICADORES[[#This Row],[PROG. ACUM]]</f>
        <v>0</v>
      </c>
      <c r="AR114" s="32">
        <f>IFERROR((TABLA_AVANCE_INDICADORES[[#This Row],[DIFERENCIA ABSOLUTA SEMESTRAL]]/TABLA_AVANCE_INDICADORES[[#This Row],[PROG. ACUM]])*100,"N/A")</f>
        <v>0</v>
      </c>
      <c r="AS114"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T114" s="27">
        <f>IFERROR((TABLA_AVANCE_INDICADORES[[#This Row],[AVANCE ACUM. ANUAL]]/TABLA_AVANCE_INDICADORES[[#This Row],[PROGRAMADO ANUAL]])*100,"N/A")</f>
        <v>50</v>
      </c>
      <c r="AU114"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14" s="106">
        <f>TABLA_AVANCE_INDICADORES[[#This Row],[AVANCE ACUM. ANUAL]]-TABLA_AVANCE_INDICADORES[[#This Row],[PROGRAMADO ANUAL]]</f>
        <v>-2</v>
      </c>
      <c r="AW114" s="32">
        <f>IFERROR((TABLA_AVANCE_INDICADORES[[#This Row],[DIFERENCIA ABSOLUTA ANUAL]]/TABLA_AVANCE_INDICADORES[[#This Row],[PROGRAMADO ANUAL]])*100,"N/A")</f>
        <v>-50</v>
      </c>
      <c r="AX114" s="108"/>
      <c r="AY114" s="35"/>
      <c r="AZ114" s="36"/>
      <c r="BA114" s="36"/>
      <c r="BB114"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15" spans="1:54" ht="63" hidden="1" customHeight="1" x14ac:dyDescent="0.35">
      <c r="A115" s="19" t="s">
        <v>1131</v>
      </c>
      <c r="B115" s="99" t="s">
        <v>157</v>
      </c>
      <c r="C115" s="20" t="s">
        <v>74</v>
      </c>
      <c r="D115" s="100" t="s">
        <v>75</v>
      </c>
      <c r="E115" s="20" t="s">
        <v>158</v>
      </c>
      <c r="F115" s="101" t="s">
        <v>159</v>
      </c>
      <c r="G115" s="80" t="s">
        <v>168</v>
      </c>
      <c r="H115" s="80" t="s">
        <v>1093</v>
      </c>
      <c r="I115" s="22" t="s">
        <v>722</v>
      </c>
      <c r="J115" s="22" t="s">
        <v>169</v>
      </c>
      <c r="K115" s="80" t="s">
        <v>170</v>
      </c>
      <c r="L115" s="22" t="s">
        <v>171</v>
      </c>
      <c r="M115" s="80" t="s">
        <v>172</v>
      </c>
      <c r="N115" s="21">
        <v>2</v>
      </c>
      <c r="O115" s="21" t="s">
        <v>750</v>
      </c>
      <c r="P115" s="110" t="s">
        <v>1127</v>
      </c>
      <c r="Q115" s="110" t="s">
        <v>1132</v>
      </c>
      <c r="R115" s="110" t="s">
        <v>1129</v>
      </c>
      <c r="S115" s="42" t="s">
        <v>123</v>
      </c>
      <c r="T115" s="42" t="s">
        <v>727</v>
      </c>
      <c r="U115" s="42" t="s">
        <v>1130</v>
      </c>
      <c r="V115" s="24">
        <v>2</v>
      </c>
      <c r="W115" s="24">
        <v>0</v>
      </c>
      <c r="X115" s="103">
        <v>0</v>
      </c>
      <c r="Y115" s="25" t="str">
        <f>IFERROR((TABLA_AVANCE_INDICADORES[[#This Row],[AVANCE 1°. TRIM]]/TABLA_AVANCE_INDICADORES[[#This Row],[PROGR. 1° TRIM]])*100,"0")</f>
        <v>0</v>
      </c>
      <c r="Z115"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15" s="104">
        <v>2</v>
      </c>
      <c r="AB115" s="105">
        <v>2</v>
      </c>
      <c r="AC115" s="27">
        <f t="shared" si="2"/>
        <v>100</v>
      </c>
      <c r="AD115" s="26" t="str">
        <f t="shared" si="3"/>
        <v>ADECUADO</v>
      </c>
      <c r="AE115" s="104">
        <v>0</v>
      </c>
      <c r="AF115" s="105">
        <v>0</v>
      </c>
      <c r="AG115" s="27" t="str">
        <f>IFERROR((TABLA_AVANCE_INDICADORES[[#This Row],[AVANCE 3°. TRIM]]/TABLA_AVANCE_INDICADORES[[#This Row],[PROGR. 3° TRIM]])*100,"0")</f>
        <v>0</v>
      </c>
      <c r="AH115"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15" s="104">
        <v>0</v>
      </c>
      <c r="AJ115" s="105">
        <v>0</v>
      </c>
      <c r="AK115" s="27" t="str">
        <f>IFERROR((TABLA_AVANCE_INDICADORES[[#This Row],[AVANCE 4°. TRIM]]/TABLA_AVANCE_INDICADORES[[#This Row],[PROGR. 4° TRIM]])*100,"0")</f>
        <v>0</v>
      </c>
      <c r="AL115"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NO PROG.</v>
      </c>
      <c r="AM115"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v>
      </c>
      <c r="AN115"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O115" s="27">
        <f>IFERROR((TABLA_AVANCE_INDICADORES[[#This Row],[AVANCE ACUM. TRIM.]]/TABLA_AVANCE_INDICADORES[[#This Row],[PROG. ACUM]])*100,"N/A")</f>
        <v>100</v>
      </c>
      <c r="AP115"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15" s="106">
        <f>TABLA_AVANCE_INDICADORES[[#This Row],[AVANCE ACUM. TRIM.]]-TABLA_AVANCE_INDICADORES[[#This Row],[PROG. ACUM]]</f>
        <v>0</v>
      </c>
      <c r="AR115" s="32">
        <f>IFERROR((TABLA_AVANCE_INDICADORES[[#This Row],[DIFERENCIA ABSOLUTA SEMESTRAL]]/TABLA_AVANCE_INDICADORES[[#This Row],[PROG. ACUM]])*100,"N/A")</f>
        <v>0</v>
      </c>
      <c r="AS115"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T115" s="27">
        <f>IFERROR((TABLA_AVANCE_INDICADORES[[#This Row],[AVANCE ACUM. ANUAL]]/TABLA_AVANCE_INDICADORES[[#This Row],[PROGRAMADO ANUAL]])*100,"N/A")</f>
        <v>100</v>
      </c>
      <c r="AU115"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ADECUADO</v>
      </c>
      <c r="AV115" s="106">
        <f>TABLA_AVANCE_INDICADORES[[#This Row],[AVANCE ACUM. ANUAL]]-TABLA_AVANCE_INDICADORES[[#This Row],[PROGRAMADO ANUAL]]</f>
        <v>0</v>
      </c>
      <c r="AW115" s="32">
        <f>IFERROR((TABLA_AVANCE_INDICADORES[[#This Row],[DIFERENCIA ABSOLUTA ANUAL]]/TABLA_AVANCE_INDICADORES[[#This Row],[PROGRAMADO ANUAL]])*100,"N/A")</f>
        <v>0</v>
      </c>
      <c r="AX115" s="108"/>
      <c r="AY115" s="35"/>
      <c r="AZ115" s="36"/>
      <c r="BA115" s="36"/>
      <c r="BB115"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16" spans="1:54" ht="63" hidden="1" customHeight="1" x14ac:dyDescent="0.35">
      <c r="A116" s="19" t="s">
        <v>1133</v>
      </c>
      <c r="B116" s="99" t="s">
        <v>157</v>
      </c>
      <c r="C116" s="20" t="s">
        <v>74</v>
      </c>
      <c r="D116" s="100" t="s">
        <v>75</v>
      </c>
      <c r="E116" s="20" t="s">
        <v>158</v>
      </c>
      <c r="F116" s="101" t="s">
        <v>159</v>
      </c>
      <c r="G116" s="80" t="s">
        <v>168</v>
      </c>
      <c r="H116" s="80" t="s">
        <v>1093</v>
      </c>
      <c r="I116" s="22" t="s">
        <v>722</v>
      </c>
      <c r="J116" s="22" t="s">
        <v>169</v>
      </c>
      <c r="K116" s="80" t="s">
        <v>170</v>
      </c>
      <c r="L116" s="22" t="s">
        <v>171</v>
      </c>
      <c r="M116" s="80" t="s">
        <v>172</v>
      </c>
      <c r="N116" s="21">
        <v>1</v>
      </c>
      <c r="O116" s="21" t="s">
        <v>857</v>
      </c>
      <c r="P116" s="102" t="s">
        <v>1134</v>
      </c>
      <c r="Q116" s="102" t="s">
        <v>1135</v>
      </c>
      <c r="R116" s="102" t="s">
        <v>1136</v>
      </c>
      <c r="S116" s="42" t="s">
        <v>123</v>
      </c>
      <c r="T116" s="42" t="s">
        <v>727</v>
      </c>
      <c r="U116" s="42" t="s">
        <v>1130</v>
      </c>
      <c r="V116" s="24">
        <v>4</v>
      </c>
      <c r="W116" s="24">
        <v>1</v>
      </c>
      <c r="X116" s="103">
        <v>1</v>
      </c>
      <c r="Y116" s="25">
        <f>IFERROR((TABLA_AVANCE_INDICADORES[[#This Row],[AVANCE 1°. TRIM]]/TABLA_AVANCE_INDICADORES[[#This Row],[PROGR. 1° TRIM]])*100,"0")</f>
        <v>100</v>
      </c>
      <c r="Z116"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16" s="104">
        <v>1</v>
      </c>
      <c r="AB116" s="105">
        <v>1</v>
      </c>
      <c r="AC116" s="27">
        <f t="shared" si="2"/>
        <v>100</v>
      </c>
      <c r="AD116" s="26" t="str">
        <f t="shared" si="3"/>
        <v>ADECUADO</v>
      </c>
      <c r="AE116" s="104">
        <v>1</v>
      </c>
      <c r="AF116" s="105">
        <v>0</v>
      </c>
      <c r="AG116" s="27">
        <f>IFERROR((TABLA_AVANCE_INDICADORES[[#This Row],[AVANCE 3°. TRIM]]/TABLA_AVANCE_INDICADORES[[#This Row],[PROGR. 3° TRIM]])*100,"0")</f>
        <v>0</v>
      </c>
      <c r="AH116"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16" s="104">
        <v>1</v>
      </c>
      <c r="AJ116" s="105">
        <v>0</v>
      </c>
      <c r="AK116" s="27">
        <f>IFERROR((TABLA_AVANCE_INDICADORES[[#This Row],[AVANCE 4°. TRIM]]/TABLA_AVANCE_INDICADORES[[#This Row],[PROGR. 4° TRIM]])*100,"0")</f>
        <v>0</v>
      </c>
      <c r="AL116"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16"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v>
      </c>
      <c r="AN116"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O116" s="27">
        <f>IFERROR((TABLA_AVANCE_INDICADORES[[#This Row],[AVANCE ACUM. TRIM.]]/TABLA_AVANCE_INDICADORES[[#This Row],[PROG. ACUM]])*100,"N/A")</f>
        <v>100</v>
      </c>
      <c r="AP116"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16" s="106">
        <f>TABLA_AVANCE_INDICADORES[[#This Row],[AVANCE ACUM. TRIM.]]-TABLA_AVANCE_INDICADORES[[#This Row],[PROG. ACUM]]</f>
        <v>0</v>
      </c>
      <c r="AR116" s="32">
        <f>IFERROR((TABLA_AVANCE_INDICADORES[[#This Row],[DIFERENCIA ABSOLUTA SEMESTRAL]]/TABLA_AVANCE_INDICADORES[[#This Row],[PROG. ACUM]])*100,"N/A")</f>
        <v>0</v>
      </c>
      <c r="AS116"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T116" s="27">
        <f>IFERROR((TABLA_AVANCE_INDICADORES[[#This Row],[AVANCE ACUM. ANUAL]]/TABLA_AVANCE_INDICADORES[[#This Row],[PROGRAMADO ANUAL]])*100,"N/A")</f>
        <v>50</v>
      </c>
      <c r="AU116"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16" s="106">
        <f>TABLA_AVANCE_INDICADORES[[#This Row],[AVANCE ACUM. ANUAL]]-TABLA_AVANCE_INDICADORES[[#This Row],[PROGRAMADO ANUAL]]</f>
        <v>-2</v>
      </c>
      <c r="AW116" s="32">
        <f>IFERROR((TABLA_AVANCE_INDICADORES[[#This Row],[DIFERENCIA ABSOLUTA ANUAL]]/TABLA_AVANCE_INDICADORES[[#This Row],[PROGRAMADO ANUAL]])*100,"N/A")</f>
        <v>-50</v>
      </c>
      <c r="AX116" s="108"/>
      <c r="AY116" s="35"/>
      <c r="AZ116" s="36"/>
      <c r="BA116" s="36"/>
      <c r="BB116"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17" spans="1:54" ht="63" hidden="1" customHeight="1" x14ac:dyDescent="0.35">
      <c r="A117" s="19" t="s">
        <v>1137</v>
      </c>
      <c r="B117" s="99" t="s">
        <v>157</v>
      </c>
      <c r="C117" s="20" t="s">
        <v>74</v>
      </c>
      <c r="D117" s="100" t="s">
        <v>75</v>
      </c>
      <c r="E117" s="20" t="s">
        <v>158</v>
      </c>
      <c r="F117" s="101" t="s">
        <v>159</v>
      </c>
      <c r="G117" s="80" t="s">
        <v>168</v>
      </c>
      <c r="H117" s="80" t="s">
        <v>1093</v>
      </c>
      <c r="I117" s="22" t="s">
        <v>722</v>
      </c>
      <c r="J117" s="22" t="s">
        <v>169</v>
      </c>
      <c r="K117" s="80" t="s">
        <v>170</v>
      </c>
      <c r="L117" s="22" t="s">
        <v>171</v>
      </c>
      <c r="M117" s="80" t="s">
        <v>172</v>
      </c>
      <c r="N117" s="21">
        <v>2</v>
      </c>
      <c r="O117" s="21" t="s">
        <v>857</v>
      </c>
      <c r="P117" s="102" t="s">
        <v>1134</v>
      </c>
      <c r="Q117" s="102" t="s">
        <v>1138</v>
      </c>
      <c r="R117" s="102" t="s">
        <v>1136</v>
      </c>
      <c r="S117" s="42" t="s">
        <v>123</v>
      </c>
      <c r="T117" s="42" t="s">
        <v>727</v>
      </c>
      <c r="U117" s="42" t="s">
        <v>1130</v>
      </c>
      <c r="V117" s="24">
        <v>4</v>
      </c>
      <c r="W117" s="24">
        <v>1</v>
      </c>
      <c r="X117" s="112">
        <v>1</v>
      </c>
      <c r="Y117" s="25">
        <f>IFERROR((TABLA_AVANCE_INDICADORES[[#This Row],[AVANCE 1°. TRIM]]/TABLA_AVANCE_INDICADORES[[#This Row],[PROGR. 1° TRIM]])*100,"0")</f>
        <v>100</v>
      </c>
      <c r="Z117"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17" s="104">
        <v>1</v>
      </c>
      <c r="AB117" s="113">
        <v>1</v>
      </c>
      <c r="AC117" s="27">
        <f t="shared" si="2"/>
        <v>100</v>
      </c>
      <c r="AD117" s="26" t="str">
        <f t="shared" si="3"/>
        <v>ADECUADO</v>
      </c>
      <c r="AE117" s="104">
        <v>1</v>
      </c>
      <c r="AF117" s="113">
        <f>AE117</f>
        <v>1</v>
      </c>
      <c r="AG117" s="27">
        <f>IFERROR((TABLA_AVANCE_INDICADORES[[#This Row],[AVANCE 3°. TRIM]]/TABLA_AVANCE_INDICADORES[[#This Row],[PROGR. 3° TRIM]])*100,"0")</f>
        <v>100</v>
      </c>
      <c r="AH117"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ADECUADO</v>
      </c>
      <c r="AI117" s="104">
        <v>1</v>
      </c>
      <c r="AJ117" s="113">
        <f>AI117</f>
        <v>1</v>
      </c>
      <c r="AK117" s="27">
        <f>IFERROR((TABLA_AVANCE_INDICADORES[[#This Row],[AVANCE 4°. TRIM]]/TABLA_AVANCE_INDICADORES[[#This Row],[PROGR. 4° TRIM]])*100,"0")</f>
        <v>100</v>
      </c>
      <c r="AL117"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17"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v>
      </c>
      <c r="AN117"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O117" s="27">
        <f>IFERROR((TABLA_AVANCE_INDICADORES[[#This Row],[AVANCE ACUM. TRIM.]]/TABLA_AVANCE_INDICADORES[[#This Row],[PROG. ACUM]])*100,"N/A")</f>
        <v>100</v>
      </c>
      <c r="AP117"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17" s="106">
        <f>TABLA_AVANCE_INDICADORES[[#This Row],[AVANCE ACUM. TRIM.]]-TABLA_AVANCE_INDICADORES[[#This Row],[PROG. ACUM]]</f>
        <v>0</v>
      </c>
      <c r="AR117" s="32">
        <f>IFERROR((TABLA_AVANCE_INDICADORES[[#This Row],[DIFERENCIA ABSOLUTA SEMESTRAL]]/TABLA_AVANCE_INDICADORES[[#This Row],[PROG. ACUM]])*100,"N/A")</f>
        <v>0</v>
      </c>
      <c r="AS117"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T117" s="27">
        <f>IFERROR((TABLA_AVANCE_INDICADORES[[#This Row],[AVANCE ACUM. ANUAL]]/TABLA_AVANCE_INDICADORES[[#This Row],[PROGRAMADO ANUAL]])*100,"N/A")</f>
        <v>50</v>
      </c>
      <c r="AU117"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17" s="106">
        <f>TABLA_AVANCE_INDICADORES[[#This Row],[AVANCE ACUM. ANUAL]]-TABLA_AVANCE_INDICADORES[[#This Row],[PROGRAMADO ANUAL]]</f>
        <v>-2</v>
      </c>
      <c r="AW117" s="32">
        <f>IFERROR((TABLA_AVANCE_INDICADORES[[#This Row],[DIFERENCIA ABSOLUTA ANUAL]]/TABLA_AVANCE_INDICADORES[[#This Row],[PROGRAMADO ANUAL]])*100,"N/A")</f>
        <v>-50</v>
      </c>
      <c r="AX117" s="108"/>
      <c r="AY117" s="35"/>
      <c r="AZ117" s="36"/>
      <c r="BA117" s="36"/>
      <c r="BB117"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18" spans="1:54" ht="93.75" hidden="1" customHeight="1" x14ac:dyDescent="0.35">
      <c r="A118" s="19" t="s">
        <v>1139</v>
      </c>
      <c r="B118" s="99" t="s">
        <v>319</v>
      </c>
      <c r="C118" s="20" t="s">
        <v>213</v>
      </c>
      <c r="D118" s="100" t="s">
        <v>214</v>
      </c>
      <c r="E118" s="20" t="s">
        <v>320</v>
      </c>
      <c r="F118" s="101" t="s">
        <v>321</v>
      </c>
      <c r="G118" s="80" t="s">
        <v>322</v>
      </c>
      <c r="H118" s="80" t="s">
        <v>1113</v>
      </c>
      <c r="I118" s="22" t="s">
        <v>722</v>
      </c>
      <c r="J118" s="22" t="s">
        <v>169</v>
      </c>
      <c r="K118" s="80" t="s">
        <v>170</v>
      </c>
      <c r="L118" s="22" t="s">
        <v>171</v>
      </c>
      <c r="M118" s="80" t="s">
        <v>172</v>
      </c>
      <c r="N118" s="21">
        <v>1</v>
      </c>
      <c r="O118" s="21" t="s">
        <v>1077</v>
      </c>
      <c r="P118" s="102" t="s">
        <v>1140</v>
      </c>
      <c r="Q118" s="102" t="s">
        <v>1115</v>
      </c>
      <c r="R118" s="102" t="s">
        <v>1116</v>
      </c>
      <c r="S118" s="42" t="s">
        <v>221</v>
      </c>
      <c r="T118" s="42" t="s">
        <v>727</v>
      </c>
      <c r="U118" s="42" t="s">
        <v>1130</v>
      </c>
      <c r="V118" s="24">
        <v>4</v>
      </c>
      <c r="W118" s="24">
        <v>1</v>
      </c>
      <c r="X118" s="103">
        <v>1</v>
      </c>
      <c r="Y118" s="25">
        <f>IFERROR((TABLA_AVANCE_INDICADORES[[#This Row],[AVANCE 1°. TRIM]]/TABLA_AVANCE_INDICADORES[[#This Row],[PROGR. 1° TRIM]])*100,"0")</f>
        <v>100</v>
      </c>
      <c r="Z118"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18" s="104">
        <v>1</v>
      </c>
      <c r="AB118" s="105">
        <v>1</v>
      </c>
      <c r="AC118" s="27">
        <f t="shared" si="2"/>
        <v>100</v>
      </c>
      <c r="AD118" s="26" t="str">
        <f t="shared" si="3"/>
        <v>ADECUADO</v>
      </c>
      <c r="AE118" s="104">
        <v>1</v>
      </c>
      <c r="AF118" s="105">
        <v>0</v>
      </c>
      <c r="AG118" s="27">
        <f>IFERROR((TABLA_AVANCE_INDICADORES[[#This Row],[AVANCE 3°. TRIM]]/TABLA_AVANCE_INDICADORES[[#This Row],[PROGR. 3° TRIM]])*100,"0")</f>
        <v>0</v>
      </c>
      <c r="AH118"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18" s="104">
        <v>1</v>
      </c>
      <c r="AJ118" s="105">
        <v>0</v>
      </c>
      <c r="AK118" s="27">
        <f>IFERROR((TABLA_AVANCE_INDICADORES[[#This Row],[AVANCE 4°. TRIM]]/TABLA_AVANCE_INDICADORES[[#This Row],[PROGR. 4° TRIM]])*100,"0")</f>
        <v>0</v>
      </c>
      <c r="AL118" s="29"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18"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v>
      </c>
      <c r="AN118"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O118" s="27">
        <f>IFERROR((TABLA_AVANCE_INDICADORES[[#This Row],[AVANCE ACUM. TRIM.]]/TABLA_AVANCE_INDICADORES[[#This Row],[PROG. ACUM]])*100,"N/A")</f>
        <v>100</v>
      </c>
      <c r="AP118"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18" s="106">
        <f>TABLA_AVANCE_INDICADORES[[#This Row],[AVANCE ACUM. TRIM.]]-TABLA_AVANCE_INDICADORES[[#This Row],[PROG. ACUM]]</f>
        <v>0</v>
      </c>
      <c r="AR118" s="32">
        <f>IFERROR((TABLA_AVANCE_INDICADORES[[#This Row],[DIFERENCIA ABSOLUTA SEMESTRAL]]/TABLA_AVANCE_INDICADORES[[#This Row],[PROG. ACUM]])*100,"N/A")</f>
        <v>0</v>
      </c>
      <c r="AS118"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T118" s="27">
        <f>IFERROR((TABLA_AVANCE_INDICADORES[[#This Row],[AVANCE ACUM. ANUAL]]/TABLA_AVANCE_INDICADORES[[#This Row],[PROGRAMADO ANUAL]])*100,"N/A")</f>
        <v>50</v>
      </c>
      <c r="AU118"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18" s="106">
        <f>TABLA_AVANCE_INDICADORES[[#This Row],[AVANCE ACUM. ANUAL]]-TABLA_AVANCE_INDICADORES[[#This Row],[PROGRAMADO ANUAL]]</f>
        <v>-2</v>
      </c>
      <c r="AW118" s="32">
        <f>IFERROR((TABLA_AVANCE_INDICADORES[[#This Row],[DIFERENCIA ABSOLUTA ANUAL]]/TABLA_AVANCE_INDICADORES[[#This Row],[PROGRAMADO ANUAL]])*100,"N/A")</f>
        <v>-50</v>
      </c>
      <c r="AX118" s="108"/>
      <c r="AY118" s="35"/>
      <c r="AZ118" s="36"/>
      <c r="BA118" s="36"/>
      <c r="BB118"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19" spans="1:54" ht="93.75" hidden="1" customHeight="1" x14ac:dyDescent="0.35">
      <c r="A119" s="19" t="s">
        <v>1141</v>
      </c>
      <c r="B119" s="99" t="s">
        <v>319</v>
      </c>
      <c r="C119" s="20" t="s">
        <v>213</v>
      </c>
      <c r="D119" s="100" t="s">
        <v>214</v>
      </c>
      <c r="E119" s="20" t="s">
        <v>320</v>
      </c>
      <c r="F119" s="101" t="s">
        <v>321</v>
      </c>
      <c r="G119" s="130" t="s">
        <v>322</v>
      </c>
      <c r="H119" s="80" t="s">
        <v>1113</v>
      </c>
      <c r="I119" s="22" t="s">
        <v>722</v>
      </c>
      <c r="J119" s="22" t="s">
        <v>169</v>
      </c>
      <c r="K119" s="80" t="s">
        <v>170</v>
      </c>
      <c r="L119" s="22" t="s">
        <v>171</v>
      </c>
      <c r="M119" s="80" t="s">
        <v>172</v>
      </c>
      <c r="N119" s="21">
        <v>2</v>
      </c>
      <c r="O119" s="21" t="s">
        <v>1077</v>
      </c>
      <c r="P119" s="110" t="s">
        <v>1140</v>
      </c>
      <c r="Q119" s="110" t="s">
        <v>1119</v>
      </c>
      <c r="R119" s="102" t="s">
        <v>1116</v>
      </c>
      <c r="S119" s="22" t="s">
        <v>221</v>
      </c>
      <c r="T119" s="42" t="s">
        <v>727</v>
      </c>
      <c r="U119" s="42" t="s">
        <v>1130</v>
      </c>
      <c r="V119" s="81">
        <v>4</v>
      </c>
      <c r="W119" s="81">
        <v>1</v>
      </c>
      <c r="X119" s="112">
        <v>1</v>
      </c>
      <c r="Y119" s="25">
        <f>IFERROR((TABLA_AVANCE_INDICADORES[[#This Row],[AVANCE 1°. TRIM]]/TABLA_AVANCE_INDICADORES[[#This Row],[PROGR. 1° TRIM]])*100,"0")</f>
        <v>100</v>
      </c>
      <c r="Z119"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19" s="104">
        <v>1</v>
      </c>
      <c r="AB119" s="113">
        <v>1</v>
      </c>
      <c r="AC119" s="27">
        <f t="shared" si="2"/>
        <v>100</v>
      </c>
      <c r="AD119" s="26" t="str">
        <f t="shared" si="3"/>
        <v>ADECUADO</v>
      </c>
      <c r="AE119" s="104">
        <v>1</v>
      </c>
      <c r="AF119" s="113">
        <f>AE119</f>
        <v>1</v>
      </c>
      <c r="AG119" s="27">
        <f>IFERROR((TABLA_AVANCE_INDICADORES[[#This Row],[AVANCE 3°. TRIM]]/TABLA_AVANCE_INDICADORES[[#This Row],[PROGR. 3° TRIM]])*100,"0")</f>
        <v>100</v>
      </c>
      <c r="AH119"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ADECUADO</v>
      </c>
      <c r="AI119" s="104">
        <v>1</v>
      </c>
      <c r="AJ119" s="113">
        <f>AI119</f>
        <v>1</v>
      </c>
      <c r="AK119" s="82">
        <f>IFERROR((TABLA_AVANCE_INDICADORES[[#This Row],[AVANCE 4°. TRIM]]/TABLA_AVANCE_INDICADORES[[#This Row],[PROGR. 4° TRIM]])*100,"0")</f>
        <v>100</v>
      </c>
      <c r="AL119"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19"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v>
      </c>
      <c r="AN119"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O119" s="27">
        <f>IFERROR((TABLA_AVANCE_INDICADORES[[#This Row],[AVANCE ACUM. TRIM.]]/TABLA_AVANCE_INDICADORES[[#This Row],[PROG. ACUM]])*100,"N/A")</f>
        <v>100</v>
      </c>
      <c r="AP119"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19" s="106">
        <f>TABLA_AVANCE_INDICADORES[[#This Row],[AVANCE ACUM. TRIM.]]-TABLA_AVANCE_INDICADORES[[#This Row],[PROG. ACUM]]</f>
        <v>0</v>
      </c>
      <c r="AR119" s="32">
        <f>IFERROR((TABLA_AVANCE_INDICADORES[[#This Row],[DIFERENCIA ABSOLUTA SEMESTRAL]]/TABLA_AVANCE_INDICADORES[[#This Row],[PROG. ACUM]])*100,"N/A")</f>
        <v>0</v>
      </c>
      <c r="AS119"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T119" s="27">
        <f>IFERROR((TABLA_AVANCE_INDICADORES[[#This Row],[AVANCE ACUM. ANUAL]]/TABLA_AVANCE_INDICADORES[[#This Row],[PROGRAMADO ANUAL]])*100,"N/A")</f>
        <v>50</v>
      </c>
      <c r="AU119"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19" s="106">
        <f>TABLA_AVANCE_INDICADORES[[#This Row],[AVANCE ACUM. ANUAL]]-TABLA_AVANCE_INDICADORES[[#This Row],[PROGRAMADO ANUAL]]</f>
        <v>-2</v>
      </c>
      <c r="AW119" s="32">
        <f>IFERROR((TABLA_AVANCE_INDICADORES[[#This Row],[DIFERENCIA ABSOLUTA ANUAL]]/TABLA_AVANCE_INDICADORES[[#This Row],[PROGRAMADO ANUAL]])*100,"N/A")</f>
        <v>-50</v>
      </c>
      <c r="AX119" s="132"/>
      <c r="AY119" s="86"/>
      <c r="AZ119" s="86"/>
      <c r="BA119" s="86"/>
      <c r="BB119"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20" spans="1:54" ht="93.75" hidden="1" customHeight="1" x14ac:dyDescent="0.35">
      <c r="A120" s="19" t="s">
        <v>1142</v>
      </c>
      <c r="B120" s="99" t="s">
        <v>319</v>
      </c>
      <c r="C120" s="20" t="s">
        <v>213</v>
      </c>
      <c r="D120" s="100" t="s">
        <v>214</v>
      </c>
      <c r="E120" s="20" t="s">
        <v>320</v>
      </c>
      <c r="F120" s="101" t="s">
        <v>321</v>
      </c>
      <c r="G120" s="130" t="s">
        <v>322</v>
      </c>
      <c r="H120" s="80" t="s">
        <v>1113</v>
      </c>
      <c r="I120" s="22" t="s">
        <v>722</v>
      </c>
      <c r="J120" s="22" t="s">
        <v>169</v>
      </c>
      <c r="K120" s="80" t="s">
        <v>170</v>
      </c>
      <c r="L120" s="22" t="s">
        <v>171</v>
      </c>
      <c r="M120" s="80" t="s">
        <v>172</v>
      </c>
      <c r="N120" s="21">
        <v>1</v>
      </c>
      <c r="O120" s="21" t="s">
        <v>937</v>
      </c>
      <c r="P120" s="110" t="s">
        <v>1143</v>
      </c>
      <c r="Q120" s="110" t="s">
        <v>1144</v>
      </c>
      <c r="R120" s="102" t="s">
        <v>1145</v>
      </c>
      <c r="S120" s="22" t="s">
        <v>1146</v>
      </c>
      <c r="T120" s="42" t="s">
        <v>727</v>
      </c>
      <c r="U120" s="42" t="s">
        <v>1130</v>
      </c>
      <c r="V120" s="81">
        <v>84</v>
      </c>
      <c r="W120" s="81">
        <v>21</v>
      </c>
      <c r="X120" s="103">
        <v>21</v>
      </c>
      <c r="Y120" s="25">
        <f>IFERROR((TABLA_AVANCE_INDICADORES[[#This Row],[AVANCE 1°. TRIM]]/TABLA_AVANCE_INDICADORES[[#This Row],[PROGR. 1° TRIM]])*100,"0")</f>
        <v>100</v>
      </c>
      <c r="Z120"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20" s="104">
        <v>21</v>
      </c>
      <c r="AB120" s="105">
        <v>21</v>
      </c>
      <c r="AC120" s="27">
        <f t="shared" si="2"/>
        <v>100</v>
      </c>
      <c r="AD120" s="26" t="str">
        <f t="shared" si="3"/>
        <v>ADECUADO</v>
      </c>
      <c r="AE120" s="104">
        <v>21</v>
      </c>
      <c r="AF120" s="105">
        <v>0</v>
      </c>
      <c r="AG120" s="27">
        <f>IFERROR((TABLA_AVANCE_INDICADORES[[#This Row],[AVANCE 3°. TRIM]]/TABLA_AVANCE_INDICADORES[[#This Row],[PROGR. 3° TRIM]])*100,"0")</f>
        <v>0</v>
      </c>
      <c r="AH120"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20" s="104">
        <v>21</v>
      </c>
      <c r="AJ120" s="105">
        <v>0</v>
      </c>
      <c r="AK120" s="82">
        <f>IFERROR((TABLA_AVANCE_INDICADORES[[#This Row],[AVANCE 4°. TRIM]]/TABLA_AVANCE_INDICADORES[[#This Row],[PROGR. 4° TRIM]])*100,"0")</f>
        <v>0</v>
      </c>
      <c r="AL120"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20"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42</v>
      </c>
      <c r="AN120"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42</v>
      </c>
      <c r="AO120" s="27">
        <f>IFERROR((TABLA_AVANCE_INDICADORES[[#This Row],[AVANCE ACUM. TRIM.]]/TABLA_AVANCE_INDICADORES[[#This Row],[PROG. ACUM]])*100,"N/A")</f>
        <v>100</v>
      </c>
      <c r="AP120"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20" s="106">
        <f>TABLA_AVANCE_INDICADORES[[#This Row],[AVANCE ACUM. TRIM.]]-TABLA_AVANCE_INDICADORES[[#This Row],[PROG. ACUM]]</f>
        <v>0</v>
      </c>
      <c r="AR120" s="32">
        <f>IFERROR((TABLA_AVANCE_INDICADORES[[#This Row],[DIFERENCIA ABSOLUTA SEMESTRAL]]/TABLA_AVANCE_INDICADORES[[#This Row],[PROG. ACUM]])*100,"N/A")</f>
        <v>0</v>
      </c>
      <c r="AS120"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42</v>
      </c>
      <c r="AT120" s="27">
        <f>IFERROR((TABLA_AVANCE_INDICADORES[[#This Row],[AVANCE ACUM. ANUAL]]/TABLA_AVANCE_INDICADORES[[#This Row],[PROGRAMADO ANUAL]])*100,"N/A")</f>
        <v>50</v>
      </c>
      <c r="AU120"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20" s="106">
        <f>TABLA_AVANCE_INDICADORES[[#This Row],[AVANCE ACUM. ANUAL]]-TABLA_AVANCE_INDICADORES[[#This Row],[PROGRAMADO ANUAL]]</f>
        <v>-42</v>
      </c>
      <c r="AW120" s="32">
        <f>IFERROR((TABLA_AVANCE_INDICADORES[[#This Row],[DIFERENCIA ABSOLUTA ANUAL]]/TABLA_AVANCE_INDICADORES[[#This Row],[PROGRAMADO ANUAL]])*100,"N/A")</f>
        <v>-50</v>
      </c>
      <c r="AX120" s="132"/>
      <c r="AY120" s="86"/>
      <c r="AZ120" s="86"/>
      <c r="BA120" s="86"/>
      <c r="BB120"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21" spans="1:54" ht="93.75" hidden="1" customHeight="1" x14ac:dyDescent="0.35">
      <c r="A121" s="19" t="s">
        <v>1147</v>
      </c>
      <c r="B121" s="99" t="s">
        <v>319</v>
      </c>
      <c r="C121" s="20" t="s">
        <v>213</v>
      </c>
      <c r="D121" s="100" t="s">
        <v>214</v>
      </c>
      <c r="E121" s="20" t="s">
        <v>320</v>
      </c>
      <c r="F121" s="101" t="s">
        <v>321</v>
      </c>
      <c r="G121" s="130" t="s">
        <v>322</v>
      </c>
      <c r="H121" s="80" t="s">
        <v>1113</v>
      </c>
      <c r="I121" s="22" t="s">
        <v>722</v>
      </c>
      <c r="J121" s="22" t="s">
        <v>169</v>
      </c>
      <c r="K121" s="80" t="s">
        <v>170</v>
      </c>
      <c r="L121" s="22" t="s">
        <v>171</v>
      </c>
      <c r="M121" s="80" t="s">
        <v>172</v>
      </c>
      <c r="N121" s="21">
        <v>2</v>
      </c>
      <c r="O121" s="21" t="s">
        <v>937</v>
      </c>
      <c r="P121" s="110" t="s">
        <v>1143</v>
      </c>
      <c r="Q121" s="110" t="s">
        <v>1148</v>
      </c>
      <c r="R121" s="102" t="s">
        <v>1145</v>
      </c>
      <c r="S121" s="22" t="s">
        <v>1146</v>
      </c>
      <c r="T121" s="42" t="s">
        <v>727</v>
      </c>
      <c r="U121" s="42" t="s">
        <v>1130</v>
      </c>
      <c r="V121" s="81">
        <v>84</v>
      </c>
      <c r="W121" s="81">
        <v>21</v>
      </c>
      <c r="X121" s="112">
        <v>21</v>
      </c>
      <c r="Y121" s="25">
        <f>IFERROR((TABLA_AVANCE_INDICADORES[[#This Row],[AVANCE 1°. TRIM]]/TABLA_AVANCE_INDICADORES[[#This Row],[PROGR. 1° TRIM]])*100,"0")</f>
        <v>100</v>
      </c>
      <c r="Z121"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21" s="104">
        <v>21</v>
      </c>
      <c r="AB121" s="113">
        <v>21</v>
      </c>
      <c r="AC121" s="27">
        <f t="shared" si="2"/>
        <v>100</v>
      </c>
      <c r="AD121" s="26" t="str">
        <f t="shared" si="3"/>
        <v>ADECUADO</v>
      </c>
      <c r="AE121" s="104">
        <v>21</v>
      </c>
      <c r="AF121" s="113">
        <f>AE121</f>
        <v>21</v>
      </c>
      <c r="AG121" s="27">
        <f>IFERROR((TABLA_AVANCE_INDICADORES[[#This Row],[AVANCE 3°. TRIM]]/TABLA_AVANCE_INDICADORES[[#This Row],[PROGR. 3° TRIM]])*100,"0")</f>
        <v>100</v>
      </c>
      <c r="AH121"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ADECUADO</v>
      </c>
      <c r="AI121" s="104">
        <v>21</v>
      </c>
      <c r="AJ121" s="113">
        <f>AI121</f>
        <v>21</v>
      </c>
      <c r="AK121" s="82">
        <f>IFERROR((TABLA_AVANCE_INDICADORES[[#This Row],[AVANCE 4°. TRIM]]/TABLA_AVANCE_INDICADORES[[#This Row],[PROGR. 4° TRIM]])*100,"0")</f>
        <v>100</v>
      </c>
      <c r="AL121"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21"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42</v>
      </c>
      <c r="AN121"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42</v>
      </c>
      <c r="AO121" s="27">
        <f>IFERROR((TABLA_AVANCE_INDICADORES[[#This Row],[AVANCE ACUM. TRIM.]]/TABLA_AVANCE_INDICADORES[[#This Row],[PROG. ACUM]])*100,"N/A")</f>
        <v>100</v>
      </c>
      <c r="AP121"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21" s="106">
        <f>TABLA_AVANCE_INDICADORES[[#This Row],[AVANCE ACUM. TRIM.]]-TABLA_AVANCE_INDICADORES[[#This Row],[PROG. ACUM]]</f>
        <v>0</v>
      </c>
      <c r="AR121" s="32">
        <f>IFERROR((TABLA_AVANCE_INDICADORES[[#This Row],[DIFERENCIA ABSOLUTA SEMESTRAL]]/TABLA_AVANCE_INDICADORES[[#This Row],[PROG. ACUM]])*100,"N/A")</f>
        <v>0</v>
      </c>
      <c r="AS121"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42</v>
      </c>
      <c r="AT121" s="27">
        <f>IFERROR((TABLA_AVANCE_INDICADORES[[#This Row],[AVANCE ACUM. ANUAL]]/TABLA_AVANCE_INDICADORES[[#This Row],[PROGRAMADO ANUAL]])*100,"N/A")</f>
        <v>50</v>
      </c>
      <c r="AU121"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21" s="106">
        <f>TABLA_AVANCE_INDICADORES[[#This Row],[AVANCE ACUM. ANUAL]]-TABLA_AVANCE_INDICADORES[[#This Row],[PROGRAMADO ANUAL]]</f>
        <v>-42</v>
      </c>
      <c r="AW121" s="32">
        <f>IFERROR((TABLA_AVANCE_INDICADORES[[#This Row],[DIFERENCIA ABSOLUTA ANUAL]]/TABLA_AVANCE_INDICADORES[[#This Row],[PROGRAMADO ANUAL]])*100,"N/A")</f>
        <v>-50</v>
      </c>
      <c r="AX121" s="132"/>
      <c r="AY121" s="86"/>
      <c r="AZ121" s="86"/>
      <c r="BA121" s="86"/>
      <c r="BB121"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22" spans="1:54" ht="93.75" hidden="1" customHeight="1" x14ac:dyDescent="0.35">
      <c r="A122" s="19" t="s">
        <v>1149</v>
      </c>
      <c r="B122" s="99" t="s">
        <v>319</v>
      </c>
      <c r="C122" s="20" t="s">
        <v>213</v>
      </c>
      <c r="D122" s="100" t="s">
        <v>214</v>
      </c>
      <c r="E122" s="20" t="s">
        <v>320</v>
      </c>
      <c r="F122" s="101" t="s">
        <v>321</v>
      </c>
      <c r="G122" s="130" t="s">
        <v>322</v>
      </c>
      <c r="H122" s="80" t="s">
        <v>1113</v>
      </c>
      <c r="I122" s="22" t="s">
        <v>722</v>
      </c>
      <c r="J122" s="22" t="s">
        <v>169</v>
      </c>
      <c r="K122" s="80" t="s">
        <v>170</v>
      </c>
      <c r="L122" s="22" t="s">
        <v>171</v>
      </c>
      <c r="M122" s="80" t="s">
        <v>172</v>
      </c>
      <c r="N122" s="21">
        <v>1</v>
      </c>
      <c r="O122" s="21" t="s">
        <v>944</v>
      </c>
      <c r="P122" s="110" t="s">
        <v>1150</v>
      </c>
      <c r="Q122" s="110" t="s">
        <v>1151</v>
      </c>
      <c r="R122" s="102" t="s">
        <v>1152</v>
      </c>
      <c r="S122" s="22" t="s">
        <v>327</v>
      </c>
      <c r="T122" s="42" t="s">
        <v>727</v>
      </c>
      <c r="U122" s="42" t="s">
        <v>754</v>
      </c>
      <c r="V122" s="81">
        <v>600</v>
      </c>
      <c r="W122" s="81">
        <v>150</v>
      </c>
      <c r="X122" s="103">
        <v>150</v>
      </c>
      <c r="Y122" s="25">
        <f>IFERROR((TABLA_AVANCE_INDICADORES[[#This Row],[AVANCE 1°. TRIM]]/TABLA_AVANCE_INDICADORES[[#This Row],[PROGR. 1° TRIM]])*100,"0")</f>
        <v>100</v>
      </c>
      <c r="Z122"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22" s="104">
        <v>150</v>
      </c>
      <c r="AB122" s="105">
        <v>150</v>
      </c>
      <c r="AC122" s="27">
        <f t="shared" si="2"/>
        <v>100</v>
      </c>
      <c r="AD122" s="26" t="str">
        <f t="shared" si="3"/>
        <v>ADECUADO</v>
      </c>
      <c r="AE122" s="104">
        <v>150</v>
      </c>
      <c r="AF122" s="105">
        <v>0</v>
      </c>
      <c r="AG122" s="27">
        <f>IFERROR((TABLA_AVANCE_INDICADORES[[#This Row],[AVANCE 3°. TRIM]]/TABLA_AVANCE_INDICADORES[[#This Row],[PROGR. 3° TRIM]])*100,"0")</f>
        <v>0</v>
      </c>
      <c r="AH122"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22" s="104">
        <v>150</v>
      </c>
      <c r="AJ122" s="105">
        <v>0</v>
      </c>
      <c r="AK122" s="82">
        <f>IFERROR((TABLA_AVANCE_INDICADORES[[#This Row],[AVANCE 4°. TRIM]]/TABLA_AVANCE_INDICADORES[[#This Row],[PROGR. 4° TRIM]])*100,"0")</f>
        <v>0</v>
      </c>
      <c r="AL122"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22"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300</v>
      </c>
      <c r="AN122"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300</v>
      </c>
      <c r="AO122" s="27">
        <f>IFERROR((TABLA_AVANCE_INDICADORES[[#This Row],[AVANCE ACUM. TRIM.]]/TABLA_AVANCE_INDICADORES[[#This Row],[PROG. ACUM]])*100,"N/A")</f>
        <v>100</v>
      </c>
      <c r="AP122"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22" s="106">
        <f>TABLA_AVANCE_INDICADORES[[#This Row],[AVANCE ACUM. TRIM.]]-TABLA_AVANCE_INDICADORES[[#This Row],[PROG. ACUM]]</f>
        <v>0</v>
      </c>
      <c r="AR122" s="32">
        <f>IFERROR((TABLA_AVANCE_INDICADORES[[#This Row],[DIFERENCIA ABSOLUTA SEMESTRAL]]/TABLA_AVANCE_INDICADORES[[#This Row],[PROG. ACUM]])*100,"N/A")</f>
        <v>0</v>
      </c>
      <c r="AS122"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300</v>
      </c>
      <c r="AT122" s="27">
        <f>IFERROR((TABLA_AVANCE_INDICADORES[[#This Row],[AVANCE ACUM. ANUAL]]/TABLA_AVANCE_INDICADORES[[#This Row],[PROGRAMADO ANUAL]])*100,"N/A")</f>
        <v>50</v>
      </c>
      <c r="AU122"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22" s="106">
        <f>TABLA_AVANCE_INDICADORES[[#This Row],[AVANCE ACUM. ANUAL]]-TABLA_AVANCE_INDICADORES[[#This Row],[PROGRAMADO ANUAL]]</f>
        <v>-300</v>
      </c>
      <c r="AW122" s="32">
        <f>IFERROR((TABLA_AVANCE_INDICADORES[[#This Row],[DIFERENCIA ABSOLUTA ANUAL]]/TABLA_AVANCE_INDICADORES[[#This Row],[PROGRAMADO ANUAL]])*100,"N/A")</f>
        <v>-50</v>
      </c>
      <c r="AX122" s="132"/>
      <c r="AY122" s="86"/>
      <c r="AZ122" s="86"/>
      <c r="BA122" s="86"/>
      <c r="BB122"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23" spans="1:54" ht="93.75" hidden="1" customHeight="1" x14ac:dyDescent="0.35">
      <c r="A123" s="19" t="s">
        <v>1153</v>
      </c>
      <c r="B123" s="99" t="s">
        <v>319</v>
      </c>
      <c r="C123" s="20" t="s">
        <v>213</v>
      </c>
      <c r="D123" s="100" t="s">
        <v>214</v>
      </c>
      <c r="E123" s="20" t="s">
        <v>320</v>
      </c>
      <c r="F123" s="101" t="s">
        <v>321</v>
      </c>
      <c r="G123" s="130" t="s">
        <v>322</v>
      </c>
      <c r="H123" s="80" t="s">
        <v>1113</v>
      </c>
      <c r="I123" s="22" t="s">
        <v>722</v>
      </c>
      <c r="J123" s="22" t="s">
        <v>169</v>
      </c>
      <c r="K123" s="80" t="s">
        <v>170</v>
      </c>
      <c r="L123" s="22" t="s">
        <v>171</v>
      </c>
      <c r="M123" s="80" t="s">
        <v>172</v>
      </c>
      <c r="N123" s="21">
        <v>2</v>
      </c>
      <c r="O123" s="21" t="s">
        <v>944</v>
      </c>
      <c r="P123" s="110" t="s">
        <v>1150</v>
      </c>
      <c r="Q123" s="110" t="s">
        <v>1154</v>
      </c>
      <c r="R123" s="102" t="s">
        <v>1152</v>
      </c>
      <c r="S123" s="22" t="s">
        <v>327</v>
      </c>
      <c r="T123" s="42" t="s">
        <v>727</v>
      </c>
      <c r="U123" s="42" t="s">
        <v>754</v>
      </c>
      <c r="V123" s="81">
        <v>600</v>
      </c>
      <c r="W123" s="81">
        <v>150</v>
      </c>
      <c r="X123" s="103">
        <v>150</v>
      </c>
      <c r="Y123" s="25">
        <f>IFERROR((TABLA_AVANCE_INDICADORES[[#This Row],[AVANCE 1°. TRIM]]/TABLA_AVANCE_INDICADORES[[#This Row],[PROGR. 1° TRIM]])*100,"0")</f>
        <v>100</v>
      </c>
      <c r="Z123"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23" s="104">
        <v>150</v>
      </c>
      <c r="AB123" s="105">
        <v>150</v>
      </c>
      <c r="AC123" s="27">
        <f t="shared" si="2"/>
        <v>100</v>
      </c>
      <c r="AD123" s="26" t="str">
        <f t="shared" si="3"/>
        <v>ADECUADO</v>
      </c>
      <c r="AE123" s="104">
        <v>150</v>
      </c>
      <c r="AF123" s="105">
        <v>0</v>
      </c>
      <c r="AG123" s="27">
        <f>IFERROR((TABLA_AVANCE_INDICADORES[[#This Row],[AVANCE 3°. TRIM]]/TABLA_AVANCE_INDICADORES[[#This Row],[PROGR. 3° TRIM]])*100,"0")</f>
        <v>0</v>
      </c>
      <c r="AH123"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23" s="104">
        <v>150</v>
      </c>
      <c r="AJ123" s="105">
        <v>0</v>
      </c>
      <c r="AK123" s="82">
        <f>IFERROR((TABLA_AVANCE_INDICADORES[[#This Row],[AVANCE 4°. TRIM]]/TABLA_AVANCE_INDICADORES[[#This Row],[PROGR. 4° TRIM]])*100,"0")</f>
        <v>0</v>
      </c>
      <c r="AL123"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23"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300</v>
      </c>
      <c r="AN123"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300</v>
      </c>
      <c r="AO123" s="27">
        <f>IFERROR((TABLA_AVANCE_INDICADORES[[#This Row],[AVANCE ACUM. TRIM.]]/TABLA_AVANCE_INDICADORES[[#This Row],[PROG. ACUM]])*100,"N/A")</f>
        <v>100</v>
      </c>
      <c r="AP123"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23" s="106">
        <f>TABLA_AVANCE_INDICADORES[[#This Row],[AVANCE ACUM. TRIM.]]-TABLA_AVANCE_INDICADORES[[#This Row],[PROG. ACUM]]</f>
        <v>0</v>
      </c>
      <c r="AR123" s="32">
        <f>IFERROR((TABLA_AVANCE_INDICADORES[[#This Row],[DIFERENCIA ABSOLUTA SEMESTRAL]]/TABLA_AVANCE_INDICADORES[[#This Row],[PROG. ACUM]])*100,"N/A")</f>
        <v>0</v>
      </c>
      <c r="AS123"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300</v>
      </c>
      <c r="AT123" s="27">
        <f>IFERROR((TABLA_AVANCE_INDICADORES[[#This Row],[AVANCE ACUM. ANUAL]]/TABLA_AVANCE_INDICADORES[[#This Row],[PROGRAMADO ANUAL]])*100,"N/A")</f>
        <v>50</v>
      </c>
      <c r="AU123"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23" s="106">
        <f>TABLA_AVANCE_INDICADORES[[#This Row],[AVANCE ACUM. ANUAL]]-TABLA_AVANCE_INDICADORES[[#This Row],[PROGRAMADO ANUAL]]</f>
        <v>-300</v>
      </c>
      <c r="AW123" s="32">
        <f>IFERROR((TABLA_AVANCE_INDICADORES[[#This Row],[DIFERENCIA ABSOLUTA ANUAL]]/TABLA_AVANCE_INDICADORES[[#This Row],[PROGRAMADO ANUAL]])*100,"N/A")</f>
        <v>-50</v>
      </c>
      <c r="AX123" s="132"/>
      <c r="AY123" s="86"/>
      <c r="AZ123" s="86"/>
      <c r="BA123" s="86"/>
      <c r="BB123"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24" spans="1:54" ht="225" hidden="1" customHeight="1" x14ac:dyDescent="0.35">
      <c r="A124" s="19" t="s">
        <v>1155</v>
      </c>
      <c r="B124" s="99" t="s">
        <v>212</v>
      </c>
      <c r="C124" s="20" t="s">
        <v>213</v>
      </c>
      <c r="D124" s="100" t="s">
        <v>214</v>
      </c>
      <c r="E124" s="20" t="s">
        <v>253</v>
      </c>
      <c r="F124" s="101" t="s">
        <v>254</v>
      </c>
      <c r="G124" s="130" t="s">
        <v>332</v>
      </c>
      <c r="H124" s="80" t="s">
        <v>1156</v>
      </c>
      <c r="I124" s="22" t="s">
        <v>1157</v>
      </c>
      <c r="J124" s="22" t="s">
        <v>333</v>
      </c>
      <c r="K124" s="80" t="s">
        <v>334</v>
      </c>
      <c r="L124" s="22" t="s">
        <v>335</v>
      </c>
      <c r="M124" s="80" t="s">
        <v>336</v>
      </c>
      <c r="N124" s="21">
        <v>1</v>
      </c>
      <c r="O124" s="21" t="s">
        <v>723</v>
      </c>
      <c r="P124" s="110" t="s">
        <v>1158</v>
      </c>
      <c r="Q124" s="110" t="s">
        <v>1159</v>
      </c>
      <c r="R124" s="102" t="s">
        <v>1160</v>
      </c>
      <c r="S124" s="22" t="s">
        <v>184</v>
      </c>
      <c r="T124" s="42" t="s">
        <v>727</v>
      </c>
      <c r="U124" s="42" t="s">
        <v>738</v>
      </c>
      <c r="V124" s="81">
        <v>1354</v>
      </c>
      <c r="W124" s="81">
        <v>0</v>
      </c>
      <c r="X124" s="103">
        <v>0</v>
      </c>
      <c r="Y124" s="25" t="str">
        <f>IFERROR((TABLA_AVANCE_INDICADORES[[#This Row],[AVANCE 1°. TRIM]]/TABLA_AVANCE_INDICADORES[[#This Row],[PROGR. 1° TRIM]])*100,"0")</f>
        <v>0</v>
      </c>
      <c r="Z124"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24" s="104">
        <v>0</v>
      </c>
      <c r="AB124" s="105">
        <v>0</v>
      </c>
      <c r="AC124" s="27" t="str">
        <f t="shared" si="2"/>
        <v>0</v>
      </c>
      <c r="AD124" s="26" t="str">
        <f t="shared" si="3"/>
        <v>NO PROG.</v>
      </c>
      <c r="AE124" s="104">
        <v>0</v>
      </c>
      <c r="AF124" s="105">
        <v>0</v>
      </c>
      <c r="AG124" s="27" t="str">
        <f>IFERROR((TABLA_AVANCE_INDICADORES[[#This Row],[AVANCE 3°. TRIM]]/TABLA_AVANCE_INDICADORES[[#This Row],[PROGR. 3° TRIM]])*100,"0")</f>
        <v>0</v>
      </c>
      <c r="AH124"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24" s="104">
        <v>1354</v>
      </c>
      <c r="AJ124" s="105">
        <v>0</v>
      </c>
      <c r="AK124" s="82">
        <f>IFERROR((TABLA_AVANCE_INDICADORES[[#This Row],[AVANCE 4°. TRIM]]/TABLA_AVANCE_INDICADORES[[#This Row],[PROGR. 4° TRIM]])*100,"0")</f>
        <v>0</v>
      </c>
      <c r="AL124"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24"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24"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24" s="27" t="str">
        <f>IFERROR((TABLA_AVANCE_INDICADORES[[#This Row],[AVANCE ACUM. TRIM.]]/TABLA_AVANCE_INDICADORES[[#This Row],[PROG. ACUM]])*100,"N/A")</f>
        <v>N/A</v>
      </c>
      <c r="AP124"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24" s="106">
        <f>TABLA_AVANCE_INDICADORES[[#This Row],[AVANCE ACUM. TRIM.]]-TABLA_AVANCE_INDICADORES[[#This Row],[PROG. ACUM]]</f>
        <v>0</v>
      </c>
      <c r="AR124" s="32" t="str">
        <f>IFERROR((TABLA_AVANCE_INDICADORES[[#This Row],[DIFERENCIA ABSOLUTA SEMESTRAL]]/TABLA_AVANCE_INDICADORES[[#This Row],[PROG. ACUM]])*100,"N/A")</f>
        <v>N/A</v>
      </c>
      <c r="AS124"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24" s="27">
        <f>IFERROR((TABLA_AVANCE_INDICADORES[[#This Row],[AVANCE ACUM. ANUAL]]/TABLA_AVANCE_INDICADORES[[#This Row],[PROGRAMADO ANUAL]])*100,"N/A")</f>
        <v>0</v>
      </c>
      <c r="AU124"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24" s="106">
        <f>TABLA_AVANCE_INDICADORES[[#This Row],[AVANCE ACUM. ANUAL]]-TABLA_AVANCE_INDICADORES[[#This Row],[PROGRAMADO ANUAL]]</f>
        <v>-1354</v>
      </c>
      <c r="AW124" s="32">
        <f>IFERROR((TABLA_AVANCE_INDICADORES[[#This Row],[DIFERENCIA ABSOLUTA ANUAL]]/TABLA_AVANCE_INDICADORES[[#This Row],[PROGRAMADO ANUAL]])*100,"N/A")</f>
        <v>-100</v>
      </c>
      <c r="AX124" s="132"/>
      <c r="AY124" s="86"/>
      <c r="AZ124" s="86"/>
      <c r="BA124" s="86"/>
      <c r="BB124"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25" spans="1:54" ht="225" hidden="1" customHeight="1" x14ac:dyDescent="0.35">
      <c r="A125" s="19" t="s">
        <v>1161</v>
      </c>
      <c r="B125" s="99" t="s">
        <v>212</v>
      </c>
      <c r="C125" s="20" t="s">
        <v>213</v>
      </c>
      <c r="D125" s="100" t="s">
        <v>214</v>
      </c>
      <c r="E125" s="20" t="s">
        <v>253</v>
      </c>
      <c r="F125" s="101" t="s">
        <v>254</v>
      </c>
      <c r="G125" s="130" t="s">
        <v>332</v>
      </c>
      <c r="H125" s="80" t="s">
        <v>1156</v>
      </c>
      <c r="I125" s="22" t="s">
        <v>1157</v>
      </c>
      <c r="J125" s="22" t="s">
        <v>333</v>
      </c>
      <c r="K125" s="80" t="s">
        <v>334</v>
      </c>
      <c r="L125" s="22" t="s">
        <v>335</v>
      </c>
      <c r="M125" s="80" t="s">
        <v>336</v>
      </c>
      <c r="N125" s="21">
        <v>2</v>
      </c>
      <c r="O125" s="21" t="s">
        <v>723</v>
      </c>
      <c r="P125" s="110" t="s">
        <v>1158</v>
      </c>
      <c r="Q125" s="110" t="s">
        <v>1162</v>
      </c>
      <c r="R125" s="102" t="s">
        <v>1160</v>
      </c>
      <c r="S125" s="22" t="s">
        <v>184</v>
      </c>
      <c r="T125" s="42" t="s">
        <v>727</v>
      </c>
      <c r="U125" s="42" t="s">
        <v>738</v>
      </c>
      <c r="V125" s="81">
        <v>1266</v>
      </c>
      <c r="W125" s="81">
        <v>0</v>
      </c>
      <c r="X125" s="103">
        <v>0</v>
      </c>
      <c r="Y125" s="25" t="str">
        <f>IFERROR((TABLA_AVANCE_INDICADORES[[#This Row],[AVANCE 1°. TRIM]]/TABLA_AVANCE_INDICADORES[[#This Row],[PROGR. 1° TRIM]])*100,"0")</f>
        <v>0</v>
      </c>
      <c r="Z125"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25" s="104">
        <v>0</v>
      </c>
      <c r="AB125" s="105">
        <v>0</v>
      </c>
      <c r="AC125" s="27" t="str">
        <f t="shared" si="2"/>
        <v>0</v>
      </c>
      <c r="AD125" s="26" t="str">
        <f t="shared" si="3"/>
        <v>NO PROG.</v>
      </c>
      <c r="AE125" s="104">
        <v>0</v>
      </c>
      <c r="AF125" s="105">
        <v>0</v>
      </c>
      <c r="AG125" s="27" t="str">
        <f>IFERROR((TABLA_AVANCE_INDICADORES[[#This Row],[AVANCE 3°. TRIM]]/TABLA_AVANCE_INDICADORES[[#This Row],[PROGR. 3° TRIM]])*100,"0")</f>
        <v>0</v>
      </c>
      <c r="AH125"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25" s="104">
        <v>1266</v>
      </c>
      <c r="AJ125" s="111">
        <v>1266</v>
      </c>
      <c r="AK125" s="82">
        <f>IFERROR((TABLA_AVANCE_INDICADORES[[#This Row],[AVANCE 4°. TRIM]]/TABLA_AVANCE_INDICADORES[[#This Row],[PROGR. 4° TRIM]])*100,"0")</f>
        <v>100</v>
      </c>
      <c r="AL125"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25"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25"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25" s="27" t="str">
        <f>IFERROR((TABLA_AVANCE_INDICADORES[[#This Row],[AVANCE ACUM. TRIM.]]/TABLA_AVANCE_INDICADORES[[#This Row],[PROG. ACUM]])*100,"N/A")</f>
        <v>N/A</v>
      </c>
      <c r="AP125"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25" s="106">
        <f>TABLA_AVANCE_INDICADORES[[#This Row],[AVANCE ACUM. TRIM.]]-TABLA_AVANCE_INDICADORES[[#This Row],[PROG. ACUM]]</f>
        <v>0</v>
      </c>
      <c r="AR125" s="32" t="str">
        <f>IFERROR((TABLA_AVANCE_INDICADORES[[#This Row],[DIFERENCIA ABSOLUTA SEMESTRAL]]/TABLA_AVANCE_INDICADORES[[#This Row],[PROG. ACUM]])*100,"N/A")</f>
        <v>N/A</v>
      </c>
      <c r="AS125"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25" s="27">
        <f>IFERROR((TABLA_AVANCE_INDICADORES[[#This Row],[AVANCE ACUM. ANUAL]]/TABLA_AVANCE_INDICADORES[[#This Row],[PROGRAMADO ANUAL]])*100,"N/A")</f>
        <v>0</v>
      </c>
      <c r="AU125"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25" s="106">
        <f>TABLA_AVANCE_INDICADORES[[#This Row],[AVANCE ACUM. ANUAL]]-TABLA_AVANCE_INDICADORES[[#This Row],[PROGRAMADO ANUAL]]</f>
        <v>-1266</v>
      </c>
      <c r="AW125" s="32">
        <f>IFERROR((TABLA_AVANCE_INDICADORES[[#This Row],[DIFERENCIA ABSOLUTA ANUAL]]/TABLA_AVANCE_INDICADORES[[#This Row],[PROGRAMADO ANUAL]])*100,"N/A")</f>
        <v>-100</v>
      </c>
      <c r="AX125" s="132"/>
      <c r="AY125" s="86"/>
      <c r="AZ125" s="86"/>
      <c r="BA125" s="86"/>
      <c r="BB125"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26" spans="1:54" ht="168.75" hidden="1" customHeight="1" x14ac:dyDescent="0.35">
      <c r="A126" s="19" t="s">
        <v>1163</v>
      </c>
      <c r="B126" s="99" t="s">
        <v>212</v>
      </c>
      <c r="C126" s="20" t="s">
        <v>213</v>
      </c>
      <c r="D126" s="100" t="s">
        <v>214</v>
      </c>
      <c r="E126" s="20" t="s">
        <v>253</v>
      </c>
      <c r="F126" s="101" t="s">
        <v>254</v>
      </c>
      <c r="G126" s="130" t="s">
        <v>332</v>
      </c>
      <c r="H126" s="80" t="s">
        <v>1156</v>
      </c>
      <c r="I126" s="22" t="s">
        <v>1157</v>
      </c>
      <c r="J126" s="22" t="s">
        <v>333</v>
      </c>
      <c r="K126" s="80" t="s">
        <v>334</v>
      </c>
      <c r="L126" s="22" t="s">
        <v>335</v>
      </c>
      <c r="M126" s="80" t="s">
        <v>336</v>
      </c>
      <c r="N126" s="21">
        <v>1</v>
      </c>
      <c r="O126" s="21" t="s">
        <v>733</v>
      </c>
      <c r="P126" s="110" t="s">
        <v>1164</v>
      </c>
      <c r="Q126" s="110" t="s">
        <v>1165</v>
      </c>
      <c r="R126" s="102" t="s">
        <v>1166</v>
      </c>
      <c r="S126" s="22" t="s">
        <v>184</v>
      </c>
      <c r="T126" s="42" t="s">
        <v>727</v>
      </c>
      <c r="U126" s="42" t="s">
        <v>738</v>
      </c>
      <c r="V126" s="81">
        <v>1354</v>
      </c>
      <c r="W126" s="81">
        <v>0</v>
      </c>
      <c r="X126" s="103">
        <v>0</v>
      </c>
      <c r="Y126" s="25" t="str">
        <f>IFERROR((TABLA_AVANCE_INDICADORES[[#This Row],[AVANCE 1°. TRIM]]/TABLA_AVANCE_INDICADORES[[#This Row],[PROGR. 1° TRIM]])*100,"0")</f>
        <v>0</v>
      </c>
      <c r="Z126"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26" s="104">
        <v>0</v>
      </c>
      <c r="AB126" s="105">
        <v>0</v>
      </c>
      <c r="AC126" s="27" t="str">
        <f t="shared" si="2"/>
        <v>0</v>
      </c>
      <c r="AD126" s="26" t="str">
        <f t="shared" si="3"/>
        <v>NO PROG.</v>
      </c>
      <c r="AE126" s="104">
        <v>0</v>
      </c>
      <c r="AF126" s="105">
        <v>0</v>
      </c>
      <c r="AG126" s="27" t="str">
        <f>IFERROR((TABLA_AVANCE_INDICADORES[[#This Row],[AVANCE 3°. TRIM]]/TABLA_AVANCE_INDICADORES[[#This Row],[PROGR. 3° TRIM]])*100,"0")</f>
        <v>0</v>
      </c>
      <c r="AH126"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26" s="104">
        <v>1354</v>
      </c>
      <c r="AJ126" s="105">
        <v>0</v>
      </c>
      <c r="AK126" s="82">
        <f>IFERROR((TABLA_AVANCE_INDICADORES[[#This Row],[AVANCE 4°. TRIM]]/TABLA_AVANCE_INDICADORES[[#This Row],[PROGR. 4° TRIM]])*100,"0")</f>
        <v>0</v>
      </c>
      <c r="AL126"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26"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26"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26" s="27" t="str">
        <f>IFERROR((TABLA_AVANCE_INDICADORES[[#This Row],[AVANCE ACUM. TRIM.]]/TABLA_AVANCE_INDICADORES[[#This Row],[PROG. ACUM]])*100,"N/A")</f>
        <v>N/A</v>
      </c>
      <c r="AP126"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26" s="106">
        <f>TABLA_AVANCE_INDICADORES[[#This Row],[AVANCE ACUM. TRIM.]]-TABLA_AVANCE_INDICADORES[[#This Row],[PROG. ACUM]]</f>
        <v>0</v>
      </c>
      <c r="AR126" s="32" t="str">
        <f>IFERROR((TABLA_AVANCE_INDICADORES[[#This Row],[DIFERENCIA ABSOLUTA SEMESTRAL]]/TABLA_AVANCE_INDICADORES[[#This Row],[PROG. ACUM]])*100,"N/A")</f>
        <v>N/A</v>
      </c>
      <c r="AS126"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26" s="27">
        <f>IFERROR((TABLA_AVANCE_INDICADORES[[#This Row],[AVANCE ACUM. ANUAL]]/TABLA_AVANCE_INDICADORES[[#This Row],[PROGRAMADO ANUAL]])*100,"N/A")</f>
        <v>0</v>
      </c>
      <c r="AU126"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26" s="106">
        <f>TABLA_AVANCE_INDICADORES[[#This Row],[AVANCE ACUM. ANUAL]]-TABLA_AVANCE_INDICADORES[[#This Row],[PROGRAMADO ANUAL]]</f>
        <v>-1354</v>
      </c>
      <c r="AW126" s="32">
        <f>IFERROR((TABLA_AVANCE_INDICADORES[[#This Row],[DIFERENCIA ABSOLUTA ANUAL]]/TABLA_AVANCE_INDICADORES[[#This Row],[PROGRAMADO ANUAL]])*100,"N/A")</f>
        <v>-100</v>
      </c>
      <c r="AX126" s="132"/>
      <c r="AY126" s="86"/>
      <c r="AZ126" s="86"/>
      <c r="BA126" s="86"/>
      <c r="BB126"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27" spans="1:54" ht="168.75" hidden="1" customHeight="1" x14ac:dyDescent="0.35">
      <c r="A127" s="19" t="s">
        <v>1167</v>
      </c>
      <c r="B127" s="99" t="s">
        <v>212</v>
      </c>
      <c r="C127" s="20" t="s">
        <v>213</v>
      </c>
      <c r="D127" s="100" t="s">
        <v>214</v>
      </c>
      <c r="E127" s="20" t="s">
        <v>253</v>
      </c>
      <c r="F127" s="101" t="s">
        <v>254</v>
      </c>
      <c r="G127" s="130" t="s">
        <v>332</v>
      </c>
      <c r="H127" s="80" t="s">
        <v>1156</v>
      </c>
      <c r="I127" s="22" t="s">
        <v>1157</v>
      </c>
      <c r="J127" s="22" t="s">
        <v>333</v>
      </c>
      <c r="K127" s="80" t="s">
        <v>334</v>
      </c>
      <c r="L127" s="22" t="s">
        <v>335</v>
      </c>
      <c r="M127" s="80" t="s">
        <v>336</v>
      </c>
      <c r="N127" s="21">
        <v>2</v>
      </c>
      <c r="O127" s="21" t="s">
        <v>733</v>
      </c>
      <c r="P127" s="110" t="s">
        <v>1164</v>
      </c>
      <c r="Q127" s="110" t="s">
        <v>1168</v>
      </c>
      <c r="R127" s="102" t="s">
        <v>1166</v>
      </c>
      <c r="S127" s="22" t="s">
        <v>1169</v>
      </c>
      <c r="T127" s="42" t="s">
        <v>727</v>
      </c>
      <c r="U127" s="42" t="s">
        <v>738</v>
      </c>
      <c r="V127" s="81">
        <v>555163</v>
      </c>
      <c r="W127" s="81">
        <v>0</v>
      </c>
      <c r="X127" s="103">
        <v>0</v>
      </c>
      <c r="Y127" s="25" t="str">
        <f>IFERROR((TABLA_AVANCE_INDICADORES[[#This Row],[AVANCE 1°. TRIM]]/TABLA_AVANCE_INDICADORES[[#This Row],[PROGR. 1° TRIM]])*100,"0")</f>
        <v>0</v>
      </c>
      <c r="Z127"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27" s="104">
        <v>0</v>
      </c>
      <c r="AB127" s="105">
        <v>0</v>
      </c>
      <c r="AC127" s="27" t="str">
        <f t="shared" si="2"/>
        <v>0</v>
      </c>
      <c r="AD127" s="26" t="str">
        <f t="shared" si="3"/>
        <v>NO PROG.</v>
      </c>
      <c r="AE127" s="104">
        <v>0</v>
      </c>
      <c r="AF127" s="105">
        <v>0</v>
      </c>
      <c r="AG127" s="27" t="str">
        <f>IFERROR((TABLA_AVANCE_INDICADORES[[#This Row],[AVANCE 3°. TRIM]]/TABLA_AVANCE_INDICADORES[[#This Row],[PROGR. 3° TRIM]])*100,"0")</f>
        <v>0</v>
      </c>
      <c r="AH127"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27" s="104">
        <v>555163</v>
      </c>
      <c r="AJ127" s="105">
        <v>0</v>
      </c>
      <c r="AK127" s="82">
        <f>IFERROR((TABLA_AVANCE_INDICADORES[[#This Row],[AVANCE 4°. TRIM]]/TABLA_AVANCE_INDICADORES[[#This Row],[PROGR. 4° TRIM]])*100,"0")</f>
        <v>0</v>
      </c>
      <c r="AL127"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27"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27"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27" s="27" t="str">
        <f>IFERROR((TABLA_AVANCE_INDICADORES[[#This Row],[AVANCE ACUM. TRIM.]]/TABLA_AVANCE_INDICADORES[[#This Row],[PROG. ACUM]])*100,"N/A")</f>
        <v>N/A</v>
      </c>
      <c r="AP127"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27" s="106">
        <f>TABLA_AVANCE_INDICADORES[[#This Row],[AVANCE ACUM. TRIM.]]-TABLA_AVANCE_INDICADORES[[#This Row],[PROG. ACUM]]</f>
        <v>0</v>
      </c>
      <c r="AR127" s="32" t="str">
        <f>IFERROR((TABLA_AVANCE_INDICADORES[[#This Row],[DIFERENCIA ABSOLUTA SEMESTRAL]]/TABLA_AVANCE_INDICADORES[[#This Row],[PROG. ACUM]])*100,"N/A")</f>
        <v>N/A</v>
      </c>
      <c r="AS127"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27" s="27">
        <f>IFERROR((TABLA_AVANCE_INDICADORES[[#This Row],[AVANCE ACUM. ANUAL]]/TABLA_AVANCE_INDICADORES[[#This Row],[PROGRAMADO ANUAL]])*100,"N/A")</f>
        <v>0</v>
      </c>
      <c r="AU127"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27" s="106">
        <f>TABLA_AVANCE_INDICADORES[[#This Row],[AVANCE ACUM. ANUAL]]-TABLA_AVANCE_INDICADORES[[#This Row],[PROGRAMADO ANUAL]]</f>
        <v>-555163</v>
      </c>
      <c r="AW127" s="32">
        <f>IFERROR((TABLA_AVANCE_INDICADORES[[#This Row],[DIFERENCIA ABSOLUTA ANUAL]]/TABLA_AVANCE_INDICADORES[[#This Row],[PROGRAMADO ANUAL]])*100,"N/A")</f>
        <v>-100</v>
      </c>
      <c r="AX127" s="132"/>
      <c r="AY127" s="86"/>
      <c r="AZ127" s="86"/>
      <c r="BA127" s="86"/>
      <c r="BB127"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28" spans="1:54" ht="168.75" hidden="1" customHeight="1" x14ac:dyDescent="0.35">
      <c r="A128" s="19" t="s">
        <v>1170</v>
      </c>
      <c r="B128" s="99" t="s">
        <v>212</v>
      </c>
      <c r="C128" s="20" t="s">
        <v>213</v>
      </c>
      <c r="D128" s="100" t="s">
        <v>214</v>
      </c>
      <c r="E128" s="20" t="s">
        <v>253</v>
      </c>
      <c r="F128" s="101" t="s">
        <v>254</v>
      </c>
      <c r="G128" s="130" t="s">
        <v>332</v>
      </c>
      <c r="H128" s="80" t="s">
        <v>1156</v>
      </c>
      <c r="I128" s="22" t="s">
        <v>1157</v>
      </c>
      <c r="J128" s="22" t="s">
        <v>333</v>
      </c>
      <c r="K128" s="80" t="s">
        <v>334</v>
      </c>
      <c r="L128" s="22" t="s">
        <v>335</v>
      </c>
      <c r="M128" s="80" t="s">
        <v>336</v>
      </c>
      <c r="N128" s="21">
        <v>1</v>
      </c>
      <c r="O128" s="21" t="s">
        <v>742</v>
      </c>
      <c r="P128" s="110" t="s">
        <v>1171</v>
      </c>
      <c r="Q128" s="110" t="s">
        <v>1172</v>
      </c>
      <c r="R128" s="102" t="s">
        <v>1173</v>
      </c>
      <c r="S128" s="22" t="s">
        <v>883</v>
      </c>
      <c r="T128" s="42" t="s">
        <v>727</v>
      </c>
      <c r="U128" s="42" t="s">
        <v>746</v>
      </c>
      <c r="V128" s="81">
        <v>1266</v>
      </c>
      <c r="W128" s="81">
        <v>0</v>
      </c>
      <c r="X128" s="103">
        <v>0</v>
      </c>
      <c r="Y128" s="25" t="str">
        <f>IFERROR((TABLA_AVANCE_INDICADORES[[#This Row],[AVANCE 1°. TRIM]]/TABLA_AVANCE_INDICADORES[[#This Row],[PROGR. 1° TRIM]])*100,"0")</f>
        <v>0</v>
      </c>
      <c r="Z128"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28" s="104">
        <v>633</v>
      </c>
      <c r="AB128" s="105">
        <v>672</v>
      </c>
      <c r="AC128" s="27">
        <f t="shared" si="2"/>
        <v>106.1611374407583</v>
      </c>
      <c r="AD128" s="26" t="str">
        <f t="shared" si="3"/>
        <v>ADECUADO</v>
      </c>
      <c r="AE128" s="104">
        <v>0</v>
      </c>
      <c r="AF128" s="105">
        <v>0</v>
      </c>
      <c r="AG128" s="27" t="str">
        <f>IFERROR((TABLA_AVANCE_INDICADORES[[#This Row],[AVANCE 3°. TRIM]]/TABLA_AVANCE_INDICADORES[[#This Row],[PROGR. 3° TRIM]])*100,"0")</f>
        <v>0</v>
      </c>
      <c r="AH128"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28" s="104">
        <v>633</v>
      </c>
      <c r="AJ128" s="105">
        <v>0</v>
      </c>
      <c r="AK128" s="82">
        <f>IFERROR((TABLA_AVANCE_INDICADORES[[#This Row],[AVANCE 4°. TRIM]]/TABLA_AVANCE_INDICADORES[[#This Row],[PROGR. 4° TRIM]])*100,"0")</f>
        <v>0</v>
      </c>
      <c r="AL128"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28"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633</v>
      </c>
      <c r="AN128"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672</v>
      </c>
      <c r="AO128" s="27">
        <f>IFERROR((TABLA_AVANCE_INDICADORES[[#This Row],[AVANCE ACUM. TRIM.]]/TABLA_AVANCE_INDICADORES[[#This Row],[PROG. ACUM]])*100,"N/A")</f>
        <v>106.1611374407583</v>
      </c>
      <c r="AP128"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28" s="106">
        <f>TABLA_AVANCE_INDICADORES[[#This Row],[AVANCE ACUM. TRIM.]]-TABLA_AVANCE_INDICADORES[[#This Row],[PROG. ACUM]]</f>
        <v>39</v>
      </c>
      <c r="AR128" s="32">
        <f>IFERROR((TABLA_AVANCE_INDICADORES[[#This Row],[DIFERENCIA ABSOLUTA SEMESTRAL]]/TABLA_AVANCE_INDICADORES[[#This Row],[PROG. ACUM]])*100,"N/A")</f>
        <v>6.1611374407582939</v>
      </c>
      <c r="AS128"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672</v>
      </c>
      <c r="AT128" s="27">
        <f>IFERROR((TABLA_AVANCE_INDICADORES[[#This Row],[AVANCE ACUM. ANUAL]]/TABLA_AVANCE_INDICADORES[[#This Row],[PROGRAMADO ANUAL]])*100,"N/A")</f>
        <v>53.080568720379148</v>
      </c>
      <c r="AU128"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28" s="106">
        <f>TABLA_AVANCE_INDICADORES[[#This Row],[AVANCE ACUM. ANUAL]]-TABLA_AVANCE_INDICADORES[[#This Row],[PROGRAMADO ANUAL]]</f>
        <v>-594</v>
      </c>
      <c r="AW128" s="32">
        <f>IFERROR((TABLA_AVANCE_INDICADORES[[#This Row],[DIFERENCIA ABSOLUTA ANUAL]]/TABLA_AVANCE_INDICADORES[[#This Row],[PROGRAMADO ANUAL]])*100,"N/A")</f>
        <v>-46.919431279620852</v>
      </c>
      <c r="AX128" s="132"/>
      <c r="AY128" s="86"/>
      <c r="AZ128" s="86"/>
      <c r="BA128" s="86"/>
      <c r="BB128"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29" spans="1:54" ht="168.75" hidden="1" customHeight="1" x14ac:dyDescent="0.35">
      <c r="A129" s="19" t="s">
        <v>1174</v>
      </c>
      <c r="B129" s="99" t="s">
        <v>212</v>
      </c>
      <c r="C129" s="20" t="s">
        <v>213</v>
      </c>
      <c r="D129" s="100" t="s">
        <v>214</v>
      </c>
      <c r="E129" s="20" t="s">
        <v>253</v>
      </c>
      <c r="F129" s="101" t="s">
        <v>254</v>
      </c>
      <c r="G129" s="130" t="s">
        <v>332</v>
      </c>
      <c r="H129" s="80" t="s">
        <v>1156</v>
      </c>
      <c r="I129" s="22" t="s">
        <v>1157</v>
      </c>
      <c r="J129" s="22" t="s">
        <v>333</v>
      </c>
      <c r="K129" s="80" t="s">
        <v>334</v>
      </c>
      <c r="L129" s="22" t="s">
        <v>335</v>
      </c>
      <c r="M129" s="80" t="s">
        <v>336</v>
      </c>
      <c r="N129" s="21">
        <v>2</v>
      </c>
      <c r="O129" s="21" t="s">
        <v>742</v>
      </c>
      <c r="P129" s="110" t="s">
        <v>1171</v>
      </c>
      <c r="Q129" s="110" t="s">
        <v>1175</v>
      </c>
      <c r="R129" s="102" t="s">
        <v>1173</v>
      </c>
      <c r="S129" s="22" t="s">
        <v>883</v>
      </c>
      <c r="T129" s="42" t="s">
        <v>727</v>
      </c>
      <c r="U129" s="42" t="s">
        <v>746</v>
      </c>
      <c r="V129" s="81">
        <v>1266</v>
      </c>
      <c r="W129" s="81">
        <v>0</v>
      </c>
      <c r="X129" s="103">
        <v>0</v>
      </c>
      <c r="Y129" s="25" t="str">
        <f>IFERROR((TABLA_AVANCE_INDICADORES[[#This Row],[AVANCE 1°. TRIM]]/TABLA_AVANCE_INDICADORES[[#This Row],[PROGR. 1° TRIM]])*100,"0")</f>
        <v>0</v>
      </c>
      <c r="Z129"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29" s="104">
        <v>633</v>
      </c>
      <c r="AB129" s="111">
        <v>676</v>
      </c>
      <c r="AC129" s="27">
        <f t="shared" si="2"/>
        <v>106.79304897314377</v>
      </c>
      <c r="AD129" s="26" t="str">
        <f t="shared" si="3"/>
        <v>ADECUADO</v>
      </c>
      <c r="AE129" s="104">
        <v>0</v>
      </c>
      <c r="AF129" s="105">
        <v>0</v>
      </c>
      <c r="AG129" s="27" t="str">
        <f>IFERROR((TABLA_AVANCE_INDICADORES[[#This Row],[AVANCE 3°. TRIM]]/TABLA_AVANCE_INDICADORES[[#This Row],[PROGR. 3° TRIM]])*100,"0")</f>
        <v>0</v>
      </c>
      <c r="AH129"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29" s="104">
        <v>633</v>
      </c>
      <c r="AJ129" s="111">
        <f>AB128</f>
        <v>672</v>
      </c>
      <c r="AK129" s="82">
        <f>IFERROR((TABLA_AVANCE_INDICADORES[[#This Row],[AVANCE 4°. TRIM]]/TABLA_AVANCE_INDICADORES[[#This Row],[PROGR. 4° TRIM]])*100,"0")</f>
        <v>106.1611374407583</v>
      </c>
      <c r="AL129"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29"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633</v>
      </c>
      <c r="AN129"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676</v>
      </c>
      <c r="AO129" s="27">
        <f>IFERROR((TABLA_AVANCE_INDICADORES[[#This Row],[AVANCE ACUM. TRIM.]]/TABLA_AVANCE_INDICADORES[[#This Row],[PROG. ACUM]])*100,"N/A")</f>
        <v>106.79304897314377</v>
      </c>
      <c r="AP129"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29" s="106">
        <f>TABLA_AVANCE_INDICADORES[[#This Row],[AVANCE ACUM. TRIM.]]-TABLA_AVANCE_INDICADORES[[#This Row],[PROG. ACUM]]</f>
        <v>43</v>
      </c>
      <c r="AR129" s="32">
        <f>IFERROR((TABLA_AVANCE_INDICADORES[[#This Row],[DIFERENCIA ABSOLUTA SEMESTRAL]]/TABLA_AVANCE_INDICADORES[[#This Row],[PROG. ACUM]])*100,"N/A")</f>
        <v>6.79304897314376</v>
      </c>
      <c r="AS129"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676</v>
      </c>
      <c r="AT129" s="27">
        <f>IFERROR((TABLA_AVANCE_INDICADORES[[#This Row],[AVANCE ACUM. ANUAL]]/TABLA_AVANCE_INDICADORES[[#This Row],[PROGRAMADO ANUAL]])*100,"N/A")</f>
        <v>53.396524486571884</v>
      </c>
      <c r="AU129"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29" s="106">
        <f>TABLA_AVANCE_INDICADORES[[#This Row],[AVANCE ACUM. ANUAL]]-TABLA_AVANCE_INDICADORES[[#This Row],[PROGRAMADO ANUAL]]</f>
        <v>-590</v>
      </c>
      <c r="AW129" s="32">
        <f>IFERROR((TABLA_AVANCE_INDICADORES[[#This Row],[DIFERENCIA ABSOLUTA ANUAL]]/TABLA_AVANCE_INDICADORES[[#This Row],[PROGRAMADO ANUAL]])*100,"N/A")</f>
        <v>-46.603475513428123</v>
      </c>
      <c r="AX129" s="132"/>
      <c r="AY129" s="86"/>
      <c r="AZ129" s="86"/>
      <c r="BA129" s="86"/>
      <c r="BB129"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30" spans="1:54" ht="168.75" hidden="1" customHeight="1" x14ac:dyDescent="0.35">
      <c r="A130" s="19" t="s">
        <v>1176</v>
      </c>
      <c r="B130" s="99" t="s">
        <v>212</v>
      </c>
      <c r="C130" s="20" t="s">
        <v>213</v>
      </c>
      <c r="D130" s="100" t="s">
        <v>214</v>
      </c>
      <c r="E130" s="20" t="s">
        <v>253</v>
      </c>
      <c r="F130" s="101" t="s">
        <v>254</v>
      </c>
      <c r="G130" s="130" t="s">
        <v>332</v>
      </c>
      <c r="H130" s="80" t="s">
        <v>1156</v>
      </c>
      <c r="I130" s="22" t="s">
        <v>1157</v>
      </c>
      <c r="J130" s="22" t="s">
        <v>333</v>
      </c>
      <c r="K130" s="80" t="s">
        <v>334</v>
      </c>
      <c r="L130" s="22" t="s">
        <v>335</v>
      </c>
      <c r="M130" s="80" t="s">
        <v>336</v>
      </c>
      <c r="N130" s="21">
        <v>1</v>
      </c>
      <c r="O130" s="21" t="s">
        <v>897</v>
      </c>
      <c r="P130" s="110" t="s">
        <v>1177</v>
      </c>
      <c r="Q130" s="110" t="s">
        <v>1178</v>
      </c>
      <c r="R130" s="102" t="s">
        <v>1179</v>
      </c>
      <c r="S130" s="22" t="s">
        <v>883</v>
      </c>
      <c r="T130" s="42" t="s">
        <v>727</v>
      </c>
      <c r="U130" s="42" t="s">
        <v>746</v>
      </c>
      <c r="V130" s="81">
        <v>1266</v>
      </c>
      <c r="W130" s="81">
        <v>0</v>
      </c>
      <c r="X130" s="103">
        <v>0</v>
      </c>
      <c r="Y130" s="25" t="str">
        <f>IFERROR((TABLA_AVANCE_INDICADORES[[#This Row],[AVANCE 1°. TRIM]]/TABLA_AVANCE_INDICADORES[[#This Row],[PROGR. 1° TRIM]])*100,"0")</f>
        <v>0</v>
      </c>
      <c r="Z130"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30" s="104">
        <v>633</v>
      </c>
      <c r="AB130" s="105">
        <v>672</v>
      </c>
      <c r="AC130" s="27">
        <f t="shared" si="2"/>
        <v>106.1611374407583</v>
      </c>
      <c r="AD130" s="26" t="str">
        <f t="shared" si="3"/>
        <v>ADECUADO</v>
      </c>
      <c r="AE130" s="104">
        <v>0</v>
      </c>
      <c r="AF130" s="105">
        <v>0</v>
      </c>
      <c r="AG130" s="27" t="str">
        <f>IFERROR((TABLA_AVANCE_INDICADORES[[#This Row],[AVANCE 3°. TRIM]]/TABLA_AVANCE_INDICADORES[[#This Row],[PROGR. 3° TRIM]])*100,"0")</f>
        <v>0</v>
      </c>
      <c r="AH130"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30" s="104">
        <v>633</v>
      </c>
      <c r="AJ130" s="105">
        <v>0</v>
      </c>
      <c r="AK130" s="82">
        <f>IFERROR((TABLA_AVANCE_INDICADORES[[#This Row],[AVANCE 4°. TRIM]]/TABLA_AVANCE_INDICADORES[[#This Row],[PROGR. 4° TRIM]])*100,"0")</f>
        <v>0</v>
      </c>
      <c r="AL130"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30"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633</v>
      </c>
      <c r="AN130"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672</v>
      </c>
      <c r="AO130" s="27">
        <f>IFERROR((TABLA_AVANCE_INDICADORES[[#This Row],[AVANCE ACUM. TRIM.]]/TABLA_AVANCE_INDICADORES[[#This Row],[PROG. ACUM]])*100,"N/A")</f>
        <v>106.1611374407583</v>
      </c>
      <c r="AP130"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30" s="106">
        <f>TABLA_AVANCE_INDICADORES[[#This Row],[AVANCE ACUM. TRIM.]]-TABLA_AVANCE_INDICADORES[[#This Row],[PROG. ACUM]]</f>
        <v>39</v>
      </c>
      <c r="AR130" s="32">
        <f>IFERROR((TABLA_AVANCE_INDICADORES[[#This Row],[DIFERENCIA ABSOLUTA SEMESTRAL]]/TABLA_AVANCE_INDICADORES[[#This Row],[PROG. ACUM]])*100,"N/A")</f>
        <v>6.1611374407582939</v>
      </c>
      <c r="AS130"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672</v>
      </c>
      <c r="AT130" s="27">
        <f>IFERROR((TABLA_AVANCE_INDICADORES[[#This Row],[AVANCE ACUM. ANUAL]]/TABLA_AVANCE_INDICADORES[[#This Row],[PROGRAMADO ANUAL]])*100,"N/A")</f>
        <v>53.080568720379148</v>
      </c>
      <c r="AU130"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30" s="106">
        <f>TABLA_AVANCE_INDICADORES[[#This Row],[AVANCE ACUM. ANUAL]]-TABLA_AVANCE_INDICADORES[[#This Row],[PROGRAMADO ANUAL]]</f>
        <v>-594</v>
      </c>
      <c r="AW130" s="32">
        <f>IFERROR((TABLA_AVANCE_INDICADORES[[#This Row],[DIFERENCIA ABSOLUTA ANUAL]]/TABLA_AVANCE_INDICADORES[[#This Row],[PROGRAMADO ANUAL]])*100,"N/A")</f>
        <v>-46.919431279620852</v>
      </c>
      <c r="AX130" s="132"/>
      <c r="AY130" s="86"/>
      <c r="AZ130" s="86"/>
      <c r="BA130" s="86"/>
      <c r="BB130"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31" spans="1:54" ht="168.75" hidden="1" customHeight="1" x14ac:dyDescent="0.35">
      <c r="A131" s="19" t="s">
        <v>1180</v>
      </c>
      <c r="B131" s="99" t="s">
        <v>212</v>
      </c>
      <c r="C131" s="20" t="s">
        <v>213</v>
      </c>
      <c r="D131" s="100" t="s">
        <v>214</v>
      </c>
      <c r="E131" s="20" t="s">
        <v>253</v>
      </c>
      <c r="F131" s="101" t="s">
        <v>254</v>
      </c>
      <c r="G131" s="130" t="s">
        <v>332</v>
      </c>
      <c r="H131" s="80" t="s">
        <v>1156</v>
      </c>
      <c r="I131" s="22" t="s">
        <v>1157</v>
      </c>
      <c r="J131" s="22" t="s">
        <v>333</v>
      </c>
      <c r="K131" s="80" t="s">
        <v>334</v>
      </c>
      <c r="L131" s="22" t="s">
        <v>335</v>
      </c>
      <c r="M131" s="80" t="s">
        <v>336</v>
      </c>
      <c r="N131" s="21">
        <v>2</v>
      </c>
      <c r="O131" s="21" t="s">
        <v>897</v>
      </c>
      <c r="P131" s="110" t="s">
        <v>1177</v>
      </c>
      <c r="Q131" s="110" t="s">
        <v>1181</v>
      </c>
      <c r="R131" s="102" t="s">
        <v>1179</v>
      </c>
      <c r="S131" s="22" t="s">
        <v>1169</v>
      </c>
      <c r="T131" s="42" t="s">
        <v>884</v>
      </c>
      <c r="U131" s="42" t="s">
        <v>746</v>
      </c>
      <c r="V131" s="81">
        <v>555163</v>
      </c>
      <c r="W131" s="81">
        <v>0</v>
      </c>
      <c r="X131" s="103">
        <v>0</v>
      </c>
      <c r="Y131" s="25" t="str">
        <f>IFERROR((TABLA_AVANCE_INDICADORES[[#This Row],[AVANCE 1°. TRIM]]/TABLA_AVANCE_INDICADORES[[#This Row],[PROGR. 1° TRIM]])*100,"0")</f>
        <v>0</v>
      </c>
      <c r="Z131"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31" s="104">
        <v>555163</v>
      </c>
      <c r="AB131" s="105">
        <v>555163</v>
      </c>
      <c r="AC131" s="27">
        <f t="shared" si="2"/>
        <v>100</v>
      </c>
      <c r="AD131" s="26" t="str">
        <f t="shared" si="3"/>
        <v>ADECUADO</v>
      </c>
      <c r="AE131" s="104">
        <v>0</v>
      </c>
      <c r="AF131" s="105">
        <v>0</v>
      </c>
      <c r="AG131" s="27" t="str">
        <f>IFERROR((TABLA_AVANCE_INDICADORES[[#This Row],[AVANCE 3°. TRIM]]/TABLA_AVANCE_INDICADORES[[#This Row],[PROGR. 3° TRIM]])*100,"0")</f>
        <v>0</v>
      </c>
      <c r="AH131"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31" s="104">
        <v>555163</v>
      </c>
      <c r="AJ131" s="105">
        <v>0</v>
      </c>
      <c r="AK131" s="82">
        <f>IFERROR((TABLA_AVANCE_INDICADORES[[#This Row],[AVANCE 4°. TRIM]]/TABLA_AVANCE_INDICADORES[[#This Row],[PROGR. 4° TRIM]])*100,"0")</f>
        <v>0</v>
      </c>
      <c r="AL131"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31"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555163</v>
      </c>
      <c r="AN131"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555163</v>
      </c>
      <c r="AO131" s="27">
        <f>IFERROR((TABLA_AVANCE_INDICADORES[[#This Row],[AVANCE ACUM. TRIM.]]/TABLA_AVANCE_INDICADORES[[#This Row],[PROG. ACUM]])*100,"N/A")</f>
        <v>100</v>
      </c>
      <c r="AP131"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31" s="106">
        <f>TABLA_AVANCE_INDICADORES[[#This Row],[AVANCE ACUM. TRIM.]]-TABLA_AVANCE_INDICADORES[[#This Row],[PROG. ACUM]]</f>
        <v>0</v>
      </c>
      <c r="AR131" s="32">
        <f>IFERROR((TABLA_AVANCE_INDICADORES[[#This Row],[DIFERENCIA ABSOLUTA SEMESTRAL]]/TABLA_AVANCE_INDICADORES[[#This Row],[PROG. ACUM]])*100,"N/A")</f>
        <v>0</v>
      </c>
      <c r="AS131"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555163</v>
      </c>
      <c r="AT131" s="27">
        <f>IFERROR((TABLA_AVANCE_INDICADORES[[#This Row],[AVANCE ACUM. ANUAL]]/TABLA_AVANCE_INDICADORES[[#This Row],[PROGRAMADO ANUAL]])*100,"N/A")</f>
        <v>100</v>
      </c>
      <c r="AU131"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ADECUADO</v>
      </c>
      <c r="AV131" s="106">
        <f>TABLA_AVANCE_INDICADORES[[#This Row],[AVANCE ACUM. ANUAL]]-TABLA_AVANCE_INDICADORES[[#This Row],[PROGRAMADO ANUAL]]</f>
        <v>0</v>
      </c>
      <c r="AW131" s="32">
        <f>IFERROR((TABLA_AVANCE_INDICADORES[[#This Row],[DIFERENCIA ABSOLUTA ANUAL]]/TABLA_AVANCE_INDICADORES[[#This Row],[PROGRAMADO ANUAL]])*100,"N/A")</f>
        <v>0</v>
      </c>
      <c r="AX131" s="132"/>
      <c r="AY131" s="86"/>
      <c r="AZ131" s="86"/>
      <c r="BA131" s="86"/>
      <c r="BB131" s="109">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555163</v>
      </c>
    </row>
    <row r="132" spans="1:54" ht="168.75" hidden="1" customHeight="1" x14ac:dyDescent="0.35">
      <c r="A132" s="19" t="s">
        <v>1182</v>
      </c>
      <c r="B132" s="99" t="s">
        <v>212</v>
      </c>
      <c r="C132" s="20" t="s">
        <v>213</v>
      </c>
      <c r="D132" s="100" t="s">
        <v>214</v>
      </c>
      <c r="E132" s="20" t="s">
        <v>253</v>
      </c>
      <c r="F132" s="101" t="s">
        <v>254</v>
      </c>
      <c r="G132" s="130" t="s">
        <v>332</v>
      </c>
      <c r="H132" s="80" t="s">
        <v>1156</v>
      </c>
      <c r="I132" s="22" t="s">
        <v>1157</v>
      </c>
      <c r="J132" s="22" t="s">
        <v>333</v>
      </c>
      <c r="K132" s="80" t="s">
        <v>334</v>
      </c>
      <c r="L132" s="22" t="s">
        <v>335</v>
      </c>
      <c r="M132" s="80" t="s">
        <v>336</v>
      </c>
      <c r="N132" s="21">
        <v>1</v>
      </c>
      <c r="O132" s="21" t="s">
        <v>750</v>
      </c>
      <c r="P132" s="110" t="s">
        <v>1183</v>
      </c>
      <c r="Q132" s="110" t="s">
        <v>1184</v>
      </c>
      <c r="R132" s="102" t="s">
        <v>1185</v>
      </c>
      <c r="S132" s="22" t="s">
        <v>883</v>
      </c>
      <c r="T132" s="42" t="s">
        <v>727</v>
      </c>
      <c r="U132" s="42" t="s">
        <v>754</v>
      </c>
      <c r="V132" s="81">
        <v>1354</v>
      </c>
      <c r="W132" s="81">
        <v>338</v>
      </c>
      <c r="X132" s="114">
        <v>322</v>
      </c>
      <c r="Y132" s="25">
        <f>IFERROR((TABLA_AVANCE_INDICADORES[[#This Row],[AVANCE 1°. TRIM]]/TABLA_AVANCE_INDICADORES[[#This Row],[PROGR. 1° TRIM]])*100,"0")</f>
        <v>95.26627218934911</v>
      </c>
      <c r="Z132"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32" s="104">
        <v>339</v>
      </c>
      <c r="AB132" s="105">
        <v>342</v>
      </c>
      <c r="AC132" s="27">
        <f t="shared" ref="AC132:AC195" si="4">IFERROR((AB132/AA132)*100,"0")</f>
        <v>100.88495575221239</v>
      </c>
      <c r="AD132" s="26" t="str">
        <f t="shared" ref="AD132:AD195" si="5">IF(AND(AC132&gt;=0,AC132&lt;=49.9999999999999),"CRÍTICO",IF(AND(AC132&gt;=50,AC132&lt;=69.9999999999999),"DEFICIENTE",IF(AND(AC132&gt;=70,AC132&lt;=89.9999999999999),"REGULAR",IF(AND(AC132&gt;=90,AC132&lt;=110.999999999999),"ADECUADO",IF(AND(AC132&gt;=111,AC132&lt;=999999),"SOBREPASADO","NO PROG.")))))</f>
        <v>ADECUADO</v>
      </c>
      <c r="AE132" s="104">
        <v>339</v>
      </c>
      <c r="AF132" s="105">
        <v>0</v>
      </c>
      <c r="AG132" s="27">
        <f>IFERROR((TABLA_AVANCE_INDICADORES[[#This Row],[AVANCE 3°. TRIM]]/TABLA_AVANCE_INDICADORES[[#This Row],[PROGR. 3° TRIM]])*100,"0")</f>
        <v>0</v>
      </c>
      <c r="AH132"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32" s="104">
        <v>338</v>
      </c>
      <c r="AJ132" s="105">
        <v>0</v>
      </c>
      <c r="AK132" s="82">
        <f>IFERROR((TABLA_AVANCE_INDICADORES[[#This Row],[AVANCE 4°. TRIM]]/TABLA_AVANCE_INDICADORES[[#This Row],[PROGR. 4° TRIM]])*100,"0")</f>
        <v>0</v>
      </c>
      <c r="AL132"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32"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677</v>
      </c>
      <c r="AN132"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664</v>
      </c>
      <c r="AO132" s="27">
        <f>IFERROR((TABLA_AVANCE_INDICADORES[[#This Row],[AVANCE ACUM. TRIM.]]/TABLA_AVANCE_INDICADORES[[#This Row],[PROG. ACUM]])*100,"N/A")</f>
        <v>98.079763663220092</v>
      </c>
      <c r="AP132"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32" s="106">
        <f>TABLA_AVANCE_INDICADORES[[#This Row],[AVANCE ACUM. TRIM.]]-TABLA_AVANCE_INDICADORES[[#This Row],[PROG. ACUM]]</f>
        <v>-13</v>
      </c>
      <c r="AR132" s="32">
        <f>IFERROR((TABLA_AVANCE_INDICADORES[[#This Row],[DIFERENCIA ABSOLUTA SEMESTRAL]]/TABLA_AVANCE_INDICADORES[[#This Row],[PROG. ACUM]])*100,"N/A")</f>
        <v>-1.9202363367799113</v>
      </c>
      <c r="AS132"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664</v>
      </c>
      <c r="AT132" s="27">
        <f>IFERROR((TABLA_AVANCE_INDICADORES[[#This Row],[AVANCE ACUM. ANUAL]]/TABLA_AVANCE_INDICADORES[[#This Row],[PROGRAMADO ANUAL]])*100,"N/A")</f>
        <v>49.039881831610046</v>
      </c>
      <c r="AU132"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32" s="106">
        <f>TABLA_AVANCE_INDICADORES[[#This Row],[AVANCE ACUM. ANUAL]]-TABLA_AVANCE_INDICADORES[[#This Row],[PROGRAMADO ANUAL]]</f>
        <v>-690</v>
      </c>
      <c r="AW132" s="32">
        <f>IFERROR((TABLA_AVANCE_INDICADORES[[#This Row],[DIFERENCIA ABSOLUTA ANUAL]]/TABLA_AVANCE_INDICADORES[[#This Row],[PROGRAMADO ANUAL]])*100,"N/A")</f>
        <v>-50.960118168389954</v>
      </c>
      <c r="AX132" s="132"/>
      <c r="AY132" s="86"/>
      <c r="AZ132" s="86"/>
      <c r="BA132" s="86"/>
      <c r="BB132"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33" spans="1:54" ht="168.75" hidden="1" customHeight="1" x14ac:dyDescent="0.35">
      <c r="A133" s="19" t="s">
        <v>1186</v>
      </c>
      <c r="B133" s="99" t="s">
        <v>212</v>
      </c>
      <c r="C133" s="20" t="s">
        <v>213</v>
      </c>
      <c r="D133" s="100" t="s">
        <v>214</v>
      </c>
      <c r="E133" s="20" t="s">
        <v>253</v>
      </c>
      <c r="F133" s="101" t="s">
        <v>254</v>
      </c>
      <c r="G133" s="130" t="s">
        <v>332</v>
      </c>
      <c r="H133" s="80" t="s">
        <v>1156</v>
      </c>
      <c r="I133" s="22" t="s">
        <v>1157</v>
      </c>
      <c r="J133" s="22" t="s">
        <v>333</v>
      </c>
      <c r="K133" s="80" t="s">
        <v>334</v>
      </c>
      <c r="L133" s="22" t="s">
        <v>335</v>
      </c>
      <c r="M133" s="80" t="s">
        <v>336</v>
      </c>
      <c r="N133" s="21">
        <v>2</v>
      </c>
      <c r="O133" s="21" t="s">
        <v>750</v>
      </c>
      <c r="P133" s="110" t="s">
        <v>1183</v>
      </c>
      <c r="Q133" s="110" t="s">
        <v>1187</v>
      </c>
      <c r="R133" s="102" t="s">
        <v>1185</v>
      </c>
      <c r="S133" s="22" t="s">
        <v>883</v>
      </c>
      <c r="T133" s="42" t="s">
        <v>727</v>
      </c>
      <c r="U133" s="42" t="s">
        <v>754</v>
      </c>
      <c r="V133" s="81">
        <v>1354</v>
      </c>
      <c r="W133" s="81">
        <v>338</v>
      </c>
      <c r="X133" s="114">
        <v>322</v>
      </c>
      <c r="Y133" s="25">
        <f>IFERROR((TABLA_AVANCE_INDICADORES[[#This Row],[AVANCE 1°. TRIM]]/TABLA_AVANCE_INDICADORES[[#This Row],[PROGR. 1° TRIM]])*100,"0")</f>
        <v>95.26627218934911</v>
      </c>
      <c r="Z133"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33" s="104">
        <v>339</v>
      </c>
      <c r="AB133" s="105">
        <v>342</v>
      </c>
      <c r="AC133" s="27">
        <f t="shared" si="4"/>
        <v>100.88495575221239</v>
      </c>
      <c r="AD133" s="26" t="str">
        <f t="shared" si="5"/>
        <v>ADECUADO</v>
      </c>
      <c r="AE133" s="104">
        <v>339</v>
      </c>
      <c r="AF133" s="105">
        <v>0</v>
      </c>
      <c r="AG133" s="27">
        <f>IFERROR((TABLA_AVANCE_INDICADORES[[#This Row],[AVANCE 3°. TRIM]]/TABLA_AVANCE_INDICADORES[[#This Row],[PROGR. 3° TRIM]])*100,"0")</f>
        <v>0</v>
      </c>
      <c r="AH133"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33" s="104">
        <v>338</v>
      </c>
      <c r="AJ133" s="105">
        <v>0</v>
      </c>
      <c r="AK133" s="82">
        <f>IFERROR((TABLA_AVANCE_INDICADORES[[#This Row],[AVANCE 4°. TRIM]]/TABLA_AVANCE_INDICADORES[[#This Row],[PROGR. 4° TRIM]])*100,"0")</f>
        <v>0</v>
      </c>
      <c r="AL133"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33"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677</v>
      </c>
      <c r="AN133"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664</v>
      </c>
      <c r="AO133" s="27">
        <f>IFERROR((TABLA_AVANCE_INDICADORES[[#This Row],[AVANCE ACUM. TRIM.]]/TABLA_AVANCE_INDICADORES[[#This Row],[PROG. ACUM]])*100,"N/A")</f>
        <v>98.079763663220092</v>
      </c>
      <c r="AP133"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33" s="106">
        <f>TABLA_AVANCE_INDICADORES[[#This Row],[AVANCE ACUM. TRIM.]]-TABLA_AVANCE_INDICADORES[[#This Row],[PROG. ACUM]]</f>
        <v>-13</v>
      </c>
      <c r="AR133" s="32">
        <f>IFERROR((TABLA_AVANCE_INDICADORES[[#This Row],[DIFERENCIA ABSOLUTA SEMESTRAL]]/TABLA_AVANCE_INDICADORES[[#This Row],[PROG. ACUM]])*100,"N/A")</f>
        <v>-1.9202363367799113</v>
      </c>
      <c r="AS133"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664</v>
      </c>
      <c r="AT133" s="27">
        <f>IFERROR((TABLA_AVANCE_INDICADORES[[#This Row],[AVANCE ACUM. ANUAL]]/TABLA_AVANCE_INDICADORES[[#This Row],[PROGRAMADO ANUAL]])*100,"N/A")</f>
        <v>49.039881831610046</v>
      </c>
      <c r="AU133"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33" s="106">
        <f>TABLA_AVANCE_INDICADORES[[#This Row],[AVANCE ACUM. ANUAL]]-TABLA_AVANCE_INDICADORES[[#This Row],[PROGRAMADO ANUAL]]</f>
        <v>-690</v>
      </c>
      <c r="AW133" s="32">
        <f>IFERROR((TABLA_AVANCE_INDICADORES[[#This Row],[DIFERENCIA ABSOLUTA ANUAL]]/TABLA_AVANCE_INDICADORES[[#This Row],[PROGRAMADO ANUAL]])*100,"N/A")</f>
        <v>-50.960118168389954</v>
      </c>
      <c r="AX133" s="132"/>
      <c r="AY133" s="86"/>
      <c r="AZ133" s="86"/>
      <c r="BA133" s="86"/>
      <c r="BB133"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34" spans="1:54" ht="168.75" hidden="1" customHeight="1" x14ac:dyDescent="0.35">
      <c r="A134" s="19" t="s">
        <v>1188</v>
      </c>
      <c r="B134" s="99" t="s">
        <v>212</v>
      </c>
      <c r="C134" s="20" t="s">
        <v>213</v>
      </c>
      <c r="D134" s="100" t="s">
        <v>214</v>
      </c>
      <c r="E134" s="20" t="s">
        <v>253</v>
      </c>
      <c r="F134" s="101" t="s">
        <v>254</v>
      </c>
      <c r="G134" s="130" t="s">
        <v>332</v>
      </c>
      <c r="H134" s="80" t="s">
        <v>1156</v>
      </c>
      <c r="I134" s="22" t="s">
        <v>1157</v>
      </c>
      <c r="J134" s="22" t="s">
        <v>333</v>
      </c>
      <c r="K134" s="80" t="s">
        <v>334</v>
      </c>
      <c r="L134" s="22" t="s">
        <v>335</v>
      </c>
      <c r="M134" s="80" t="s">
        <v>336</v>
      </c>
      <c r="N134" s="21">
        <v>1</v>
      </c>
      <c r="O134" s="21" t="s">
        <v>1077</v>
      </c>
      <c r="P134" s="110" t="s">
        <v>1189</v>
      </c>
      <c r="Q134" s="110" t="s">
        <v>1190</v>
      </c>
      <c r="R134" s="102" t="s">
        <v>1191</v>
      </c>
      <c r="S134" s="22" t="s">
        <v>115</v>
      </c>
      <c r="T134" s="42" t="s">
        <v>727</v>
      </c>
      <c r="U134" s="42" t="s">
        <v>754</v>
      </c>
      <c r="V134" s="81">
        <v>4</v>
      </c>
      <c r="W134" s="81">
        <v>1</v>
      </c>
      <c r="X134" s="114">
        <v>1</v>
      </c>
      <c r="Y134" s="25">
        <f>IFERROR((TABLA_AVANCE_INDICADORES[[#This Row],[AVANCE 1°. TRIM]]/TABLA_AVANCE_INDICADORES[[#This Row],[PROGR. 1° TRIM]])*100,"0")</f>
        <v>100</v>
      </c>
      <c r="Z134"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34" s="104">
        <v>1</v>
      </c>
      <c r="AB134" s="105">
        <v>1</v>
      </c>
      <c r="AC134" s="27">
        <f t="shared" si="4"/>
        <v>100</v>
      </c>
      <c r="AD134" s="26" t="str">
        <f t="shared" si="5"/>
        <v>ADECUADO</v>
      </c>
      <c r="AE134" s="104">
        <v>1</v>
      </c>
      <c r="AF134" s="105">
        <v>0</v>
      </c>
      <c r="AG134" s="27">
        <f>IFERROR((TABLA_AVANCE_INDICADORES[[#This Row],[AVANCE 3°. TRIM]]/TABLA_AVANCE_INDICADORES[[#This Row],[PROGR. 3° TRIM]])*100,"0")</f>
        <v>0</v>
      </c>
      <c r="AH134"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34" s="104">
        <v>1</v>
      </c>
      <c r="AJ134" s="105">
        <v>0</v>
      </c>
      <c r="AK134" s="82">
        <f>IFERROR((TABLA_AVANCE_INDICADORES[[#This Row],[AVANCE 4°. TRIM]]/TABLA_AVANCE_INDICADORES[[#This Row],[PROGR. 4° TRIM]])*100,"0")</f>
        <v>0</v>
      </c>
      <c r="AL134"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34"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v>
      </c>
      <c r="AN134"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O134" s="27">
        <f>IFERROR((TABLA_AVANCE_INDICADORES[[#This Row],[AVANCE ACUM. TRIM.]]/TABLA_AVANCE_INDICADORES[[#This Row],[PROG. ACUM]])*100,"N/A")</f>
        <v>100</v>
      </c>
      <c r="AP134"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34" s="106">
        <f>TABLA_AVANCE_INDICADORES[[#This Row],[AVANCE ACUM. TRIM.]]-TABLA_AVANCE_INDICADORES[[#This Row],[PROG. ACUM]]</f>
        <v>0</v>
      </c>
      <c r="AR134" s="32">
        <f>IFERROR((TABLA_AVANCE_INDICADORES[[#This Row],[DIFERENCIA ABSOLUTA SEMESTRAL]]/TABLA_AVANCE_INDICADORES[[#This Row],[PROG. ACUM]])*100,"N/A")</f>
        <v>0</v>
      </c>
      <c r="AS134"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T134" s="27">
        <f>IFERROR((TABLA_AVANCE_INDICADORES[[#This Row],[AVANCE ACUM. ANUAL]]/TABLA_AVANCE_INDICADORES[[#This Row],[PROGRAMADO ANUAL]])*100,"N/A")</f>
        <v>50</v>
      </c>
      <c r="AU134"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34" s="106">
        <f>TABLA_AVANCE_INDICADORES[[#This Row],[AVANCE ACUM. ANUAL]]-TABLA_AVANCE_INDICADORES[[#This Row],[PROGRAMADO ANUAL]]</f>
        <v>-2</v>
      </c>
      <c r="AW134" s="32">
        <f>IFERROR((TABLA_AVANCE_INDICADORES[[#This Row],[DIFERENCIA ABSOLUTA ANUAL]]/TABLA_AVANCE_INDICADORES[[#This Row],[PROGRAMADO ANUAL]])*100,"N/A")</f>
        <v>-50</v>
      </c>
      <c r="AX134" s="132"/>
      <c r="AY134" s="86"/>
      <c r="AZ134" s="86"/>
      <c r="BA134" s="86"/>
      <c r="BB134"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35" spans="1:54" ht="168.75" hidden="1" customHeight="1" x14ac:dyDescent="0.35">
      <c r="A135" s="19" t="s">
        <v>1192</v>
      </c>
      <c r="B135" s="99" t="s">
        <v>212</v>
      </c>
      <c r="C135" s="20" t="s">
        <v>213</v>
      </c>
      <c r="D135" s="100" t="s">
        <v>214</v>
      </c>
      <c r="E135" s="20" t="s">
        <v>253</v>
      </c>
      <c r="F135" s="101" t="s">
        <v>254</v>
      </c>
      <c r="G135" s="130" t="s">
        <v>332</v>
      </c>
      <c r="H135" s="80" t="s">
        <v>1156</v>
      </c>
      <c r="I135" s="22" t="s">
        <v>1157</v>
      </c>
      <c r="J135" s="22" t="s">
        <v>333</v>
      </c>
      <c r="K135" s="80" t="s">
        <v>334</v>
      </c>
      <c r="L135" s="22" t="s">
        <v>335</v>
      </c>
      <c r="M135" s="80" t="s">
        <v>336</v>
      </c>
      <c r="N135" s="21">
        <v>2</v>
      </c>
      <c r="O135" s="21" t="s">
        <v>1077</v>
      </c>
      <c r="P135" s="110" t="s">
        <v>1189</v>
      </c>
      <c r="Q135" s="110" t="s">
        <v>1193</v>
      </c>
      <c r="R135" s="102" t="s">
        <v>1191</v>
      </c>
      <c r="S135" s="22" t="s">
        <v>115</v>
      </c>
      <c r="T135" s="42" t="s">
        <v>727</v>
      </c>
      <c r="U135" s="42" t="s">
        <v>754</v>
      </c>
      <c r="V135" s="81">
        <v>4</v>
      </c>
      <c r="W135" s="81">
        <v>1</v>
      </c>
      <c r="X135" s="114">
        <v>1</v>
      </c>
      <c r="Y135" s="25">
        <f>IFERROR((TABLA_AVANCE_INDICADORES[[#This Row],[AVANCE 1°. TRIM]]/TABLA_AVANCE_INDICADORES[[#This Row],[PROGR. 1° TRIM]])*100,"0")</f>
        <v>100</v>
      </c>
      <c r="Z135"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35" s="104">
        <v>1</v>
      </c>
      <c r="AB135" s="105">
        <v>1</v>
      </c>
      <c r="AC135" s="27">
        <f t="shared" si="4"/>
        <v>100</v>
      </c>
      <c r="AD135" s="26" t="str">
        <f t="shared" si="5"/>
        <v>ADECUADO</v>
      </c>
      <c r="AE135" s="104">
        <v>1</v>
      </c>
      <c r="AF135" s="105">
        <v>0</v>
      </c>
      <c r="AG135" s="27">
        <f>IFERROR((TABLA_AVANCE_INDICADORES[[#This Row],[AVANCE 3°. TRIM]]/TABLA_AVANCE_INDICADORES[[#This Row],[PROGR. 3° TRIM]])*100,"0")</f>
        <v>0</v>
      </c>
      <c r="AH135"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35" s="104">
        <v>1</v>
      </c>
      <c r="AJ135" s="105">
        <v>0</v>
      </c>
      <c r="AK135" s="82">
        <f>IFERROR((TABLA_AVANCE_INDICADORES[[#This Row],[AVANCE 4°. TRIM]]/TABLA_AVANCE_INDICADORES[[#This Row],[PROGR. 4° TRIM]])*100,"0")</f>
        <v>0</v>
      </c>
      <c r="AL135"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35"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v>
      </c>
      <c r="AN135"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O135" s="27">
        <f>IFERROR((TABLA_AVANCE_INDICADORES[[#This Row],[AVANCE ACUM. TRIM.]]/TABLA_AVANCE_INDICADORES[[#This Row],[PROG. ACUM]])*100,"N/A")</f>
        <v>100</v>
      </c>
      <c r="AP135"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35" s="106">
        <f>TABLA_AVANCE_INDICADORES[[#This Row],[AVANCE ACUM. TRIM.]]-TABLA_AVANCE_INDICADORES[[#This Row],[PROG. ACUM]]</f>
        <v>0</v>
      </c>
      <c r="AR135" s="32">
        <f>IFERROR((TABLA_AVANCE_INDICADORES[[#This Row],[DIFERENCIA ABSOLUTA SEMESTRAL]]/TABLA_AVANCE_INDICADORES[[#This Row],[PROG. ACUM]])*100,"N/A")</f>
        <v>0</v>
      </c>
      <c r="AS135"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T135" s="27">
        <f>IFERROR((TABLA_AVANCE_INDICADORES[[#This Row],[AVANCE ACUM. ANUAL]]/TABLA_AVANCE_INDICADORES[[#This Row],[PROGRAMADO ANUAL]])*100,"N/A")</f>
        <v>50</v>
      </c>
      <c r="AU135"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35" s="106">
        <f>TABLA_AVANCE_INDICADORES[[#This Row],[AVANCE ACUM. ANUAL]]-TABLA_AVANCE_INDICADORES[[#This Row],[PROGRAMADO ANUAL]]</f>
        <v>-2</v>
      </c>
      <c r="AW135" s="32">
        <f>IFERROR((TABLA_AVANCE_INDICADORES[[#This Row],[DIFERENCIA ABSOLUTA ANUAL]]/TABLA_AVANCE_INDICADORES[[#This Row],[PROGRAMADO ANUAL]])*100,"N/A")</f>
        <v>-50</v>
      </c>
      <c r="AX135" s="132"/>
      <c r="AY135" s="86"/>
      <c r="AZ135" s="86"/>
      <c r="BA135" s="86"/>
      <c r="BB135"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36" spans="1:54" ht="168.75" hidden="1" customHeight="1" x14ac:dyDescent="0.35">
      <c r="A136" s="19" t="s">
        <v>1194</v>
      </c>
      <c r="B136" s="99" t="s">
        <v>212</v>
      </c>
      <c r="C136" s="20" t="s">
        <v>213</v>
      </c>
      <c r="D136" s="100" t="s">
        <v>214</v>
      </c>
      <c r="E136" s="20" t="s">
        <v>253</v>
      </c>
      <c r="F136" s="101" t="s">
        <v>254</v>
      </c>
      <c r="G136" s="130" t="s">
        <v>332</v>
      </c>
      <c r="H136" s="80" t="s">
        <v>1156</v>
      </c>
      <c r="I136" s="22" t="s">
        <v>1157</v>
      </c>
      <c r="J136" s="22" t="s">
        <v>333</v>
      </c>
      <c r="K136" s="80" t="s">
        <v>334</v>
      </c>
      <c r="L136" s="22" t="s">
        <v>335</v>
      </c>
      <c r="M136" s="80" t="s">
        <v>336</v>
      </c>
      <c r="N136" s="21">
        <v>1</v>
      </c>
      <c r="O136" s="21" t="s">
        <v>937</v>
      </c>
      <c r="P136" s="110" t="s">
        <v>1195</v>
      </c>
      <c r="Q136" s="110" t="s">
        <v>1196</v>
      </c>
      <c r="R136" s="102" t="s">
        <v>1197</v>
      </c>
      <c r="S136" s="22" t="s">
        <v>1198</v>
      </c>
      <c r="T136" s="42" t="s">
        <v>727</v>
      </c>
      <c r="U136" s="42" t="s">
        <v>754</v>
      </c>
      <c r="V136" s="81">
        <v>4</v>
      </c>
      <c r="W136" s="81">
        <v>1</v>
      </c>
      <c r="X136" s="114">
        <v>1</v>
      </c>
      <c r="Y136" s="25">
        <f>IFERROR((TABLA_AVANCE_INDICADORES[[#This Row],[AVANCE 1°. TRIM]]/TABLA_AVANCE_INDICADORES[[#This Row],[PROGR. 1° TRIM]])*100,"0")</f>
        <v>100</v>
      </c>
      <c r="Z136"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36" s="104">
        <v>1</v>
      </c>
      <c r="AB136" s="105">
        <v>1</v>
      </c>
      <c r="AC136" s="27">
        <f t="shared" si="4"/>
        <v>100</v>
      </c>
      <c r="AD136" s="26" t="str">
        <f t="shared" si="5"/>
        <v>ADECUADO</v>
      </c>
      <c r="AE136" s="104">
        <v>1</v>
      </c>
      <c r="AF136" s="105">
        <v>0</v>
      </c>
      <c r="AG136" s="27">
        <f>IFERROR((TABLA_AVANCE_INDICADORES[[#This Row],[AVANCE 3°. TRIM]]/TABLA_AVANCE_INDICADORES[[#This Row],[PROGR. 3° TRIM]])*100,"0")</f>
        <v>0</v>
      </c>
      <c r="AH136"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36" s="104">
        <v>1</v>
      </c>
      <c r="AJ136" s="105">
        <v>0</v>
      </c>
      <c r="AK136" s="82">
        <f>IFERROR((TABLA_AVANCE_INDICADORES[[#This Row],[AVANCE 4°. TRIM]]/TABLA_AVANCE_INDICADORES[[#This Row],[PROGR. 4° TRIM]])*100,"0")</f>
        <v>0</v>
      </c>
      <c r="AL136"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36"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v>
      </c>
      <c r="AN136"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O136" s="27">
        <f>IFERROR((TABLA_AVANCE_INDICADORES[[#This Row],[AVANCE ACUM. TRIM.]]/TABLA_AVANCE_INDICADORES[[#This Row],[PROG. ACUM]])*100,"N/A")</f>
        <v>100</v>
      </c>
      <c r="AP136"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36" s="106">
        <f>TABLA_AVANCE_INDICADORES[[#This Row],[AVANCE ACUM. TRIM.]]-TABLA_AVANCE_INDICADORES[[#This Row],[PROG. ACUM]]</f>
        <v>0</v>
      </c>
      <c r="AR136" s="32">
        <f>IFERROR((TABLA_AVANCE_INDICADORES[[#This Row],[DIFERENCIA ABSOLUTA SEMESTRAL]]/TABLA_AVANCE_INDICADORES[[#This Row],[PROG. ACUM]])*100,"N/A")</f>
        <v>0</v>
      </c>
      <c r="AS136"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T136" s="27">
        <f>IFERROR((TABLA_AVANCE_INDICADORES[[#This Row],[AVANCE ACUM. ANUAL]]/TABLA_AVANCE_INDICADORES[[#This Row],[PROGRAMADO ANUAL]])*100,"N/A")</f>
        <v>50</v>
      </c>
      <c r="AU136"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36" s="106">
        <f>TABLA_AVANCE_INDICADORES[[#This Row],[AVANCE ACUM. ANUAL]]-TABLA_AVANCE_INDICADORES[[#This Row],[PROGRAMADO ANUAL]]</f>
        <v>-2</v>
      </c>
      <c r="AW136" s="32">
        <f>IFERROR((TABLA_AVANCE_INDICADORES[[#This Row],[DIFERENCIA ABSOLUTA ANUAL]]/TABLA_AVANCE_INDICADORES[[#This Row],[PROGRAMADO ANUAL]])*100,"N/A")</f>
        <v>-50</v>
      </c>
      <c r="AX136" s="132"/>
      <c r="AY136" s="86"/>
      <c r="AZ136" s="86"/>
      <c r="BA136" s="86"/>
      <c r="BB136"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37" spans="1:54" ht="168.75" hidden="1" customHeight="1" x14ac:dyDescent="0.35">
      <c r="A137" s="19" t="s">
        <v>1199</v>
      </c>
      <c r="B137" s="99" t="s">
        <v>212</v>
      </c>
      <c r="C137" s="20" t="s">
        <v>213</v>
      </c>
      <c r="D137" s="100" t="s">
        <v>214</v>
      </c>
      <c r="E137" s="20" t="s">
        <v>253</v>
      </c>
      <c r="F137" s="101" t="s">
        <v>254</v>
      </c>
      <c r="G137" s="130" t="s">
        <v>332</v>
      </c>
      <c r="H137" s="80" t="s">
        <v>1156</v>
      </c>
      <c r="I137" s="22" t="s">
        <v>1157</v>
      </c>
      <c r="J137" s="22" t="s">
        <v>333</v>
      </c>
      <c r="K137" s="80" t="s">
        <v>334</v>
      </c>
      <c r="L137" s="22" t="s">
        <v>335</v>
      </c>
      <c r="M137" s="80" t="s">
        <v>336</v>
      </c>
      <c r="N137" s="21">
        <v>2</v>
      </c>
      <c r="O137" s="21" t="s">
        <v>937</v>
      </c>
      <c r="P137" s="110" t="s">
        <v>1195</v>
      </c>
      <c r="Q137" s="110" t="s">
        <v>1200</v>
      </c>
      <c r="R137" s="102" t="s">
        <v>1197</v>
      </c>
      <c r="S137" s="22" t="s">
        <v>1198</v>
      </c>
      <c r="T137" s="42" t="s">
        <v>727</v>
      </c>
      <c r="U137" s="42" t="s">
        <v>754</v>
      </c>
      <c r="V137" s="81">
        <v>4</v>
      </c>
      <c r="W137" s="81">
        <v>1</v>
      </c>
      <c r="X137" s="112">
        <v>1</v>
      </c>
      <c r="Y137" s="25">
        <f>IFERROR((TABLA_AVANCE_INDICADORES[[#This Row],[AVANCE 1°. TRIM]]/TABLA_AVANCE_INDICADORES[[#This Row],[PROGR. 1° TRIM]])*100,"0")</f>
        <v>100</v>
      </c>
      <c r="Z137"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37" s="104">
        <v>1</v>
      </c>
      <c r="AB137" s="113">
        <v>1</v>
      </c>
      <c r="AC137" s="27">
        <f t="shared" si="4"/>
        <v>100</v>
      </c>
      <c r="AD137" s="26" t="str">
        <f t="shared" si="5"/>
        <v>ADECUADO</v>
      </c>
      <c r="AE137" s="104">
        <v>1</v>
      </c>
      <c r="AF137" s="113">
        <f>AE137</f>
        <v>1</v>
      </c>
      <c r="AG137" s="27">
        <f>IFERROR((TABLA_AVANCE_INDICADORES[[#This Row],[AVANCE 3°. TRIM]]/TABLA_AVANCE_INDICADORES[[#This Row],[PROGR. 3° TRIM]])*100,"0")</f>
        <v>100</v>
      </c>
      <c r="AH137"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ADECUADO</v>
      </c>
      <c r="AI137" s="104">
        <v>1</v>
      </c>
      <c r="AJ137" s="113">
        <f>AI137</f>
        <v>1</v>
      </c>
      <c r="AK137" s="82">
        <f>IFERROR((TABLA_AVANCE_INDICADORES[[#This Row],[AVANCE 4°. TRIM]]/TABLA_AVANCE_INDICADORES[[#This Row],[PROGR. 4° TRIM]])*100,"0")</f>
        <v>100</v>
      </c>
      <c r="AL137"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37"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v>
      </c>
      <c r="AN137"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O137" s="27">
        <f>IFERROR((TABLA_AVANCE_INDICADORES[[#This Row],[AVANCE ACUM. TRIM.]]/TABLA_AVANCE_INDICADORES[[#This Row],[PROG. ACUM]])*100,"N/A")</f>
        <v>100</v>
      </c>
      <c r="AP137"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37" s="106">
        <f>TABLA_AVANCE_INDICADORES[[#This Row],[AVANCE ACUM. TRIM.]]-TABLA_AVANCE_INDICADORES[[#This Row],[PROG. ACUM]]</f>
        <v>0</v>
      </c>
      <c r="AR137" s="32">
        <f>IFERROR((TABLA_AVANCE_INDICADORES[[#This Row],[DIFERENCIA ABSOLUTA SEMESTRAL]]/TABLA_AVANCE_INDICADORES[[#This Row],[PROG. ACUM]])*100,"N/A")</f>
        <v>0</v>
      </c>
      <c r="AS137"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T137" s="27">
        <f>IFERROR((TABLA_AVANCE_INDICADORES[[#This Row],[AVANCE ACUM. ANUAL]]/TABLA_AVANCE_INDICADORES[[#This Row],[PROGRAMADO ANUAL]])*100,"N/A")</f>
        <v>50</v>
      </c>
      <c r="AU137"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37" s="106">
        <f>TABLA_AVANCE_INDICADORES[[#This Row],[AVANCE ACUM. ANUAL]]-TABLA_AVANCE_INDICADORES[[#This Row],[PROGRAMADO ANUAL]]</f>
        <v>-2</v>
      </c>
      <c r="AW137" s="32">
        <f>IFERROR((TABLA_AVANCE_INDICADORES[[#This Row],[DIFERENCIA ABSOLUTA ANUAL]]/TABLA_AVANCE_INDICADORES[[#This Row],[PROGRAMADO ANUAL]])*100,"N/A")</f>
        <v>-50</v>
      </c>
      <c r="AX137" s="132"/>
      <c r="AY137" s="86"/>
      <c r="AZ137" s="86"/>
      <c r="BA137" s="86"/>
      <c r="BB137"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38" spans="1:54" ht="150" hidden="1" customHeight="1" x14ac:dyDescent="0.35">
      <c r="A138" s="19" t="s">
        <v>1201</v>
      </c>
      <c r="B138" s="99" t="s">
        <v>493</v>
      </c>
      <c r="C138" s="20" t="s">
        <v>444</v>
      </c>
      <c r="D138" s="100" t="s">
        <v>445</v>
      </c>
      <c r="E138" s="20" t="s">
        <v>494</v>
      </c>
      <c r="F138" s="101" t="s">
        <v>495</v>
      </c>
      <c r="G138" s="130" t="s">
        <v>496</v>
      </c>
      <c r="H138" s="80" t="s">
        <v>1202</v>
      </c>
      <c r="I138" s="22" t="s">
        <v>1203</v>
      </c>
      <c r="J138" s="22" t="s">
        <v>434</v>
      </c>
      <c r="K138" s="80" t="s">
        <v>435</v>
      </c>
      <c r="L138" s="22" t="s">
        <v>497</v>
      </c>
      <c r="M138" s="80" t="s">
        <v>498</v>
      </c>
      <c r="N138" s="21">
        <v>1</v>
      </c>
      <c r="O138" s="21" t="s">
        <v>723</v>
      </c>
      <c r="P138" s="110" t="s">
        <v>1204</v>
      </c>
      <c r="Q138" s="110" t="s">
        <v>1205</v>
      </c>
      <c r="R138" s="102" t="s">
        <v>1206</v>
      </c>
      <c r="S138" s="22" t="s">
        <v>1207</v>
      </c>
      <c r="T138" s="42" t="s">
        <v>727</v>
      </c>
      <c r="U138" s="42" t="s">
        <v>738</v>
      </c>
      <c r="V138" s="81">
        <v>835803</v>
      </c>
      <c r="W138" s="81">
        <v>0</v>
      </c>
      <c r="X138" s="103">
        <v>0</v>
      </c>
      <c r="Y138" s="25" t="str">
        <f>IFERROR((TABLA_AVANCE_INDICADORES[[#This Row],[AVANCE 1°. TRIM]]/TABLA_AVANCE_INDICADORES[[#This Row],[PROGR. 1° TRIM]])*100,"0")</f>
        <v>0</v>
      </c>
      <c r="Z138"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38" s="104">
        <v>0</v>
      </c>
      <c r="AB138" s="105">
        <v>0</v>
      </c>
      <c r="AC138" s="27" t="str">
        <f t="shared" si="4"/>
        <v>0</v>
      </c>
      <c r="AD138" s="26" t="str">
        <f t="shared" si="5"/>
        <v>NO PROG.</v>
      </c>
      <c r="AE138" s="104">
        <v>0</v>
      </c>
      <c r="AF138" s="105">
        <v>0</v>
      </c>
      <c r="AG138" s="27" t="str">
        <f>IFERROR((TABLA_AVANCE_INDICADORES[[#This Row],[AVANCE 3°. TRIM]]/TABLA_AVANCE_INDICADORES[[#This Row],[PROGR. 3° TRIM]])*100,"0")</f>
        <v>0</v>
      </c>
      <c r="AH138"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38" s="104">
        <v>835803</v>
      </c>
      <c r="AJ138" s="105">
        <v>0</v>
      </c>
      <c r="AK138" s="82">
        <f>IFERROR((TABLA_AVANCE_INDICADORES[[#This Row],[AVANCE 4°. TRIM]]/TABLA_AVANCE_INDICADORES[[#This Row],[PROGR. 4° TRIM]])*100,"0")</f>
        <v>0</v>
      </c>
      <c r="AL138"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38"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38"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38" s="27" t="str">
        <f>IFERROR((TABLA_AVANCE_INDICADORES[[#This Row],[AVANCE ACUM. TRIM.]]/TABLA_AVANCE_INDICADORES[[#This Row],[PROG. ACUM]])*100,"N/A")</f>
        <v>N/A</v>
      </c>
      <c r="AP138"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38" s="106">
        <f>TABLA_AVANCE_INDICADORES[[#This Row],[AVANCE ACUM. TRIM.]]-TABLA_AVANCE_INDICADORES[[#This Row],[PROG. ACUM]]</f>
        <v>0</v>
      </c>
      <c r="AR138" s="32" t="str">
        <f>IFERROR((TABLA_AVANCE_INDICADORES[[#This Row],[DIFERENCIA ABSOLUTA SEMESTRAL]]/TABLA_AVANCE_INDICADORES[[#This Row],[PROG. ACUM]])*100,"N/A")</f>
        <v>N/A</v>
      </c>
      <c r="AS138"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38" s="27">
        <f>IFERROR((TABLA_AVANCE_INDICADORES[[#This Row],[AVANCE ACUM. ANUAL]]/TABLA_AVANCE_INDICADORES[[#This Row],[PROGRAMADO ANUAL]])*100,"N/A")</f>
        <v>0</v>
      </c>
      <c r="AU138"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38" s="106">
        <f>TABLA_AVANCE_INDICADORES[[#This Row],[AVANCE ACUM. ANUAL]]-TABLA_AVANCE_INDICADORES[[#This Row],[PROGRAMADO ANUAL]]</f>
        <v>-835803</v>
      </c>
      <c r="AW138" s="32">
        <f>IFERROR((TABLA_AVANCE_INDICADORES[[#This Row],[DIFERENCIA ABSOLUTA ANUAL]]/TABLA_AVANCE_INDICADORES[[#This Row],[PROGRAMADO ANUAL]])*100,"N/A")</f>
        <v>-100</v>
      </c>
      <c r="AX138" s="132"/>
      <c r="AY138" s="86"/>
      <c r="AZ138" s="86"/>
      <c r="BA138" s="86"/>
      <c r="BB138"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39" spans="1:54" ht="150" hidden="1" customHeight="1" x14ac:dyDescent="0.35">
      <c r="A139" s="19" t="s">
        <v>1208</v>
      </c>
      <c r="B139" s="99" t="s">
        <v>493</v>
      </c>
      <c r="C139" s="20" t="s">
        <v>444</v>
      </c>
      <c r="D139" s="100" t="s">
        <v>445</v>
      </c>
      <c r="E139" s="20" t="s">
        <v>494</v>
      </c>
      <c r="F139" s="101" t="s">
        <v>495</v>
      </c>
      <c r="G139" s="130" t="s">
        <v>496</v>
      </c>
      <c r="H139" s="80" t="s">
        <v>1202</v>
      </c>
      <c r="I139" s="22" t="s">
        <v>1203</v>
      </c>
      <c r="J139" s="22" t="s">
        <v>434</v>
      </c>
      <c r="K139" s="80" t="s">
        <v>435</v>
      </c>
      <c r="L139" s="22" t="s">
        <v>497</v>
      </c>
      <c r="M139" s="80" t="s">
        <v>498</v>
      </c>
      <c r="N139" s="21">
        <v>2</v>
      </c>
      <c r="O139" s="21" t="s">
        <v>723</v>
      </c>
      <c r="P139" s="110" t="s">
        <v>1204</v>
      </c>
      <c r="Q139" s="110" t="s">
        <v>1209</v>
      </c>
      <c r="R139" s="102" t="s">
        <v>1206</v>
      </c>
      <c r="S139" s="22" t="s">
        <v>1207</v>
      </c>
      <c r="T139" s="42" t="s">
        <v>727</v>
      </c>
      <c r="U139" s="42" t="s">
        <v>738</v>
      </c>
      <c r="V139" s="81">
        <v>835803</v>
      </c>
      <c r="W139" s="81">
        <v>0</v>
      </c>
      <c r="X139" s="103">
        <v>0</v>
      </c>
      <c r="Y139" s="25" t="str">
        <f>IFERROR((TABLA_AVANCE_INDICADORES[[#This Row],[AVANCE 1°. TRIM]]/TABLA_AVANCE_INDICADORES[[#This Row],[PROGR. 1° TRIM]])*100,"0")</f>
        <v>0</v>
      </c>
      <c r="Z139"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39" s="104">
        <v>0</v>
      </c>
      <c r="AB139" s="105">
        <v>0</v>
      </c>
      <c r="AC139" s="27" t="str">
        <f t="shared" si="4"/>
        <v>0</v>
      </c>
      <c r="AD139" s="26" t="str">
        <f t="shared" si="5"/>
        <v>NO PROG.</v>
      </c>
      <c r="AE139" s="104">
        <v>0</v>
      </c>
      <c r="AF139" s="105">
        <v>0</v>
      </c>
      <c r="AG139" s="27" t="str">
        <f>IFERROR((TABLA_AVANCE_INDICADORES[[#This Row],[AVANCE 3°. TRIM]]/TABLA_AVANCE_INDICADORES[[#This Row],[PROGR. 3° TRIM]])*100,"0")</f>
        <v>0</v>
      </c>
      <c r="AH139"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39" s="104">
        <v>835803</v>
      </c>
      <c r="AJ139" s="105">
        <v>0</v>
      </c>
      <c r="AK139" s="82">
        <f>IFERROR((TABLA_AVANCE_INDICADORES[[#This Row],[AVANCE 4°. TRIM]]/TABLA_AVANCE_INDICADORES[[#This Row],[PROGR. 4° TRIM]])*100,"0")</f>
        <v>0</v>
      </c>
      <c r="AL139"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39"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39"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39" s="27" t="str">
        <f>IFERROR((TABLA_AVANCE_INDICADORES[[#This Row],[AVANCE ACUM. TRIM.]]/TABLA_AVANCE_INDICADORES[[#This Row],[PROG. ACUM]])*100,"N/A")</f>
        <v>N/A</v>
      </c>
      <c r="AP139"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39" s="106">
        <f>TABLA_AVANCE_INDICADORES[[#This Row],[AVANCE ACUM. TRIM.]]-TABLA_AVANCE_INDICADORES[[#This Row],[PROG. ACUM]]</f>
        <v>0</v>
      </c>
      <c r="AR139" s="32" t="str">
        <f>IFERROR((TABLA_AVANCE_INDICADORES[[#This Row],[DIFERENCIA ABSOLUTA SEMESTRAL]]/TABLA_AVANCE_INDICADORES[[#This Row],[PROG. ACUM]])*100,"N/A")</f>
        <v>N/A</v>
      </c>
      <c r="AS139"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39" s="27">
        <f>IFERROR((TABLA_AVANCE_INDICADORES[[#This Row],[AVANCE ACUM. ANUAL]]/TABLA_AVANCE_INDICADORES[[#This Row],[PROGRAMADO ANUAL]])*100,"N/A")</f>
        <v>0</v>
      </c>
      <c r="AU139"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39" s="106">
        <f>TABLA_AVANCE_INDICADORES[[#This Row],[AVANCE ACUM. ANUAL]]-TABLA_AVANCE_INDICADORES[[#This Row],[PROGRAMADO ANUAL]]</f>
        <v>-835803</v>
      </c>
      <c r="AW139" s="32">
        <f>IFERROR((TABLA_AVANCE_INDICADORES[[#This Row],[DIFERENCIA ABSOLUTA ANUAL]]/TABLA_AVANCE_INDICADORES[[#This Row],[PROGRAMADO ANUAL]])*100,"N/A")</f>
        <v>-100</v>
      </c>
      <c r="AX139" s="132"/>
      <c r="AY139" s="86"/>
      <c r="AZ139" s="86"/>
      <c r="BA139" s="86"/>
      <c r="BB139"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40" spans="1:54" ht="187.5" hidden="1" customHeight="1" x14ac:dyDescent="0.35">
      <c r="A140" s="19" t="s">
        <v>1210</v>
      </c>
      <c r="B140" s="99" t="s">
        <v>493</v>
      </c>
      <c r="C140" s="20" t="s">
        <v>444</v>
      </c>
      <c r="D140" s="100" t="s">
        <v>445</v>
      </c>
      <c r="E140" s="20" t="s">
        <v>494</v>
      </c>
      <c r="F140" s="101" t="s">
        <v>495</v>
      </c>
      <c r="G140" s="130" t="s">
        <v>496</v>
      </c>
      <c r="H140" s="80" t="s">
        <v>1202</v>
      </c>
      <c r="I140" s="22" t="s">
        <v>1203</v>
      </c>
      <c r="J140" s="22" t="s">
        <v>434</v>
      </c>
      <c r="K140" s="80" t="s">
        <v>435</v>
      </c>
      <c r="L140" s="22" t="s">
        <v>497</v>
      </c>
      <c r="M140" s="80" t="s">
        <v>498</v>
      </c>
      <c r="N140" s="21">
        <v>1</v>
      </c>
      <c r="O140" s="21" t="s">
        <v>733</v>
      </c>
      <c r="P140" s="110" t="s">
        <v>1211</v>
      </c>
      <c r="Q140" s="110" t="s">
        <v>1212</v>
      </c>
      <c r="R140" s="102" t="s">
        <v>1213</v>
      </c>
      <c r="S140" s="22" t="s">
        <v>500</v>
      </c>
      <c r="T140" s="42" t="s">
        <v>727</v>
      </c>
      <c r="U140" s="42" t="s">
        <v>738</v>
      </c>
      <c r="V140" s="81">
        <v>350</v>
      </c>
      <c r="W140" s="81">
        <v>0</v>
      </c>
      <c r="X140" s="103">
        <v>0</v>
      </c>
      <c r="Y140" s="25" t="str">
        <f>IFERROR((TABLA_AVANCE_INDICADORES[[#This Row],[AVANCE 1°. TRIM]]/TABLA_AVANCE_INDICADORES[[#This Row],[PROGR. 1° TRIM]])*100,"0")</f>
        <v>0</v>
      </c>
      <c r="Z140"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40" s="104">
        <v>0</v>
      </c>
      <c r="AB140" s="105">
        <v>0</v>
      </c>
      <c r="AC140" s="27" t="str">
        <f t="shared" si="4"/>
        <v>0</v>
      </c>
      <c r="AD140" s="26" t="str">
        <f t="shared" si="5"/>
        <v>NO PROG.</v>
      </c>
      <c r="AE140" s="104">
        <v>0</v>
      </c>
      <c r="AF140" s="105">
        <v>0</v>
      </c>
      <c r="AG140" s="27" t="str">
        <f>IFERROR((TABLA_AVANCE_INDICADORES[[#This Row],[AVANCE 3°. TRIM]]/TABLA_AVANCE_INDICADORES[[#This Row],[PROGR. 3° TRIM]])*100,"0")</f>
        <v>0</v>
      </c>
      <c r="AH140"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40" s="104">
        <v>350</v>
      </c>
      <c r="AJ140" s="105">
        <v>0</v>
      </c>
      <c r="AK140" s="82">
        <f>IFERROR((TABLA_AVANCE_INDICADORES[[#This Row],[AVANCE 4°. TRIM]]/TABLA_AVANCE_INDICADORES[[#This Row],[PROGR. 4° TRIM]])*100,"0")</f>
        <v>0</v>
      </c>
      <c r="AL140"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40"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40"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40" s="27" t="str">
        <f>IFERROR((TABLA_AVANCE_INDICADORES[[#This Row],[AVANCE ACUM. TRIM.]]/TABLA_AVANCE_INDICADORES[[#This Row],[PROG. ACUM]])*100,"N/A")</f>
        <v>N/A</v>
      </c>
      <c r="AP140"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40" s="106">
        <f>TABLA_AVANCE_INDICADORES[[#This Row],[AVANCE ACUM. TRIM.]]-TABLA_AVANCE_INDICADORES[[#This Row],[PROG. ACUM]]</f>
        <v>0</v>
      </c>
      <c r="AR140" s="32" t="str">
        <f>IFERROR((TABLA_AVANCE_INDICADORES[[#This Row],[DIFERENCIA ABSOLUTA SEMESTRAL]]/TABLA_AVANCE_INDICADORES[[#This Row],[PROG. ACUM]])*100,"N/A")</f>
        <v>N/A</v>
      </c>
      <c r="AS140"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40" s="27">
        <f>IFERROR((TABLA_AVANCE_INDICADORES[[#This Row],[AVANCE ACUM. ANUAL]]/TABLA_AVANCE_INDICADORES[[#This Row],[PROGRAMADO ANUAL]])*100,"N/A")</f>
        <v>0</v>
      </c>
      <c r="AU140"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40" s="106">
        <f>TABLA_AVANCE_INDICADORES[[#This Row],[AVANCE ACUM. ANUAL]]-TABLA_AVANCE_INDICADORES[[#This Row],[PROGRAMADO ANUAL]]</f>
        <v>-350</v>
      </c>
      <c r="AW140" s="32">
        <f>IFERROR((TABLA_AVANCE_INDICADORES[[#This Row],[DIFERENCIA ABSOLUTA ANUAL]]/TABLA_AVANCE_INDICADORES[[#This Row],[PROGRAMADO ANUAL]])*100,"N/A")</f>
        <v>-100</v>
      </c>
      <c r="AX140" s="132"/>
      <c r="AY140" s="86"/>
      <c r="AZ140" s="86"/>
      <c r="BA140" s="86"/>
      <c r="BB140"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41" spans="1:54" ht="187.5" hidden="1" customHeight="1" x14ac:dyDescent="0.35">
      <c r="A141" s="19" t="s">
        <v>1214</v>
      </c>
      <c r="B141" s="99" t="s">
        <v>493</v>
      </c>
      <c r="C141" s="20" t="s">
        <v>444</v>
      </c>
      <c r="D141" s="100" t="s">
        <v>445</v>
      </c>
      <c r="E141" s="20" t="s">
        <v>494</v>
      </c>
      <c r="F141" s="101" t="s">
        <v>495</v>
      </c>
      <c r="G141" s="130" t="s">
        <v>496</v>
      </c>
      <c r="H141" s="80" t="s">
        <v>1202</v>
      </c>
      <c r="I141" s="22" t="s">
        <v>1203</v>
      </c>
      <c r="J141" s="22" t="s">
        <v>434</v>
      </c>
      <c r="K141" s="80" t="s">
        <v>435</v>
      </c>
      <c r="L141" s="22" t="s">
        <v>497</v>
      </c>
      <c r="M141" s="80" t="s">
        <v>498</v>
      </c>
      <c r="N141" s="21">
        <v>2</v>
      </c>
      <c r="O141" s="21" t="s">
        <v>733</v>
      </c>
      <c r="P141" s="110" t="s">
        <v>1211</v>
      </c>
      <c r="Q141" s="110" t="s">
        <v>1215</v>
      </c>
      <c r="R141" s="102" t="s">
        <v>1213</v>
      </c>
      <c r="S141" s="22" t="s">
        <v>500</v>
      </c>
      <c r="T141" s="42" t="s">
        <v>727</v>
      </c>
      <c r="U141" s="42" t="s">
        <v>738</v>
      </c>
      <c r="V141" s="81">
        <v>447</v>
      </c>
      <c r="W141" s="81">
        <v>0</v>
      </c>
      <c r="X141" s="103">
        <v>0</v>
      </c>
      <c r="Y141" s="25" t="str">
        <f>IFERROR((TABLA_AVANCE_INDICADORES[[#This Row],[AVANCE 1°. TRIM]]/TABLA_AVANCE_INDICADORES[[#This Row],[PROGR. 1° TRIM]])*100,"0")</f>
        <v>0</v>
      </c>
      <c r="Z141"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41" s="104">
        <v>0</v>
      </c>
      <c r="AB141" s="105">
        <v>0</v>
      </c>
      <c r="AC141" s="27" t="str">
        <f t="shared" si="4"/>
        <v>0</v>
      </c>
      <c r="AD141" s="26" t="str">
        <f t="shared" si="5"/>
        <v>NO PROG.</v>
      </c>
      <c r="AE141" s="104">
        <v>0</v>
      </c>
      <c r="AF141" s="105">
        <v>0</v>
      </c>
      <c r="AG141" s="27" t="str">
        <f>IFERROR((TABLA_AVANCE_INDICADORES[[#This Row],[AVANCE 3°. TRIM]]/TABLA_AVANCE_INDICADORES[[#This Row],[PROGR. 3° TRIM]])*100,"0")</f>
        <v>0</v>
      </c>
      <c r="AH141"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41" s="104">
        <v>447</v>
      </c>
      <c r="AJ141" s="111">
        <v>447</v>
      </c>
      <c r="AK141" s="82">
        <f>IFERROR((TABLA_AVANCE_INDICADORES[[#This Row],[AVANCE 4°. TRIM]]/TABLA_AVANCE_INDICADORES[[#This Row],[PROGR. 4° TRIM]])*100,"0")</f>
        <v>100</v>
      </c>
      <c r="AL141"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41"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41"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41" s="27" t="str">
        <f>IFERROR((TABLA_AVANCE_INDICADORES[[#This Row],[AVANCE ACUM. TRIM.]]/TABLA_AVANCE_INDICADORES[[#This Row],[PROG. ACUM]])*100,"N/A")</f>
        <v>N/A</v>
      </c>
      <c r="AP141"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41" s="106">
        <f>TABLA_AVANCE_INDICADORES[[#This Row],[AVANCE ACUM. TRIM.]]-TABLA_AVANCE_INDICADORES[[#This Row],[PROG. ACUM]]</f>
        <v>0</v>
      </c>
      <c r="AR141" s="32" t="str">
        <f>IFERROR((TABLA_AVANCE_INDICADORES[[#This Row],[DIFERENCIA ABSOLUTA SEMESTRAL]]/TABLA_AVANCE_INDICADORES[[#This Row],[PROG. ACUM]])*100,"N/A")</f>
        <v>N/A</v>
      </c>
      <c r="AS141"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41" s="27">
        <f>IFERROR((TABLA_AVANCE_INDICADORES[[#This Row],[AVANCE ACUM. ANUAL]]/TABLA_AVANCE_INDICADORES[[#This Row],[PROGRAMADO ANUAL]])*100,"N/A")</f>
        <v>0</v>
      </c>
      <c r="AU141"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41" s="106">
        <f>TABLA_AVANCE_INDICADORES[[#This Row],[AVANCE ACUM. ANUAL]]-TABLA_AVANCE_INDICADORES[[#This Row],[PROGRAMADO ANUAL]]</f>
        <v>-447</v>
      </c>
      <c r="AW141" s="32">
        <f>IFERROR((TABLA_AVANCE_INDICADORES[[#This Row],[DIFERENCIA ABSOLUTA ANUAL]]/TABLA_AVANCE_INDICADORES[[#This Row],[PROGRAMADO ANUAL]])*100,"N/A")</f>
        <v>-100</v>
      </c>
      <c r="AX141" s="132"/>
      <c r="AY141" s="86"/>
      <c r="AZ141" s="86"/>
      <c r="BA141" s="86"/>
      <c r="BB141"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42" spans="1:54" ht="150" hidden="1" customHeight="1" x14ac:dyDescent="0.35">
      <c r="A142" s="19" t="s">
        <v>1216</v>
      </c>
      <c r="B142" s="99" t="s">
        <v>493</v>
      </c>
      <c r="C142" s="20" t="s">
        <v>444</v>
      </c>
      <c r="D142" s="100" t="s">
        <v>445</v>
      </c>
      <c r="E142" s="20" t="s">
        <v>494</v>
      </c>
      <c r="F142" s="101" t="s">
        <v>495</v>
      </c>
      <c r="G142" s="130" t="s">
        <v>496</v>
      </c>
      <c r="H142" s="80" t="s">
        <v>1202</v>
      </c>
      <c r="I142" s="22" t="s">
        <v>1203</v>
      </c>
      <c r="J142" s="22" t="s">
        <v>434</v>
      </c>
      <c r="K142" s="80" t="s">
        <v>435</v>
      </c>
      <c r="L142" s="22" t="s">
        <v>497</v>
      </c>
      <c r="M142" s="80" t="s">
        <v>498</v>
      </c>
      <c r="N142" s="21">
        <v>1</v>
      </c>
      <c r="O142" s="21" t="s">
        <v>785</v>
      </c>
      <c r="P142" s="133" t="s">
        <v>1217</v>
      </c>
      <c r="Q142" s="110" t="s">
        <v>1218</v>
      </c>
      <c r="R142" s="102" t="s">
        <v>1219</v>
      </c>
      <c r="S142" s="22" t="s">
        <v>1207</v>
      </c>
      <c r="T142" s="42" t="s">
        <v>727</v>
      </c>
      <c r="U142" s="42" t="s">
        <v>1220</v>
      </c>
      <c r="V142" s="81">
        <v>783316</v>
      </c>
      <c r="W142" s="81">
        <v>0</v>
      </c>
      <c r="X142" s="103">
        <v>0</v>
      </c>
      <c r="Y142" s="25" t="str">
        <f>IFERROR((TABLA_AVANCE_INDICADORES[[#This Row],[AVANCE 1°. TRIM]]/TABLA_AVANCE_INDICADORES[[#This Row],[PROGR. 1° TRIM]])*100,"0")</f>
        <v>0</v>
      </c>
      <c r="Z142"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42" s="104">
        <v>421836</v>
      </c>
      <c r="AB142" s="105">
        <v>387406</v>
      </c>
      <c r="AC142" s="27">
        <f t="shared" si="4"/>
        <v>91.838060288832622</v>
      </c>
      <c r="AD142" s="26" t="str">
        <f t="shared" si="5"/>
        <v>ADECUADO</v>
      </c>
      <c r="AE142" s="104">
        <v>0</v>
      </c>
      <c r="AF142" s="105">
        <v>0</v>
      </c>
      <c r="AG142" s="27" t="str">
        <f>IFERROR((TABLA_AVANCE_INDICADORES[[#This Row],[AVANCE 3°. TRIM]]/TABLA_AVANCE_INDICADORES[[#This Row],[PROGR. 3° TRIM]])*100,"0")</f>
        <v>0</v>
      </c>
      <c r="AH142"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42" s="104">
        <v>361480</v>
      </c>
      <c r="AJ142" s="105">
        <v>0</v>
      </c>
      <c r="AK142" s="82">
        <f>IFERROR((TABLA_AVANCE_INDICADORES[[#This Row],[AVANCE 4°. TRIM]]/TABLA_AVANCE_INDICADORES[[#This Row],[PROGR. 4° TRIM]])*100,"0")</f>
        <v>0</v>
      </c>
      <c r="AL142"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42"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421836</v>
      </c>
      <c r="AN142"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387406</v>
      </c>
      <c r="AO142" s="27">
        <f>IFERROR((TABLA_AVANCE_INDICADORES[[#This Row],[AVANCE ACUM. TRIM.]]/TABLA_AVANCE_INDICADORES[[#This Row],[PROG. ACUM]])*100,"N/A")</f>
        <v>91.838060288832622</v>
      </c>
      <c r="AP142"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42" s="106">
        <f>TABLA_AVANCE_INDICADORES[[#This Row],[AVANCE ACUM. TRIM.]]-TABLA_AVANCE_INDICADORES[[#This Row],[PROG. ACUM]]</f>
        <v>-34430</v>
      </c>
      <c r="AR142" s="32">
        <f>IFERROR((TABLA_AVANCE_INDICADORES[[#This Row],[DIFERENCIA ABSOLUTA SEMESTRAL]]/TABLA_AVANCE_INDICADORES[[#This Row],[PROG. ACUM]])*100,"N/A")</f>
        <v>-8.1619397111673742</v>
      </c>
      <c r="AS142"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387406</v>
      </c>
      <c r="AT142" s="27">
        <f>IFERROR((TABLA_AVANCE_INDICADORES[[#This Row],[AVANCE ACUM. ANUAL]]/TABLA_AVANCE_INDICADORES[[#This Row],[PROGRAMADO ANUAL]])*100,"N/A")</f>
        <v>49.457179478013977</v>
      </c>
      <c r="AU142"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42" s="106">
        <f>TABLA_AVANCE_INDICADORES[[#This Row],[AVANCE ACUM. ANUAL]]-TABLA_AVANCE_INDICADORES[[#This Row],[PROGRAMADO ANUAL]]</f>
        <v>-395910</v>
      </c>
      <c r="AW142" s="32">
        <f>IFERROR((TABLA_AVANCE_INDICADORES[[#This Row],[DIFERENCIA ABSOLUTA ANUAL]]/TABLA_AVANCE_INDICADORES[[#This Row],[PROGRAMADO ANUAL]])*100,"N/A")</f>
        <v>-50.542820521986023</v>
      </c>
      <c r="AX142" s="132"/>
      <c r="AY142" s="86"/>
      <c r="AZ142" s="86"/>
      <c r="BA142" s="86"/>
      <c r="BB142"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43" spans="1:54" ht="150" hidden="1" customHeight="1" x14ac:dyDescent="0.35">
      <c r="A143" s="19" t="s">
        <v>1221</v>
      </c>
      <c r="B143" s="99" t="s">
        <v>493</v>
      </c>
      <c r="C143" s="20" t="s">
        <v>444</v>
      </c>
      <c r="D143" s="100" t="s">
        <v>445</v>
      </c>
      <c r="E143" s="20" t="s">
        <v>494</v>
      </c>
      <c r="F143" s="101" t="s">
        <v>495</v>
      </c>
      <c r="G143" s="130" t="s">
        <v>496</v>
      </c>
      <c r="H143" s="80" t="s">
        <v>1202</v>
      </c>
      <c r="I143" s="22" t="s">
        <v>1203</v>
      </c>
      <c r="J143" s="22" t="s">
        <v>434</v>
      </c>
      <c r="K143" s="80" t="s">
        <v>435</v>
      </c>
      <c r="L143" s="22" t="s">
        <v>497</v>
      </c>
      <c r="M143" s="80" t="s">
        <v>498</v>
      </c>
      <c r="N143" s="21">
        <v>2</v>
      </c>
      <c r="O143" s="21" t="s">
        <v>785</v>
      </c>
      <c r="P143" s="133" t="s">
        <v>1217</v>
      </c>
      <c r="Q143" s="110" t="s">
        <v>1222</v>
      </c>
      <c r="R143" s="102" t="s">
        <v>1219</v>
      </c>
      <c r="S143" s="22" t="s">
        <v>1207</v>
      </c>
      <c r="T143" s="42" t="s">
        <v>727</v>
      </c>
      <c r="U143" s="42" t="s">
        <v>1220</v>
      </c>
      <c r="V143" s="81">
        <v>43335000</v>
      </c>
      <c r="W143" s="81">
        <v>0</v>
      </c>
      <c r="X143" s="103">
        <v>0</v>
      </c>
      <c r="Y143" s="25" t="str">
        <f>IFERROR((TABLA_AVANCE_INDICADORES[[#This Row],[AVANCE 1°. TRIM]]/TABLA_AVANCE_INDICADORES[[#This Row],[PROGR. 1° TRIM]])*100,"0")</f>
        <v>0</v>
      </c>
      <c r="Z143"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43" s="104">
        <v>21667500</v>
      </c>
      <c r="AB143" s="105">
        <v>21667500</v>
      </c>
      <c r="AC143" s="27">
        <f t="shared" si="4"/>
        <v>100</v>
      </c>
      <c r="AD143" s="26" t="str">
        <f t="shared" si="5"/>
        <v>ADECUADO</v>
      </c>
      <c r="AE143" s="104">
        <v>0</v>
      </c>
      <c r="AF143" s="105">
        <v>0</v>
      </c>
      <c r="AG143" s="27" t="str">
        <f>IFERROR((TABLA_AVANCE_INDICADORES[[#This Row],[AVANCE 3°. TRIM]]/TABLA_AVANCE_INDICADORES[[#This Row],[PROGR. 3° TRIM]])*100,"0")</f>
        <v>0</v>
      </c>
      <c r="AH143"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43" s="104">
        <v>21667500</v>
      </c>
      <c r="AJ143" s="105">
        <v>0</v>
      </c>
      <c r="AK143" s="82">
        <f>IFERROR((TABLA_AVANCE_INDICADORES[[#This Row],[AVANCE 4°. TRIM]]/TABLA_AVANCE_INDICADORES[[#This Row],[PROGR. 4° TRIM]])*100,"0")</f>
        <v>0</v>
      </c>
      <c r="AL143"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43"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21667500</v>
      </c>
      <c r="AN143"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21667500</v>
      </c>
      <c r="AO143" s="27">
        <f>IFERROR((TABLA_AVANCE_INDICADORES[[#This Row],[AVANCE ACUM. TRIM.]]/TABLA_AVANCE_INDICADORES[[#This Row],[PROG. ACUM]])*100,"N/A")</f>
        <v>100</v>
      </c>
      <c r="AP143"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43" s="106">
        <f>TABLA_AVANCE_INDICADORES[[#This Row],[AVANCE ACUM. TRIM.]]-TABLA_AVANCE_INDICADORES[[#This Row],[PROG. ACUM]]</f>
        <v>0</v>
      </c>
      <c r="AR143" s="32">
        <f>IFERROR((TABLA_AVANCE_INDICADORES[[#This Row],[DIFERENCIA ABSOLUTA SEMESTRAL]]/TABLA_AVANCE_INDICADORES[[#This Row],[PROG. ACUM]])*100,"N/A")</f>
        <v>0</v>
      </c>
      <c r="AS143"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21667500</v>
      </c>
      <c r="AT143" s="27">
        <f>IFERROR((TABLA_AVANCE_INDICADORES[[#This Row],[AVANCE ACUM. ANUAL]]/TABLA_AVANCE_INDICADORES[[#This Row],[PROGRAMADO ANUAL]])*100,"N/A")</f>
        <v>50</v>
      </c>
      <c r="AU143"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43" s="106">
        <f>TABLA_AVANCE_INDICADORES[[#This Row],[AVANCE ACUM. ANUAL]]-TABLA_AVANCE_INDICADORES[[#This Row],[PROGRAMADO ANUAL]]</f>
        <v>-21667500</v>
      </c>
      <c r="AW143" s="32">
        <f>IFERROR((TABLA_AVANCE_INDICADORES[[#This Row],[DIFERENCIA ABSOLUTA ANUAL]]/TABLA_AVANCE_INDICADORES[[#This Row],[PROGRAMADO ANUAL]])*100,"N/A")</f>
        <v>-50</v>
      </c>
      <c r="AX143" s="132"/>
      <c r="AY143" s="86"/>
      <c r="AZ143" s="86"/>
      <c r="BA143" s="86"/>
      <c r="BB143"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44" spans="1:54" ht="150" hidden="1" customHeight="1" x14ac:dyDescent="0.35">
      <c r="A144" s="19" t="s">
        <v>1223</v>
      </c>
      <c r="B144" s="99" t="s">
        <v>493</v>
      </c>
      <c r="C144" s="20" t="s">
        <v>444</v>
      </c>
      <c r="D144" s="100" t="s">
        <v>445</v>
      </c>
      <c r="E144" s="20" t="s">
        <v>494</v>
      </c>
      <c r="F144" s="101" t="s">
        <v>495</v>
      </c>
      <c r="G144" s="130" t="s">
        <v>496</v>
      </c>
      <c r="H144" s="80" t="s">
        <v>1202</v>
      </c>
      <c r="I144" s="22" t="s">
        <v>1203</v>
      </c>
      <c r="J144" s="22" t="s">
        <v>434</v>
      </c>
      <c r="K144" s="80" t="s">
        <v>435</v>
      </c>
      <c r="L144" s="22" t="s">
        <v>497</v>
      </c>
      <c r="M144" s="80" t="s">
        <v>498</v>
      </c>
      <c r="N144" s="21">
        <v>1</v>
      </c>
      <c r="O144" s="21" t="s">
        <v>897</v>
      </c>
      <c r="P144" s="133" t="s">
        <v>1224</v>
      </c>
      <c r="Q144" s="110" t="s">
        <v>1225</v>
      </c>
      <c r="R144" s="102" t="s">
        <v>1226</v>
      </c>
      <c r="S144" s="22" t="s">
        <v>505</v>
      </c>
      <c r="T144" s="42" t="s">
        <v>727</v>
      </c>
      <c r="U144" s="42" t="s">
        <v>1220</v>
      </c>
      <c r="V144" s="81">
        <v>45</v>
      </c>
      <c r="W144" s="81">
        <v>0</v>
      </c>
      <c r="X144" s="103">
        <v>0</v>
      </c>
      <c r="Y144" s="25" t="str">
        <f>IFERROR((TABLA_AVANCE_INDICADORES[[#This Row],[AVANCE 1°. TRIM]]/TABLA_AVANCE_INDICADORES[[#This Row],[PROGR. 1° TRIM]])*100,"0")</f>
        <v>0</v>
      </c>
      <c r="Z144"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44" s="104">
        <v>21</v>
      </c>
      <c r="AB144" s="105">
        <v>21</v>
      </c>
      <c r="AC144" s="27">
        <f t="shared" si="4"/>
        <v>100</v>
      </c>
      <c r="AD144" s="26" t="str">
        <f t="shared" si="5"/>
        <v>ADECUADO</v>
      </c>
      <c r="AE144" s="104">
        <v>0</v>
      </c>
      <c r="AF144" s="105">
        <v>0</v>
      </c>
      <c r="AG144" s="27" t="str">
        <f>IFERROR((TABLA_AVANCE_INDICADORES[[#This Row],[AVANCE 3°. TRIM]]/TABLA_AVANCE_INDICADORES[[#This Row],[PROGR. 3° TRIM]])*100,"0")</f>
        <v>0</v>
      </c>
      <c r="AH144"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44" s="104">
        <v>24</v>
      </c>
      <c r="AJ144" s="105">
        <v>0</v>
      </c>
      <c r="AK144" s="82">
        <f>IFERROR((TABLA_AVANCE_INDICADORES[[#This Row],[AVANCE 4°. TRIM]]/TABLA_AVANCE_INDICADORES[[#This Row],[PROGR. 4° TRIM]])*100,"0")</f>
        <v>0</v>
      </c>
      <c r="AL144"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44"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21</v>
      </c>
      <c r="AN144"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21</v>
      </c>
      <c r="AO144" s="27">
        <f>IFERROR((TABLA_AVANCE_INDICADORES[[#This Row],[AVANCE ACUM. TRIM.]]/TABLA_AVANCE_INDICADORES[[#This Row],[PROG. ACUM]])*100,"N/A")</f>
        <v>100</v>
      </c>
      <c r="AP144"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44" s="106">
        <f>TABLA_AVANCE_INDICADORES[[#This Row],[AVANCE ACUM. TRIM.]]-TABLA_AVANCE_INDICADORES[[#This Row],[PROG. ACUM]]</f>
        <v>0</v>
      </c>
      <c r="AR144" s="32">
        <f>IFERROR((TABLA_AVANCE_INDICADORES[[#This Row],[DIFERENCIA ABSOLUTA SEMESTRAL]]/TABLA_AVANCE_INDICADORES[[#This Row],[PROG. ACUM]])*100,"N/A")</f>
        <v>0</v>
      </c>
      <c r="AS144"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21</v>
      </c>
      <c r="AT144" s="27">
        <f>IFERROR((TABLA_AVANCE_INDICADORES[[#This Row],[AVANCE ACUM. ANUAL]]/TABLA_AVANCE_INDICADORES[[#This Row],[PROGRAMADO ANUAL]])*100,"N/A")</f>
        <v>46.666666666666664</v>
      </c>
      <c r="AU144"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44" s="106">
        <f>TABLA_AVANCE_INDICADORES[[#This Row],[AVANCE ACUM. ANUAL]]-TABLA_AVANCE_INDICADORES[[#This Row],[PROGRAMADO ANUAL]]</f>
        <v>-24</v>
      </c>
      <c r="AW144" s="32">
        <f>IFERROR((TABLA_AVANCE_INDICADORES[[#This Row],[DIFERENCIA ABSOLUTA ANUAL]]/TABLA_AVANCE_INDICADORES[[#This Row],[PROGRAMADO ANUAL]])*100,"N/A")</f>
        <v>-53.333333333333336</v>
      </c>
      <c r="AX144" s="132"/>
      <c r="AY144" s="86"/>
      <c r="AZ144" s="86"/>
      <c r="BA144" s="86"/>
      <c r="BB144"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45" spans="1:54" ht="150" hidden="1" customHeight="1" x14ac:dyDescent="0.35">
      <c r="A145" s="19" t="s">
        <v>1227</v>
      </c>
      <c r="B145" s="99" t="s">
        <v>493</v>
      </c>
      <c r="C145" s="20" t="s">
        <v>444</v>
      </c>
      <c r="D145" s="100" t="s">
        <v>445</v>
      </c>
      <c r="E145" s="20" t="s">
        <v>494</v>
      </c>
      <c r="F145" s="101" t="s">
        <v>495</v>
      </c>
      <c r="G145" s="130" t="s">
        <v>496</v>
      </c>
      <c r="H145" s="80" t="s">
        <v>1202</v>
      </c>
      <c r="I145" s="22" t="s">
        <v>1203</v>
      </c>
      <c r="J145" s="22" t="s">
        <v>434</v>
      </c>
      <c r="K145" s="80" t="s">
        <v>435</v>
      </c>
      <c r="L145" s="22" t="s">
        <v>497</v>
      </c>
      <c r="M145" s="80" t="s">
        <v>498</v>
      </c>
      <c r="N145" s="21">
        <v>2</v>
      </c>
      <c r="O145" s="21" t="s">
        <v>897</v>
      </c>
      <c r="P145" s="133" t="s">
        <v>1224</v>
      </c>
      <c r="Q145" s="110" t="s">
        <v>1228</v>
      </c>
      <c r="R145" s="102" t="s">
        <v>1226</v>
      </c>
      <c r="S145" s="22" t="s">
        <v>505</v>
      </c>
      <c r="T145" s="42" t="s">
        <v>727</v>
      </c>
      <c r="U145" s="42" t="s">
        <v>1220</v>
      </c>
      <c r="V145" s="81">
        <v>45</v>
      </c>
      <c r="W145" s="81">
        <v>0</v>
      </c>
      <c r="X145" s="112">
        <v>0</v>
      </c>
      <c r="Y145" s="25" t="str">
        <f>IFERROR((TABLA_AVANCE_INDICADORES[[#This Row],[AVANCE 1°. TRIM]]/TABLA_AVANCE_INDICADORES[[#This Row],[PROGR. 1° TRIM]])*100,"0")</f>
        <v>0</v>
      </c>
      <c r="Z145"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45" s="104">
        <v>21</v>
      </c>
      <c r="AB145" s="113">
        <v>21</v>
      </c>
      <c r="AC145" s="27">
        <f t="shared" si="4"/>
        <v>100</v>
      </c>
      <c r="AD145" s="26" t="str">
        <f t="shared" si="5"/>
        <v>ADECUADO</v>
      </c>
      <c r="AE145" s="104">
        <v>0</v>
      </c>
      <c r="AF145" s="113">
        <f>AE145</f>
        <v>0</v>
      </c>
      <c r="AG145" s="27" t="str">
        <f>IFERROR((TABLA_AVANCE_INDICADORES[[#This Row],[AVANCE 3°. TRIM]]/TABLA_AVANCE_INDICADORES[[#This Row],[PROGR. 3° TRIM]])*100,"0")</f>
        <v>0</v>
      </c>
      <c r="AH145"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45" s="104">
        <v>24</v>
      </c>
      <c r="AJ145" s="113">
        <f>AI145</f>
        <v>24</v>
      </c>
      <c r="AK145" s="82">
        <f>IFERROR((TABLA_AVANCE_INDICADORES[[#This Row],[AVANCE 4°. TRIM]]/TABLA_AVANCE_INDICADORES[[#This Row],[PROGR. 4° TRIM]])*100,"0")</f>
        <v>100</v>
      </c>
      <c r="AL145"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45"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21</v>
      </c>
      <c r="AN145"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21</v>
      </c>
      <c r="AO145" s="27">
        <f>IFERROR((TABLA_AVANCE_INDICADORES[[#This Row],[AVANCE ACUM. TRIM.]]/TABLA_AVANCE_INDICADORES[[#This Row],[PROG. ACUM]])*100,"N/A")</f>
        <v>100</v>
      </c>
      <c r="AP145"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45" s="106">
        <f>TABLA_AVANCE_INDICADORES[[#This Row],[AVANCE ACUM. TRIM.]]-TABLA_AVANCE_INDICADORES[[#This Row],[PROG. ACUM]]</f>
        <v>0</v>
      </c>
      <c r="AR145" s="32">
        <f>IFERROR((TABLA_AVANCE_INDICADORES[[#This Row],[DIFERENCIA ABSOLUTA SEMESTRAL]]/TABLA_AVANCE_INDICADORES[[#This Row],[PROG. ACUM]])*100,"N/A")</f>
        <v>0</v>
      </c>
      <c r="AS145"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21</v>
      </c>
      <c r="AT145" s="27">
        <f>IFERROR((TABLA_AVANCE_INDICADORES[[#This Row],[AVANCE ACUM. ANUAL]]/TABLA_AVANCE_INDICADORES[[#This Row],[PROGRAMADO ANUAL]])*100,"N/A")</f>
        <v>46.666666666666664</v>
      </c>
      <c r="AU145"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45" s="106">
        <f>TABLA_AVANCE_INDICADORES[[#This Row],[AVANCE ACUM. ANUAL]]-TABLA_AVANCE_INDICADORES[[#This Row],[PROGRAMADO ANUAL]]</f>
        <v>-24</v>
      </c>
      <c r="AW145" s="32">
        <f>IFERROR((TABLA_AVANCE_INDICADORES[[#This Row],[DIFERENCIA ABSOLUTA ANUAL]]/TABLA_AVANCE_INDICADORES[[#This Row],[PROGRAMADO ANUAL]])*100,"N/A")</f>
        <v>-53.333333333333336</v>
      </c>
      <c r="AX145" s="132"/>
      <c r="AY145" s="86"/>
      <c r="AZ145" s="86"/>
      <c r="BA145" s="86"/>
      <c r="BB145"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46" spans="1:54" ht="150" hidden="1" customHeight="1" x14ac:dyDescent="0.35">
      <c r="A146" s="19" t="s">
        <v>1229</v>
      </c>
      <c r="B146" s="99" t="s">
        <v>475</v>
      </c>
      <c r="C146" s="20" t="s">
        <v>444</v>
      </c>
      <c r="D146" s="100" t="s">
        <v>445</v>
      </c>
      <c r="E146" s="20" t="s">
        <v>476</v>
      </c>
      <c r="F146" s="101" t="s">
        <v>477</v>
      </c>
      <c r="G146" s="130" t="s">
        <v>478</v>
      </c>
      <c r="H146" s="80" t="s">
        <v>1230</v>
      </c>
      <c r="I146" s="22" t="s">
        <v>1203</v>
      </c>
      <c r="J146" s="22" t="s">
        <v>434</v>
      </c>
      <c r="K146" s="80" t="s">
        <v>435</v>
      </c>
      <c r="L146" s="22" t="s">
        <v>465</v>
      </c>
      <c r="M146" s="80" t="s">
        <v>466</v>
      </c>
      <c r="N146" s="21">
        <v>1</v>
      </c>
      <c r="O146" s="21" t="s">
        <v>905</v>
      </c>
      <c r="P146" s="110" t="s">
        <v>1231</v>
      </c>
      <c r="Q146" s="110" t="s">
        <v>1232</v>
      </c>
      <c r="R146" s="102" t="s">
        <v>1233</v>
      </c>
      <c r="S146" s="22" t="s">
        <v>480</v>
      </c>
      <c r="T146" s="42" t="s">
        <v>727</v>
      </c>
      <c r="U146" s="42" t="s">
        <v>1220</v>
      </c>
      <c r="V146" s="81">
        <v>600</v>
      </c>
      <c r="W146" s="81">
        <v>0</v>
      </c>
      <c r="X146" s="103">
        <v>0</v>
      </c>
      <c r="Y146" s="25" t="str">
        <f>IFERROR((TABLA_AVANCE_INDICADORES[[#This Row],[AVANCE 1°. TRIM]]/TABLA_AVANCE_INDICADORES[[#This Row],[PROGR. 1° TRIM]])*100,"0")</f>
        <v>0</v>
      </c>
      <c r="Z146"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46" s="104">
        <v>300</v>
      </c>
      <c r="AB146" s="105">
        <v>237</v>
      </c>
      <c r="AC146" s="27">
        <f t="shared" si="4"/>
        <v>79</v>
      </c>
      <c r="AD146" s="26" t="str">
        <f t="shared" si="5"/>
        <v>REGULAR</v>
      </c>
      <c r="AE146" s="104">
        <v>0</v>
      </c>
      <c r="AF146" s="105">
        <v>0</v>
      </c>
      <c r="AG146" s="27" t="str">
        <f>IFERROR((TABLA_AVANCE_INDICADORES[[#This Row],[AVANCE 3°. TRIM]]/TABLA_AVANCE_INDICADORES[[#This Row],[PROGR. 3° TRIM]])*100,"0")</f>
        <v>0</v>
      </c>
      <c r="AH146"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46" s="104">
        <v>300</v>
      </c>
      <c r="AJ146" s="105">
        <v>0</v>
      </c>
      <c r="AK146" s="82">
        <f>IFERROR((TABLA_AVANCE_INDICADORES[[#This Row],[AVANCE 4°. TRIM]]/TABLA_AVANCE_INDICADORES[[#This Row],[PROGR. 4° TRIM]])*100,"0")</f>
        <v>0</v>
      </c>
      <c r="AL146"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46"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300</v>
      </c>
      <c r="AN146"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237</v>
      </c>
      <c r="AO146" s="27">
        <f>IFERROR((TABLA_AVANCE_INDICADORES[[#This Row],[AVANCE ACUM. TRIM.]]/TABLA_AVANCE_INDICADORES[[#This Row],[PROG. ACUM]])*100,"N/A")</f>
        <v>79</v>
      </c>
      <c r="AP146"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REGULAR</v>
      </c>
      <c r="AQ146" s="106">
        <f>TABLA_AVANCE_INDICADORES[[#This Row],[AVANCE ACUM. TRIM.]]-TABLA_AVANCE_INDICADORES[[#This Row],[PROG. ACUM]]</f>
        <v>-63</v>
      </c>
      <c r="AR146" s="32">
        <f>IFERROR((TABLA_AVANCE_INDICADORES[[#This Row],[DIFERENCIA ABSOLUTA SEMESTRAL]]/TABLA_AVANCE_INDICADORES[[#This Row],[PROG. ACUM]])*100,"N/A")</f>
        <v>-21</v>
      </c>
      <c r="AS146"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237</v>
      </c>
      <c r="AT146" s="27">
        <f>IFERROR((TABLA_AVANCE_INDICADORES[[#This Row],[AVANCE ACUM. ANUAL]]/TABLA_AVANCE_INDICADORES[[#This Row],[PROGRAMADO ANUAL]])*100,"N/A")</f>
        <v>39.5</v>
      </c>
      <c r="AU146"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46" s="106">
        <f>TABLA_AVANCE_INDICADORES[[#This Row],[AVANCE ACUM. ANUAL]]-TABLA_AVANCE_INDICADORES[[#This Row],[PROGRAMADO ANUAL]]</f>
        <v>-363</v>
      </c>
      <c r="AW146" s="32">
        <f>IFERROR((TABLA_AVANCE_INDICADORES[[#This Row],[DIFERENCIA ABSOLUTA ANUAL]]/TABLA_AVANCE_INDICADORES[[#This Row],[PROGRAMADO ANUAL]])*100,"N/A")</f>
        <v>-60.5</v>
      </c>
      <c r="AX146" s="132"/>
      <c r="AY146" s="86" t="s">
        <v>1234</v>
      </c>
      <c r="AZ146" s="86"/>
      <c r="BA146" s="86"/>
      <c r="BB146"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47" spans="1:54" ht="150" hidden="1" customHeight="1" x14ac:dyDescent="0.35">
      <c r="A147" s="19" t="s">
        <v>1235</v>
      </c>
      <c r="B147" s="99" t="s">
        <v>475</v>
      </c>
      <c r="C147" s="20" t="s">
        <v>444</v>
      </c>
      <c r="D147" s="100" t="s">
        <v>445</v>
      </c>
      <c r="E147" s="20" t="s">
        <v>476</v>
      </c>
      <c r="F147" s="101" t="s">
        <v>477</v>
      </c>
      <c r="G147" s="130" t="s">
        <v>478</v>
      </c>
      <c r="H147" s="80" t="s">
        <v>1230</v>
      </c>
      <c r="I147" s="22" t="s">
        <v>1203</v>
      </c>
      <c r="J147" s="22" t="s">
        <v>434</v>
      </c>
      <c r="K147" s="80" t="s">
        <v>435</v>
      </c>
      <c r="L147" s="22" t="s">
        <v>465</v>
      </c>
      <c r="M147" s="80" t="s">
        <v>466</v>
      </c>
      <c r="N147" s="21">
        <v>2</v>
      </c>
      <c r="O147" s="21" t="s">
        <v>905</v>
      </c>
      <c r="P147" s="110" t="s">
        <v>1231</v>
      </c>
      <c r="Q147" s="110" t="s">
        <v>1236</v>
      </c>
      <c r="R147" s="102" t="s">
        <v>1233</v>
      </c>
      <c r="S147" s="22" t="s">
        <v>480</v>
      </c>
      <c r="T147" s="42" t="s">
        <v>727</v>
      </c>
      <c r="U147" s="42" t="s">
        <v>1220</v>
      </c>
      <c r="V147" s="81">
        <v>600</v>
      </c>
      <c r="W147" s="81">
        <v>0</v>
      </c>
      <c r="X147" s="112">
        <v>0</v>
      </c>
      <c r="Y147" s="25" t="str">
        <f>IFERROR((TABLA_AVANCE_INDICADORES[[#This Row],[AVANCE 1°. TRIM]]/TABLA_AVANCE_INDICADORES[[#This Row],[PROGR. 1° TRIM]])*100,"0")</f>
        <v>0</v>
      </c>
      <c r="Z147"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47" s="104">
        <v>300</v>
      </c>
      <c r="AB147" s="113">
        <v>300</v>
      </c>
      <c r="AC147" s="27">
        <f t="shared" si="4"/>
        <v>100</v>
      </c>
      <c r="AD147" s="26" t="str">
        <f t="shared" si="5"/>
        <v>ADECUADO</v>
      </c>
      <c r="AE147" s="104">
        <v>0</v>
      </c>
      <c r="AF147" s="113">
        <f>AE147</f>
        <v>0</v>
      </c>
      <c r="AG147" s="27" t="str">
        <f>IFERROR((TABLA_AVANCE_INDICADORES[[#This Row],[AVANCE 3°. TRIM]]/TABLA_AVANCE_INDICADORES[[#This Row],[PROGR. 3° TRIM]])*100,"0")</f>
        <v>0</v>
      </c>
      <c r="AH147"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47" s="104">
        <v>300</v>
      </c>
      <c r="AJ147" s="113">
        <f>AI147</f>
        <v>300</v>
      </c>
      <c r="AK147" s="82">
        <f>IFERROR((TABLA_AVANCE_INDICADORES[[#This Row],[AVANCE 4°. TRIM]]/TABLA_AVANCE_INDICADORES[[#This Row],[PROGR. 4° TRIM]])*100,"0")</f>
        <v>100</v>
      </c>
      <c r="AL147"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47"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300</v>
      </c>
      <c r="AN147"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300</v>
      </c>
      <c r="AO147" s="27">
        <f>IFERROR((TABLA_AVANCE_INDICADORES[[#This Row],[AVANCE ACUM. TRIM.]]/TABLA_AVANCE_INDICADORES[[#This Row],[PROG. ACUM]])*100,"N/A")</f>
        <v>100</v>
      </c>
      <c r="AP147"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47" s="106">
        <f>TABLA_AVANCE_INDICADORES[[#This Row],[AVANCE ACUM. TRIM.]]-TABLA_AVANCE_INDICADORES[[#This Row],[PROG. ACUM]]</f>
        <v>0</v>
      </c>
      <c r="AR147" s="32">
        <f>IFERROR((TABLA_AVANCE_INDICADORES[[#This Row],[DIFERENCIA ABSOLUTA SEMESTRAL]]/TABLA_AVANCE_INDICADORES[[#This Row],[PROG. ACUM]])*100,"N/A")</f>
        <v>0</v>
      </c>
      <c r="AS147"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300</v>
      </c>
      <c r="AT147" s="27">
        <f>IFERROR((TABLA_AVANCE_INDICADORES[[#This Row],[AVANCE ACUM. ANUAL]]/TABLA_AVANCE_INDICADORES[[#This Row],[PROGRAMADO ANUAL]])*100,"N/A")</f>
        <v>50</v>
      </c>
      <c r="AU147"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47" s="106">
        <f>TABLA_AVANCE_INDICADORES[[#This Row],[AVANCE ACUM. ANUAL]]-TABLA_AVANCE_INDICADORES[[#This Row],[PROGRAMADO ANUAL]]</f>
        <v>-300</v>
      </c>
      <c r="AW147" s="32">
        <f>IFERROR((TABLA_AVANCE_INDICADORES[[#This Row],[DIFERENCIA ABSOLUTA ANUAL]]/TABLA_AVANCE_INDICADORES[[#This Row],[PROGRAMADO ANUAL]])*100,"N/A")</f>
        <v>-50</v>
      </c>
      <c r="AX147" s="132"/>
      <c r="AY147" s="86"/>
      <c r="AZ147" s="86"/>
      <c r="BA147" s="86"/>
      <c r="BB147"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48" spans="1:54" ht="150" hidden="1" customHeight="1" x14ac:dyDescent="0.35">
      <c r="A148" s="19" t="s">
        <v>1237</v>
      </c>
      <c r="B148" s="99" t="s">
        <v>493</v>
      </c>
      <c r="C148" s="20" t="s">
        <v>444</v>
      </c>
      <c r="D148" s="100" t="s">
        <v>445</v>
      </c>
      <c r="E148" s="20" t="s">
        <v>494</v>
      </c>
      <c r="F148" s="101" t="s">
        <v>495</v>
      </c>
      <c r="G148" s="130" t="s">
        <v>496</v>
      </c>
      <c r="H148" s="80" t="s">
        <v>1202</v>
      </c>
      <c r="I148" s="22" t="s">
        <v>1203</v>
      </c>
      <c r="J148" s="22" t="s">
        <v>434</v>
      </c>
      <c r="K148" s="80" t="s">
        <v>435</v>
      </c>
      <c r="L148" s="22" t="s">
        <v>497</v>
      </c>
      <c r="M148" s="80" t="s">
        <v>498</v>
      </c>
      <c r="N148" s="21">
        <v>1</v>
      </c>
      <c r="O148" s="21" t="s">
        <v>758</v>
      </c>
      <c r="P148" s="110" t="s">
        <v>1238</v>
      </c>
      <c r="Q148" s="110" t="s">
        <v>1239</v>
      </c>
      <c r="R148" s="102" t="s">
        <v>1240</v>
      </c>
      <c r="S148" s="22" t="s">
        <v>1207</v>
      </c>
      <c r="T148" s="42" t="s">
        <v>727</v>
      </c>
      <c r="U148" s="42" t="s">
        <v>754</v>
      </c>
      <c r="V148" s="81">
        <v>20831697</v>
      </c>
      <c r="W148" s="81">
        <v>5207924.25</v>
      </c>
      <c r="X148" s="103">
        <v>4031526</v>
      </c>
      <c r="Y148" s="25">
        <f>IFERROR((TABLA_AVANCE_INDICADORES[[#This Row],[AVANCE 1°. TRIM]]/TABLA_AVANCE_INDICADORES[[#This Row],[PROGR. 1° TRIM]])*100,"0")</f>
        <v>77.411379399383534</v>
      </c>
      <c r="Z148"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REGULAR</v>
      </c>
      <c r="AA148" s="104">
        <v>5207924.25</v>
      </c>
      <c r="AB148" s="105">
        <v>4031526</v>
      </c>
      <c r="AC148" s="27">
        <f t="shared" si="4"/>
        <v>77.411379399383534</v>
      </c>
      <c r="AD148" s="26" t="str">
        <f t="shared" si="5"/>
        <v>REGULAR</v>
      </c>
      <c r="AE148" s="104">
        <v>5207924.25</v>
      </c>
      <c r="AF148" s="105">
        <v>0</v>
      </c>
      <c r="AG148" s="27">
        <f>IFERROR((TABLA_AVANCE_INDICADORES[[#This Row],[AVANCE 3°. TRIM]]/TABLA_AVANCE_INDICADORES[[#This Row],[PROGR. 3° TRIM]])*100,"0")</f>
        <v>0</v>
      </c>
      <c r="AH148"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48" s="104">
        <v>5207924.25</v>
      </c>
      <c r="AJ148" s="105">
        <v>0</v>
      </c>
      <c r="AK148" s="82">
        <f>IFERROR((TABLA_AVANCE_INDICADORES[[#This Row],[AVANCE 4°. TRIM]]/TABLA_AVANCE_INDICADORES[[#This Row],[PROGR. 4° TRIM]])*100,"0")</f>
        <v>0</v>
      </c>
      <c r="AL148"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48"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10415848.5</v>
      </c>
      <c r="AN148"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8063052</v>
      </c>
      <c r="AO148" s="27">
        <f>IFERROR((TABLA_AVANCE_INDICADORES[[#This Row],[AVANCE ACUM. TRIM.]]/TABLA_AVANCE_INDICADORES[[#This Row],[PROG. ACUM]])*100,"N/A")</f>
        <v>77.411379399383534</v>
      </c>
      <c r="AP148"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REGULAR</v>
      </c>
      <c r="AQ148" s="106">
        <f>TABLA_AVANCE_INDICADORES[[#This Row],[AVANCE ACUM. TRIM.]]-TABLA_AVANCE_INDICADORES[[#This Row],[PROG. ACUM]]</f>
        <v>-2352796.5</v>
      </c>
      <c r="AR148" s="32">
        <f>IFERROR((TABLA_AVANCE_INDICADORES[[#This Row],[DIFERENCIA ABSOLUTA SEMESTRAL]]/TABLA_AVANCE_INDICADORES[[#This Row],[PROG. ACUM]])*100,"N/A")</f>
        <v>-22.588620600616455</v>
      </c>
      <c r="AS148"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8063052</v>
      </c>
      <c r="AT148" s="27">
        <f>IFERROR((TABLA_AVANCE_INDICADORES[[#This Row],[AVANCE ACUM. ANUAL]]/TABLA_AVANCE_INDICADORES[[#This Row],[PROGRAMADO ANUAL]])*100,"N/A")</f>
        <v>38.705689699691767</v>
      </c>
      <c r="AU148"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48" s="106">
        <f>TABLA_AVANCE_INDICADORES[[#This Row],[AVANCE ACUM. ANUAL]]-TABLA_AVANCE_INDICADORES[[#This Row],[PROGRAMADO ANUAL]]</f>
        <v>-12768645</v>
      </c>
      <c r="AW148" s="32">
        <f>IFERROR((TABLA_AVANCE_INDICADORES[[#This Row],[DIFERENCIA ABSOLUTA ANUAL]]/TABLA_AVANCE_INDICADORES[[#This Row],[PROGRAMADO ANUAL]])*100,"N/A")</f>
        <v>-61.294310300308233</v>
      </c>
      <c r="AX148" s="132"/>
      <c r="AY148" s="86"/>
      <c r="AZ148" s="86"/>
      <c r="BA148" s="86"/>
      <c r="BB148"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49" spans="1:54" ht="150" hidden="1" customHeight="1" x14ac:dyDescent="0.35">
      <c r="A149" s="19" t="s">
        <v>1241</v>
      </c>
      <c r="B149" s="99" t="s">
        <v>493</v>
      </c>
      <c r="C149" s="20" t="s">
        <v>444</v>
      </c>
      <c r="D149" s="100" t="s">
        <v>445</v>
      </c>
      <c r="E149" s="20" t="s">
        <v>494</v>
      </c>
      <c r="F149" s="101" t="s">
        <v>495</v>
      </c>
      <c r="G149" s="130" t="s">
        <v>496</v>
      </c>
      <c r="H149" s="80" t="s">
        <v>1202</v>
      </c>
      <c r="I149" s="22" t="s">
        <v>1203</v>
      </c>
      <c r="J149" s="22" t="s">
        <v>434</v>
      </c>
      <c r="K149" s="80" t="s">
        <v>435</v>
      </c>
      <c r="L149" s="22" t="s">
        <v>497</v>
      </c>
      <c r="M149" s="80" t="s">
        <v>498</v>
      </c>
      <c r="N149" s="21">
        <v>2</v>
      </c>
      <c r="O149" s="21" t="s">
        <v>758</v>
      </c>
      <c r="P149" s="110" t="s">
        <v>1238</v>
      </c>
      <c r="Q149" s="110" t="s">
        <v>1242</v>
      </c>
      <c r="R149" s="102" t="s">
        <v>1240</v>
      </c>
      <c r="S149" s="22" t="s">
        <v>1207</v>
      </c>
      <c r="T149" s="42" t="s">
        <v>727</v>
      </c>
      <c r="U149" s="42" t="s">
        <v>754</v>
      </c>
      <c r="V149" s="81">
        <v>21667500</v>
      </c>
      <c r="W149" s="81">
        <v>5416875</v>
      </c>
      <c r="X149" s="103">
        <v>4031526</v>
      </c>
      <c r="Y149" s="25">
        <f>IFERROR((TABLA_AVANCE_INDICADORES[[#This Row],[AVANCE 1°. TRIM]]/TABLA_AVANCE_INDICADORES[[#This Row],[PROGR. 1° TRIM]])*100,"0")</f>
        <v>74.425309795777082</v>
      </c>
      <c r="Z149"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REGULAR</v>
      </c>
      <c r="AA149" s="104">
        <v>5416875</v>
      </c>
      <c r="AB149" s="105">
        <v>4031526</v>
      </c>
      <c r="AC149" s="27">
        <f t="shared" si="4"/>
        <v>74.425309795777082</v>
      </c>
      <c r="AD149" s="26" t="str">
        <f t="shared" si="5"/>
        <v>REGULAR</v>
      </c>
      <c r="AE149" s="104">
        <v>5416875</v>
      </c>
      <c r="AF149" s="105">
        <v>0</v>
      </c>
      <c r="AG149" s="27">
        <f>IFERROR((TABLA_AVANCE_INDICADORES[[#This Row],[AVANCE 3°. TRIM]]/TABLA_AVANCE_INDICADORES[[#This Row],[PROGR. 3° TRIM]])*100,"0")</f>
        <v>0</v>
      </c>
      <c r="AH149"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49" s="104">
        <v>5416875</v>
      </c>
      <c r="AJ149" s="105">
        <v>0</v>
      </c>
      <c r="AK149" s="82">
        <f>IFERROR((TABLA_AVANCE_INDICADORES[[#This Row],[AVANCE 4°. TRIM]]/TABLA_AVANCE_INDICADORES[[#This Row],[PROGR. 4° TRIM]])*100,"0")</f>
        <v>0</v>
      </c>
      <c r="AL149"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49"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10833750</v>
      </c>
      <c r="AN149"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8063052</v>
      </c>
      <c r="AO149" s="27">
        <f>IFERROR((TABLA_AVANCE_INDICADORES[[#This Row],[AVANCE ACUM. TRIM.]]/TABLA_AVANCE_INDICADORES[[#This Row],[PROG. ACUM]])*100,"N/A")</f>
        <v>74.425309795777082</v>
      </c>
      <c r="AP149"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REGULAR</v>
      </c>
      <c r="AQ149" s="106">
        <f>TABLA_AVANCE_INDICADORES[[#This Row],[AVANCE ACUM. TRIM.]]-TABLA_AVANCE_INDICADORES[[#This Row],[PROG. ACUM]]</f>
        <v>-2770698</v>
      </c>
      <c r="AR149" s="32">
        <f>IFERROR((TABLA_AVANCE_INDICADORES[[#This Row],[DIFERENCIA ABSOLUTA SEMESTRAL]]/TABLA_AVANCE_INDICADORES[[#This Row],[PROG. ACUM]])*100,"N/A")</f>
        <v>-25.574690204222918</v>
      </c>
      <c r="AS149"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8063052</v>
      </c>
      <c r="AT149" s="27">
        <f>IFERROR((TABLA_AVANCE_INDICADORES[[#This Row],[AVANCE ACUM. ANUAL]]/TABLA_AVANCE_INDICADORES[[#This Row],[PROGRAMADO ANUAL]])*100,"N/A")</f>
        <v>37.212654897888541</v>
      </c>
      <c r="AU149"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49" s="106">
        <f>TABLA_AVANCE_INDICADORES[[#This Row],[AVANCE ACUM. ANUAL]]-TABLA_AVANCE_INDICADORES[[#This Row],[PROGRAMADO ANUAL]]</f>
        <v>-13604448</v>
      </c>
      <c r="AW149" s="32">
        <f>IFERROR((TABLA_AVANCE_INDICADORES[[#This Row],[DIFERENCIA ABSOLUTA ANUAL]]/TABLA_AVANCE_INDICADORES[[#This Row],[PROGRAMADO ANUAL]])*100,"N/A")</f>
        <v>-62.787345102111459</v>
      </c>
      <c r="AX149" s="132"/>
      <c r="AY149" s="86"/>
      <c r="AZ149" s="86"/>
      <c r="BA149" s="86"/>
      <c r="BB149"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50" spans="1:54" ht="150" hidden="1" customHeight="1" x14ac:dyDescent="0.35">
      <c r="A150" s="19" t="s">
        <v>1243</v>
      </c>
      <c r="B150" s="99" t="s">
        <v>493</v>
      </c>
      <c r="C150" s="20" t="s">
        <v>444</v>
      </c>
      <c r="D150" s="100" t="s">
        <v>445</v>
      </c>
      <c r="E150" s="20" t="s">
        <v>494</v>
      </c>
      <c r="F150" s="101" t="s">
        <v>495</v>
      </c>
      <c r="G150" s="130" t="s">
        <v>496</v>
      </c>
      <c r="H150" s="80" t="s">
        <v>1202</v>
      </c>
      <c r="I150" s="22" t="s">
        <v>1203</v>
      </c>
      <c r="J150" s="22" t="s">
        <v>434</v>
      </c>
      <c r="K150" s="80" t="s">
        <v>435</v>
      </c>
      <c r="L150" s="22" t="s">
        <v>497</v>
      </c>
      <c r="M150" s="80" t="s">
        <v>498</v>
      </c>
      <c r="N150" s="21">
        <v>1</v>
      </c>
      <c r="O150" s="21" t="s">
        <v>798</v>
      </c>
      <c r="P150" s="110" t="s">
        <v>1244</v>
      </c>
      <c r="Q150" s="110" t="s">
        <v>1245</v>
      </c>
      <c r="R150" s="102" t="s">
        <v>1246</v>
      </c>
      <c r="S150" s="22" t="s">
        <v>1207</v>
      </c>
      <c r="T150" s="42" t="s">
        <v>727</v>
      </c>
      <c r="U150" s="42" t="s">
        <v>754</v>
      </c>
      <c r="V150" s="81">
        <v>835803</v>
      </c>
      <c r="W150" s="81">
        <v>241056</v>
      </c>
      <c r="X150" s="103">
        <v>211627</v>
      </c>
      <c r="Y150" s="25">
        <f>IFERROR((TABLA_AVANCE_INDICADORES[[#This Row],[AVANCE 1°. TRIM]]/TABLA_AVANCE_INDICADORES[[#This Row],[PROGR. 1° TRIM]])*100,"0")</f>
        <v>87.791633479357486</v>
      </c>
      <c r="Z150"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REGULAR</v>
      </c>
      <c r="AA150" s="104">
        <v>241056</v>
      </c>
      <c r="AB150" s="105">
        <v>175779</v>
      </c>
      <c r="AC150" s="27">
        <f t="shared" si="4"/>
        <v>72.920400238948631</v>
      </c>
      <c r="AD150" s="26" t="str">
        <f t="shared" si="5"/>
        <v>REGULAR</v>
      </c>
      <c r="AE150" s="104">
        <v>176847</v>
      </c>
      <c r="AF150" s="105">
        <v>0</v>
      </c>
      <c r="AG150" s="27">
        <f>IFERROR((TABLA_AVANCE_INDICADORES[[#This Row],[AVANCE 3°. TRIM]]/TABLA_AVANCE_INDICADORES[[#This Row],[PROGR. 3° TRIM]])*100,"0")</f>
        <v>0</v>
      </c>
      <c r="AH150"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50" s="104">
        <v>176844</v>
      </c>
      <c r="AJ150" s="105">
        <v>0</v>
      </c>
      <c r="AK150" s="82">
        <f>IFERROR((TABLA_AVANCE_INDICADORES[[#This Row],[AVANCE 4°. TRIM]]/TABLA_AVANCE_INDICADORES[[#This Row],[PROGR. 4° TRIM]])*100,"0")</f>
        <v>0</v>
      </c>
      <c r="AL150"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50"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482112</v>
      </c>
      <c r="AN150"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387406</v>
      </c>
      <c r="AO150" s="27">
        <f>IFERROR((TABLA_AVANCE_INDICADORES[[#This Row],[AVANCE ACUM. TRIM.]]/TABLA_AVANCE_INDICADORES[[#This Row],[PROG. ACUM]])*100,"N/A")</f>
        <v>80.356016859153058</v>
      </c>
      <c r="AP150"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REGULAR</v>
      </c>
      <c r="AQ150" s="106">
        <f>TABLA_AVANCE_INDICADORES[[#This Row],[AVANCE ACUM. TRIM.]]-TABLA_AVANCE_INDICADORES[[#This Row],[PROG. ACUM]]</f>
        <v>-94706</v>
      </c>
      <c r="AR150" s="32">
        <f>IFERROR((TABLA_AVANCE_INDICADORES[[#This Row],[DIFERENCIA ABSOLUTA SEMESTRAL]]/TABLA_AVANCE_INDICADORES[[#This Row],[PROG. ACUM]])*100,"N/A")</f>
        <v>-19.643983140846942</v>
      </c>
      <c r="AS150"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387406</v>
      </c>
      <c r="AT150" s="27">
        <f>IFERROR((TABLA_AVANCE_INDICADORES[[#This Row],[AVANCE ACUM. ANUAL]]/TABLA_AVANCE_INDICADORES[[#This Row],[PROGRAMADO ANUAL]])*100,"N/A")</f>
        <v>46.351353129864336</v>
      </c>
      <c r="AU150"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50" s="106">
        <f>TABLA_AVANCE_INDICADORES[[#This Row],[AVANCE ACUM. ANUAL]]-TABLA_AVANCE_INDICADORES[[#This Row],[PROGRAMADO ANUAL]]</f>
        <v>-448397</v>
      </c>
      <c r="AW150" s="32">
        <f>IFERROR((TABLA_AVANCE_INDICADORES[[#This Row],[DIFERENCIA ABSOLUTA ANUAL]]/TABLA_AVANCE_INDICADORES[[#This Row],[PROGRAMADO ANUAL]])*100,"N/A")</f>
        <v>-53.648646870135664</v>
      </c>
      <c r="AX150" s="132"/>
      <c r="AY150" s="86"/>
      <c r="AZ150" s="86"/>
      <c r="BA150" s="86"/>
      <c r="BB150"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51" spans="1:54" ht="150" hidden="1" customHeight="1" x14ac:dyDescent="0.35">
      <c r="A151" s="19" t="s">
        <v>1247</v>
      </c>
      <c r="B151" s="99" t="s">
        <v>493</v>
      </c>
      <c r="C151" s="20" t="s">
        <v>444</v>
      </c>
      <c r="D151" s="100" t="s">
        <v>445</v>
      </c>
      <c r="E151" s="20" t="s">
        <v>494</v>
      </c>
      <c r="F151" s="101" t="s">
        <v>495</v>
      </c>
      <c r="G151" s="130" t="s">
        <v>496</v>
      </c>
      <c r="H151" s="80" t="s">
        <v>1202</v>
      </c>
      <c r="I151" s="22" t="s">
        <v>1203</v>
      </c>
      <c r="J151" s="22" t="s">
        <v>434</v>
      </c>
      <c r="K151" s="80" t="s">
        <v>435</v>
      </c>
      <c r="L151" s="22" t="s">
        <v>497</v>
      </c>
      <c r="M151" s="80" t="s">
        <v>498</v>
      </c>
      <c r="N151" s="21">
        <v>2</v>
      </c>
      <c r="O151" s="21" t="s">
        <v>798</v>
      </c>
      <c r="P151" s="110" t="s">
        <v>1244</v>
      </c>
      <c r="Q151" s="110" t="s">
        <v>1248</v>
      </c>
      <c r="R151" s="102" t="s">
        <v>1246</v>
      </c>
      <c r="S151" s="22" t="s">
        <v>1207</v>
      </c>
      <c r="T151" s="42" t="s">
        <v>727</v>
      </c>
      <c r="U151" s="42" t="s">
        <v>754</v>
      </c>
      <c r="V151" s="81">
        <v>808806</v>
      </c>
      <c r="W151" s="81">
        <v>214056</v>
      </c>
      <c r="X151" s="103">
        <v>211627</v>
      </c>
      <c r="Y151" s="25">
        <f>IFERROR((TABLA_AVANCE_INDICADORES[[#This Row],[AVANCE 1°. TRIM]]/TABLA_AVANCE_INDICADORES[[#This Row],[PROGR. 1° TRIM]])*100,"0")</f>
        <v>98.865250214897031</v>
      </c>
      <c r="Z151"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51" s="104">
        <v>241056</v>
      </c>
      <c r="AB151" s="105">
        <v>175779</v>
      </c>
      <c r="AC151" s="27">
        <f t="shared" si="4"/>
        <v>72.920400238948631</v>
      </c>
      <c r="AD151" s="26" t="str">
        <f t="shared" si="5"/>
        <v>REGULAR</v>
      </c>
      <c r="AE151" s="104">
        <v>176847</v>
      </c>
      <c r="AF151" s="105">
        <v>0</v>
      </c>
      <c r="AG151" s="27">
        <f>IFERROR((TABLA_AVANCE_INDICADORES[[#This Row],[AVANCE 3°. TRIM]]/TABLA_AVANCE_INDICADORES[[#This Row],[PROGR. 3° TRIM]])*100,"0")</f>
        <v>0</v>
      </c>
      <c r="AH151"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51" s="104">
        <v>176847</v>
      </c>
      <c r="AJ151" s="105">
        <v>0</v>
      </c>
      <c r="AK151" s="82">
        <f>IFERROR((TABLA_AVANCE_INDICADORES[[#This Row],[AVANCE 4°. TRIM]]/TABLA_AVANCE_INDICADORES[[#This Row],[PROGR. 4° TRIM]])*100,"0")</f>
        <v>0</v>
      </c>
      <c r="AL151"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51"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455112</v>
      </c>
      <c r="AN151"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387406</v>
      </c>
      <c r="AO151" s="27">
        <f>IFERROR((TABLA_AVANCE_INDICADORES[[#This Row],[AVANCE ACUM. TRIM.]]/TABLA_AVANCE_INDICADORES[[#This Row],[PROG. ACUM]])*100,"N/A")</f>
        <v>85.123222415581225</v>
      </c>
      <c r="AP151"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REGULAR</v>
      </c>
      <c r="AQ151" s="106">
        <f>TABLA_AVANCE_INDICADORES[[#This Row],[AVANCE ACUM. TRIM.]]-TABLA_AVANCE_INDICADORES[[#This Row],[PROG. ACUM]]</f>
        <v>-67706</v>
      </c>
      <c r="AR151" s="32">
        <f>IFERROR((TABLA_AVANCE_INDICADORES[[#This Row],[DIFERENCIA ABSOLUTA SEMESTRAL]]/TABLA_AVANCE_INDICADORES[[#This Row],[PROG. ACUM]])*100,"N/A")</f>
        <v>-14.876777584418779</v>
      </c>
      <c r="AS151"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387406</v>
      </c>
      <c r="AT151" s="27">
        <f>IFERROR((TABLA_AVANCE_INDICADORES[[#This Row],[AVANCE ACUM. ANUAL]]/TABLA_AVANCE_INDICADORES[[#This Row],[PROGRAMADO ANUAL]])*100,"N/A")</f>
        <v>47.898507182192027</v>
      </c>
      <c r="AU151"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51" s="106">
        <f>TABLA_AVANCE_INDICADORES[[#This Row],[AVANCE ACUM. ANUAL]]-TABLA_AVANCE_INDICADORES[[#This Row],[PROGRAMADO ANUAL]]</f>
        <v>-421400</v>
      </c>
      <c r="AW151" s="32">
        <f>IFERROR((TABLA_AVANCE_INDICADORES[[#This Row],[DIFERENCIA ABSOLUTA ANUAL]]/TABLA_AVANCE_INDICADORES[[#This Row],[PROGRAMADO ANUAL]])*100,"N/A")</f>
        <v>-52.10149281780798</v>
      </c>
      <c r="AX151" s="132"/>
      <c r="AY151" s="86"/>
      <c r="AZ151" s="86"/>
      <c r="BA151" s="86"/>
      <c r="BB151"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52" spans="1:54" ht="150" hidden="1" customHeight="1" x14ac:dyDescent="0.35">
      <c r="A152" s="19" t="s">
        <v>1249</v>
      </c>
      <c r="B152" s="99" t="s">
        <v>463</v>
      </c>
      <c r="C152" s="20" t="s">
        <v>444</v>
      </c>
      <c r="D152" s="100" t="s">
        <v>445</v>
      </c>
      <c r="E152" s="20" t="s">
        <v>400</v>
      </c>
      <c r="F152" s="101" t="s">
        <v>401</v>
      </c>
      <c r="G152" s="130" t="s">
        <v>464</v>
      </c>
      <c r="H152" s="80" t="s">
        <v>1250</v>
      </c>
      <c r="I152" s="22" t="s">
        <v>1203</v>
      </c>
      <c r="J152" s="22" t="s">
        <v>434</v>
      </c>
      <c r="K152" s="80" t="s">
        <v>435</v>
      </c>
      <c r="L152" s="22" t="s">
        <v>465</v>
      </c>
      <c r="M152" s="80" t="s">
        <v>466</v>
      </c>
      <c r="N152" s="21">
        <v>1</v>
      </c>
      <c r="O152" s="21" t="s">
        <v>1077</v>
      </c>
      <c r="P152" s="110" t="s">
        <v>1251</v>
      </c>
      <c r="Q152" s="110" t="s">
        <v>1252</v>
      </c>
      <c r="R152" s="102" t="s">
        <v>1253</v>
      </c>
      <c r="S152" s="22" t="s">
        <v>1254</v>
      </c>
      <c r="T152" s="42" t="s">
        <v>727</v>
      </c>
      <c r="U152" s="42" t="s">
        <v>754</v>
      </c>
      <c r="V152" s="81">
        <v>40</v>
      </c>
      <c r="W152" s="81">
        <v>10</v>
      </c>
      <c r="X152" s="103">
        <v>10</v>
      </c>
      <c r="Y152" s="25">
        <f>IFERROR((TABLA_AVANCE_INDICADORES[[#This Row],[AVANCE 1°. TRIM]]/TABLA_AVANCE_INDICADORES[[#This Row],[PROGR. 1° TRIM]])*100,"0")</f>
        <v>100</v>
      </c>
      <c r="Z152"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52" s="104">
        <v>10</v>
      </c>
      <c r="AB152" s="105">
        <v>10</v>
      </c>
      <c r="AC152" s="27">
        <f t="shared" si="4"/>
        <v>100</v>
      </c>
      <c r="AD152" s="26" t="str">
        <f t="shared" si="5"/>
        <v>ADECUADO</v>
      </c>
      <c r="AE152" s="104">
        <v>10</v>
      </c>
      <c r="AF152" s="105">
        <v>0</v>
      </c>
      <c r="AG152" s="27">
        <f>IFERROR((TABLA_AVANCE_INDICADORES[[#This Row],[AVANCE 3°. TRIM]]/TABLA_AVANCE_INDICADORES[[#This Row],[PROGR. 3° TRIM]])*100,"0")</f>
        <v>0</v>
      </c>
      <c r="AH152"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52" s="104">
        <v>10</v>
      </c>
      <c r="AJ152" s="105">
        <v>0</v>
      </c>
      <c r="AK152" s="82">
        <f>IFERROR((TABLA_AVANCE_INDICADORES[[#This Row],[AVANCE 4°. TRIM]]/TABLA_AVANCE_INDICADORES[[#This Row],[PROGR. 4° TRIM]])*100,"0")</f>
        <v>0</v>
      </c>
      <c r="AL152"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52"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20</v>
      </c>
      <c r="AN152"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20</v>
      </c>
      <c r="AO152" s="27">
        <f>IFERROR((TABLA_AVANCE_INDICADORES[[#This Row],[AVANCE ACUM. TRIM.]]/TABLA_AVANCE_INDICADORES[[#This Row],[PROG. ACUM]])*100,"N/A")</f>
        <v>100</v>
      </c>
      <c r="AP152"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52" s="106">
        <f>TABLA_AVANCE_INDICADORES[[#This Row],[AVANCE ACUM. TRIM.]]-TABLA_AVANCE_INDICADORES[[#This Row],[PROG. ACUM]]</f>
        <v>0</v>
      </c>
      <c r="AR152" s="32">
        <f>IFERROR((TABLA_AVANCE_INDICADORES[[#This Row],[DIFERENCIA ABSOLUTA SEMESTRAL]]/TABLA_AVANCE_INDICADORES[[#This Row],[PROG. ACUM]])*100,"N/A")</f>
        <v>0</v>
      </c>
      <c r="AS152"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20</v>
      </c>
      <c r="AT152" s="27">
        <f>IFERROR((TABLA_AVANCE_INDICADORES[[#This Row],[AVANCE ACUM. ANUAL]]/TABLA_AVANCE_INDICADORES[[#This Row],[PROGRAMADO ANUAL]])*100,"N/A")</f>
        <v>50</v>
      </c>
      <c r="AU152"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52" s="106">
        <f>TABLA_AVANCE_INDICADORES[[#This Row],[AVANCE ACUM. ANUAL]]-TABLA_AVANCE_INDICADORES[[#This Row],[PROGRAMADO ANUAL]]</f>
        <v>-20</v>
      </c>
      <c r="AW152" s="32">
        <f>IFERROR((TABLA_AVANCE_INDICADORES[[#This Row],[DIFERENCIA ABSOLUTA ANUAL]]/TABLA_AVANCE_INDICADORES[[#This Row],[PROGRAMADO ANUAL]])*100,"N/A")</f>
        <v>-50</v>
      </c>
      <c r="AX152" s="132"/>
      <c r="AY152" s="86"/>
      <c r="AZ152" s="86"/>
      <c r="BA152" s="86"/>
      <c r="BB152"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53" spans="1:54" ht="150" hidden="1" customHeight="1" x14ac:dyDescent="0.35">
      <c r="A153" s="19" t="s">
        <v>1255</v>
      </c>
      <c r="B153" s="99" t="s">
        <v>463</v>
      </c>
      <c r="C153" s="20" t="s">
        <v>444</v>
      </c>
      <c r="D153" s="100" t="s">
        <v>445</v>
      </c>
      <c r="E153" s="20" t="s">
        <v>400</v>
      </c>
      <c r="F153" s="101" t="s">
        <v>401</v>
      </c>
      <c r="G153" s="130" t="s">
        <v>464</v>
      </c>
      <c r="H153" s="80" t="s">
        <v>1250</v>
      </c>
      <c r="I153" s="22" t="s">
        <v>1203</v>
      </c>
      <c r="J153" s="22" t="s">
        <v>434</v>
      </c>
      <c r="K153" s="80" t="s">
        <v>435</v>
      </c>
      <c r="L153" s="22" t="s">
        <v>465</v>
      </c>
      <c r="M153" s="80" t="s">
        <v>466</v>
      </c>
      <c r="N153" s="21">
        <v>2</v>
      </c>
      <c r="O153" s="21" t="s">
        <v>1077</v>
      </c>
      <c r="P153" s="110" t="s">
        <v>1251</v>
      </c>
      <c r="Q153" s="110" t="s">
        <v>1256</v>
      </c>
      <c r="R153" s="102" t="s">
        <v>1253</v>
      </c>
      <c r="S153" s="22" t="s">
        <v>1254</v>
      </c>
      <c r="T153" s="42" t="s">
        <v>727</v>
      </c>
      <c r="U153" s="42" t="s">
        <v>754</v>
      </c>
      <c r="V153" s="81">
        <v>40</v>
      </c>
      <c r="W153" s="81">
        <v>10</v>
      </c>
      <c r="X153" s="112">
        <v>10</v>
      </c>
      <c r="Y153" s="25">
        <f>IFERROR((TABLA_AVANCE_INDICADORES[[#This Row],[AVANCE 1°. TRIM]]/TABLA_AVANCE_INDICADORES[[#This Row],[PROGR. 1° TRIM]])*100,"0")</f>
        <v>100</v>
      </c>
      <c r="Z153"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53" s="104">
        <v>10</v>
      </c>
      <c r="AB153" s="113">
        <v>10</v>
      </c>
      <c r="AC153" s="27">
        <f t="shared" si="4"/>
        <v>100</v>
      </c>
      <c r="AD153" s="26" t="str">
        <f t="shared" si="5"/>
        <v>ADECUADO</v>
      </c>
      <c r="AE153" s="104">
        <v>10</v>
      </c>
      <c r="AF153" s="113">
        <f>AE153</f>
        <v>10</v>
      </c>
      <c r="AG153" s="27">
        <f>IFERROR((TABLA_AVANCE_INDICADORES[[#This Row],[AVANCE 3°. TRIM]]/TABLA_AVANCE_INDICADORES[[#This Row],[PROGR. 3° TRIM]])*100,"0")</f>
        <v>100</v>
      </c>
      <c r="AH153"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ADECUADO</v>
      </c>
      <c r="AI153" s="104">
        <v>10</v>
      </c>
      <c r="AJ153" s="113">
        <f>AI153</f>
        <v>10</v>
      </c>
      <c r="AK153" s="82">
        <f>IFERROR((TABLA_AVANCE_INDICADORES[[#This Row],[AVANCE 4°. TRIM]]/TABLA_AVANCE_INDICADORES[[#This Row],[PROGR. 4° TRIM]])*100,"0")</f>
        <v>100</v>
      </c>
      <c r="AL153"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53"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20</v>
      </c>
      <c r="AN153"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20</v>
      </c>
      <c r="AO153" s="27">
        <f>IFERROR((TABLA_AVANCE_INDICADORES[[#This Row],[AVANCE ACUM. TRIM.]]/TABLA_AVANCE_INDICADORES[[#This Row],[PROG. ACUM]])*100,"N/A")</f>
        <v>100</v>
      </c>
      <c r="AP153"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53" s="106">
        <f>TABLA_AVANCE_INDICADORES[[#This Row],[AVANCE ACUM. TRIM.]]-TABLA_AVANCE_INDICADORES[[#This Row],[PROG. ACUM]]</f>
        <v>0</v>
      </c>
      <c r="AR153" s="32">
        <f>IFERROR((TABLA_AVANCE_INDICADORES[[#This Row],[DIFERENCIA ABSOLUTA SEMESTRAL]]/TABLA_AVANCE_INDICADORES[[#This Row],[PROG. ACUM]])*100,"N/A")</f>
        <v>0</v>
      </c>
      <c r="AS153"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20</v>
      </c>
      <c r="AT153" s="27">
        <f>IFERROR((TABLA_AVANCE_INDICADORES[[#This Row],[AVANCE ACUM. ANUAL]]/TABLA_AVANCE_INDICADORES[[#This Row],[PROGRAMADO ANUAL]])*100,"N/A")</f>
        <v>50</v>
      </c>
      <c r="AU153"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53" s="106">
        <f>TABLA_AVANCE_INDICADORES[[#This Row],[AVANCE ACUM. ANUAL]]-TABLA_AVANCE_INDICADORES[[#This Row],[PROGRAMADO ANUAL]]</f>
        <v>-20</v>
      </c>
      <c r="AW153" s="32">
        <f>IFERROR((TABLA_AVANCE_INDICADORES[[#This Row],[DIFERENCIA ABSOLUTA ANUAL]]/TABLA_AVANCE_INDICADORES[[#This Row],[PROGRAMADO ANUAL]])*100,"N/A")</f>
        <v>-50</v>
      </c>
      <c r="AX153" s="132"/>
      <c r="AY153" s="86"/>
      <c r="AZ153" s="86"/>
      <c r="BA153" s="86"/>
      <c r="BB153"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54" spans="1:54" ht="150" hidden="1" customHeight="1" x14ac:dyDescent="0.35">
      <c r="A154" s="19" t="s">
        <v>1257</v>
      </c>
      <c r="B154" s="99" t="s">
        <v>493</v>
      </c>
      <c r="C154" s="20" t="s">
        <v>444</v>
      </c>
      <c r="D154" s="100" t="s">
        <v>445</v>
      </c>
      <c r="E154" s="20" t="s">
        <v>494</v>
      </c>
      <c r="F154" s="101" t="s">
        <v>495</v>
      </c>
      <c r="G154" s="130" t="s">
        <v>496</v>
      </c>
      <c r="H154" s="80" t="s">
        <v>1202</v>
      </c>
      <c r="I154" s="22" t="s">
        <v>1203</v>
      </c>
      <c r="J154" s="22" t="s">
        <v>434</v>
      </c>
      <c r="K154" s="80" t="s">
        <v>435</v>
      </c>
      <c r="L154" s="22" t="s">
        <v>497</v>
      </c>
      <c r="M154" s="80" t="s">
        <v>498</v>
      </c>
      <c r="N154" s="21">
        <v>1</v>
      </c>
      <c r="O154" s="21" t="s">
        <v>1258</v>
      </c>
      <c r="P154" s="133" t="s">
        <v>1259</v>
      </c>
      <c r="Q154" s="110" t="s">
        <v>1260</v>
      </c>
      <c r="R154" s="102" t="s">
        <v>1261</v>
      </c>
      <c r="S154" s="22" t="s">
        <v>505</v>
      </c>
      <c r="T154" s="42" t="s">
        <v>727</v>
      </c>
      <c r="U154" s="42" t="s">
        <v>754</v>
      </c>
      <c r="V154" s="81">
        <v>45</v>
      </c>
      <c r="W154" s="81">
        <v>15</v>
      </c>
      <c r="X154" s="103">
        <v>9</v>
      </c>
      <c r="Y154" s="25">
        <f>IFERROR((TABLA_AVANCE_INDICADORES[[#This Row],[AVANCE 1°. TRIM]]/TABLA_AVANCE_INDICADORES[[#This Row],[PROGR. 1° TRIM]])*100,"0")</f>
        <v>60</v>
      </c>
      <c r="Z154"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DEFICIENTE</v>
      </c>
      <c r="AA154" s="104">
        <v>6</v>
      </c>
      <c r="AB154" s="105">
        <v>12</v>
      </c>
      <c r="AC154" s="27">
        <f t="shared" si="4"/>
        <v>200</v>
      </c>
      <c r="AD154" s="26" t="str">
        <f t="shared" si="5"/>
        <v>SOBREPASADO</v>
      </c>
      <c r="AE154" s="104">
        <v>12</v>
      </c>
      <c r="AF154" s="105">
        <v>0</v>
      </c>
      <c r="AG154" s="27">
        <f>IFERROR((TABLA_AVANCE_INDICADORES[[#This Row],[AVANCE 3°. TRIM]]/TABLA_AVANCE_INDICADORES[[#This Row],[PROGR. 3° TRIM]])*100,"0")</f>
        <v>0</v>
      </c>
      <c r="AH154"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54" s="104">
        <v>12</v>
      </c>
      <c r="AJ154" s="105">
        <v>0</v>
      </c>
      <c r="AK154" s="82">
        <f>IFERROR((TABLA_AVANCE_INDICADORES[[#This Row],[AVANCE 4°. TRIM]]/TABLA_AVANCE_INDICADORES[[#This Row],[PROGR. 4° TRIM]])*100,"0")</f>
        <v>0</v>
      </c>
      <c r="AL154"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54"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21</v>
      </c>
      <c r="AN154"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21</v>
      </c>
      <c r="AO154" s="27">
        <f>IFERROR((TABLA_AVANCE_INDICADORES[[#This Row],[AVANCE ACUM. TRIM.]]/TABLA_AVANCE_INDICADORES[[#This Row],[PROG. ACUM]])*100,"N/A")</f>
        <v>100</v>
      </c>
      <c r="AP154"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54" s="106">
        <f>TABLA_AVANCE_INDICADORES[[#This Row],[AVANCE ACUM. TRIM.]]-TABLA_AVANCE_INDICADORES[[#This Row],[PROG. ACUM]]</f>
        <v>0</v>
      </c>
      <c r="AR154" s="32">
        <f>IFERROR((TABLA_AVANCE_INDICADORES[[#This Row],[DIFERENCIA ABSOLUTA SEMESTRAL]]/TABLA_AVANCE_INDICADORES[[#This Row],[PROG. ACUM]])*100,"N/A")</f>
        <v>0</v>
      </c>
      <c r="AS154"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21</v>
      </c>
      <c r="AT154" s="27">
        <f>IFERROR((TABLA_AVANCE_INDICADORES[[#This Row],[AVANCE ACUM. ANUAL]]/TABLA_AVANCE_INDICADORES[[#This Row],[PROGRAMADO ANUAL]])*100,"N/A")</f>
        <v>46.666666666666664</v>
      </c>
      <c r="AU154"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54" s="106">
        <f>TABLA_AVANCE_INDICADORES[[#This Row],[AVANCE ACUM. ANUAL]]-TABLA_AVANCE_INDICADORES[[#This Row],[PROGRAMADO ANUAL]]</f>
        <v>-24</v>
      </c>
      <c r="AW154" s="32">
        <f>IFERROR((TABLA_AVANCE_INDICADORES[[#This Row],[DIFERENCIA ABSOLUTA ANUAL]]/TABLA_AVANCE_INDICADORES[[#This Row],[PROGRAMADO ANUAL]])*100,"N/A")</f>
        <v>-53.333333333333336</v>
      </c>
      <c r="AX154" s="132"/>
      <c r="AY154" s="86"/>
      <c r="AZ154" s="86"/>
      <c r="BA154" s="86"/>
      <c r="BB154"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55" spans="1:54" ht="150" hidden="1" customHeight="1" x14ac:dyDescent="0.35">
      <c r="A155" s="19" t="s">
        <v>1262</v>
      </c>
      <c r="B155" s="99" t="s">
        <v>493</v>
      </c>
      <c r="C155" s="20" t="s">
        <v>444</v>
      </c>
      <c r="D155" s="100" t="s">
        <v>445</v>
      </c>
      <c r="E155" s="20" t="s">
        <v>494</v>
      </c>
      <c r="F155" s="101" t="s">
        <v>495</v>
      </c>
      <c r="G155" s="130" t="s">
        <v>496</v>
      </c>
      <c r="H155" s="80" t="s">
        <v>1202</v>
      </c>
      <c r="I155" s="22" t="s">
        <v>1203</v>
      </c>
      <c r="J155" s="22" t="s">
        <v>434</v>
      </c>
      <c r="K155" s="80" t="s">
        <v>435</v>
      </c>
      <c r="L155" s="22" t="s">
        <v>497</v>
      </c>
      <c r="M155" s="80" t="s">
        <v>498</v>
      </c>
      <c r="N155" s="21">
        <v>2</v>
      </c>
      <c r="O155" s="21" t="s">
        <v>1258</v>
      </c>
      <c r="P155" s="133" t="s">
        <v>1259</v>
      </c>
      <c r="Q155" s="110" t="s">
        <v>1263</v>
      </c>
      <c r="R155" s="102" t="s">
        <v>1261</v>
      </c>
      <c r="S155" s="22" t="s">
        <v>505</v>
      </c>
      <c r="T155" s="42" t="s">
        <v>727</v>
      </c>
      <c r="U155" s="42" t="s">
        <v>754</v>
      </c>
      <c r="V155" s="81">
        <v>45</v>
      </c>
      <c r="W155" s="81">
        <v>15</v>
      </c>
      <c r="X155" s="112">
        <v>15</v>
      </c>
      <c r="Y155" s="25">
        <f>IFERROR((TABLA_AVANCE_INDICADORES[[#This Row],[AVANCE 1°. TRIM]]/TABLA_AVANCE_INDICADORES[[#This Row],[PROGR. 1° TRIM]])*100,"0")</f>
        <v>100</v>
      </c>
      <c r="Z155"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55" s="104">
        <v>6</v>
      </c>
      <c r="AB155" s="113">
        <v>6</v>
      </c>
      <c r="AC155" s="27">
        <f t="shared" si="4"/>
        <v>100</v>
      </c>
      <c r="AD155" s="26" t="str">
        <f t="shared" si="5"/>
        <v>ADECUADO</v>
      </c>
      <c r="AE155" s="104">
        <v>12</v>
      </c>
      <c r="AF155" s="113">
        <f>AE155</f>
        <v>12</v>
      </c>
      <c r="AG155" s="27">
        <f>IFERROR((TABLA_AVANCE_INDICADORES[[#This Row],[AVANCE 3°. TRIM]]/TABLA_AVANCE_INDICADORES[[#This Row],[PROGR. 3° TRIM]])*100,"0")</f>
        <v>100</v>
      </c>
      <c r="AH155"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ADECUADO</v>
      </c>
      <c r="AI155" s="104">
        <v>12</v>
      </c>
      <c r="AJ155" s="113">
        <f>AI155</f>
        <v>12</v>
      </c>
      <c r="AK155" s="82">
        <f>IFERROR((TABLA_AVANCE_INDICADORES[[#This Row],[AVANCE 4°. TRIM]]/TABLA_AVANCE_INDICADORES[[#This Row],[PROGR. 4° TRIM]])*100,"0")</f>
        <v>100</v>
      </c>
      <c r="AL155"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55"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21</v>
      </c>
      <c r="AN155"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21</v>
      </c>
      <c r="AO155" s="27">
        <f>IFERROR((TABLA_AVANCE_INDICADORES[[#This Row],[AVANCE ACUM. TRIM.]]/TABLA_AVANCE_INDICADORES[[#This Row],[PROG. ACUM]])*100,"N/A")</f>
        <v>100</v>
      </c>
      <c r="AP155"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55" s="106">
        <f>TABLA_AVANCE_INDICADORES[[#This Row],[AVANCE ACUM. TRIM.]]-TABLA_AVANCE_INDICADORES[[#This Row],[PROG. ACUM]]</f>
        <v>0</v>
      </c>
      <c r="AR155" s="32">
        <f>IFERROR((TABLA_AVANCE_INDICADORES[[#This Row],[DIFERENCIA ABSOLUTA SEMESTRAL]]/TABLA_AVANCE_INDICADORES[[#This Row],[PROG. ACUM]])*100,"N/A")</f>
        <v>0</v>
      </c>
      <c r="AS155"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21</v>
      </c>
      <c r="AT155" s="27">
        <f>IFERROR((TABLA_AVANCE_INDICADORES[[#This Row],[AVANCE ACUM. ANUAL]]/TABLA_AVANCE_INDICADORES[[#This Row],[PROGRAMADO ANUAL]])*100,"N/A")</f>
        <v>46.666666666666664</v>
      </c>
      <c r="AU155"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55" s="106">
        <f>TABLA_AVANCE_INDICADORES[[#This Row],[AVANCE ACUM. ANUAL]]-TABLA_AVANCE_INDICADORES[[#This Row],[PROGRAMADO ANUAL]]</f>
        <v>-24</v>
      </c>
      <c r="AW155" s="32">
        <f>IFERROR((TABLA_AVANCE_INDICADORES[[#This Row],[DIFERENCIA ABSOLUTA ANUAL]]/TABLA_AVANCE_INDICADORES[[#This Row],[PROGRAMADO ANUAL]])*100,"N/A")</f>
        <v>-53.333333333333336</v>
      </c>
      <c r="AX155" s="132"/>
      <c r="AY155" s="86"/>
      <c r="AZ155" s="86"/>
      <c r="BA155" s="86"/>
      <c r="BB155"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56" spans="1:54" ht="150" hidden="1" customHeight="1" x14ac:dyDescent="0.35">
      <c r="A156" s="19" t="s">
        <v>1264</v>
      </c>
      <c r="B156" s="99" t="s">
        <v>475</v>
      </c>
      <c r="C156" s="20" t="s">
        <v>444</v>
      </c>
      <c r="D156" s="100" t="s">
        <v>445</v>
      </c>
      <c r="E156" s="20" t="s">
        <v>476</v>
      </c>
      <c r="F156" s="101" t="s">
        <v>477</v>
      </c>
      <c r="G156" s="130" t="s">
        <v>478</v>
      </c>
      <c r="H156" s="80" t="s">
        <v>1230</v>
      </c>
      <c r="I156" s="22" t="s">
        <v>1203</v>
      </c>
      <c r="J156" s="22" t="s">
        <v>434</v>
      </c>
      <c r="K156" s="80" t="s">
        <v>435</v>
      </c>
      <c r="L156" s="22" t="s">
        <v>465</v>
      </c>
      <c r="M156" s="80" t="s">
        <v>466</v>
      </c>
      <c r="N156" s="21">
        <v>1</v>
      </c>
      <c r="O156" s="21" t="s">
        <v>944</v>
      </c>
      <c r="P156" s="133" t="s">
        <v>1265</v>
      </c>
      <c r="Q156" s="110" t="s">
        <v>1266</v>
      </c>
      <c r="R156" s="102" t="s">
        <v>1267</v>
      </c>
      <c r="S156" s="22" t="s">
        <v>480</v>
      </c>
      <c r="T156" s="42" t="s">
        <v>727</v>
      </c>
      <c r="U156" s="42" t="s">
        <v>754</v>
      </c>
      <c r="V156" s="81">
        <v>450</v>
      </c>
      <c r="W156" s="81">
        <v>150</v>
      </c>
      <c r="X156" s="103">
        <v>116</v>
      </c>
      <c r="Y156" s="25">
        <f>IFERROR((TABLA_AVANCE_INDICADORES[[#This Row],[AVANCE 1°. TRIM]]/TABLA_AVANCE_INDICADORES[[#This Row],[PROGR. 1° TRIM]])*100,"0")</f>
        <v>77.333333333333329</v>
      </c>
      <c r="Z156"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REGULAR</v>
      </c>
      <c r="AA156" s="104">
        <v>100</v>
      </c>
      <c r="AB156" s="105">
        <v>121</v>
      </c>
      <c r="AC156" s="27">
        <f t="shared" si="4"/>
        <v>121</v>
      </c>
      <c r="AD156" s="26" t="str">
        <f t="shared" si="5"/>
        <v>SOBREPASADO</v>
      </c>
      <c r="AE156" s="104">
        <v>100</v>
      </c>
      <c r="AF156" s="105">
        <v>0</v>
      </c>
      <c r="AG156" s="27">
        <f>IFERROR((TABLA_AVANCE_INDICADORES[[#This Row],[AVANCE 3°. TRIM]]/TABLA_AVANCE_INDICADORES[[#This Row],[PROGR. 3° TRIM]])*100,"0")</f>
        <v>0</v>
      </c>
      <c r="AH156"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56" s="104">
        <v>100</v>
      </c>
      <c r="AJ156" s="105">
        <v>0</v>
      </c>
      <c r="AK156" s="82">
        <f>IFERROR((TABLA_AVANCE_INDICADORES[[#This Row],[AVANCE 4°. TRIM]]/TABLA_AVANCE_INDICADORES[[#This Row],[PROGR. 4° TRIM]])*100,"0")</f>
        <v>0</v>
      </c>
      <c r="AL156"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56"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250</v>
      </c>
      <c r="AN156"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237</v>
      </c>
      <c r="AO156" s="27">
        <f>IFERROR((TABLA_AVANCE_INDICADORES[[#This Row],[AVANCE ACUM. TRIM.]]/TABLA_AVANCE_INDICADORES[[#This Row],[PROG. ACUM]])*100,"N/A")</f>
        <v>94.8</v>
      </c>
      <c r="AP156"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56" s="106">
        <f>TABLA_AVANCE_INDICADORES[[#This Row],[AVANCE ACUM. TRIM.]]-TABLA_AVANCE_INDICADORES[[#This Row],[PROG. ACUM]]</f>
        <v>-13</v>
      </c>
      <c r="AR156" s="32">
        <f>IFERROR((TABLA_AVANCE_INDICADORES[[#This Row],[DIFERENCIA ABSOLUTA SEMESTRAL]]/TABLA_AVANCE_INDICADORES[[#This Row],[PROG. ACUM]])*100,"N/A")</f>
        <v>-5.2</v>
      </c>
      <c r="AS156"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237</v>
      </c>
      <c r="AT156" s="27">
        <f>IFERROR((TABLA_AVANCE_INDICADORES[[#This Row],[AVANCE ACUM. ANUAL]]/TABLA_AVANCE_INDICADORES[[#This Row],[PROGRAMADO ANUAL]])*100,"N/A")</f>
        <v>52.666666666666664</v>
      </c>
      <c r="AU156"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56" s="106">
        <f>TABLA_AVANCE_INDICADORES[[#This Row],[AVANCE ACUM. ANUAL]]-TABLA_AVANCE_INDICADORES[[#This Row],[PROGRAMADO ANUAL]]</f>
        <v>-213</v>
      </c>
      <c r="AW156" s="32">
        <f>IFERROR((TABLA_AVANCE_INDICADORES[[#This Row],[DIFERENCIA ABSOLUTA ANUAL]]/TABLA_AVANCE_INDICADORES[[#This Row],[PROGRAMADO ANUAL]])*100,"N/A")</f>
        <v>-47.333333333333336</v>
      </c>
      <c r="AX156" s="132" t="s">
        <v>1268</v>
      </c>
      <c r="AY156" s="86"/>
      <c r="AZ156" s="86"/>
      <c r="BA156" s="86"/>
      <c r="BB156"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57" spans="1:54" ht="150" hidden="1" customHeight="1" x14ac:dyDescent="0.35">
      <c r="A157" s="19" t="s">
        <v>1269</v>
      </c>
      <c r="B157" s="99" t="s">
        <v>475</v>
      </c>
      <c r="C157" s="20" t="s">
        <v>444</v>
      </c>
      <c r="D157" s="100" t="s">
        <v>445</v>
      </c>
      <c r="E157" s="20" t="s">
        <v>476</v>
      </c>
      <c r="F157" s="101" t="s">
        <v>477</v>
      </c>
      <c r="G157" s="130" t="s">
        <v>478</v>
      </c>
      <c r="H157" s="80" t="s">
        <v>1230</v>
      </c>
      <c r="I157" s="22" t="s">
        <v>1203</v>
      </c>
      <c r="J157" s="22" t="s">
        <v>434</v>
      </c>
      <c r="K157" s="80" t="s">
        <v>435</v>
      </c>
      <c r="L157" s="22" t="s">
        <v>465</v>
      </c>
      <c r="M157" s="80" t="s">
        <v>466</v>
      </c>
      <c r="N157" s="21">
        <v>2</v>
      </c>
      <c r="O157" s="21" t="s">
        <v>944</v>
      </c>
      <c r="P157" s="133" t="s">
        <v>1265</v>
      </c>
      <c r="Q157" s="110" t="s">
        <v>1270</v>
      </c>
      <c r="R157" s="102" t="s">
        <v>1267</v>
      </c>
      <c r="S157" s="22" t="s">
        <v>480</v>
      </c>
      <c r="T157" s="42" t="s">
        <v>727</v>
      </c>
      <c r="U157" s="42" t="s">
        <v>754</v>
      </c>
      <c r="V157" s="81">
        <v>450</v>
      </c>
      <c r="W157" s="81">
        <v>150</v>
      </c>
      <c r="X157" s="112">
        <v>150</v>
      </c>
      <c r="Y157" s="25">
        <f>IFERROR((TABLA_AVANCE_INDICADORES[[#This Row],[AVANCE 1°. TRIM]]/TABLA_AVANCE_INDICADORES[[#This Row],[PROGR. 1° TRIM]])*100,"0")</f>
        <v>100</v>
      </c>
      <c r="Z157"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57" s="104">
        <v>100</v>
      </c>
      <c r="AB157" s="113">
        <v>100</v>
      </c>
      <c r="AC157" s="27">
        <f t="shared" si="4"/>
        <v>100</v>
      </c>
      <c r="AD157" s="26" t="str">
        <f t="shared" si="5"/>
        <v>ADECUADO</v>
      </c>
      <c r="AE157" s="104">
        <v>100</v>
      </c>
      <c r="AF157" s="113">
        <f>AE157</f>
        <v>100</v>
      </c>
      <c r="AG157" s="27">
        <f>IFERROR((TABLA_AVANCE_INDICADORES[[#This Row],[AVANCE 3°. TRIM]]/TABLA_AVANCE_INDICADORES[[#This Row],[PROGR. 3° TRIM]])*100,"0")</f>
        <v>100</v>
      </c>
      <c r="AH157"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ADECUADO</v>
      </c>
      <c r="AI157" s="104">
        <v>100</v>
      </c>
      <c r="AJ157" s="113">
        <f>AI157</f>
        <v>100</v>
      </c>
      <c r="AK157" s="82">
        <f>IFERROR((TABLA_AVANCE_INDICADORES[[#This Row],[AVANCE 4°. TRIM]]/TABLA_AVANCE_INDICADORES[[#This Row],[PROGR. 4° TRIM]])*100,"0")</f>
        <v>100</v>
      </c>
      <c r="AL157"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57"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250</v>
      </c>
      <c r="AN157"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250</v>
      </c>
      <c r="AO157" s="27">
        <f>IFERROR((TABLA_AVANCE_INDICADORES[[#This Row],[AVANCE ACUM. TRIM.]]/TABLA_AVANCE_INDICADORES[[#This Row],[PROG. ACUM]])*100,"N/A")</f>
        <v>100</v>
      </c>
      <c r="AP157"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57" s="106">
        <f>TABLA_AVANCE_INDICADORES[[#This Row],[AVANCE ACUM. TRIM.]]-TABLA_AVANCE_INDICADORES[[#This Row],[PROG. ACUM]]</f>
        <v>0</v>
      </c>
      <c r="AR157" s="32">
        <f>IFERROR((TABLA_AVANCE_INDICADORES[[#This Row],[DIFERENCIA ABSOLUTA SEMESTRAL]]/TABLA_AVANCE_INDICADORES[[#This Row],[PROG. ACUM]])*100,"N/A")</f>
        <v>0</v>
      </c>
      <c r="AS157"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250</v>
      </c>
      <c r="AT157" s="27">
        <f>IFERROR((TABLA_AVANCE_INDICADORES[[#This Row],[AVANCE ACUM. ANUAL]]/TABLA_AVANCE_INDICADORES[[#This Row],[PROGRAMADO ANUAL]])*100,"N/A")</f>
        <v>55.555555555555557</v>
      </c>
      <c r="AU157"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57" s="106">
        <f>TABLA_AVANCE_INDICADORES[[#This Row],[AVANCE ACUM. ANUAL]]-TABLA_AVANCE_INDICADORES[[#This Row],[PROGRAMADO ANUAL]]</f>
        <v>-200</v>
      </c>
      <c r="AW157" s="32">
        <f>IFERROR((TABLA_AVANCE_INDICADORES[[#This Row],[DIFERENCIA ABSOLUTA ANUAL]]/TABLA_AVANCE_INDICADORES[[#This Row],[PROGRAMADO ANUAL]])*100,"N/A")</f>
        <v>-44.444444444444443</v>
      </c>
      <c r="AX157" s="132" t="s">
        <v>1268</v>
      </c>
      <c r="AY157" s="86"/>
      <c r="AZ157" s="86"/>
      <c r="BA157" s="86"/>
      <c r="BB157"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58" spans="1:54" ht="150" hidden="1" customHeight="1" x14ac:dyDescent="0.35">
      <c r="A158" s="19" t="s">
        <v>1271</v>
      </c>
      <c r="B158" s="99" t="s">
        <v>445</v>
      </c>
      <c r="C158" s="20" t="s">
        <v>444</v>
      </c>
      <c r="D158" s="100" t="s">
        <v>445</v>
      </c>
      <c r="E158" s="20" t="s">
        <v>400</v>
      </c>
      <c r="F158" s="101" t="s">
        <v>401</v>
      </c>
      <c r="G158" s="130" t="s">
        <v>596</v>
      </c>
      <c r="H158" s="80" t="s">
        <v>1272</v>
      </c>
      <c r="I158" s="22" t="s">
        <v>1203</v>
      </c>
      <c r="J158" s="22" t="s">
        <v>176</v>
      </c>
      <c r="K158" s="80" t="s">
        <v>177</v>
      </c>
      <c r="L158" s="22" t="s">
        <v>528</v>
      </c>
      <c r="M158" s="80" t="s">
        <v>529</v>
      </c>
      <c r="N158" s="21">
        <v>1</v>
      </c>
      <c r="O158" s="21" t="s">
        <v>723</v>
      </c>
      <c r="P158" s="110" t="s">
        <v>1273</v>
      </c>
      <c r="Q158" s="110" t="s">
        <v>1274</v>
      </c>
      <c r="R158" s="102" t="s">
        <v>1275</v>
      </c>
      <c r="S158" s="22" t="s">
        <v>84</v>
      </c>
      <c r="T158" s="42" t="s">
        <v>727</v>
      </c>
      <c r="U158" s="42" t="s">
        <v>738</v>
      </c>
      <c r="V158" s="81">
        <v>1</v>
      </c>
      <c r="W158" s="81">
        <v>0</v>
      </c>
      <c r="X158" s="103">
        <v>0</v>
      </c>
      <c r="Y158" s="25" t="str">
        <f>IFERROR((TABLA_AVANCE_INDICADORES[[#This Row],[AVANCE 1°. TRIM]]/TABLA_AVANCE_INDICADORES[[#This Row],[PROGR. 1° TRIM]])*100,"0")</f>
        <v>0</v>
      </c>
      <c r="Z158"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58" s="104">
        <v>0</v>
      </c>
      <c r="AB158" s="105">
        <v>0</v>
      </c>
      <c r="AC158" s="27" t="str">
        <f t="shared" si="4"/>
        <v>0</v>
      </c>
      <c r="AD158" s="26" t="str">
        <f t="shared" si="5"/>
        <v>NO PROG.</v>
      </c>
      <c r="AE158" s="104">
        <v>0</v>
      </c>
      <c r="AF158" s="105">
        <v>0</v>
      </c>
      <c r="AG158" s="27" t="str">
        <f>IFERROR((TABLA_AVANCE_INDICADORES[[#This Row],[AVANCE 3°. TRIM]]/TABLA_AVANCE_INDICADORES[[#This Row],[PROGR. 3° TRIM]])*100,"0")</f>
        <v>0</v>
      </c>
      <c r="AH158"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58" s="104">
        <v>1</v>
      </c>
      <c r="AJ158" s="105">
        <v>0</v>
      </c>
      <c r="AK158" s="82">
        <f>IFERROR((TABLA_AVANCE_INDICADORES[[#This Row],[AVANCE 4°. TRIM]]/TABLA_AVANCE_INDICADORES[[#This Row],[PROGR. 4° TRIM]])*100,"0")</f>
        <v>0</v>
      </c>
      <c r="AL158"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58"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58"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58" s="27" t="str">
        <f>IFERROR((TABLA_AVANCE_INDICADORES[[#This Row],[AVANCE ACUM. TRIM.]]/TABLA_AVANCE_INDICADORES[[#This Row],[PROG. ACUM]])*100,"N/A")</f>
        <v>N/A</v>
      </c>
      <c r="AP158"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58" s="106">
        <f>TABLA_AVANCE_INDICADORES[[#This Row],[AVANCE ACUM. TRIM.]]-TABLA_AVANCE_INDICADORES[[#This Row],[PROG. ACUM]]</f>
        <v>0</v>
      </c>
      <c r="AR158" s="32" t="str">
        <f>IFERROR((TABLA_AVANCE_INDICADORES[[#This Row],[DIFERENCIA ABSOLUTA SEMESTRAL]]/TABLA_AVANCE_INDICADORES[[#This Row],[PROG. ACUM]])*100,"N/A")</f>
        <v>N/A</v>
      </c>
      <c r="AS158"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58" s="27">
        <f>IFERROR((TABLA_AVANCE_INDICADORES[[#This Row],[AVANCE ACUM. ANUAL]]/TABLA_AVANCE_INDICADORES[[#This Row],[PROGRAMADO ANUAL]])*100,"N/A")</f>
        <v>0</v>
      </c>
      <c r="AU158"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58" s="106">
        <f>TABLA_AVANCE_INDICADORES[[#This Row],[AVANCE ACUM. ANUAL]]-TABLA_AVANCE_INDICADORES[[#This Row],[PROGRAMADO ANUAL]]</f>
        <v>-1</v>
      </c>
      <c r="AW158" s="32">
        <f>IFERROR((TABLA_AVANCE_INDICADORES[[#This Row],[DIFERENCIA ABSOLUTA ANUAL]]/TABLA_AVANCE_INDICADORES[[#This Row],[PROGRAMADO ANUAL]])*100,"N/A")</f>
        <v>-100</v>
      </c>
      <c r="AX158" s="132"/>
      <c r="AY158" s="86"/>
      <c r="AZ158" s="86"/>
      <c r="BA158" s="86"/>
      <c r="BB158"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59" spans="1:54" ht="150" hidden="1" customHeight="1" x14ac:dyDescent="0.35">
      <c r="A159" s="19" t="s">
        <v>1276</v>
      </c>
      <c r="B159" s="99" t="s">
        <v>445</v>
      </c>
      <c r="C159" s="20" t="s">
        <v>444</v>
      </c>
      <c r="D159" s="100" t="s">
        <v>445</v>
      </c>
      <c r="E159" s="20" t="s">
        <v>400</v>
      </c>
      <c r="F159" s="101" t="s">
        <v>401</v>
      </c>
      <c r="G159" s="130" t="s">
        <v>596</v>
      </c>
      <c r="H159" s="80" t="s">
        <v>1272</v>
      </c>
      <c r="I159" s="22" t="s">
        <v>1203</v>
      </c>
      <c r="J159" s="22" t="s">
        <v>176</v>
      </c>
      <c r="K159" s="80" t="s">
        <v>177</v>
      </c>
      <c r="L159" s="22" t="s">
        <v>528</v>
      </c>
      <c r="M159" s="80" t="s">
        <v>529</v>
      </c>
      <c r="N159" s="21">
        <v>2</v>
      </c>
      <c r="O159" s="21" t="s">
        <v>723</v>
      </c>
      <c r="P159" s="110" t="s">
        <v>1273</v>
      </c>
      <c r="Q159" s="110" t="s">
        <v>1277</v>
      </c>
      <c r="R159" s="102" t="s">
        <v>1275</v>
      </c>
      <c r="S159" s="22" t="s">
        <v>84</v>
      </c>
      <c r="T159" s="42" t="s">
        <v>727</v>
      </c>
      <c r="U159" s="42" t="s">
        <v>738</v>
      </c>
      <c r="V159" s="81">
        <v>3</v>
      </c>
      <c r="W159" s="81">
        <v>0</v>
      </c>
      <c r="X159" s="103">
        <v>0</v>
      </c>
      <c r="Y159" s="25" t="str">
        <f>IFERROR((TABLA_AVANCE_INDICADORES[[#This Row],[AVANCE 1°. TRIM]]/TABLA_AVANCE_INDICADORES[[#This Row],[PROGR. 1° TRIM]])*100,"0")</f>
        <v>0</v>
      </c>
      <c r="Z159"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59" s="104">
        <v>0</v>
      </c>
      <c r="AB159" s="105">
        <v>0</v>
      </c>
      <c r="AC159" s="27" t="str">
        <f t="shared" si="4"/>
        <v>0</v>
      </c>
      <c r="AD159" s="26" t="str">
        <f t="shared" si="5"/>
        <v>NO PROG.</v>
      </c>
      <c r="AE159" s="104">
        <v>0</v>
      </c>
      <c r="AF159" s="105">
        <v>0</v>
      </c>
      <c r="AG159" s="27" t="str">
        <f>IFERROR((TABLA_AVANCE_INDICADORES[[#This Row],[AVANCE 3°. TRIM]]/TABLA_AVANCE_INDICADORES[[#This Row],[PROGR. 3° TRIM]])*100,"0")</f>
        <v>0</v>
      </c>
      <c r="AH159"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59" s="104">
        <v>3</v>
      </c>
      <c r="AJ159" s="111">
        <v>3</v>
      </c>
      <c r="AK159" s="82">
        <f>IFERROR((TABLA_AVANCE_INDICADORES[[#This Row],[AVANCE 4°. TRIM]]/TABLA_AVANCE_INDICADORES[[#This Row],[PROGR. 4° TRIM]])*100,"0")</f>
        <v>100</v>
      </c>
      <c r="AL159"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59"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59"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59" s="27" t="str">
        <f>IFERROR((TABLA_AVANCE_INDICADORES[[#This Row],[AVANCE ACUM. TRIM.]]/TABLA_AVANCE_INDICADORES[[#This Row],[PROG. ACUM]])*100,"N/A")</f>
        <v>N/A</v>
      </c>
      <c r="AP159"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59" s="106">
        <f>TABLA_AVANCE_INDICADORES[[#This Row],[AVANCE ACUM. TRIM.]]-TABLA_AVANCE_INDICADORES[[#This Row],[PROG. ACUM]]</f>
        <v>0</v>
      </c>
      <c r="AR159" s="32" t="str">
        <f>IFERROR((TABLA_AVANCE_INDICADORES[[#This Row],[DIFERENCIA ABSOLUTA SEMESTRAL]]/TABLA_AVANCE_INDICADORES[[#This Row],[PROG. ACUM]])*100,"N/A")</f>
        <v>N/A</v>
      </c>
      <c r="AS159"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59" s="27">
        <f>IFERROR((TABLA_AVANCE_INDICADORES[[#This Row],[AVANCE ACUM. ANUAL]]/TABLA_AVANCE_INDICADORES[[#This Row],[PROGRAMADO ANUAL]])*100,"N/A")</f>
        <v>0</v>
      </c>
      <c r="AU159"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59" s="106">
        <f>TABLA_AVANCE_INDICADORES[[#This Row],[AVANCE ACUM. ANUAL]]-TABLA_AVANCE_INDICADORES[[#This Row],[PROGRAMADO ANUAL]]</f>
        <v>-3</v>
      </c>
      <c r="AW159" s="32">
        <f>IFERROR((TABLA_AVANCE_INDICADORES[[#This Row],[DIFERENCIA ABSOLUTA ANUAL]]/TABLA_AVANCE_INDICADORES[[#This Row],[PROGRAMADO ANUAL]])*100,"N/A")</f>
        <v>-100</v>
      </c>
      <c r="AX159" s="132"/>
      <c r="AY159" s="86"/>
      <c r="AZ159" s="86"/>
      <c r="BA159" s="86"/>
      <c r="BB159"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60" spans="1:54" ht="187.5" hidden="1" customHeight="1" x14ac:dyDescent="0.35">
      <c r="A160" s="19" t="s">
        <v>1278</v>
      </c>
      <c r="B160" s="99" t="s">
        <v>555</v>
      </c>
      <c r="C160" s="20" t="s">
        <v>444</v>
      </c>
      <c r="D160" s="100" t="s">
        <v>445</v>
      </c>
      <c r="E160" s="20" t="s">
        <v>556</v>
      </c>
      <c r="F160" s="101" t="s">
        <v>557</v>
      </c>
      <c r="G160" s="130" t="s">
        <v>558</v>
      </c>
      <c r="H160" s="80" t="s">
        <v>1279</v>
      </c>
      <c r="I160" s="22" t="s">
        <v>1203</v>
      </c>
      <c r="J160" s="22" t="s">
        <v>176</v>
      </c>
      <c r="K160" s="80" t="s">
        <v>177</v>
      </c>
      <c r="L160" s="22" t="s">
        <v>517</v>
      </c>
      <c r="M160" s="80" t="s">
        <v>518</v>
      </c>
      <c r="N160" s="21">
        <v>1</v>
      </c>
      <c r="O160" s="21" t="s">
        <v>733</v>
      </c>
      <c r="P160" s="110" t="s">
        <v>1280</v>
      </c>
      <c r="Q160" s="110" t="s">
        <v>1281</v>
      </c>
      <c r="R160" s="102" t="s">
        <v>1282</v>
      </c>
      <c r="S160" s="22" t="s">
        <v>1283</v>
      </c>
      <c r="T160" s="42" t="s">
        <v>727</v>
      </c>
      <c r="U160" s="42" t="s">
        <v>738</v>
      </c>
      <c r="V160" s="81">
        <v>1100</v>
      </c>
      <c r="W160" s="81">
        <v>0</v>
      </c>
      <c r="X160" s="103">
        <v>0</v>
      </c>
      <c r="Y160" s="25" t="str">
        <f>IFERROR((TABLA_AVANCE_INDICADORES[[#This Row],[AVANCE 1°. TRIM]]/TABLA_AVANCE_INDICADORES[[#This Row],[PROGR. 1° TRIM]])*100,"0")</f>
        <v>0</v>
      </c>
      <c r="Z160"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60" s="104">
        <v>0</v>
      </c>
      <c r="AB160" s="105">
        <v>0</v>
      </c>
      <c r="AC160" s="27" t="str">
        <f t="shared" si="4"/>
        <v>0</v>
      </c>
      <c r="AD160" s="26" t="str">
        <f t="shared" si="5"/>
        <v>NO PROG.</v>
      </c>
      <c r="AE160" s="104">
        <v>0</v>
      </c>
      <c r="AF160" s="105">
        <v>0</v>
      </c>
      <c r="AG160" s="27" t="str">
        <f>IFERROR((TABLA_AVANCE_INDICADORES[[#This Row],[AVANCE 3°. TRIM]]/TABLA_AVANCE_INDICADORES[[#This Row],[PROGR. 3° TRIM]])*100,"0")</f>
        <v>0</v>
      </c>
      <c r="AH160"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60" s="104">
        <v>1100</v>
      </c>
      <c r="AJ160" s="105">
        <v>0</v>
      </c>
      <c r="AK160" s="82">
        <f>IFERROR((TABLA_AVANCE_INDICADORES[[#This Row],[AVANCE 4°. TRIM]]/TABLA_AVANCE_INDICADORES[[#This Row],[PROGR. 4° TRIM]])*100,"0")</f>
        <v>0</v>
      </c>
      <c r="AL160"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60"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60"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60" s="27" t="str">
        <f>IFERROR((TABLA_AVANCE_INDICADORES[[#This Row],[AVANCE ACUM. TRIM.]]/TABLA_AVANCE_INDICADORES[[#This Row],[PROG. ACUM]])*100,"N/A")</f>
        <v>N/A</v>
      </c>
      <c r="AP160"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60" s="106">
        <f>TABLA_AVANCE_INDICADORES[[#This Row],[AVANCE ACUM. TRIM.]]-TABLA_AVANCE_INDICADORES[[#This Row],[PROG. ACUM]]</f>
        <v>0</v>
      </c>
      <c r="AR160" s="32" t="str">
        <f>IFERROR((TABLA_AVANCE_INDICADORES[[#This Row],[DIFERENCIA ABSOLUTA SEMESTRAL]]/TABLA_AVANCE_INDICADORES[[#This Row],[PROG. ACUM]])*100,"N/A")</f>
        <v>N/A</v>
      </c>
      <c r="AS160"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60" s="27">
        <f>IFERROR((TABLA_AVANCE_INDICADORES[[#This Row],[AVANCE ACUM. ANUAL]]/TABLA_AVANCE_INDICADORES[[#This Row],[PROGRAMADO ANUAL]])*100,"N/A")</f>
        <v>0</v>
      </c>
      <c r="AU160"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60" s="106">
        <f>TABLA_AVANCE_INDICADORES[[#This Row],[AVANCE ACUM. ANUAL]]-TABLA_AVANCE_INDICADORES[[#This Row],[PROGRAMADO ANUAL]]</f>
        <v>-1100</v>
      </c>
      <c r="AW160" s="32">
        <f>IFERROR((TABLA_AVANCE_INDICADORES[[#This Row],[DIFERENCIA ABSOLUTA ANUAL]]/TABLA_AVANCE_INDICADORES[[#This Row],[PROGRAMADO ANUAL]])*100,"N/A")</f>
        <v>-100</v>
      </c>
      <c r="AX160" s="132"/>
      <c r="AY160" s="86"/>
      <c r="AZ160" s="86"/>
      <c r="BA160" s="86"/>
      <c r="BB160"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61" spans="1:54" ht="187.5" hidden="1" customHeight="1" x14ac:dyDescent="0.35">
      <c r="A161" s="19" t="s">
        <v>1284</v>
      </c>
      <c r="B161" s="99" t="s">
        <v>555</v>
      </c>
      <c r="C161" s="20" t="s">
        <v>444</v>
      </c>
      <c r="D161" s="100" t="s">
        <v>445</v>
      </c>
      <c r="E161" s="20" t="s">
        <v>556</v>
      </c>
      <c r="F161" s="101" t="s">
        <v>557</v>
      </c>
      <c r="G161" s="130" t="s">
        <v>558</v>
      </c>
      <c r="H161" s="80" t="s">
        <v>1279</v>
      </c>
      <c r="I161" s="22" t="s">
        <v>1203</v>
      </c>
      <c r="J161" s="22" t="s">
        <v>176</v>
      </c>
      <c r="K161" s="80" t="s">
        <v>177</v>
      </c>
      <c r="L161" s="22" t="s">
        <v>517</v>
      </c>
      <c r="M161" s="80" t="s">
        <v>518</v>
      </c>
      <c r="N161" s="21">
        <v>2</v>
      </c>
      <c r="O161" s="21" t="s">
        <v>733</v>
      </c>
      <c r="P161" s="110" t="s">
        <v>1280</v>
      </c>
      <c r="Q161" s="110" t="s">
        <v>1285</v>
      </c>
      <c r="R161" s="102" t="s">
        <v>1282</v>
      </c>
      <c r="S161" s="22" t="s">
        <v>1283</v>
      </c>
      <c r="T161" s="42" t="s">
        <v>727</v>
      </c>
      <c r="U161" s="42" t="s">
        <v>738</v>
      </c>
      <c r="V161" s="81">
        <v>2</v>
      </c>
      <c r="W161" s="81">
        <v>0</v>
      </c>
      <c r="X161" s="103">
        <v>0</v>
      </c>
      <c r="Y161" s="25" t="str">
        <f>IFERROR((TABLA_AVANCE_INDICADORES[[#This Row],[AVANCE 1°. TRIM]]/TABLA_AVANCE_INDICADORES[[#This Row],[PROGR. 1° TRIM]])*100,"0")</f>
        <v>0</v>
      </c>
      <c r="Z161"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61" s="104">
        <v>0</v>
      </c>
      <c r="AB161" s="105">
        <v>0</v>
      </c>
      <c r="AC161" s="27" t="str">
        <f t="shared" si="4"/>
        <v>0</v>
      </c>
      <c r="AD161" s="26" t="str">
        <f t="shared" si="5"/>
        <v>NO PROG.</v>
      </c>
      <c r="AE161" s="104">
        <v>0</v>
      </c>
      <c r="AF161" s="105">
        <v>0</v>
      </c>
      <c r="AG161" s="27" t="str">
        <f>IFERROR((TABLA_AVANCE_INDICADORES[[#This Row],[AVANCE 3°. TRIM]]/TABLA_AVANCE_INDICADORES[[#This Row],[PROGR. 3° TRIM]])*100,"0")</f>
        <v>0</v>
      </c>
      <c r="AH161"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61" s="104">
        <v>2</v>
      </c>
      <c r="AJ161" s="111">
        <v>2</v>
      </c>
      <c r="AK161" s="82">
        <f>IFERROR((TABLA_AVANCE_INDICADORES[[#This Row],[AVANCE 4°. TRIM]]/TABLA_AVANCE_INDICADORES[[#This Row],[PROGR. 4° TRIM]])*100,"0")</f>
        <v>100</v>
      </c>
      <c r="AL161"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61"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61"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61" s="27" t="str">
        <f>IFERROR((TABLA_AVANCE_INDICADORES[[#This Row],[AVANCE ACUM. TRIM.]]/TABLA_AVANCE_INDICADORES[[#This Row],[PROG. ACUM]])*100,"N/A")</f>
        <v>N/A</v>
      </c>
      <c r="AP161"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61" s="106">
        <f>TABLA_AVANCE_INDICADORES[[#This Row],[AVANCE ACUM. TRIM.]]-TABLA_AVANCE_INDICADORES[[#This Row],[PROG. ACUM]]</f>
        <v>0</v>
      </c>
      <c r="AR161" s="32" t="str">
        <f>IFERROR((TABLA_AVANCE_INDICADORES[[#This Row],[DIFERENCIA ABSOLUTA SEMESTRAL]]/TABLA_AVANCE_INDICADORES[[#This Row],[PROG. ACUM]])*100,"N/A")</f>
        <v>N/A</v>
      </c>
      <c r="AS161"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61" s="27">
        <f>IFERROR((TABLA_AVANCE_INDICADORES[[#This Row],[AVANCE ACUM. ANUAL]]/TABLA_AVANCE_INDICADORES[[#This Row],[PROGRAMADO ANUAL]])*100,"N/A")</f>
        <v>0</v>
      </c>
      <c r="AU161"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61" s="106">
        <f>TABLA_AVANCE_INDICADORES[[#This Row],[AVANCE ACUM. ANUAL]]-TABLA_AVANCE_INDICADORES[[#This Row],[PROGRAMADO ANUAL]]</f>
        <v>-2</v>
      </c>
      <c r="AW161" s="32">
        <f>IFERROR((TABLA_AVANCE_INDICADORES[[#This Row],[DIFERENCIA ABSOLUTA ANUAL]]/TABLA_AVANCE_INDICADORES[[#This Row],[PROGRAMADO ANUAL]])*100,"N/A")</f>
        <v>-100</v>
      </c>
      <c r="AX161" s="132"/>
      <c r="AY161" s="86"/>
      <c r="AZ161" s="86"/>
      <c r="BA161" s="86"/>
      <c r="BB161"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62" spans="1:54" ht="150" hidden="1" customHeight="1" x14ac:dyDescent="0.35">
      <c r="A162" s="19" t="s">
        <v>1286</v>
      </c>
      <c r="B162" s="99" t="s">
        <v>574</v>
      </c>
      <c r="C162" s="20" t="s">
        <v>444</v>
      </c>
      <c r="D162" s="100" t="s">
        <v>445</v>
      </c>
      <c r="E162" s="20" t="s">
        <v>575</v>
      </c>
      <c r="F162" s="101" t="s">
        <v>576</v>
      </c>
      <c r="G162" s="130" t="s">
        <v>577</v>
      </c>
      <c r="H162" s="80" t="s">
        <v>1287</v>
      </c>
      <c r="I162" s="22" t="s">
        <v>1203</v>
      </c>
      <c r="J162" s="22" t="s">
        <v>176</v>
      </c>
      <c r="K162" s="80" t="s">
        <v>177</v>
      </c>
      <c r="L162" s="22" t="s">
        <v>567</v>
      </c>
      <c r="M162" s="80" t="s">
        <v>568</v>
      </c>
      <c r="N162" s="21">
        <v>1</v>
      </c>
      <c r="O162" s="21" t="s">
        <v>742</v>
      </c>
      <c r="P162" s="110" t="s">
        <v>1288</v>
      </c>
      <c r="Q162" s="110" t="s">
        <v>1289</v>
      </c>
      <c r="R162" s="102" t="s">
        <v>1290</v>
      </c>
      <c r="S162" s="22" t="s">
        <v>1291</v>
      </c>
      <c r="T162" s="42" t="s">
        <v>727</v>
      </c>
      <c r="U162" s="42" t="s">
        <v>746</v>
      </c>
      <c r="V162" s="81">
        <v>1</v>
      </c>
      <c r="W162" s="81">
        <v>0</v>
      </c>
      <c r="X162" s="103">
        <v>0</v>
      </c>
      <c r="Y162" s="25" t="str">
        <f>IFERROR((TABLA_AVANCE_INDICADORES[[#This Row],[AVANCE 1°. TRIM]]/TABLA_AVANCE_INDICADORES[[#This Row],[PROGR. 1° TRIM]])*100,"0")</f>
        <v>0</v>
      </c>
      <c r="Z162"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62" s="104">
        <v>0</v>
      </c>
      <c r="AB162" s="105">
        <v>0</v>
      </c>
      <c r="AC162" s="27" t="str">
        <f t="shared" si="4"/>
        <v>0</v>
      </c>
      <c r="AD162" s="26" t="str">
        <f t="shared" si="5"/>
        <v>NO PROG.</v>
      </c>
      <c r="AE162" s="104">
        <v>0</v>
      </c>
      <c r="AF162" s="105">
        <v>0</v>
      </c>
      <c r="AG162" s="27" t="str">
        <f>IFERROR((TABLA_AVANCE_INDICADORES[[#This Row],[AVANCE 3°. TRIM]]/TABLA_AVANCE_INDICADORES[[#This Row],[PROGR. 3° TRIM]])*100,"0")</f>
        <v>0</v>
      </c>
      <c r="AH162"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62" s="104">
        <v>1</v>
      </c>
      <c r="AJ162" s="105">
        <v>0</v>
      </c>
      <c r="AK162" s="82">
        <f>IFERROR((TABLA_AVANCE_INDICADORES[[#This Row],[AVANCE 4°. TRIM]]/TABLA_AVANCE_INDICADORES[[#This Row],[PROGR. 4° TRIM]])*100,"0")</f>
        <v>0</v>
      </c>
      <c r="AL162"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62"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62"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62" s="27" t="str">
        <f>IFERROR((TABLA_AVANCE_INDICADORES[[#This Row],[AVANCE ACUM. TRIM.]]/TABLA_AVANCE_INDICADORES[[#This Row],[PROG. ACUM]])*100,"N/A")</f>
        <v>N/A</v>
      </c>
      <c r="AP162"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62" s="106">
        <f>TABLA_AVANCE_INDICADORES[[#This Row],[AVANCE ACUM. TRIM.]]-TABLA_AVANCE_INDICADORES[[#This Row],[PROG. ACUM]]</f>
        <v>0</v>
      </c>
      <c r="AR162" s="32" t="str">
        <f>IFERROR((TABLA_AVANCE_INDICADORES[[#This Row],[DIFERENCIA ABSOLUTA SEMESTRAL]]/TABLA_AVANCE_INDICADORES[[#This Row],[PROG. ACUM]])*100,"N/A")</f>
        <v>N/A</v>
      </c>
      <c r="AS162"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62" s="27">
        <f>IFERROR((TABLA_AVANCE_INDICADORES[[#This Row],[AVANCE ACUM. ANUAL]]/TABLA_AVANCE_INDICADORES[[#This Row],[PROGRAMADO ANUAL]])*100,"N/A")</f>
        <v>0</v>
      </c>
      <c r="AU162"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62" s="106">
        <f>TABLA_AVANCE_INDICADORES[[#This Row],[AVANCE ACUM. ANUAL]]-TABLA_AVANCE_INDICADORES[[#This Row],[PROGRAMADO ANUAL]]</f>
        <v>-1</v>
      </c>
      <c r="AW162" s="32">
        <f>IFERROR((TABLA_AVANCE_INDICADORES[[#This Row],[DIFERENCIA ABSOLUTA ANUAL]]/TABLA_AVANCE_INDICADORES[[#This Row],[PROGRAMADO ANUAL]])*100,"N/A")</f>
        <v>-100</v>
      </c>
      <c r="AX162" s="132"/>
      <c r="AY162" s="86"/>
      <c r="AZ162" s="86"/>
      <c r="BA162" s="86"/>
      <c r="BB162"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63" spans="1:54" ht="150" hidden="1" customHeight="1" x14ac:dyDescent="0.35">
      <c r="A163" s="19" t="s">
        <v>1292</v>
      </c>
      <c r="B163" s="99" t="s">
        <v>574</v>
      </c>
      <c r="C163" s="20" t="s">
        <v>444</v>
      </c>
      <c r="D163" s="100" t="s">
        <v>445</v>
      </c>
      <c r="E163" s="20" t="s">
        <v>575</v>
      </c>
      <c r="F163" s="101" t="s">
        <v>576</v>
      </c>
      <c r="G163" s="130" t="s">
        <v>577</v>
      </c>
      <c r="H163" s="80" t="s">
        <v>1287</v>
      </c>
      <c r="I163" s="22" t="s">
        <v>1203</v>
      </c>
      <c r="J163" s="22" t="s">
        <v>176</v>
      </c>
      <c r="K163" s="80" t="s">
        <v>177</v>
      </c>
      <c r="L163" s="22" t="s">
        <v>567</v>
      </c>
      <c r="M163" s="80" t="s">
        <v>568</v>
      </c>
      <c r="N163" s="21">
        <v>2</v>
      </c>
      <c r="O163" s="21" t="s">
        <v>742</v>
      </c>
      <c r="P163" s="110" t="s">
        <v>1288</v>
      </c>
      <c r="Q163" s="110" t="s">
        <v>1293</v>
      </c>
      <c r="R163" s="102" t="s">
        <v>1290</v>
      </c>
      <c r="S163" s="22" t="s">
        <v>305</v>
      </c>
      <c r="T163" s="42" t="s">
        <v>727</v>
      </c>
      <c r="U163" s="42" t="s">
        <v>746</v>
      </c>
      <c r="V163" s="81">
        <v>1</v>
      </c>
      <c r="W163" s="81">
        <v>0</v>
      </c>
      <c r="X163" s="112">
        <v>0</v>
      </c>
      <c r="Y163" s="25" t="str">
        <f>IFERROR((TABLA_AVANCE_INDICADORES[[#This Row],[AVANCE 1°. TRIM]]/TABLA_AVANCE_INDICADORES[[#This Row],[PROGR. 1° TRIM]])*100,"0")</f>
        <v>0</v>
      </c>
      <c r="Z163"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63" s="104">
        <v>0</v>
      </c>
      <c r="AB163" s="113">
        <v>0</v>
      </c>
      <c r="AC163" s="27" t="str">
        <f t="shared" si="4"/>
        <v>0</v>
      </c>
      <c r="AD163" s="26" t="str">
        <f t="shared" si="5"/>
        <v>NO PROG.</v>
      </c>
      <c r="AE163" s="104">
        <v>0</v>
      </c>
      <c r="AF163" s="113">
        <f>AE163</f>
        <v>0</v>
      </c>
      <c r="AG163" s="27" t="str">
        <f>IFERROR((TABLA_AVANCE_INDICADORES[[#This Row],[AVANCE 3°. TRIM]]/TABLA_AVANCE_INDICADORES[[#This Row],[PROGR. 3° TRIM]])*100,"0")</f>
        <v>0</v>
      </c>
      <c r="AH163"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63" s="104">
        <v>1</v>
      </c>
      <c r="AJ163" s="113">
        <f>AI163</f>
        <v>1</v>
      </c>
      <c r="AK163" s="82">
        <f>IFERROR((TABLA_AVANCE_INDICADORES[[#This Row],[AVANCE 4°. TRIM]]/TABLA_AVANCE_INDICADORES[[#This Row],[PROGR. 4° TRIM]])*100,"0")</f>
        <v>100</v>
      </c>
      <c r="AL163"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63"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63"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63" s="27" t="str">
        <f>IFERROR((TABLA_AVANCE_INDICADORES[[#This Row],[AVANCE ACUM. TRIM.]]/TABLA_AVANCE_INDICADORES[[#This Row],[PROG. ACUM]])*100,"N/A")</f>
        <v>N/A</v>
      </c>
      <c r="AP163"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63" s="106">
        <f>TABLA_AVANCE_INDICADORES[[#This Row],[AVANCE ACUM. TRIM.]]-TABLA_AVANCE_INDICADORES[[#This Row],[PROG. ACUM]]</f>
        <v>0</v>
      </c>
      <c r="AR163" s="32" t="str">
        <f>IFERROR((TABLA_AVANCE_INDICADORES[[#This Row],[DIFERENCIA ABSOLUTA SEMESTRAL]]/TABLA_AVANCE_INDICADORES[[#This Row],[PROG. ACUM]])*100,"N/A")</f>
        <v>N/A</v>
      </c>
      <c r="AS163"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63" s="27">
        <f>IFERROR((TABLA_AVANCE_INDICADORES[[#This Row],[AVANCE ACUM. ANUAL]]/TABLA_AVANCE_INDICADORES[[#This Row],[PROGRAMADO ANUAL]])*100,"N/A")</f>
        <v>0</v>
      </c>
      <c r="AU163"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63" s="106">
        <f>TABLA_AVANCE_INDICADORES[[#This Row],[AVANCE ACUM. ANUAL]]-TABLA_AVANCE_INDICADORES[[#This Row],[PROGRAMADO ANUAL]]</f>
        <v>-1</v>
      </c>
      <c r="AW163" s="32">
        <f>IFERROR((TABLA_AVANCE_INDICADORES[[#This Row],[DIFERENCIA ABSOLUTA ANUAL]]/TABLA_AVANCE_INDICADORES[[#This Row],[PROGRAMADO ANUAL]])*100,"N/A")</f>
        <v>-100</v>
      </c>
      <c r="AX163" s="132"/>
      <c r="AY163" s="86"/>
      <c r="AZ163" s="86"/>
      <c r="BA163" s="86"/>
      <c r="BB163"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64" spans="1:54" ht="150" hidden="1" customHeight="1" x14ac:dyDescent="0.35">
      <c r="A164" s="19" t="s">
        <v>1294</v>
      </c>
      <c r="B164" s="99" t="s">
        <v>515</v>
      </c>
      <c r="C164" s="20" t="s">
        <v>444</v>
      </c>
      <c r="D164" s="100" t="s">
        <v>445</v>
      </c>
      <c r="E164" s="20" t="s">
        <v>400</v>
      </c>
      <c r="F164" s="101" t="s">
        <v>401</v>
      </c>
      <c r="G164" s="130" t="s">
        <v>516</v>
      </c>
      <c r="H164" s="80" t="s">
        <v>1272</v>
      </c>
      <c r="I164" s="22" t="s">
        <v>1203</v>
      </c>
      <c r="J164" s="22" t="s">
        <v>176</v>
      </c>
      <c r="K164" s="80" t="s">
        <v>177</v>
      </c>
      <c r="L164" s="22" t="s">
        <v>517</v>
      </c>
      <c r="M164" s="80" t="s">
        <v>518</v>
      </c>
      <c r="N164" s="21">
        <v>1</v>
      </c>
      <c r="O164" s="21" t="s">
        <v>785</v>
      </c>
      <c r="P164" s="110" t="s">
        <v>1295</v>
      </c>
      <c r="Q164" s="110" t="s">
        <v>1296</v>
      </c>
      <c r="R164" s="102" t="s">
        <v>1297</v>
      </c>
      <c r="S164" s="22" t="s">
        <v>486</v>
      </c>
      <c r="T164" s="42" t="s">
        <v>727</v>
      </c>
      <c r="U164" s="42" t="s">
        <v>746</v>
      </c>
      <c r="V164" s="81">
        <v>52912215.799999997</v>
      </c>
      <c r="W164" s="81">
        <v>0</v>
      </c>
      <c r="X164" s="103">
        <v>0</v>
      </c>
      <c r="Y164" s="25" t="str">
        <f>IFERROR((TABLA_AVANCE_INDICADORES[[#This Row],[AVANCE 1°. TRIM]]/TABLA_AVANCE_INDICADORES[[#This Row],[PROGR. 1° TRIM]])*100,"0")</f>
        <v>0</v>
      </c>
      <c r="Z164"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64" s="104">
        <v>26165381.440000001</v>
      </c>
      <c r="AB164" s="105">
        <v>24275086.66</v>
      </c>
      <c r="AC164" s="27">
        <f t="shared" si="4"/>
        <v>92.775588674926652</v>
      </c>
      <c r="AD164" s="26" t="str">
        <f t="shared" si="5"/>
        <v>ADECUADO</v>
      </c>
      <c r="AE164" s="104">
        <v>0</v>
      </c>
      <c r="AF164" s="105">
        <v>0</v>
      </c>
      <c r="AG164" s="27" t="str">
        <f>IFERROR((TABLA_AVANCE_INDICADORES[[#This Row],[AVANCE 3°. TRIM]]/TABLA_AVANCE_INDICADORES[[#This Row],[PROGR. 3° TRIM]])*100,"0")</f>
        <v>0</v>
      </c>
      <c r="AH164"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64" s="104">
        <v>26746834.359999999</v>
      </c>
      <c r="AJ164" s="105">
        <v>0</v>
      </c>
      <c r="AK164" s="82">
        <f>IFERROR((TABLA_AVANCE_INDICADORES[[#This Row],[AVANCE 4°. TRIM]]/TABLA_AVANCE_INDICADORES[[#This Row],[PROGR. 4° TRIM]])*100,"0")</f>
        <v>0</v>
      </c>
      <c r="AL164"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64"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26165381.440000001</v>
      </c>
      <c r="AN164"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24275086.66</v>
      </c>
      <c r="AO164" s="27">
        <f>IFERROR((TABLA_AVANCE_INDICADORES[[#This Row],[AVANCE ACUM. TRIM.]]/TABLA_AVANCE_INDICADORES[[#This Row],[PROG. ACUM]])*100,"N/A")</f>
        <v>92.775588674926652</v>
      </c>
      <c r="AP164"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64" s="106">
        <f>TABLA_AVANCE_INDICADORES[[#This Row],[AVANCE ACUM. TRIM.]]-TABLA_AVANCE_INDICADORES[[#This Row],[PROG. ACUM]]</f>
        <v>-1890294.7800000012</v>
      </c>
      <c r="AR164" s="32">
        <f>IFERROR((TABLA_AVANCE_INDICADORES[[#This Row],[DIFERENCIA ABSOLUTA SEMESTRAL]]/TABLA_AVANCE_INDICADORES[[#This Row],[PROG. ACUM]])*100,"N/A")</f>
        <v>-7.224411325073353</v>
      </c>
      <c r="AS164"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24275086.66</v>
      </c>
      <c r="AT164" s="27">
        <f>IFERROR((TABLA_AVANCE_INDICADORES[[#This Row],[AVANCE ACUM. ANUAL]]/TABLA_AVANCE_INDICADORES[[#This Row],[PROGRAMADO ANUAL]])*100,"N/A")</f>
        <v>45.87803835650368</v>
      </c>
      <c r="AU164"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64" s="106">
        <f>TABLA_AVANCE_INDICADORES[[#This Row],[AVANCE ACUM. ANUAL]]-TABLA_AVANCE_INDICADORES[[#This Row],[PROGRAMADO ANUAL]]</f>
        <v>-28637129.139999997</v>
      </c>
      <c r="AW164" s="32">
        <f>IFERROR((TABLA_AVANCE_INDICADORES[[#This Row],[DIFERENCIA ABSOLUTA ANUAL]]/TABLA_AVANCE_INDICADORES[[#This Row],[PROGRAMADO ANUAL]])*100,"N/A")</f>
        <v>-54.12196164349632</v>
      </c>
      <c r="AX164" s="132"/>
      <c r="AY164" s="86"/>
      <c r="AZ164" s="86"/>
      <c r="BA164" s="86"/>
      <c r="BB164"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65" spans="1:54" ht="150" hidden="1" customHeight="1" x14ac:dyDescent="0.35">
      <c r="A165" s="19" t="s">
        <v>1298</v>
      </c>
      <c r="B165" s="99" t="s">
        <v>515</v>
      </c>
      <c r="C165" s="20" t="s">
        <v>444</v>
      </c>
      <c r="D165" s="100" t="s">
        <v>445</v>
      </c>
      <c r="E165" s="20" t="s">
        <v>400</v>
      </c>
      <c r="F165" s="101" t="s">
        <v>401</v>
      </c>
      <c r="G165" s="130" t="s">
        <v>516</v>
      </c>
      <c r="H165" s="80" t="s">
        <v>1272</v>
      </c>
      <c r="I165" s="22" t="s">
        <v>1203</v>
      </c>
      <c r="J165" s="22" t="s">
        <v>176</v>
      </c>
      <c r="K165" s="80" t="s">
        <v>177</v>
      </c>
      <c r="L165" s="22" t="s">
        <v>517</v>
      </c>
      <c r="M165" s="80" t="s">
        <v>518</v>
      </c>
      <c r="N165" s="21">
        <v>2</v>
      </c>
      <c r="O165" s="21" t="s">
        <v>785</v>
      </c>
      <c r="P165" s="110" t="s">
        <v>1295</v>
      </c>
      <c r="Q165" s="110" t="s">
        <v>1299</v>
      </c>
      <c r="R165" s="102" t="s">
        <v>1297</v>
      </c>
      <c r="S165" s="22" t="s">
        <v>1300</v>
      </c>
      <c r="T165" s="42" t="s">
        <v>884</v>
      </c>
      <c r="U165" s="42" t="s">
        <v>746</v>
      </c>
      <c r="V165" s="81">
        <v>52912215.799999997</v>
      </c>
      <c r="W165" s="81">
        <v>0</v>
      </c>
      <c r="X165" s="103">
        <v>0</v>
      </c>
      <c r="Y165" s="25" t="str">
        <f>IFERROR((TABLA_AVANCE_INDICADORES[[#This Row],[AVANCE 1°. TRIM]]/TABLA_AVANCE_INDICADORES[[#This Row],[PROGR. 1° TRIM]])*100,"0")</f>
        <v>0</v>
      </c>
      <c r="Z165"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65" s="104">
        <v>26165381.440000001</v>
      </c>
      <c r="AB165" s="105">
        <v>24275087.66</v>
      </c>
      <c r="AC165" s="27">
        <f t="shared" si="4"/>
        <v>92.775592496770415</v>
      </c>
      <c r="AD165" s="26" t="str">
        <f t="shared" si="5"/>
        <v>ADECUADO</v>
      </c>
      <c r="AE165" s="104">
        <v>0</v>
      </c>
      <c r="AF165" s="105">
        <v>0</v>
      </c>
      <c r="AG165" s="27" t="str">
        <f>IFERROR((TABLA_AVANCE_INDICADORES[[#This Row],[AVANCE 3°. TRIM]]/TABLA_AVANCE_INDICADORES[[#This Row],[PROGR. 3° TRIM]])*100,"0")</f>
        <v>0</v>
      </c>
      <c r="AH165"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65" s="104">
        <v>26746834.359999999</v>
      </c>
      <c r="AJ165" s="105">
        <v>0</v>
      </c>
      <c r="AK165" s="82">
        <f>IFERROR((TABLA_AVANCE_INDICADORES[[#This Row],[AVANCE 4°. TRIM]]/TABLA_AVANCE_INDICADORES[[#This Row],[PROGR. 4° TRIM]])*100,"0")</f>
        <v>0</v>
      </c>
      <c r="AL165"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65"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26165381.440000001</v>
      </c>
      <c r="AN165"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24275087.66</v>
      </c>
      <c r="AO165" s="27">
        <f>IFERROR((TABLA_AVANCE_INDICADORES[[#This Row],[AVANCE ACUM. TRIM.]]/TABLA_AVANCE_INDICADORES[[#This Row],[PROG. ACUM]])*100,"N/A")</f>
        <v>92.775592496770415</v>
      </c>
      <c r="AP165"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65" s="106">
        <f>TABLA_AVANCE_INDICADORES[[#This Row],[AVANCE ACUM. TRIM.]]-TABLA_AVANCE_INDICADORES[[#This Row],[PROG. ACUM]]</f>
        <v>-1890293.7800000012</v>
      </c>
      <c r="AR165" s="32">
        <f>IFERROR((TABLA_AVANCE_INDICADORES[[#This Row],[DIFERENCIA ABSOLUTA SEMESTRAL]]/TABLA_AVANCE_INDICADORES[[#This Row],[PROG. ACUM]])*100,"N/A")</f>
        <v>-7.2244075032295854</v>
      </c>
      <c r="AS165"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24275087.66</v>
      </c>
      <c r="AT165" s="27">
        <f>IFERROR((TABLA_AVANCE_INDICADORES[[#This Row],[AVANCE ACUM. ANUAL]]/TABLA_AVANCE_INDICADORES[[#This Row],[PROGRAMADO ANUAL]])*100,"N/A")</f>
        <v>45.87804024642643</v>
      </c>
      <c r="AU165"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65" s="106">
        <f>TABLA_AVANCE_INDICADORES[[#This Row],[AVANCE ACUM. ANUAL]]-TABLA_AVANCE_INDICADORES[[#This Row],[PROGRAMADO ANUAL]]</f>
        <v>-28637128.139999997</v>
      </c>
      <c r="AW165" s="32">
        <f>IFERROR((TABLA_AVANCE_INDICADORES[[#This Row],[DIFERENCIA ABSOLUTA ANUAL]]/TABLA_AVANCE_INDICADORES[[#This Row],[PROGRAMADO ANUAL]])*100,"N/A")</f>
        <v>-54.121959753573577</v>
      </c>
      <c r="AX165" s="132"/>
      <c r="AY165" s="86"/>
      <c r="AZ165" s="86"/>
      <c r="BA165" s="86"/>
      <c r="BB165" s="109">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26165381.440000001</v>
      </c>
    </row>
    <row r="166" spans="1:54" ht="150" hidden="1" customHeight="1" x14ac:dyDescent="0.35">
      <c r="A166" s="19" t="s">
        <v>1301</v>
      </c>
      <c r="B166" s="99" t="s">
        <v>603</v>
      </c>
      <c r="C166" s="20" t="s">
        <v>444</v>
      </c>
      <c r="D166" s="100" t="s">
        <v>445</v>
      </c>
      <c r="E166" s="20" t="s">
        <v>525</v>
      </c>
      <c r="F166" s="101" t="s">
        <v>526</v>
      </c>
      <c r="G166" s="130" t="s">
        <v>604</v>
      </c>
      <c r="H166" s="80" t="s">
        <v>1302</v>
      </c>
      <c r="I166" s="22" t="s">
        <v>1203</v>
      </c>
      <c r="J166" s="22" t="s">
        <v>176</v>
      </c>
      <c r="K166" s="80" t="s">
        <v>177</v>
      </c>
      <c r="L166" s="22" t="s">
        <v>517</v>
      </c>
      <c r="M166" s="80" t="s">
        <v>518</v>
      </c>
      <c r="N166" s="21">
        <v>1</v>
      </c>
      <c r="O166" s="21" t="s">
        <v>897</v>
      </c>
      <c r="P166" s="110" t="s">
        <v>1303</v>
      </c>
      <c r="Q166" s="110" t="s">
        <v>1304</v>
      </c>
      <c r="R166" s="102" t="s">
        <v>1305</v>
      </c>
      <c r="S166" s="22" t="s">
        <v>486</v>
      </c>
      <c r="T166" s="42" t="s">
        <v>727</v>
      </c>
      <c r="U166" s="42" t="s">
        <v>746</v>
      </c>
      <c r="V166" s="81">
        <v>52912215.799999997</v>
      </c>
      <c r="W166" s="81">
        <v>0</v>
      </c>
      <c r="X166" s="103">
        <v>0</v>
      </c>
      <c r="Y166" s="25" t="str">
        <f>IFERROR((TABLA_AVANCE_INDICADORES[[#This Row],[AVANCE 1°. TRIM]]/TABLA_AVANCE_INDICADORES[[#This Row],[PROGR. 1° TRIM]])*100,"0")</f>
        <v>0</v>
      </c>
      <c r="Z166"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66" s="104">
        <v>26165381.440000001</v>
      </c>
      <c r="AB166" s="105">
        <v>24275086.66</v>
      </c>
      <c r="AC166" s="27">
        <f t="shared" si="4"/>
        <v>92.775588674926652</v>
      </c>
      <c r="AD166" s="26" t="str">
        <f t="shared" si="5"/>
        <v>ADECUADO</v>
      </c>
      <c r="AE166" s="104">
        <v>0</v>
      </c>
      <c r="AF166" s="105">
        <v>0</v>
      </c>
      <c r="AG166" s="27" t="str">
        <f>IFERROR((TABLA_AVANCE_INDICADORES[[#This Row],[AVANCE 3°. TRIM]]/TABLA_AVANCE_INDICADORES[[#This Row],[PROGR. 3° TRIM]])*100,"0")</f>
        <v>0</v>
      </c>
      <c r="AH166"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66" s="104">
        <v>26746834.359999999</v>
      </c>
      <c r="AJ166" s="105">
        <v>0</v>
      </c>
      <c r="AK166" s="82">
        <f>IFERROR((TABLA_AVANCE_INDICADORES[[#This Row],[AVANCE 4°. TRIM]]/TABLA_AVANCE_INDICADORES[[#This Row],[PROGR. 4° TRIM]])*100,"0")</f>
        <v>0</v>
      </c>
      <c r="AL166"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66"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26165381.440000001</v>
      </c>
      <c r="AN166"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24275086.66</v>
      </c>
      <c r="AO166" s="27">
        <f>IFERROR((TABLA_AVANCE_INDICADORES[[#This Row],[AVANCE ACUM. TRIM.]]/TABLA_AVANCE_INDICADORES[[#This Row],[PROG. ACUM]])*100,"N/A")</f>
        <v>92.775588674926652</v>
      </c>
      <c r="AP166"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66" s="106">
        <f>TABLA_AVANCE_INDICADORES[[#This Row],[AVANCE ACUM. TRIM.]]-TABLA_AVANCE_INDICADORES[[#This Row],[PROG. ACUM]]</f>
        <v>-1890294.7800000012</v>
      </c>
      <c r="AR166" s="32">
        <f>IFERROR((TABLA_AVANCE_INDICADORES[[#This Row],[DIFERENCIA ABSOLUTA SEMESTRAL]]/TABLA_AVANCE_INDICADORES[[#This Row],[PROG. ACUM]])*100,"N/A")</f>
        <v>-7.224411325073353</v>
      </c>
      <c r="AS166"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24275086.66</v>
      </c>
      <c r="AT166" s="27">
        <f>IFERROR((TABLA_AVANCE_INDICADORES[[#This Row],[AVANCE ACUM. ANUAL]]/TABLA_AVANCE_INDICADORES[[#This Row],[PROGRAMADO ANUAL]])*100,"N/A")</f>
        <v>45.87803835650368</v>
      </c>
      <c r="AU166"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66" s="106">
        <f>TABLA_AVANCE_INDICADORES[[#This Row],[AVANCE ACUM. ANUAL]]-TABLA_AVANCE_INDICADORES[[#This Row],[PROGRAMADO ANUAL]]</f>
        <v>-28637129.139999997</v>
      </c>
      <c r="AW166" s="32">
        <f>IFERROR((TABLA_AVANCE_INDICADORES[[#This Row],[DIFERENCIA ABSOLUTA ANUAL]]/TABLA_AVANCE_INDICADORES[[#This Row],[PROGRAMADO ANUAL]])*100,"N/A")</f>
        <v>-54.12196164349632</v>
      </c>
      <c r="AX166" s="132"/>
      <c r="AY166" s="86"/>
      <c r="AZ166" s="86"/>
      <c r="BA166" s="86"/>
      <c r="BB166"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67" spans="1:54" ht="150" hidden="1" customHeight="1" x14ac:dyDescent="0.35">
      <c r="A167" s="19" t="s">
        <v>1306</v>
      </c>
      <c r="B167" s="99" t="s">
        <v>603</v>
      </c>
      <c r="C167" s="20" t="s">
        <v>444</v>
      </c>
      <c r="D167" s="100" t="s">
        <v>445</v>
      </c>
      <c r="E167" s="20" t="s">
        <v>525</v>
      </c>
      <c r="F167" s="101" t="s">
        <v>526</v>
      </c>
      <c r="G167" s="130" t="s">
        <v>604</v>
      </c>
      <c r="H167" s="80" t="s">
        <v>1302</v>
      </c>
      <c r="I167" s="22" t="s">
        <v>1203</v>
      </c>
      <c r="J167" s="22" t="s">
        <v>176</v>
      </c>
      <c r="K167" s="80" t="s">
        <v>177</v>
      </c>
      <c r="L167" s="22" t="s">
        <v>517</v>
      </c>
      <c r="M167" s="80" t="s">
        <v>518</v>
      </c>
      <c r="N167" s="21">
        <v>2</v>
      </c>
      <c r="O167" s="21" t="s">
        <v>897</v>
      </c>
      <c r="P167" s="110" t="s">
        <v>1303</v>
      </c>
      <c r="Q167" s="110" t="s">
        <v>1307</v>
      </c>
      <c r="R167" s="102" t="s">
        <v>1305</v>
      </c>
      <c r="S167" s="22" t="s">
        <v>1207</v>
      </c>
      <c r="T167" s="42" t="s">
        <v>727</v>
      </c>
      <c r="U167" s="42" t="s">
        <v>746</v>
      </c>
      <c r="V167" s="81">
        <v>52912215.799999997</v>
      </c>
      <c r="W167" s="81">
        <v>0</v>
      </c>
      <c r="X167" s="112">
        <v>0</v>
      </c>
      <c r="Y167" s="25" t="str">
        <f>IFERROR((TABLA_AVANCE_INDICADORES[[#This Row],[AVANCE 1°. TRIM]]/TABLA_AVANCE_INDICADORES[[#This Row],[PROGR. 1° TRIM]])*100,"0")</f>
        <v>0</v>
      </c>
      <c r="Z167"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67" s="104">
        <v>26165381.440000001</v>
      </c>
      <c r="AB167" s="113">
        <v>26165381.440000001</v>
      </c>
      <c r="AC167" s="27">
        <f t="shared" si="4"/>
        <v>100</v>
      </c>
      <c r="AD167" s="26" t="str">
        <f t="shared" si="5"/>
        <v>ADECUADO</v>
      </c>
      <c r="AE167" s="104">
        <v>0</v>
      </c>
      <c r="AF167" s="113">
        <f>AE167</f>
        <v>0</v>
      </c>
      <c r="AG167" s="27" t="str">
        <f>IFERROR((TABLA_AVANCE_INDICADORES[[#This Row],[AVANCE 3°. TRIM]]/TABLA_AVANCE_INDICADORES[[#This Row],[PROGR. 3° TRIM]])*100,"0")</f>
        <v>0</v>
      </c>
      <c r="AH167"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67" s="104">
        <v>26746834.359999999</v>
      </c>
      <c r="AJ167" s="113">
        <f>AI167</f>
        <v>26746834.359999999</v>
      </c>
      <c r="AK167" s="82">
        <f>IFERROR((TABLA_AVANCE_INDICADORES[[#This Row],[AVANCE 4°. TRIM]]/TABLA_AVANCE_INDICADORES[[#This Row],[PROGR. 4° TRIM]])*100,"0")</f>
        <v>100</v>
      </c>
      <c r="AL167"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67"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26165381.440000001</v>
      </c>
      <c r="AN167"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26165381.440000001</v>
      </c>
      <c r="AO167" s="27">
        <f>IFERROR((TABLA_AVANCE_INDICADORES[[#This Row],[AVANCE ACUM. TRIM.]]/TABLA_AVANCE_INDICADORES[[#This Row],[PROG. ACUM]])*100,"N/A")</f>
        <v>100</v>
      </c>
      <c r="AP167"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67" s="106">
        <f>TABLA_AVANCE_INDICADORES[[#This Row],[AVANCE ACUM. TRIM.]]-TABLA_AVANCE_INDICADORES[[#This Row],[PROG. ACUM]]</f>
        <v>0</v>
      </c>
      <c r="AR167" s="32">
        <f>IFERROR((TABLA_AVANCE_INDICADORES[[#This Row],[DIFERENCIA ABSOLUTA SEMESTRAL]]/TABLA_AVANCE_INDICADORES[[#This Row],[PROG. ACUM]])*100,"N/A")</f>
        <v>0</v>
      </c>
      <c r="AS167"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26165381.440000001</v>
      </c>
      <c r="AT167" s="27">
        <f>IFERROR((TABLA_AVANCE_INDICADORES[[#This Row],[AVANCE ACUM. ANUAL]]/TABLA_AVANCE_INDICADORES[[#This Row],[PROGRAMADO ANUAL]])*100,"N/A")</f>
        <v>49.450549451380191</v>
      </c>
      <c r="AU167"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67" s="106">
        <f>TABLA_AVANCE_INDICADORES[[#This Row],[AVANCE ACUM. ANUAL]]-TABLA_AVANCE_INDICADORES[[#This Row],[PROGRAMADO ANUAL]]</f>
        <v>-26746834.359999996</v>
      </c>
      <c r="AW167" s="32">
        <f>IFERROR((TABLA_AVANCE_INDICADORES[[#This Row],[DIFERENCIA ABSOLUTA ANUAL]]/TABLA_AVANCE_INDICADORES[[#This Row],[PROGRAMADO ANUAL]])*100,"N/A")</f>
        <v>-50.549450548619809</v>
      </c>
      <c r="AX167" s="132"/>
      <c r="AY167" s="86"/>
      <c r="AZ167" s="86"/>
      <c r="BA167" s="86"/>
      <c r="BB167"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68" spans="1:54" ht="150" hidden="1" customHeight="1" x14ac:dyDescent="0.35">
      <c r="A168" s="19" t="s">
        <v>1308</v>
      </c>
      <c r="B168" s="99" t="s">
        <v>445</v>
      </c>
      <c r="C168" s="20" t="s">
        <v>444</v>
      </c>
      <c r="D168" s="100" t="s">
        <v>445</v>
      </c>
      <c r="E168" s="20" t="s">
        <v>400</v>
      </c>
      <c r="F168" s="101" t="s">
        <v>401</v>
      </c>
      <c r="G168" s="130" t="s">
        <v>596</v>
      </c>
      <c r="H168" s="80" t="s">
        <v>1272</v>
      </c>
      <c r="I168" s="22" t="s">
        <v>1203</v>
      </c>
      <c r="J168" s="22" t="s">
        <v>176</v>
      </c>
      <c r="K168" s="80" t="s">
        <v>177</v>
      </c>
      <c r="L168" s="22" t="s">
        <v>528</v>
      </c>
      <c r="M168" s="80" t="s">
        <v>529</v>
      </c>
      <c r="N168" s="21">
        <v>1</v>
      </c>
      <c r="O168" s="21" t="s">
        <v>905</v>
      </c>
      <c r="P168" s="133" t="s">
        <v>1309</v>
      </c>
      <c r="Q168" s="110" t="s">
        <v>1310</v>
      </c>
      <c r="R168" s="102" t="s">
        <v>1311</v>
      </c>
      <c r="S168" s="22" t="s">
        <v>505</v>
      </c>
      <c r="T168" s="42" t="s">
        <v>727</v>
      </c>
      <c r="U168" s="42" t="s">
        <v>746</v>
      </c>
      <c r="V168" s="81">
        <v>520</v>
      </c>
      <c r="W168" s="81">
        <v>0</v>
      </c>
      <c r="X168" s="103">
        <v>0</v>
      </c>
      <c r="Y168" s="25" t="str">
        <f>IFERROR((TABLA_AVANCE_INDICADORES[[#This Row],[AVANCE 1°. TRIM]]/TABLA_AVANCE_INDICADORES[[#This Row],[PROGR. 1° TRIM]])*100,"0")</f>
        <v>0</v>
      </c>
      <c r="Z168"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68" s="104">
        <v>260</v>
      </c>
      <c r="AB168" s="105">
        <v>208</v>
      </c>
      <c r="AC168" s="27">
        <f t="shared" si="4"/>
        <v>80</v>
      </c>
      <c r="AD168" s="26" t="str">
        <f t="shared" si="5"/>
        <v>REGULAR</v>
      </c>
      <c r="AE168" s="104">
        <v>0</v>
      </c>
      <c r="AF168" s="105">
        <v>0</v>
      </c>
      <c r="AG168" s="27" t="str">
        <f>IFERROR((TABLA_AVANCE_INDICADORES[[#This Row],[AVANCE 3°. TRIM]]/TABLA_AVANCE_INDICADORES[[#This Row],[PROGR. 3° TRIM]])*100,"0")</f>
        <v>0</v>
      </c>
      <c r="AH168"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68" s="104">
        <v>100</v>
      </c>
      <c r="AJ168" s="105">
        <v>0</v>
      </c>
      <c r="AK168" s="82">
        <f>IFERROR((TABLA_AVANCE_INDICADORES[[#This Row],[AVANCE 4°. TRIM]]/TABLA_AVANCE_INDICADORES[[#This Row],[PROGR. 4° TRIM]])*100,"0")</f>
        <v>0</v>
      </c>
      <c r="AL168"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68" s="30">
        <v>160</v>
      </c>
      <c r="AN168"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208</v>
      </c>
      <c r="AO168" s="27">
        <f>IFERROR((TABLA_AVANCE_INDICADORES[[#This Row],[AVANCE ACUM. TRIM.]]/TABLA_AVANCE_INDICADORES[[#This Row],[PROG. ACUM]])*100,"N/A")</f>
        <v>130</v>
      </c>
      <c r="AP168"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SOBREPASADO</v>
      </c>
      <c r="AQ168" s="106">
        <f>TABLA_AVANCE_INDICADORES[[#This Row],[AVANCE ACUM. TRIM.]]-TABLA_AVANCE_INDICADORES[[#This Row],[PROG. ACUM]]</f>
        <v>48</v>
      </c>
      <c r="AR168" s="32">
        <f>IFERROR((TABLA_AVANCE_INDICADORES[[#This Row],[DIFERENCIA ABSOLUTA SEMESTRAL]]/TABLA_AVANCE_INDICADORES[[#This Row],[PROG. ACUM]])*100,"N/A")</f>
        <v>30</v>
      </c>
      <c r="AS168"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208</v>
      </c>
      <c r="AT168" s="27">
        <f>IFERROR((TABLA_AVANCE_INDICADORES[[#This Row],[AVANCE ACUM. ANUAL]]/TABLA_AVANCE_INDICADORES[[#This Row],[PROGRAMADO ANUAL]])*100,"N/A")</f>
        <v>40</v>
      </c>
      <c r="AU168"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68" s="106">
        <f>TABLA_AVANCE_INDICADORES[[#This Row],[AVANCE ACUM. ANUAL]]-TABLA_AVANCE_INDICADORES[[#This Row],[PROGRAMADO ANUAL]]</f>
        <v>-312</v>
      </c>
      <c r="AW168" s="32">
        <f>IFERROR((TABLA_AVANCE_INDICADORES[[#This Row],[DIFERENCIA ABSOLUTA ANUAL]]/TABLA_AVANCE_INDICADORES[[#This Row],[PROGRAMADO ANUAL]])*100,"N/A")</f>
        <v>-60</v>
      </c>
      <c r="AX168" s="132"/>
      <c r="AY168" s="86"/>
      <c r="AZ168" s="86"/>
      <c r="BA168" s="86"/>
      <c r="BB168"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ERROR</v>
      </c>
    </row>
    <row r="169" spans="1:54" ht="150" hidden="1" customHeight="1" x14ac:dyDescent="0.35">
      <c r="A169" s="19" t="s">
        <v>1312</v>
      </c>
      <c r="B169" s="99" t="s">
        <v>445</v>
      </c>
      <c r="C169" s="20" t="s">
        <v>444</v>
      </c>
      <c r="D169" s="100" t="s">
        <v>445</v>
      </c>
      <c r="E169" s="20" t="s">
        <v>400</v>
      </c>
      <c r="F169" s="101" t="s">
        <v>401</v>
      </c>
      <c r="G169" s="130" t="s">
        <v>596</v>
      </c>
      <c r="H169" s="80" t="s">
        <v>1272</v>
      </c>
      <c r="I169" s="22" t="s">
        <v>1203</v>
      </c>
      <c r="J169" s="22" t="s">
        <v>176</v>
      </c>
      <c r="K169" s="80" t="s">
        <v>177</v>
      </c>
      <c r="L169" s="22" t="s">
        <v>528</v>
      </c>
      <c r="M169" s="80" t="s">
        <v>529</v>
      </c>
      <c r="N169" s="21">
        <v>2</v>
      </c>
      <c r="O169" s="21" t="s">
        <v>905</v>
      </c>
      <c r="P169" s="133" t="s">
        <v>1309</v>
      </c>
      <c r="Q169" s="110" t="s">
        <v>1313</v>
      </c>
      <c r="R169" s="102" t="s">
        <v>1311</v>
      </c>
      <c r="S169" s="22" t="s">
        <v>154</v>
      </c>
      <c r="T169" s="42" t="s">
        <v>727</v>
      </c>
      <c r="U169" s="42" t="s">
        <v>746</v>
      </c>
      <c r="V169" s="81">
        <v>520</v>
      </c>
      <c r="W169" s="81">
        <v>0</v>
      </c>
      <c r="X169" s="112">
        <v>0</v>
      </c>
      <c r="Y169" s="25" t="str">
        <f>IFERROR((TABLA_AVANCE_INDICADORES[[#This Row],[AVANCE 1°. TRIM]]/TABLA_AVANCE_INDICADORES[[#This Row],[PROGR. 1° TRIM]])*100,"0")</f>
        <v>0</v>
      </c>
      <c r="Z169"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69" s="104">
        <v>260</v>
      </c>
      <c r="AB169" s="113">
        <v>260</v>
      </c>
      <c r="AC169" s="27">
        <f t="shared" si="4"/>
        <v>100</v>
      </c>
      <c r="AD169" s="26" t="str">
        <f t="shared" si="5"/>
        <v>ADECUADO</v>
      </c>
      <c r="AE169" s="104">
        <v>0</v>
      </c>
      <c r="AF169" s="113">
        <f>AE169</f>
        <v>0</v>
      </c>
      <c r="AG169" s="27" t="str">
        <f>IFERROR((TABLA_AVANCE_INDICADORES[[#This Row],[AVANCE 3°. TRIM]]/TABLA_AVANCE_INDICADORES[[#This Row],[PROGR. 3° TRIM]])*100,"0")</f>
        <v>0</v>
      </c>
      <c r="AH169"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69" s="104">
        <v>100</v>
      </c>
      <c r="AJ169" s="113">
        <f>AI169</f>
        <v>100</v>
      </c>
      <c r="AK169" s="82">
        <f>IFERROR((TABLA_AVANCE_INDICADORES[[#This Row],[AVANCE 4°. TRIM]]/TABLA_AVANCE_INDICADORES[[#This Row],[PROGR. 4° TRIM]])*100,"0")</f>
        <v>100</v>
      </c>
      <c r="AL169"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69" s="30">
        <v>160</v>
      </c>
      <c r="AN169"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260</v>
      </c>
      <c r="AO169" s="27">
        <f>IFERROR((TABLA_AVANCE_INDICADORES[[#This Row],[AVANCE ACUM. TRIM.]]/TABLA_AVANCE_INDICADORES[[#This Row],[PROG. ACUM]])*100,"N/A")</f>
        <v>162.5</v>
      </c>
      <c r="AP169"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SOBREPASADO</v>
      </c>
      <c r="AQ169" s="106">
        <f>TABLA_AVANCE_INDICADORES[[#This Row],[AVANCE ACUM. TRIM.]]-TABLA_AVANCE_INDICADORES[[#This Row],[PROG. ACUM]]</f>
        <v>100</v>
      </c>
      <c r="AR169" s="32">
        <f>IFERROR((TABLA_AVANCE_INDICADORES[[#This Row],[DIFERENCIA ABSOLUTA SEMESTRAL]]/TABLA_AVANCE_INDICADORES[[#This Row],[PROG. ACUM]])*100,"N/A")</f>
        <v>62.5</v>
      </c>
      <c r="AS169"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260</v>
      </c>
      <c r="AT169" s="27">
        <f>IFERROR((TABLA_AVANCE_INDICADORES[[#This Row],[AVANCE ACUM. ANUAL]]/TABLA_AVANCE_INDICADORES[[#This Row],[PROGRAMADO ANUAL]])*100,"N/A")</f>
        <v>50</v>
      </c>
      <c r="AU169"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69" s="106">
        <f>TABLA_AVANCE_INDICADORES[[#This Row],[AVANCE ACUM. ANUAL]]-TABLA_AVANCE_INDICADORES[[#This Row],[PROGRAMADO ANUAL]]</f>
        <v>-260</v>
      </c>
      <c r="AW169" s="32">
        <f>IFERROR((TABLA_AVANCE_INDICADORES[[#This Row],[DIFERENCIA ABSOLUTA ANUAL]]/TABLA_AVANCE_INDICADORES[[#This Row],[PROGRAMADO ANUAL]])*100,"N/A")</f>
        <v>-50</v>
      </c>
      <c r="AX169" s="132"/>
      <c r="AY169" s="86"/>
      <c r="AZ169" s="86"/>
      <c r="BA169" s="86"/>
      <c r="BB169"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ERROR</v>
      </c>
    </row>
    <row r="170" spans="1:54" ht="150" hidden="1" customHeight="1" x14ac:dyDescent="0.35">
      <c r="A170" s="19" t="s">
        <v>1314</v>
      </c>
      <c r="B170" s="99" t="s">
        <v>574</v>
      </c>
      <c r="C170" s="20" t="s">
        <v>444</v>
      </c>
      <c r="D170" s="100" t="s">
        <v>445</v>
      </c>
      <c r="E170" s="20" t="s">
        <v>575</v>
      </c>
      <c r="F170" s="101" t="s">
        <v>576</v>
      </c>
      <c r="G170" s="130" t="s">
        <v>577</v>
      </c>
      <c r="H170" s="80" t="s">
        <v>1287</v>
      </c>
      <c r="I170" s="22" t="s">
        <v>1203</v>
      </c>
      <c r="J170" s="22" t="s">
        <v>176</v>
      </c>
      <c r="K170" s="80" t="s">
        <v>177</v>
      </c>
      <c r="L170" s="22" t="s">
        <v>567</v>
      </c>
      <c r="M170" s="80" t="s">
        <v>568</v>
      </c>
      <c r="N170" s="21">
        <v>1</v>
      </c>
      <c r="O170" s="21" t="s">
        <v>750</v>
      </c>
      <c r="P170" s="110" t="s">
        <v>1315</v>
      </c>
      <c r="Q170" s="110" t="s">
        <v>1316</v>
      </c>
      <c r="R170" s="102" t="s">
        <v>1317</v>
      </c>
      <c r="S170" s="22" t="s">
        <v>1291</v>
      </c>
      <c r="T170" s="42" t="s">
        <v>727</v>
      </c>
      <c r="U170" s="42" t="s">
        <v>1130</v>
      </c>
      <c r="V170" s="81">
        <v>1</v>
      </c>
      <c r="W170" s="81">
        <v>0</v>
      </c>
      <c r="X170" s="103">
        <v>0</v>
      </c>
      <c r="Y170" s="25" t="str">
        <f>IFERROR((TABLA_AVANCE_INDICADORES[[#This Row],[AVANCE 1°. TRIM]]/TABLA_AVANCE_INDICADORES[[#This Row],[PROGR. 1° TRIM]])*100,"0")</f>
        <v>0</v>
      </c>
      <c r="Z170"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70" s="104">
        <v>0</v>
      </c>
      <c r="AB170" s="105">
        <v>0</v>
      </c>
      <c r="AC170" s="27" t="str">
        <f t="shared" si="4"/>
        <v>0</v>
      </c>
      <c r="AD170" s="26" t="str">
        <f t="shared" si="5"/>
        <v>NO PROG.</v>
      </c>
      <c r="AE170" s="104">
        <v>0</v>
      </c>
      <c r="AF170" s="105">
        <v>0</v>
      </c>
      <c r="AG170" s="27" t="str">
        <f>IFERROR((TABLA_AVANCE_INDICADORES[[#This Row],[AVANCE 3°. TRIM]]/TABLA_AVANCE_INDICADORES[[#This Row],[PROGR. 3° TRIM]])*100,"0")</f>
        <v>0</v>
      </c>
      <c r="AH170"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70" s="104">
        <v>1</v>
      </c>
      <c r="AJ170" s="105">
        <v>0</v>
      </c>
      <c r="AK170" s="82">
        <f>IFERROR((TABLA_AVANCE_INDICADORES[[#This Row],[AVANCE 4°. TRIM]]/TABLA_AVANCE_INDICADORES[[#This Row],[PROGR. 4° TRIM]])*100,"0")</f>
        <v>0</v>
      </c>
      <c r="AL170"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70"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70"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70" s="27" t="str">
        <f>IFERROR((TABLA_AVANCE_INDICADORES[[#This Row],[AVANCE ACUM. TRIM.]]/TABLA_AVANCE_INDICADORES[[#This Row],[PROG. ACUM]])*100,"N/A")</f>
        <v>N/A</v>
      </c>
      <c r="AP170"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70" s="106">
        <f>TABLA_AVANCE_INDICADORES[[#This Row],[AVANCE ACUM. TRIM.]]-TABLA_AVANCE_INDICADORES[[#This Row],[PROG. ACUM]]</f>
        <v>0</v>
      </c>
      <c r="AR170" s="32" t="str">
        <f>IFERROR((TABLA_AVANCE_INDICADORES[[#This Row],[DIFERENCIA ABSOLUTA SEMESTRAL]]/TABLA_AVANCE_INDICADORES[[#This Row],[PROG. ACUM]])*100,"N/A")</f>
        <v>N/A</v>
      </c>
      <c r="AS170"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70" s="27">
        <f>IFERROR((TABLA_AVANCE_INDICADORES[[#This Row],[AVANCE ACUM. ANUAL]]/TABLA_AVANCE_INDICADORES[[#This Row],[PROGRAMADO ANUAL]])*100,"N/A")</f>
        <v>0</v>
      </c>
      <c r="AU170"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70" s="106">
        <f>TABLA_AVANCE_INDICADORES[[#This Row],[AVANCE ACUM. ANUAL]]-TABLA_AVANCE_INDICADORES[[#This Row],[PROGRAMADO ANUAL]]</f>
        <v>-1</v>
      </c>
      <c r="AW170" s="32">
        <f>IFERROR((TABLA_AVANCE_INDICADORES[[#This Row],[DIFERENCIA ABSOLUTA ANUAL]]/TABLA_AVANCE_INDICADORES[[#This Row],[PROGRAMADO ANUAL]])*100,"N/A")</f>
        <v>-100</v>
      </c>
      <c r="AX170" s="132"/>
      <c r="AY170" s="86"/>
      <c r="AZ170" s="86"/>
      <c r="BA170" s="86"/>
      <c r="BB170"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71" spans="1:54" ht="150" hidden="1" customHeight="1" x14ac:dyDescent="0.35">
      <c r="A171" s="19" t="s">
        <v>1318</v>
      </c>
      <c r="B171" s="99" t="s">
        <v>574</v>
      </c>
      <c r="C171" s="20" t="s">
        <v>444</v>
      </c>
      <c r="D171" s="100" t="s">
        <v>445</v>
      </c>
      <c r="E171" s="20" t="s">
        <v>575</v>
      </c>
      <c r="F171" s="101" t="s">
        <v>576</v>
      </c>
      <c r="G171" s="130" t="s">
        <v>577</v>
      </c>
      <c r="H171" s="80" t="s">
        <v>1287</v>
      </c>
      <c r="I171" s="22" t="s">
        <v>1203</v>
      </c>
      <c r="J171" s="22" t="s">
        <v>176</v>
      </c>
      <c r="K171" s="80" t="s">
        <v>177</v>
      </c>
      <c r="L171" s="22" t="s">
        <v>567</v>
      </c>
      <c r="M171" s="80" t="s">
        <v>568</v>
      </c>
      <c r="N171" s="21">
        <v>2</v>
      </c>
      <c r="O171" s="21" t="s">
        <v>750</v>
      </c>
      <c r="P171" s="110" t="s">
        <v>1315</v>
      </c>
      <c r="Q171" s="110" t="s">
        <v>1319</v>
      </c>
      <c r="R171" s="102" t="s">
        <v>1317</v>
      </c>
      <c r="S171" s="22" t="s">
        <v>305</v>
      </c>
      <c r="T171" s="42" t="s">
        <v>727</v>
      </c>
      <c r="U171" s="42" t="s">
        <v>1130</v>
      </c>
      <c r="V171" s="81">
        <v>1</v>
      </c>
      <c r="W171" s="81">
        <v>0</v>
      </c>
      <c r="X171" s="112">
        <v>0</v>
      </c>
      <c r="Y171" s="25" t="str">
        <f>IFERROR((TABLA_AVANCE_INDICADORES[[#This Row],[AVANCE 1°. TRIM]]/TABLA_AVANCE_INDICADORES[[#This Row],[PROGR. 1° TRIM]])*100,"0")</f>
        <v>0</v>
      </c>
      <c r="Z171"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71" s="104">
        <v>0</v>
      </c>
      <c r="AB171" s="113">
        <v>0</v>
      </c>
      <c r="AC171" s="27" t="str">
        <f t="shared" si="4"/>
        <v>0</v>
      </c>
      <c r="AD171" s="26" t="str">
        <f t="shared" si="5"/>
        <v>NO PROG.</v>
      </c>
      <c r="AE171" s="104">
        <v>0</v>
      </c>
      <c r="AF171" s="113">
        <f>AE171</f>
        <v>0</v>
      </c>
      <c r="AG171" s="27" t="str">
        <f>IFERROR((TABLA_AVANCE_INDICADORES[[#This Row],[AVANCE 3°. TRIM]]/TABLA_AVANCE_INDICADORES[[#This Row],[PROGR. 3° TRIM]])*100,"0")</f>
        <v>0</v>
      </c>
      <c r="AH171"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71" s="104">
        <v>1</v>
      </c>
      <c r="AJ171" s="113">
        <f>AI171</f>
        <v>1</v>
      </c>
      <c r="AK171" s="82">
        <f>IFERROR((TABLA_AVANCE_INDICADORES[[#This Row],[AVANCE 4°. TRIM]]/TABLA_AVANCE_INDICADORES[[#This Row],[PROGR. 4° TRIM]])*100,"0")</f>
        <v>100</v>
      </c>
      <c r="AL171"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71"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71"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71" s="27" t="str">
        <f>IFERROR((TABLA_AVANCE_INDICADORES[[#This Row],[AVANCE ACUM. TRIM.]]/TABLA_AVANCE_INDICADORES[[#This Row],[PROG. ACUM]])*100,"N/A")</f>
        <v>N/A</v>
      </c>
      <c r="AP171"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71" s="106">
        <f>TABLA_AVANCE_INDICADORES[[#This Row],[AVANCE ACUM. TRIM.]]-TABLA_AVANCE_INDICADORES[[#This Row],[PROG. ACUM]]</f>
        <v>0</v>
      </c>
      <c r="AR171" s="32" t="str">
        <f>IFERROR((TABLA_AVANCE_INDICADORES[[#This Row],[DIFERENCIA ABSOLUTA SEMESTRAL]]/TABLA_AVANCE_INDICADORES[[#This Row],[PROG. ACUM]])*100,"N/A")</f>
        <v>N/A</v>
      </c>
      <c r="AS171"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71" s="27">
        <f>IFERROR((TABLA_AVANCE_INDICADORES[[#This Row],[AVANCE ACUM. ANUAL]]/TABLA_AVANCE_INDICADORES[[#This Row],[PROGRAMADO ANUAL]])*100,"N/A")</f>
        <v>0</v>
      </c>
      <c r="AU171"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71" s="106">
        <f>TABLA_AVANCE_INDICADORES[[#This Row],[AVANCE ACUM. ANUAL]]-TABLA_AVANCE_INDICADORES[[#This Row],[PROGRAMADO ANUAL]]</f>
        <v>-1</v>
      </c>
      <c r="AW171" s="32">
        <f>IFERROR((TABLA_AVANCE_INDICADORES[[#This Row],[DIFERENCIA ABSOLUTA ANUAL]]/TABLA_AVANCE_INDICADORES[[#This Row],[PROGRAMADO ANUAL]])*100,"N/A")</f>
        <v>-100</v>
      </c>
      <c r="AX171" s="132"/>
      <c r="AY171" s="86"/>
      <c r="AZ171" s="86"/>
      <c r="BA171" s="86"/>
      <c r="BB171"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72" spans="1:54" ht="150" hidden="1" customHeight="1" x14ac:dyDescent="0.35">
      <c r="A172" s="19" t="s">
        <v>1320</v>
      </c>
      <c r="B172" s="99" t="s">
        <v>574</v>
      </c>
      <c r="C172" s="20" t="s">
        <v>444</v>
      </c>
      <c r="D172" s="100" t="s">
        <v>445</v>
      </c>
      <c r="E172" s="20" t="s">
        <v>575</v>
      </c>
      <c r="F172" s="101" t="s">
        <v>576</v>
      </c>
      <c r="G172" s="130" t="s">
        <v>577</v>
      </c>
      <c r="H172" s="80" t="s">
        <v>1287</v>
      </c>
      <c r="I172" s="22" t="s">
        <v>1203</v>
      </c>
      <c r="J172" s="22" t="s">
        <v>176</v>
      </c>
      <c r="K172" s="80" t="s">
        <v>177</v>
      </c>
      <c r="L172" s="22" t="s">
        <v>567</v>
      </c>
      <c r="M172" s="80" t="s">
        <v>568</v>
      </c>
      <c r="N172" s="21">
        <v>1</v>
      </c>
      <c r="O172" s="21" t="s">
        <v>857</v>
      </c>
      <c r="P172" s="110" t="s">
        <v>1321</v>
      </c>
      <c r="Q172" s="110" t="s">
        <v>1322</v>
      </c>
      <c r="R172" s="102" t="s">
        <v>1323</v>
      </c>
      <c r="S172" s="22" t="s">
        <v>239</v>
      </c>
      <c r="T172" s="42" t="s">
        <v>727</v>
      </c>
      <c r="U172" s="42" t="s">
        <v>1130</v>
      </c>
      <c r="V172" s="81">
        <v>1</v>
      </c>
      <c r="W172" s="81">
        <v>0</v>
      </c>
      <c r="X172" s="103">
        <v>0</v>
      </c>
      <c r="Y172" s="25" t="str">
        <f>IFERROR((TABLA_AVANCE_INDICADORES[[#This Row],[AVANCE 1°. TRIM]]/TABLA_AVANCE_INDICADORES[[#This Row],[PROGR. 1° TRIM]])*100,"0")</f>
        <v>0</v>
      </c>
      <c r="Z172"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72" s="104">
        <v>0</v>
      </c>
      <c r="AB172" s="105">
        <v>0</v>
      </c>
      <c r="AC172" s="27" t="str">
        <f t="shared" si="4"/>
        <v>0</v>
      </c>
      <c r="AD172" s="26" t="str">
        <f t="shared" si="5"/>
        <v>NO PROG.</v>
      </c>
      <c r="AE172" s="104">
        <v>0</v>
      </c>
      <c r="AF172" s="105">
        <v>0</v>
      </c>
      <c r="AG172" s="27" t="str">
        <f>IFERROR((TABLA_AVANCE_INDICADORES[[#This Row],[AVANCE 3°. TRIM]]/TABLA_AVANCE_INDICADORES[[#This Row],[PROGR. 3° TRIM]])*100,"0")</f>
        <v>0</v>
      </c>
      <c r="AH172"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72" s="104">
        <v>1</v>
      </c>
      <c r="AJ172" s="105">
        <v>0</v>
      </c>
      <c r="AK172" s="82">
        <f>IFERROR((TABLA_AVANCE_INDICADORES[[#This Row],[AVANCE 4°. TRIM]]/TABLA_AVANCE_INDICADORES[[#This Row],[PROGR. 4° TRIM]])*100,"0")</f>
        <v>0</v>
      </c>
      <c r="AL172"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72"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72"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72" s="27" t="str">
        <f>IFERROR((TABLA_AVANCE_INDICADORES[[#This Row],[AVANCE ACUM. TRIM.]]/TABLA_AVANCE_INDICADORES[[#This Row],[PROG. ACUM]])*100,"N/A")</f>
        <v>N/A</v>
      </c>
      <c r="AP172"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72" s="106">
        <f>TABLA_AVANCE_INDICADORES[[#This Row],[AVANCE ACUM. TRIM.]]-TABLA_AVANCE_INDICADORES[[#This Row],[PROG. ACUM]]</f>
        <v>0</v>
      </c>
      <c r="AR172" s="32" t="str">
        <f>IFERROR((TABLA_AVANCE_INDICADORES[[#This Row],[DIFERENCIA ABSOLUTA SEMESTRAL]]/TABLA_AVANCE_INDICADORES[[#This Row],[PROG. ACUM]])*100,"N/A")</f>
        <v>N/A</v>
      </c>
      <c r="AS172"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72" s="27">
        <f>IFERROR((TABLA_AVANCE_INDICADORES[[#This Row],[AVANCE ACUM. ANUAL]]/TABLA_AVANCE_INDICADORES[[#This Row],[PROGRAMADO ANUAL]])*100,"N/A")</f>
        <v>0</v>
      </c>
      <c r="AU172"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72" s="106">
        <f>TABLA_AVANCE_INDICADORES[[#This Row],[AVANCE ACUM. ANUAL]]-TABLA_AVANCE_INDICADORES[[#This Row],[PROGRAMADO ANUAL]]</f>
        <v>-1</v>
      </c>
      <c r="AW172" s="32">
        <f>IFERROR((TABLA_AVANCE_INDICADORES[[#This Row],[DIFERENCIA ABSOLUTA ANUAL]]/TABLA_AVANCE_INDICADORES[[#This Row],[PROGRAMADO ANUAL]])*100,"N/A")</f>
        <v>-100</v>
      </c>
      <c r="AX172" s="132"/>
      <c r="AY172" s="86"/>
      <c r="AZ172" s="86"/>
      <c r="BA172" s="86"/>
      <c r="BB172"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73" spans="1:54" ht="150" hidden="1" customHeight="1" x14ac:dyDescent="0.35">
      <c r="A173" s="19" t="s">
        <v>1324</v>
      </c>
      <c r="B173" s="99" t="s">
        <v>574</v>
      </c>
      <c r="C173" s="20" t="s">
        <v>444</v>
      </c>
      <c r="D173" s="100" t="s">
        <v>445</v>
      </c>
      <c r="E173" s="20" t="s">
        <v>575</v>
      </c>
      <c r="F173" s="101" t="s">
        <v>576</v>
      </c>
      <c r="G173" s="130" t="s">
        <v>577</v>
      </c>
      <c r="H173" s="80" t="s">
        <v>1287</v>
      </c>
      <c r="I173" s="22" t="s">
        <v>1203</v>
      </c>
      <c r="J173" s="22" t="s">
        <v>176</v>
      </c>
      <c r="K173" s="80" t="s">
        <v>177</v>
      </c>
      <c r="L173" s="22" t="s">
        <v>567</v>
      </c>
      <c r="M173" s="80" t="s">
        <v>568</v>
      </c>
      <c r="N173" s="21">
        <v>2</v>
      </c>
      <c r="O173" s="21" t="s">
        <v>857</v>
      </c>
      <c r="P173" s="110" t="s">
        <v>1321</v>
      </c>
      <c r="Q173" s="110" t="s">
        <v>1325</v>
      </c>
      <c r="R173" s="102" t="s">
        <v>1323</v>
      </c>
      <c r="S173" s="22" t="s">
        <v>305</v>
      </c>
      <c r="T173" s="42" t="s">
        <v>727</v>
      </c>
      <c r="U173" s="42" t="s">
        <v>1130</v>
      </c>
      <c r="V173" s="81">
        <v>1</v>
      </c>
      <c r="W173" s="81">
        <v>0</v>
      </c>
      <c r="X173" s="103">
        <v>0</v>
      </c>
      <c r="Y173" s="25" t="str">
        <f>IFERROR((TABLA_AVANCE_INDICADORES[[#This Row],[AVANCE 1°. TRIM]]/TABLA_AVANCE_INDICADORES[[#This Row],[PROGR. 1° TRIM]])*100,"0")</f>
        <v>0</v>
      </c>
      <c r="Z173"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73" s="104">
        <v>0</v>
      </c>
      <c r="AB173" s="105">
        <v>0</v>
      </c>
      <c r="AC173" s="27" t="str">
        <f t="shared" si="4"/>
        <v>0</v>
      </c>
      <c r="AD173" s="26" t="str">
        <f t="shared" si="5"/>
        <v>NO PROG.</v>
      </c>
      <c r="AE173" s="104">
        <v>0</v>
      </c>
      <c r="AF173" s="105">
        <v>0</v>
      </c>
      <c r="AG173" s="27" t="str">
        <f>IFERROR((TABLA_AVANCE_INDICADORES[[#This Row],[AVANCE 3°. TRIM]]/TABLA_AVANCE_INDICADORES[[#This Row],[PROGR. 3° TRIM]])*100,"0")</f>
        <v>0</v>
      </c>
      <c r="AH173"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73" s="104">
        <v>1</v>
      </c>
      <c r="AJ173" s="105">
        <v>0</v>
      </c>
      <c r="AK173" s="82">
        <f>IFERROR((TABLA_AVANCE_INDICADORES[[#This Row],[AVANCE 4°. TRIM]]/TABLA_AVANCE_INDICADORES[[#This Row],[PROGR. 4° TRIM]])*100,"0")</f>
        <v>0</v>
      </c>
      <c r="AL173"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73"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73"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73" s="27" t="str">
        <f>IFERROR((TABLA_AVANCE_INDICADORES[[#This Row],[AVANCE ACUM. TRIM.]]/TABLA_AVANCE_INDICADORES[[#This Row],[PROG. ACUM]])*100,"N/A")</f>
        <v>N/A</v>
      </c>
      <c r="AP173"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73" s="106">
        <f>TABLA_AVANCE_INDICADORES[[#This Row],[AVANCE ACUM. TRIM.]]-TABLA_AVANCE_INDICADORES[[#This Row],[PROG. ACUM]]</f>
        <v>0</v>
      </c>
      <c r="AR173" s="32" t="str">
        <f>IFERROR((TABLA_AVANCE_INDICADORES[[#This Row],[DIFERENCIA ABSOLUTA SEMESTRAL]]/TABLA_AVANCE_INDICADORES[[#This Row],[PROG. ACUM]])*100,"N/A")</f>
        <v>N/A</v>
      </c>
      <c r="AS173"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73" s="27">
        <f>IFERROR((TABLA_AVANCE_INDICADORES[[#This Row],[AVANCE ACUM. ANUAL]]/TABLA_AVANCE_INDICADORES[[#This Row],[PROGRAMADO ANUAL]])*100,"N/A")</f>
        <v>0</v>
      </c>
      <c r="AU173"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73" s="106">
        <f>TABLA_AVANCE_INDICADORES[[#This Row],[AVANCE ACUM. ANUAL]]-TABLA_AVANCE_INDICADORES[[#This Row],[PROGRAMADO ANUAL]]</f>
        <v>-1</v>
      </c>
      <c r="AW173" s="32">
        <f>IFERROR((TABLA_AVANCE_INDICADORES[[#This Row],[DIFERENCIA ABSOLUTA ANUAL]]/TABLA_AVANCE_INDICADORES[[#This Row],[PROGRAMADO ANUAL]])*100,"N/A")</f>
        <v>-100</v>
      </c>
      <c r="AX173" s="132"/>
      <c r="AY173" s="86"/>
      <c r="AZ173" s="86"/>
      <c r="BA173" s="86"/>
      <c r="BB173"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74" spans="1:54" ht="150" hidden="1" customHeight="1" x14ac:dyDescent="0.35">
      <c r="A174" s="19" t="s">
        <v>1326</v>
      </c>
      <c r="B174" s="99" t="s">
        <v>574</v>
      </c>
      <c r="C174" s="20" t="s">
        <v>444</v>
      </c>
      <c r="D174" s="100" t="s">
        <v>445</v>
      </c>
      <c r="E174" s="20" t="s">
        <v>575</v>
      </c>
      <c r="F174" s="101" t="s">
        <v>576</v>
      </c>
      <c r="G174" s="130" t="s">
        <v>577</v>
      </c>
      <c r="H174" s="80" t="s">
        <v>1287</v>
      </c>
      <c r="I174" s="22" t="s">
        <v>1203</v>
      </c>
      <c r="J174" s="22" t="s">
        <v>176</v>
      </c>
      <c r="K174" s="80" t="s">
        <v>177</v>
      </c>
      <c r="L174" s="22" t="s">
        <v>567</v>
      </c>
      <c r="M174" s="80" t="s">
        <v>568</v>
      </c>
      <c r="N174" s="21">
        <v>1</v>
      </c>
      <c r="O174" s="21" t="s">
        <v>1327</v>
      </c>
      <c r="P174" s="110" t="s">
        <v>1328</v>
      </c>
      <c r="Q174" s="110" t="s">
        <v>1329</v>
      </c>
      <c r="R174" s="102" t="s">
        <v>1330</v>
      </c>
      <c r="S174" s="22" t="s">
        <v>239</v>
      </c>
      <c r="T174" s="42" t="s">
        <v>727</v>
      </c>
      <c r="U174" s="42" t="s">
        <v>1130</v>
      </c>
      <c r="V174" s="81">
        <v>1</v>
      </c>
      <c r="W174" s="81">
        <v>0</v>
      </c>
      <c r="X174" s="103">
        <v>0</v>
      </c>
      <c r="Y174" s="25" t="str">
        <f>IFERROR((TABLA_AVANCE_INDICADORES[[#This Row],[AVANCE 1°. TRIM]]/TABLA_AVANCE_INDICADORES[[#This Row],[PROGR. 1° TRIM]])*100,"0")</f>
        <v>0</v>
      </c>
      <c r="Z174"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74" s="104">
        <v>0</v>
      </c>
      <c r="AB174" s="105">
        <v>0</v>
      </c>
      <c r="AC174" s="27" t="str">
        <f t="shared" si="4"/>
        <v>0</v>
      </c>
      <c r="AD174" s="26" t="str">
        <f t="shared" si="5"/>
        <v>NO PROG.</v>
      </c>
      <c r="AE174" s="104">
        <v>0</v>
      </c>
      <c r="AF174" s="105">
        <v>0</v>
      </c>
      <c r="AG174" s="27" t="str">
        <f>IFERROR((TABLA_AVANCE_INDICADORES[[#This Row],[AVANCE 3°. TRIM]]/TABLA_AVANCE_INDICADORES[[#This Row],[PROGR. 3° TRIM]])*100,"0")</f>
        <v>0</v>
      </c>
      <c r="AH174"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74" s="104">
        <v>1</v>
      </c>
      <c r="AJ174" s="105">
        <v>0</v>
      </c>
      <c r="AK174" s="82">
        <f>IFERROR((TABLA_AVANCE_INDICADORES[[#This Row],[AVANCE 4°. TRIM]]/TABLA_AVANCE_INDICADORES[[#This Row],[PROGR. 4° TRIM]])*100,"0")</f>
        <v>0</v>
      </c>
      <c r="AL174"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74"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74"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74" s="27" t="str">
        <f>IFERROR((TABLA_AVANCE_INDICADORES[[#This Row],[AVANCE ACUM. TRIM.]]/TABLA_AVANCE_INDICADORES[[#This Row],[PROG. ACUM]])*100,"N/A")</f>
        <v>N/A</v>
      </c>
      <c r="AP174"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74" s="106">
        <f>TABLA_AVANCE_INDICADORES[[#This Row],[AVANCE ACUM. TRIM.]]-TABLA_AVANCE_INDICADORES[[#This Row],[PROG. ACUM]]</f>
        <v>0</v>
      </c>
      <c r="AR174" s="32" t="str">
        <f>IFERROR((TABLA_AVANCE_INDICADORES[[#This Row],[DIFERENCIA ABSOLUTA SEMESTRAL]]/TABLA_AVANCE_INDICADORES[[#This Row],[PROG. ACUM]])*100,"N/A")</f>
        <v>N/A</v>
      </c>
      <c r="AS174"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74" s="27">
        <f>IFERROR((TABLA_AVANCE_INDICADORES[[#This Row],[AVANCE ACUM. ANUAL]]/TABLA_AVANCE_INDICADORES[[#This Row],[PROGRAMADO ANUAL]])*100,"N/A")</f>
        <v>0</v>
      </c>
      <c r="AU174"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74" s="106">
        <f>TABLA_AVANCE_INDICADORES[[#This Row],[AVANCE ACUM. ANUAL]]-TABLA_AVANCE_INDICADORES[[#This Row],[PROGRAMADO ANUAL]]</f>
        <v>-1</v>
      </c>
      <c r="AW174" s="32">
        <f>IFERROR((TABLA_AVANCE_INDICADORES[[#This Row],[DIFERENCIA ABSOLUTA ANUAL]]/TABLA_AVANCE_INDICADORES[[#This Row],[PROGRAMADO ANUAL]])*100,"N/A")</f>
        <v>-100</v>
      </c>
      <c r="AX174" s="132"/>
      <c r="AY174" s="86"/>
      <c r="AZ174" s="86"/>
      <c r="BA174" s="86"/>
      <c r="BB174"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75" spans="1:54" ht="150" hidden="1" customHeight="1" x14ac:dyDescent="0.35">
      <c r="A175" s="19" t="s">
        <v>1331</v>
      </c>
      <c r="B175" s="99" t="s">
        <v>574</v>
      </c>
      <c r="C175" s="20" t="s">
        <v>444</v>
      </c>
      <c r="D175" s="100" t="s">
        <v>445</v>
      </c>
      <c r="E175" s="20" t="s">
        <v>575</v>
      </c>
      <c r="F175" s="101" t="s">
        <v>576</v>
      </c>
      <c r="G175" s="130" t="s">
        <v>577</v>
      </c>
      <c r="H175" s="80" t="s">
        <v>1287</v>
      </c>
      <c r="I175" s="22" t="s">
        <v>1203</v>
      </c>
      <c r="J175" s="22" t="s">
        <v>176</v>
      </c>
      <c r="K175" s="80" t="s">
        <v>177</v>
      </c>
      <c r="L175" s="22" t="s">
        <v>567</v>
      </c>
      <c r="M175" s="80" t="s">
        <v>568</v>
      </c>
      <c r="N175" s="21">
        <v>2</v>
      </c>
      <c r="O175" s="21" t="s">
        <v>1327</v>
      </c>
      <c r="P175" s="110" t="s">
        <v>1328</v>
      </c>
      <c r="Q175" s="110" t="s">
        <v>1332</v>
      </c>
      <c r="R175" s="102" t="s">
        <v>1330</v>
      </c>
      <c r="S175" s="22" t="s">
        <v>84</v>
      </c>
      <c r="T175" s="42" t="s">
        <v>727</v>
      </c>
      <c r="U175" s="42" t="s">
        <v>1130</v>
      </c>
      <c r="V175" s="81">
        <v>1</v>
      </c>
      <c r="W175" s="81">
        <v>0</v>
      </c>
      <c r="X175" s="112">
        <v>0</v>
      </c>
      <c r="Y175" s="25" t="str">
        <f>IFERROR((TABLA_AVANCE_INDICADORES[[#This Row],[AVANCE 1°. TRIM]]/TABLA_AVANCE_INDICADORES[[#This Row],[PROGR. 1° TRIM]])*100,"0")</f>
        <v>0</v>
      </c>
      <c r="Z175"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75" s="104">
        <v>0</v>
      </c>
      <c r="AB175" s="113">
        <v>0</v>
      </c>
      <c r="AC175" s="27" t="str">
        <f t="shared" si="4"/>
        <v>0</v>
      </c>
      <c r="AD175" s="26" t="str">
        <f t="shared" si="5"/>
        <v>NO PROG.</v>
      </c>
      <c r="AE175" s="104">
        <v>0</v>
      </c>
      <c r="AF175" s="113">
        <f>AE175</f>
        <v>0</v>
      </c>
      <c r="AG175" s="27" t="str">
        <f>IFERROR((TABLA_AVANCE_INDICADORES[[#This Row],[AVANCE 3°. TRIM]]/TABLA_AVANCE_INDICADORES[[#This Row],[PROGR. 3° TRIM]])*100,"0")</f>
        <v>0</v>
      </c>
      <c r="AH175"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75" s="104">
        <v>1</v>
      </c>
      <c r="AJ175" s="113">
        <f>AI175</f>
        <v>1</v>
      </c>
      <c r="AK175" s="82">
        <f>IFERROR((TABLA_AVANCE_INDICADORES[[#This Row],[AVANCE 4°. TRIM]]/TABLA_AVANCE_INDICADORES[[#This Row],[PROGR. 4° TRIM]])*100,"0")</f>
        <v>100</v>
      </c>
      <c r="AL175"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75"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75"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75" s="27" t="str">
        <f>IFERROR((TABLA_AVANCE_INDICADORES[[#This Row],[AVANCE ACUM. TRIM.]]/TABLA_AVANCE_INDICADORES[[#This Row],[PROG. ACUM]])*100,"N/A")</f>
        <v>N/A</v>
      </c>
      <c r="AP175"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75" s="106">
        <f>TABLA_AVANCE_INDICADORES[[#This Row],[AVANCE ACUM. TRIM.]]-TABLA_AVANCE_INDICADORES[[#This Row],[PROG. ACUM]]</f>
        <v>0</v>
      </c>
      <c r="AR175" s="32" t="str">
        <f>IFERROR((TABLA_AVANCE_INDICADORES[[#This Row],[DIFERENCIA ABSOLUTA SEMESTRAL]]/TABLA_AVANCE_INDICADORES[[#This Row],[PROG. ACUM]])*100,"N/A")</f>
        <v>N/A</v>
      </c>
      <c r="AS175"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75" s="27">
        <f>IFERROR((TABLA_AVANCE_INDICADORES[[#This Row],[AVANCE ACUM. ANUAL]]/TABLA_AVANCE_INDICADORES[[#This Row],[PROGRAMADO ANUAL]])*100,"N/A")</f>
        <v>0</v>
      </c>
      <c r="AU175"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75" s="106">
        <f>TABLA_AVANCE_INDICADORES[[#This Row],[AVANCE ACUM. ANUAL]]-TABLA_AVANCE_INDICADORES[[#This Row],[PROGRAMADO ANUAL]]</f>
        <v>-1</v>
      </c>
      <c r="AW175" s="32">
        <f>IFERROR((TABLA_AVANCE_INDICADORES[[#This Row],[DIFERENCIA ABSOLUTA ANUAL]]/TABLA_AVANCE_INDICADORES[[#This Row],[PROGRAMADO ANUAL]])*100,"N/A")</f>
        <v>-100</v>
      </c>
      <c r="AX175" s="132"/>
      <c r="AY175" s="86"/>
      <c r="AZ175" s="86"/>
      <c r="BA175" s="86"/>
      <c r="BB175"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76" spans="1:54" ht="168.75" hidden="1" customHeight="1" x14ac:dyDescent="0.35">
      <c r="A176" s="19" t="s">
        <v>1333</v>
      </c>
      <c r="B176" s="99" t="s">
        <v>574</v>
      </c>
      <c r="C176" s="20" t="s">
        <v>444</v>
      </c>
      <c r="D176" s="100" t="s">
        <v>445</v>
      </c>
      <c r="E176" s="20" t="s">
        <v>575</v>
      </c>
      <c r="F176" s="101" t="s">
        <v>576</v>
      </c>
      <c r="G176" s="130" t="s">
        <v>577</v>
      </c>
      <c r="H176" s="80" t="s">
        <v>1287</v>
      </c>
      <c r="I176" s="22" t="s">
        <v>1203</v>
      </c>
      <c r="J176" s="22" t="s">
        <v>176</v>
      </c>
      <c r="K176" s="80" t="s">
        <v>177</v>
      </c>
      <c r="L176" s="22" t="s">
        <v>567</v>
      </c>
      <c r="M176" s="80" t="s">
        <v>568</v>
      </c>
      <c r="N176" s="21">
        <v>1</v>
      </c>
      <c r="O176" s="21" t="s">
        <v>1334</v>
      </c>
      <c r="P176" s="110" t="s">
        <v>1335</v>
      </c>
      <c r="Q176" s="110" t="s">
        <v>1336</v>
      </c>
      <c r="R176" s="102" t="s">
        <v>1337</v>
      </c>
      <c r="S176" s="22" t="s">
        <v>239</v>
      </c>
      <c r="T176" s="42" t="s">
        <v>727</v>
      </c>
      <c r="U176" s="42" t="s">
        <v>1130</v>
      </c>
      <c r="V176" s="81">
        <v>1</v>
      </c>
      <c r="W176" s="81">
        <v>0</v>
      </c>
      <c r="X176" s="103">
        <v>0</v>
      </c>
      <c r="Y176" s="25" t="str">
        <f>IFERROR((TABLA_AVANCE_INDICADORES[[#This Row],[AVANCE 1°. TRIM]]/TABLA_AVANCE_INDICADORES[[#This Row],[PROGR. 1° TRIM]])*100,"0")</f>
        <v>0</v>
      </c>
      <c r="Z176"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76" s="104">
        <v>0</v>
      </c>
      <c r="AB176" s="105">
        <v>0</v>
      </c>
      <c r="AC176" s="27" t="str">
        <f t="shared" si="4"/>
        <v>0</v>
      </c>
      <c r="AD176" s="26" t="str">
        <f t="shared" si="5"/>
        <v>NO PROG.</v>
      </c>
      <c r="AE176" s="104">
        <v>0</v>
      </c>
      <c r="AF176" s="105">
        <v>0</v>
      </c>
      <c r="AG176" s="27" t="str">
        <f>IFERROR((TABLA_AVANCE_INDICADORES[[#This Row],[AVANCE 3°. TRIM]]/TABLA_AVANCE_INDICADORES[[#This Row],[PROGR. 3° TRIM]])*100,"0")</f>
        <v>0</v>
      </c>
      <c r="AH176"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76" s="104">
        <v>1</v>
      </c>
      <c r="AJ176" s="105">
        <v>0</v>
      </c>
      <c r="AK176" s="82">
        <f>IFERROR((TABLA_AVANCE_INDICADORES[[#This Row],[AVANCE 4°. TRIM]]/TABLA_AVANCE_INDICADORES[[#This Row],[PROGR. 4° TRIM]])*100,"0")</f>
        <v>0</v>
      </c>
      <c r="AL176"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76"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76"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76" s="27" t="str">
        <f>IFERROR((TABLA_AVANCE_INDICADORES[[#This Row],[AVANCE ACUM. TRIM.]]/TABLA_AVANCE_INDICADORES[[#This Row],[PROG. ACUM]])*100,"N/A")</f>
        <v>N/A</v>
      </c>
      <c r="AP176"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76" s="106">
        <f>TABLA_AVANCE_INDICADORES[[#This Row],[AVANCE ACUM. TRIM.]]-TABLA_AVANCE_INDICADORES[[#This Row],[PROG. ACUM]]</f>
        <v>0</v>
      </c>
      <c r="AR176" s="32" t="str">
        <f>IFERROR((TABLA_AVANCE_INDICADORES[[#This Row],[DIFERENCIA ABSOLUTA SEMESTRAL]]/TABLA_AVANCE_INDICADORES[[#This Row],[PROG. ACUM]])*100,"N/A")</f>
        <v>N/A</v>
      </c>
      <c r="AS176"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76" s="27">
        <f>IFERROR((TABLA_AVANCE_INDICADORES[[#This Row],[AVANCE ACUM. ANUAL]]/TABLA_AVANCE_INDICADORES[[#This Row],[PROGRAMADO ANUAL]])*100,"N/A")</f>
        <v>0</v>
      </c>
      <c r="AU176"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76" s="106">
        <f>TABLA_AVANCE_INDICADORES[[#This Row],[AVANCE ACUM. ANUAL]]-TABLA_AVANCE_INDICADORES[[#This Row],[PROGRAMADO ANUAL]]</f>
        <v>-1</v>
      </c>
      <c r="AW176" s="32">
        <f>IFERROR((TABLA_AVANCE_INDICADORES[[#This Row],[DIFERENCIA ABSOLUTA ANUAL]]/TABLA_AVANCE_INDICADORES[[#This Row],[PROGRAMADO ANUAL]])*100,"N/A")</f>
        <v>-100</v>
      </c>
      <c r="AX176" s="132"/>
      <c r="AY176" s="86"/>
      <c r="AZ176" s="86"/>
      <c r="BA176" s="86"/>
      <c r="BB176"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77" spans="1:54" ht="168.75" hidden="1" customHeight="1" x14ac:dyDescent="0.35">
      <c r="A177" s="19" t="s">
        <v>1338</v>
      </c>
      <c r="B177" s="99" t="s">
        <v>574</v>
      </c>
      <c r="C177" s="20" t="s">
        <v>444</v>
      </c>
      <c r="D177" s="100" t="s">
        <v>445</v>
      </c>
      <c r="E177" s="20" t="s">
        <v>575</v>
      </c>
      <c r="F177" s="101" t="s">
        <v>576</v>
      </c>
      <c r="G177" s="130" t="s">
        <v>577</v>
      </c>
      <c r="H177" s="80" t="s">
        <v>1287</v>
      </c>
      <c r="I177" s="22" t="s">
        <v>1203</v>
      </c>
      <c r="J177" s="22" t="s">
        <v>176</v>
      </c>
      <c r="K177" s="80" t="s">
        <v>177</v>
      </c>
      <c r="L177" s="22" t="s">
        <v>567</v>
      </c>
      <c r="M177" s="80" t="s">
        <v>568</v>
      </c>
      <c r="N177" s="21">
        <v>2</v>
      </c>
      <c r="O177" s="21" t="s">
        <v>1334</v>
      </c>
      <c r="P177" s="110" t="s">
        <v>1335</v>
      </c>
      <c r="Q177" s="110" t="s">
        <v>1339</v>
      </c>
      <c r="R177" s="102" t="s">
        <v>1337</v>
      </c>
      <c r="S177" s="22" t="s">
        <v>84</v>
      </c>
      <c r="T177" s="42" t="s">
        <v>727</v>
      </c>
      <c r="U177" s="42" t="s">
        <v>1130</v>
      </c>
      <c r="V177" s="81">
        <v>1</v>
      </c>
      <c r="W177" s="81">
        <v>0</v>
      </c>
      <c r="X177" s="112">
        <v>0</v>
      </c>
      <c r="Y177" s="25" t="str">
        <f>IFERROR((TABLA_AVANCE_INDICADORES[[#This Row],[AVANCE 1°. TRIM]]/TABLA_AVANCE_INDICADORES[[#This Row],[PROGR. 1° TRIM]])*100,"0")</f>
        <v>0</v>
      </c>
      <c r="Z177"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77" s="104">
        <v>0</v>
      </c>
      <c r="AB177" s="113">
        <v>0</v>
      </c>
      <c r="AC177" s="27" t="str">
        <f t="shared" si="4"/>
        <v>0</v>
      </c>
      <c r="AD177" s="26" t="str">
        <f t="shared" si="5"/>
        <v>NO PROG.</v>
      </c>
      <c r="AE177" s="104">
        <v>0</v>
      </c>
      <c r="AF177" s="113">
        <f>AE177</f>
        <v>0</v>
      </c>
      <c r="AG177" s="27" t="str">
        <f>IFERROR((TABLA_AVANCE_INDICADORES[[#This Row],[AVANCE 3°. TRIM]]/TABLA_AVANCE_INDICADORES[[#This Row],[PROGR. 3° TRIM]])*100,"0")</f>
        <v>0</v>
      </c>
      <c r="AH177"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77" s="104">
        <v>1</v>
      </c>
      <c r="AJ177" s="113">
        <f>AI177</f>
        <v>1</v>
      </c>
      <c r="AK177" s="82">
        <f>IFERROR((TABLA_AVANCE_INDICADORES[[#This Row],[AVANCE 4°. TRIM]]/TABLA_AVANCE_INDICADORES[[#This Row],[PROGR. 4° TRIM]])*100,"0")</f>
        <v>100</v>
      </c>
      <c r="AL177"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77"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77"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77" s="27" t="str">
        <f>IFERROR((TABLA_AVANCE_INDICADORES[[#This Row],[AVANCE ACUM. TRIM.]]/TABLA_AVANCE_INDICADORES[[#This Row],[PROG. ACUM]])*100,"N/A")</f>
        <v>N/A</v>
      </c>
      <c r="AP177"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77" s="106">
        <f>TABLA_AVANCE_INDICADORES[[#This Row],[AVANCE ACUM. TRIM.]]-TABLA_AVANCE_INDICADORES[[#This Row],[PROG. ACUM]]</f>
        <v>0</v>
      </c>
      <c r="AR177" s="32" t="str">
        <f>IFERROR((TABLA_AVANCE_INDICADORES[[#This Row],[DIFERENCIA ABSOLUTA SEMESTRAL]]/TABLA_AVANCE_INDICADORES[[#This Row],[PROG. ACUM]])*100,"N/A")</f>
        <v>N/A</v>
      </c>
      <c r="AS177"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77" s="27">
        <f>IFERROR((TABLA_AVANCE_INDICADORES[[#This Row],[AVANCE ACUM. ANUAL]]/TABLA_AVANCE_INDICADORES[[#This Row],[PROGRAMADO ANUAL]])*100,"N/A")</f>
        <v>0</v>
      </c>
      <c r="AU177"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77" s="106">
        <f>TABLA_AVANCE_INDICADORES[[#This Row],[AVANCE ACUM. ANUAL]]-TABLA_AVANCE_INDICADORES[[#This Row],[PROGRAMADO ANUAL]]</f>
        <v>-1</v>
      </c>
      <c r="AW177" s="32">
        <f>IFERROR((TABLA_AVANCE_INDICADORES[[#This Row],[DIFERENCIA ABSOLUTA ANUAL]]/TABLA_AVANCE_INDICADORES[[#This Row],[PROGRAMADO ANUAL]])*100,"N/A")</f>
        <v>-100</v>
      </c>
      <c r="AX177" s="132"/>
      <c r="AY177" s="86"/>
      <c r="AZ177" s="86"/>
      <c r="BA177" s="86"/>
      <c r="BB177"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78" spans="1:54" ht="150" hidden="1" customHeight="1" x14ac:dyDescent="0.35">
      <c r="A178" s="19" t="s">
        <v>1340</v>
      </c>
      <c r="B178" s="99" t="s">
        <v>574</v>
      </c>
      <c r="C178" s="20" t="s">
        <v>444</v>
      </c>
      <c r="D178" s="100" t="s">
        <v>445</v>
      </c>
      <c r="E178" s="20" t="s">
        <v>575</v>
      </c>
      <c r="F178" s="101" t="s">
        <v>576</v>
      </c>
      <c r="G178" s="130" t="s">
        <v>577</v>
      </c>
      <c r="H178" s="80" t="s">
        <v>1287</v>
      </c>
      <c r="I178" s="22" t="s">
        <v>1203</v>
      </c>
      <c r="J178" s="22" t="s">
        <v>176</v>
      </c>
      <c r="K178" s="80" t="s">
        <v>177</v>
      </c>
      <c r="L178" s="22" t="s">
        <v>567</v>
      </c>
      <c r="M178" s="80" t="s">
        <v>568</v>
      </c>
      <c r="N178" s="21">
        <v>1</v>
      </c>
      <c r="O178" s="21" t="s">
        <v>1341</v>
      </c>
      <c r="P178" s="110" t="s">
        <v>1342</v>
      </c>
      <c r="Q178" s="110" t="s">
        <v>1343</v>
      </c>
      <c r="R178" s="102" t="s">
        <v>1344</v>
      </c>
      <c r="S178" s="22" t="s">
        <v>239</v>
      </c>
      <c r="T178" s="42" t="s">
        <v>727</v>
      </c>
      <c r="U178" s="42" t="s">
        <v>1130</v>
      </c>
      <c r="V178" s="81">
        <v>1</v>
      </c>
      <c r="W178" s="81">
        <v>0</v>
      </c>
      <c r="X178" s="103">
        <v>0</v>
      </c>
      <c r="Y178" s="25" t="str">
        <f>IFERROR((TABLA_AVANCE_INDICADORES[[#This Row],[AVANCE 1°. TRIM]]/TABLA_AVANCE_INDICADORES[[#This Row],[PROGR. 1° TRIM]])*100,"0")</f>
        <v>0</v>
      </c>
      <c r="Z178"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78" s="104">
        <v>0</v>
      </c>
      <c r="AB178" s="105">
        <v>0</v>
      </c>
      <c r="AC178" s="27" t="str">
        <f t="shared" si="4"/>
        <v>0</v>
      </c>
      <c r="AD178" s="26" t="str">
        <f t="shared" si="5"/>
        <v>NO PROG.</v>
      </c>
      <c r="AE178" s="104">
        <v>0</v>
      </c>
      <c r="AF178" s="105">
        <v>0</v>
      </c>
      <c r="AG178" s="27" t="str">
        <f>IFERROR((TABLA_AVANCE_INDICADORES[[#This Row],[AVANCE 3°. TRIM]]/TABLA_AVANCE_INDICADORES[[#This Row],[PROGR. 3° TRIM]])*100,"0")</f>
        <v>0</v>
      </c>
      <c r="AH178"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78" s="104">
        <v>1</v>
      </c>
      <c r="AJ178" s="105">
        <v>0</v>
      </c>
      <c r="AK178" s="82">
        <f>IFERROR((TABLA_AVANCE_INDICADORES[[#This Row],[AVANCE 4°. TRIM]]/TABLA_AVANCE_INDICADORES[[#This Row],[PROGR. 4° TRIM]])*100,"0")</f>
        <v>0</v>
      </c>
      <c r="AL178"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78"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78"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78" s="27" t="str">
        <f>IFERROR((TABLA_AVANCE_INDICADORES[[#This Row],[AVANCE ACUM. TRIM.]]/TABLA_AVANCE_INDICADORES[[#This Row],[PROG. ACUM]])*100,"N/A")</f>
        <v>N/A</v>
      </c>
      <c r="AP178"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78" s="106">
        <f>TABLA_AVANCE_INDICADORES[[#This Row],[AVANCE ACUM. TRIM.]]-TABLA_AVANCE_INDICADORES[[#This Row],[PROG. ACUM]]</f>
        <v>0</v>
      </c>
      <c r="AR178" s="32" t="str">
        <f>IFERROR((TABLA_AVANCE_INDICADORES[[#This Row],[DIFERENCIA ABSOLUTA SEMESTRAL]]/TABLA_AVANCE_INDICADORES[[#This Row],[PROG. ACUM]])*100,"N/A")</f>
        <v>N/A</v>
      </c>
      <c r="AS178"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78" s="27">
        <f>IFERROR((TABLA_AVANCE_INDICADORES[[#This Row],[AVANCE ACUM. ANUAL]]/TABLA_AVANCE_INDICADORES[[#This Row],[PROGRAMADO ANUAL]])*100,"N/A")</f>
        <v>0</v>
      </c>
      <c r="AU178"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78" s="106">
        <f>TABLA_AVANCE_INDICADORES[[#This Row],[AVANCE ACUM. ANUAL]]-TABLA_AVANCE_INDICADORES[[#This Row],[PROGRAMADO ANUAL]]</f>
        <v>-1</v>
      </c>
      <c r="AW178" s="32">
        <f>IFERROR((TABLA_AVANCE_INDICADORES[[#This Row],[DIFERENCIA ABSOLUTA ANUAL]]/TABLA_AVANCE_INDICADORES[[#This Row],[PROGRAMADO ANUAL]])*100,"N/A")</f>
        <v>-100</v>
      </c>
      <c r="AX178" s="132"/>
      <c r="AY178" s="86"/>
      <c r="AZ178" s="86"/>
      <c r="BA178" s="86"/>
      <c r="BB178"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79" spans="1:54" ht="150" hidden="1" customHeight="1" x14ac:dyDescent="0.35">
      <c r="A179" s="19" t="s">
        <v>1345</v>
      </c>
      <c r="B179" s="99" t="s">
        <v>574</v>
      </c>
      <c r="C179" s="20" t="s">
        <v>444</v>
      </c>
      <c r="D179" s="100" t="s">
        <v>445</v>
      </c>
      <c r="E179" s="20" t="s">
        <v>575</v>
      </c>
      <c r="F179" s="101" t="s">
        <v>576</v>
      </c>
      <c r="G179" s="130" t="s">
        <v>577</v>
      </c>
      <c r="H179" s="80" t="s">
        <v>1287</v>
      </c>
      <c r="I179" s="22" t="s">
        <v>1203</v>
      </c>
      <c r="J179" s="22" t="s">
        <v>176</v>
      </c>
      <c r="K179" s="80" t="s">
        <v>177</v>
      </c>
      <c r="L179" s="22" t="s">
        <v>567</v>
      </c>
      <c r="M179" s="80" t="s">
        <v>568</v>
      </c>
      <c r="N179" s="21">
        <v>2</v>
      </c>
      <c r="O179" s="21" t="s">
        <v>1341</v>
      </c>
      <c r="P179" s="110" t="s">
        <v>1342</v>
      </c>
      <c r="Q179" s="110" t="s">
        <v>1346</v>
      </c>
      <c r="R179" s="102" t="s">
        <v>1344</v>
      </c>
      <c r="S179" s="22" t="s">
        <v>585</v>
      </c>
      <c r="T179" s="42" t="s">
        <v>727</v>
      </c>
      <c r="U179" s="42" t="s">
        <v>1130</v>
      </c>
      <c r="V179" s="81">
        <v>1</v>
      </c>
      <c r="W179" s="81">
        <v>0</v>
      </c>
      <c r="X179" s="103">
        <v>0</v>
      </c>
      <c r="Y179" s="25" t="str">
        <f>IFERROR((TABLA_AVANCE_INDICADORES[[#This Row],[AVANCE 1°. TRIM]]/TABLA_AVANCE_INDICADORES[[#This Row],[PROGR. 1° TRIM]])*100,"0")</f>
        <v>0</v>
      </c>
      <c r="Z179"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79" s="104">
        <v>0</v>
      </c>
      <c r="AB179" s="105">
        <v>0</v>
      </c>
      <c r="AC179" s="27" t="str">
        <f t="shared" si="4"/>
        <v>0</v>
      </c>
      <c r="AD179" s="26" t="str">
        <f t="shared" si="5"/>
        <v>NO PROG.</v>
      </c>
      <c r="AE179" s="104">
        <v>0</v>
      </c>
      <c r="AF179" s="105">
        <v>0</v>
      </c>
      <c r="AG179" s="27" t="str">
        <f>IFERROR((TABLA_AVANCE_INDICADORES[[#This Row],[AVANCE 3°. TRIM]]/TABLA_AVANCE_INDICADORES[[#This Row],[PROGR. 3° TRIM]])*100,"0")</f>
        <v>0</v>
      </c>
      <c r="AH179"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79" s="104">
        <v>1</v>
      </c>
      <c r="AJ179" s="105">
        <v>0</v>
      </c>
      <c r="AK179" s="82">
        <f>IFERROR((TABLA_AVANCE_INDICADORES[[#This Row],[AVANCE 4°. TRIM]]/TABLA_AVANCE_INDICADORES[[#This Row],[PROGR. 4° TRIM]])*100,"0")</f>
        <v>0</v>
      </c>
      <c r="AL179"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79"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79"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79" s="27" t="str">
        <f>IFERROR((TABLA_AVANCE_INDICADORES[[#This Row],[AVANCE ACUM. TRIM.]]/TABLA_AVANCE_INDICADORES[[#This Row],[PROG. ACUM]])*100,"N/A")</f>
        <v>N/A</v>
      </c>
      <c r="AP179"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79" s="106">
        <f>TABLA_AVANCE_INDICADORES[[#This Row],[AVANCE ACUM. TRIM.]]-TABLA_AVANCE_INDICADORES[[#This Row],[PROG. ACUM]]</f>
        <v>0</v>
      </c>
      <c r="AR179" s="32" t="str">
        <f>IFERROR((TABLA_AVANCE_INDICADORES[[#This Row],[DIFERENCIA ABSOLUTA SEMESTRAL]]/TABLA_AVANCE_INDICADORES[[#This Row],[PROG. ACUM]])*100,"N/A")</f>
        <v>N/A</v>
      </c>
      <c r="AS179"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79" s="27">
        <f>IFERROR((TABLA_AVANCE_INDICADORES[[#This Row],[AVANCE ACUM. ANUAL]]/TABLA_AVANCE_INDICADORES[[#This Row],[PROGRAMADO ANUAL]])*100,"N/A")</f>
        <v>0</v>
      </c>
      <c r="AU179"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79" s="106">
        <f>TABLA_AVANCE_INDICADORES[[#This Row],[AVANCE ACUM. ANUAL]]-TABLA_AVANCE_INDICADORES[[#This Row],[PROGRAMADO ANUAL]]</f>
        <v>-1</v>
      </c>
      <c r="AW179" s="32">
        <f>IFERROR((TABLA_AVANCE_INDICADORES[[#This Row],[DIFERENCIA ABSOLUTA ANUAL]]/TABLA_AVANCE_INDICADORES[[#This Row],[PROGRAMADO ANUAL]])*100,"N/A")</f>
        <v>-100</v>
      </c>
      <c r="AX179" s="132"/>
      <c r="AY179" s="86"/>
      <c r="AZ179" s="86"/>
      <c r="BA179" s="86"/>
      <c r="BB179"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80" spans="1:54" ht="150" hidden="1" customHeight="1" x14ac:dyDescent="0.35">
      <c r="A180" s="19" t="s">
        <v>1347</v>
      </c>
      <c r="B180" s="99" t="s">
        <v>445</v>
      </c>
      <c r="C180" s="20" t="s">
        <v>444</v>
      </c>
      <c r="D180" s="100" t="s">
        <v>445</v>
      </c>
      <c r="E180" s="20" t="s">
        <v>400</v>
      </c>
      <c r="F180" s="101" t="s">
        <v>401</v>
      </c>
      <c r="G180" s="130" t="s">
        <v>596</v>
      </c>
      <c r="H180" s="80" t="s">
        <v>1272</v>
      </c>
      <c r="I180" s="22" t="s">
        <v>1203</v>
      </c>
      <c r="J180" s="22" t="s">
        <v>176</v>
      </c>
      <c r="K180" s="80" t="s">
        <v>177</v>
      </c>
      <c r="L180" s="22" t="s">
        <v>528</v>
      </c>
      <c r="M180" s="80" t="s">
        <v>529</v>
      </c>
      <c r="N180" s="21">
        <v>1</v>
      </c>
      <c r="O180" s="21" t="s">
        <v>758</v>
      </c>
      <c r="P180" s="110" t="s">
        <v>1348</v>
      </c>
      <c r="Q180" s="110" t="s">
        <v>1349</v>
      </c>
      <c r="R180" s="102" t="s">
        <v>1350</v>
      </c>
      <c r="S180" s="22" t="s">
        <v>1207</v>
      </c>
      <c r="T180" s="42" t="s">
        <v>727</v>
      </c>
      <c r="U180" s="42" t="s">
        <v>1130</v>
      </c>
      <c r="V180" s="81">
        <v>31747329.48</v>
      </c>
      <c r="W180" s="81">
        <v>7762396.5</v>
      </c>
      <c r="X180" s="103">
        <v>7098382.5099999998</v>
      </c>
      <c r="Y180" s="25">
        <f>IFERROR((TABLA_AVANCE_INDICADORES[[#This Row],[AVANCE 1°. TRIM]]/TABLA_AVANCE_INDICADORES[[#This Row],[PROGR. 1° TRIM]])*100,"0")</f>
        <v>91.445760468432653</v>
      </c>
      <c r="Z180"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80" s="104">
        <v>7936832.3600000003</v>
      </c>
      <c r="AB180" s="105">
        <v>6626382.3399999999</v>
      </c>
      <c r="AC180" s="27">
        <f t="shared" si="4"/>
        <v>83.489004673899899</v>
      </c>
      <c r="AD180" s="26" t="str">
        <f t="shared" si="5"/>
        <v>REGULAR</v>
      </c>
      <c r="AE180" s="104">
        <v>8024050.3099999996</v>
      </c>
      <c r="AF180" s="105">
        <v>0</v>
      </c>
      <c r="AG180" s="27">
        <f>IFERROR((TABLA_AVANCE_INDICADORES[[#This Row],[AVANCE 3°. TRIM]]/TABLA_AVANCE_INDICADORES[[#This Row],[PROGR. 3° TRIM]])*100,"0")</f>
        <v>0</v>
      </c>
      <c r="AH180"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80" s="104">
        <v>8024050.3099999996</v>
      </c>
      <c r="AJ180" s="105">
        <v>0</v>
      </c>
      <c r="AK180" s="82">
        <f>IFERROR((TABLA_AVANCE_INDICADORES[[#This Row],[AVANCE 4°. TRIM]]/TABLA_AVANCE_INDICADORES[[#This Row],[PROGR. 4° TRIM]])*100,"0")</f>
        <v>0</v>
      </c>
      <c r="AL180"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80"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15699228.859999999</v>
      </c>
      <c r="AN180"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13724764.85</v>
      </c>
      <c r="AO180" s="27">
        <f>IFERROR((TABLA_AVANCE_INDICADORES[[#This Row],[AVANCE ACUM. TRIM.]]/TABLA_AVANCE_INDICADORES[[#This Row],[PROG. ACUM]])*100,"N/A")</f>
        <v>87.423178376418676</v>
      </c>
      <c r="AP180"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REGULAR</v>
      </c>
      <c r="AQ180" s="106">
        <f>TABLA_AVANCE_INDICADORES[[#This Row],[AVANCE ACUM. TRIM.]]-TABLA_AVANCE_INDICADORES[[#This Row],[PROG. ACUM]]</f>
        <v>-1974464.0099999998</v>
      </c>
      <c r="AR180" s="32">
        <f>IFERROR((TABLA_AVANCE_INDICADORES[[#This Row],[DIFERENCIA ABSOLUTA SEMESTRAL]]/TABLA_AVANCE_INDICADORES[[#This Row],[PROG. ACUM]])*100,"N/A")</f>
        <v>-12.576821623581324</v>
      </c>
      <c r="AS180"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13724764.85</v>
      </c>
      <c r="AT180" s="27">
        <f>IFERROR((TABLA_AVANCE_INDICADORES[[#This Row],[AVANCE ACUM. ANUAL]]/TABLA_AVANCE_INDICADORES[[#This Row],[PROGRAMADO ANUAL]])*100,"N/A")</f>
        <v>43.231242043984352</v>
      </c>
      <c r="AU180"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80" s="106">
        <f>TABLA_AVANCE_INDICADORES[[#This Row],[AVANCE ACUM. ANUAL]]-TABLA_AVANCE_INDICADORES[[#This Row],[PROGRAMADO ANUAL]]</f>
        <v>-18022564.630000003</v>
      </c>
      <c r="AW180" s="32">
        <f>IFERROR((TABLA_AVANCE_INDICADORES[[#This Row],[DIFERENCIA ABSOLUTA ANUAL]]/TABLA_AVANCE_INDICADORES[[#This Row],[PROGRAMADO ANUAL]])*100,"N/A")</f>
        <v>-56.768757956015648</v>
      </c>
      <c r="AX180" s="132"/>
      <c r="AY180" s="86"/>
      <c r="AZ180" s="86"/>
      <c r="BA180" s="86"/>
      <c r="BB180"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81" spans="1:54" ht="150" hidden="1" customHeight="1" x14ac:dyDescent="0.35">
      <c r="A181" s="19" t="s">
        <v>1351</v>
      </c>
      <c r="B181" s="99" t="s">
        <v>445</v>
      </c>
      <c r="C181" s="20" t="s">
        <v>444</v>
      </c>
      <c r="D181" s="100" t="s">
        <v>445</v>
      </c>
      <c r="E181" s="20" t="s">
        <v>400</v>
      </c>
      <c r="F181" s="101" t="s">
        <v>401</v>
      </c>
      <c r="G181" s="130" t="s">
        <v>596</v>
      </c>
      <c r="H181" s="80" t="s">
        <v>1272</v>
      </c>
      <c r="I181" s="22" t="s">
        <v>1203</v>
      </c>
      <c r="J181" s="22" t="s">
        <v>176</v>
      </c>
      <c r="K181" s="80" t="s">
        <v>177</v>
      </c>
      <c r="L181" s="22" t="s">
        <v>528</v>
      </c>
      <c r="M181" s="80" t="s">
        <v>529</v>
      </c>
      <c r="N181" s="21">
        <v>2</v>
      </c>
      <c r="O181" s="21" t="s">
        <v>758</v>
      </c>
      <c r="P181" s="110" t="s">
        <v>1348</v>
      </c>
      <c r="Q181" s="110" t="s">
        <v>1352</v>
      </c>
      <c r="R181" s="102" t="s">
        <v>1350</v>
      </c>
      <c r="S181" s="22" t="s">
        <v>1207</v>
      </c>
      <c r="T181" s="42" t="s">
        <v>727</v>
      </c>
      <c r="U181" s="42" t="s">
        <v>1130</v>
      </c>
      <c r="V181" s="81">
        <v>31747329.48</v>
      </c>
      <c r="W181" s="81">
        <v>7762396.5</v>
      </c>
      <c r="X181" s="112">
        <v>7762396.5</v>
      </c>
      <c r="Y181" s="25">
        <f>IFERROR((TABLA_AVANCE_INDICADORES[[#This Row],[AVANCE 1°. TRIM]]/TABLA_AVANCE_INDICADORES[[#This Row],[PROGR. 1° TRIM]])*100,"0")</f>
        <v>100</v>
      </c>
      <c r="Z181"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81" s="104">
        <v>7936832.3600000003</v>
      </c>
      <c r="AB181" s="113">
        <v>7936832.3600000003</v>
      </c>
      <c r="AC181" s="27">
        <f t="shared" si="4"/>
        <v>100</v>
      </c>
      <c r="AD181" s="26" t="str">
        <f t="shared" si="5"/>
        <v>ADECUADO</v>
      </c>
      <c r="AE181" s="104">
        <v>8024050.3099999996</v>
      </c>
      <c r="AF181" s="113">
        <f>AE181</f>
        <v>8024050.3099999996</v>
      </c>
      <c r="AG181" s="27">
        <f>IFERROR((TABLA_AVANCE_INDICADORES[[#This Row],[AVANCE 3°. TRIM]]/TABLA_AVANCE_INDICADORES[[#This Row],[PROGR. 3° TRIM]])*100,"0")</f>
        <v>100</v>
      </c>
      <c r="AH181"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ADECUADO</v>
      </c>
      <c r="AI181" s="104">
        <v>8024050.3099999996</v>
      </c>
      <c r="AJ181" s="113">
        <f>AI181</f>
        <v>8024050.3099999996</v>
      </c>
      <c r="AK181" s="82">
        <f>IFERROR((TABLA_AVANCE_INDICADORES[[#This Row],[AVANCE 4°. TRIM]]/TABLA_AVANCE_INDICADORES[[#This Row],[PROGR. 4° TRIM]])*100,"0")</f>
        <v>100</v>
      </c>
      <c r="AL181"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81"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15699228.859999999</v>
      </c>
      <c r="AN181"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15699228.859999999</v>
      </c>
      <c r="AO181" s="27">
        <f>IFERROR((TABLA_AVANCE_INDICADORES[[#This Row],[AVANCE ACUM. TRIM.]]/TABLA_AVANCE_INDICADORES[[#This Row],[PROG. ACUM]])*100,"N/A")</f>
        <v>100</v>
      </c>
      <c r="AP181"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81" s="106">
        <f>TABLA_AVANCE_INDICADORES[[#This Row],[AVANCE ACUM. TRIM.]]-TABLA_AVANCE_INDICADORES[[#This Row],[PROG. ACUM]]</f>
        <v>0</v>
      </c>
      <c r="AR181" s="32">
        <f>IFERROR((TABLA_AVANCE_INDICADORES[[#This Row],[DIFERENCIA ABSOLUTA SEMESTRAL]]/TABLA_AVANCE_INDICADORES[[#This Row],[PROG. ACUM]])*100,"N/A")</f>
        <v>0</v>
      </c>
      <c r="AS181"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15699228.859999999</v>
      </c>
      <c r="AT181" s="27">
        <f>IFERROR((TABLA_AVANCE_INDICADORES[[#This Row],[AVANCE ACUM. ANUAL]]/TABLA_AVANCE_INDICADORES[[#This Row],[PROGRAMADO ANUAL]])*100,"N/A")</f>
        <v>49.450549438780698</v>
      </c>
      <c r="AU181"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81" s="106">
        <f>TABLA_AVANCE_INDICADORES[[#This Row],[AVANCE ACUM. ANUAL]]-TABLA_AVANCE_INDICADORES[[#This Row],[PROGRAMADO ANUAL]]</f>
        <v>-16048100.620000001</v>
      </c>
      <c r="AW181" s="32">
        <f>IFERROR((TABLA_AVANCE_INDICADORES[[#This Row],[DIFERENCIA ABSOLUTA ANUAL]]/TABLA_AVANCE_INDICADORES[[#This Row],[PROGRAMADO ANUAL]])*100,"N/A")</f>
        <v>-50.549450561219302</v>
      </c>
      <c r="AX181" s="132"/>
      <c r="AY181" s="86"/>
      <c r="AZ181" s="86"/>
      <c r="BA181" s="86"/>
      <c r="BB181"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82" spans="1:54" ht="150" hidden="1" customHeight="1" x14ac:dyDescent="0.35">
      <c r="A182" s="19" t="s">
        <v>1353</v>
      </c>
      <c r="B182" s="99" t="s">
        <v>555</v>
      </c>
      <c r="C182" s="20" t="s">
        <v>444</v>
      </c>
      <c r="D182" s="100" t="s">
        <v>445</v>
      </c>
      <c r="E182" s="20" t="s">
        <v>556</v>
      </c>
      <c r="F182" s="101" t="s">
        <v>557</v>
      </c>
      <c r="G182" s="130" t="s">
        <v>558</v>
      </c>
      <c r="H182" s="80" t="s">
        <v>1279</v>
      </c>
      <c r="I182" s="22" t="s">
        <v>1203</v>
      </c>
      <c r="J182" s="22" t="s">
        <v>176</v>
      </c>
      <c r="K182" s="80" t="s">
        <v>177</v>
      </c>
      <c r="L182" s="22" t="s">
        <v>517</v>
      </c>
      <c r="M182" s="80" t="s">
        <v>518</v>
      </c>
      <c r="N182" s="21">
        <v>1</v>
      </c>
      <c r="O182" s="21" t="s">
        <v>798</v>
      </c>
      <c r="P182" s="110" t="s">
        <v>1354</v>
      </c>
      <c r="Q182" s="110" t="s">
        <v>1355</v>
      </c>
      <c r="R182" s="102" t="s">
        <v>1356</v>
      </c>
      <c r="S182" s="22" t="s">
        <v>1207</v>
      </c>
      <c r="T182" s="42" t="s">
        <v>727</v>
      </c>
      <c r="U182" s="42" t="s">
        <v>1130</v>
      </c>
      <c r="V182" s="81">
        <v>52912215.799999997</v>
      </c>
      <c r="W182" s="81">
        <v>12937327.49</v>
      </c>
      <c r="X182" s="103">
        <v>11682016.84</v>
      </c>
      <c r="Y182" s="25">
        <f>IFERROR((TABLA_AVANCE_INDICADORES[[#This Row],[AVANCE 1°. TRIM]]/TABLA_AVANCE_INDICADORES[[#This Row],[PROGR. 1° TRIM]])*100,"0")</f>
        <v>90.296986367777251</v>
      </c>
      <c r="Z182"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82" s="104">
        <v>13228053.949999999</v>
      </c>
      <c r="AB182" s="105">
        <v>12593069</v>
      </c>
      <c r="AC182" s="27">
        <f t="shared" si="4"/>
        <v>95.199710007230507</v>
      </c>
      <c r="AD182" s="26" t="str">
        <f t="shared" si="5"/>
        <v>ADECUADO</v>
      </c>
      <c r="AE182" s="104">
        <v>13373417.18</v>
      </c>
      <c r="AF182" s="105">
        <v>0</v>
      </c>
      <c r="AG182" s="27">
        <f>IFERROR((TABLA_AVANCE_INDICADORES[[#This Row],[AVANCE 3°. TRIM]]/TABLA_AVANCE_INDICADORES[[#This Row],[PROGR. 3° TRIM]])*100,"0")</f>
        <v>0</v>
      </c>
      <c r="AH182"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82" s="104">
        <v>13373417.18</v>
      </c>
      <c r="AJ182" s="105">
        <v>0</v>
      </c>
      <c r="AK182" s="82">
        <f>IFERROR((TABLA_AVANCE_INDICADORES[[#This Row],[AVANCE 4°. TRIM]]/TABLA_AVANCE_INDICADORES[[#This Row],[PROGR. 4° TRIM]])*100,"0")</f>
        <v>0</v>
      </c>
      <c r="AL182"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82"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26165381.439999998</v>
      </c>
      <c r="AN182"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24275085.84</v>
      </c>
      <c r="AO182" s="27">
        <f>IFERROR((TABLA_AVANCE_INDICADORES[[#This Row],[AVANCE ACUM. TRIM.]]/TABLA_AVANCE_INDICADORES[[#This Row],[PROG. ACUM]])*100,"N/A")</f>
        <v>92.775585541014777</v>
      </c>
      <c r="AP182"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82" s="106">
        <f>TABLA_AVANCE_INDICADORES[[#This Row],[AVANCE ACUM. TRIM.]]-TABLA_AVANCE_INDICADORES[[#This Row],[PROG. ACUM]]</f>
        <v>-1890295.5999999978</v>
      </c>
      <c r="AR182" s="32">
        <f>IFERROR((TABLA_AVANCE_INDICADORES[[#This Row],[DIFERENCIA ABSOLUTA SEMESTRAL]]/TABLA_AVANCE_INDICADORES[[#This Row],[PROG. ACUM]])*100,"N/A")</f>
        <v>-7.2244144589852306</v>
      </c>
      <c r="AS182"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24275085.84</v>
      </c>
      <c r="AT182" s="27">
        <f>IFERROR((TABLA_AVANCE_INDICADORES[[#This Row],[AVANCE ACUM. ANUAL]]/TABLA_AVANCE_INDICADORES[[#This Row],[PROGRAMADO ANUAL]])*100,"N/A")</f>
        <v>45.878036806767028</v>
      </c>
      <c r="AU182"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82" s="106">
        <f>TABLA_AVANCE_INDICADORES[[#This Row],[AVANCE ACUM. ANUAL]]-TABLA_AVANCE_INDICADORES[[#This Row],[PROGRAMADO ANUAL]]</f>
        <v>-28637129.959999997</v>
      </c>
      <c r="AW182" s="32">
        <f>IFERROR((TABLA_AVANCE_INDICADORES[[#This Row],[DIFERENCIA ABSOLUTA ANUAL]]/TABLA_AVANCE_INDICADORES[[#This Row],[PROGRAMADO ANUAL]])*100,"N/A")</f>
        <v>-54.121963193232972</v>
      </c>
      <c r="AX182" s="132"/>
      <c r="AY182" s="86"/>
      <c r="AZ182" s="86"/>
      <c r="BA182" s="86"/>
      <c r="BB182"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83" spans="1:54" ht="150" hidden="1" customHeight="1" x14ac:dyDescent="0.35">
      <c r="A183" s="19" t="s">
        <v>1357</v>
      </c>
      <c r="B183" s="99" t="s">
        <v>555</v>
      </c>
      <c r="C183" s="20" t="s">
        <v>444</v>
      </c>
      <c r="D183" s="100" t="s">
        <v>445</v>
      </c>
      <c r="E183" s="20" t="s">
        <v>556</v>
      </c>
      <c r="F183" s="101" t="s">
        <v>557</v>
      </c>
      <c r="G183" s="130" t="s">
        <v>558</v>
      </c>
      <c r="H183" s="80" t="s">
        <v>1279</v>
      </c>
      <c r="I183" s="22" t="s">
        <v>1203</v>
      </c>
      <c r="J183" s="22" t="s">
        <v>176</v>
      </c>
      <c r="K183" s="80" t="s">
        <v>177</v>
      </c>
      <c r="L183" s="22" t="s">
        <v>517</v>
      </c>
      <c r="M183" s="80" t="s">
        <v>518</v>
      </c>
      <c r="N183" s="21">
        <v>2</v>
      </c>
      <c r="O183" s="21" t="s">
        <v>798</v>
      </c>
      <c r="P183" s="110" t="s">
        <v>1354</v>
      </c>
      <c r="Q183" s="110" t="s">
        <v>1358</v>
      </c>
      <c r="R183" s="102" t="s">
        <v>1356</v>
      </c>
      <c r="S183" s="22" t="s">
        <v>1207</v>
      </c>
      <c r="T183" s="42" t="s">
        <v>727</v>
      </c>
      <c r="U183" s="42" t="s">
        <v>1130</v>
      </c>
      <c r="V183" s="81">
        <v>52912215.799999997</v>
      </c>
      <c r="W183" s="81">
        <v>12937327.49</v>
      </c>
      <c r="X183" s="112">
        <v>12937327.49</v>
      </c>
      <c r="Y183" s="25">
        <f>IFERROR((TABLA_AVANCE_INDICADORES[[#This Row],[AVANCE 1°. TRIM]]/TABLA_AVANCE_INDICADORES[[#This Row],[PROGR. 1° TRIM]])*100,"0")</f>
        <v>100</v>
      </c>
      <c r="Z183"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83" s="104">
        <v>13228053.949999999</v>
      </c>
      <c r="AB183" s="113">
        <v>13228053.949999999</v>
      </c>
      <c r="AC183" s="27">
        <f t="shared" si="4"/>
        <v>100</v>
      </c>
      <c r="AD183" s="26" t="str">
        <f t="shared" si="5"/>
        <v>ADECUADO</v>
      </c>
      <c r="AE183" s="104">
        <v>13373417.18</v>
      </c>
      <c r="AF183" s="113">
        <f>AE183</f>
        <v>13373417.18</v>
      </c>
      <c r="AG183" s="27">
        <f>IFERROR((TABLA_AVANCE_INDICADORES[[#This Row],[AVANCE 3°. TRIM]]/TABLA_AVANCE_INDICADORES[[#This Row],[PROGR. 3° TRIM]])*100,"0")</f>
        <v>100</v>
      </c>
      <c r="AH183"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ADECUADO</v>
      </c>
      <c r="AI183" s="104">
        <v>13373417.18</v>
      </c>
      <c r="AJ183" s="113">
        <f>AI183</f>
        <v>13373417.18</v>
      </c>
      <c r="AK183" s="82">
        <f>IFERROR((TABLA_AVANCE_INDICADORES[[#This Row],[AVANCE 4°. TRIM]]/TABLA_AVANCE_INDICADORES[[#This Row],[PROGR. 4° TRIM]])*100,"0")</f>
        <v>100</v>
      </c>
      <c r="AL183"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83"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26165381.439999998</v>
      </c>
      <c r="AN183"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26165381.439999998</v>
      </c>
      <c r="AO183" s="27">
        <f>IFERROR((TABLA_AVANCE_INDICADORES[[#This Row],[AVANCE ACUM. TRIM.]]/TABLA_AVANCE_INDICADORES[[#This Row],[PROG. ACUM]])*100,"N/A")</f>
        <v>100</v>
      </c>
      <c r="AP183"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83" s="106">
        <f>TABLA_AVANCE_INDICADORES[[#This Row],[AVANCE ACUM. TRIM.]]-TABLA_AVANCE_INDICADORES[[#This Row],[PROG. ACUM]]</f>
        <v>0</v>
      </c>
      <c r="AR183" s="32">
        <f>IFERROR((TABLA_AVANCE_INDICADORES[[#This Row],[DIFERENCIA ABSOLUTA SEMESTRAL]]/TABLA_AVANCE_INDICADORES[[#This Row],[PROG. ACUM]])*100,"N/A")</f>
        <v>0</v>
      </c>
      <c r="AS183"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26165381.439999998</v>
      </c>
      <c r="AT183" s="27">
        <f>IFERROR((TABLA_AVANCE_INDICADORES[[#This Row],[AVANCE ACUM. ANUAL]]/TABLA_AVANCE_INDICADORES[[#This Row],[PROGRAMADO ANUAL]])*100,"N/A")</f>
        <v>49.450549451380184</v>
      </c>
      <c r="AU183"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83" s="106">
        <f>TABLA_AVANCE_INDICADORES[[#This Row],[AVANCE ACUM. ANUAL]]-TABLA_AVANCE_INDICADORES[[#This Row],[PROGRAMADO ANUAL]]</f>
        <v>-26746834.359999999</v>
      </c>
      <c r="AW183" s="32">
        <f>IFERROR((TABLA_AVANCE_INDICADORES[[#This Row],[DIFERENCIA ABSOLUTA ANUAL]]/TABLA_AVANCE_INDICADORES[[#This Row],[PROGRAMADO ANUAL]])*100,"N/A")</f>
        <v>-50.549450548619809</v>
      </c>
      <c r="AX183" s="132"/>
      <c r="AY183" s="86"/>
      <c r="AZ183" s="86"/>
      <c r="BA183" s="86"/>
      <c r="BB183"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84" spans="1:54" ht="150" hidden="1" customHeight="1" x14ac:dyDescent="0.35">
      <c r="A184" s="19" t="s">
        <v>1359</v>
      </c>
      <c r="B184" s="99" t="s">
        <v>603</v>
      </c>
      <c r="C184" s="20" t="s">
        <v>444</v>
      </c>
      <c r="D184" s="100" t="s">
        <v>445</v>
      </c>
      <c r="E184" s="20" t="s">
        <v>525</v>
      </c>
      <c r="F184" s="101" t="s">
        <v>526</v>
      </c>
      <c r="G184" s="130" t="s">
        <v>604</v>
      </c>
      <c r="H184" s="80" t="s">
        <v>1302</v>
      </c>
      <c r="I184" s="22" t="s">
        <v>1203</v>
      </c>
      <c r="J184" s="22" t="s">
        <v>176</v>
      </c>
      <c r="K184" s="80" t="s">
        <v>177</v>
      </c>
      <c r="L184" s="22" t="s">
        <v>517</v>
      </c>
      <c r="M184" s="80" t="s">
        <v>518</v>
      </c>
      <c r="N184" s="21">
        <v>1</v>
      </c>
      <c r="O184" s="21" t="s">
        <v>805</v>
      </c>
      <c r="P184" s="110" t="s">
        <v>1360</v>
      </c>
      <c r="Q184" s="110" t="s">
        <v>1361</v>
      </c>
      <c r="R184" s="102" t="s">
        <v>1362</v>
      </c>
      <c r="S184" s="22" t="s">
        <v>1207</v>
      </c>
      <c r="T184" s="42" t="s">
        <v>727</v>
      </c>
      <c r="U184" s="42" t="s">
        <v>1130</v>
      </c>
      <c r="V184" s="81">
        <v>21164886.32</v>
      </c>
      <c r="W184" s="81">
        <v>5174931</v>
      </c>
      <c r="X184" s="103">
        <v>4584634.33</v>
      </c>
      <c r="Y184" s="25">
        <f>IFERROR((TABLA_AVANCE_INDICADORES[[#This Row],[AVANCE 1°. TRIM]]/TABLA_AVANCE_INDICADORES[[#This Row],[PROGR. 1° TRIM]])*100,"0")</f>
        <v>88.59314897145488</v>
      </c>
      <c r="Z184"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REGULAR</v>
      </c>
      <c r="AA184" s="104">
        <v>5291221.58</v>
      </c>
      <c r="AB184" s="105">
        <v>4966687</v>
      </c>
      <c r="AC184" s="27">
        <f t="shared" si="4"/>
        <v>93.866547165087724</v>
      </c>
      <c r="AD184" s="26" t="str">
        <f t="shared" si="5"/>
        <v>ADECUADO</v>
      </c>
      <c r="AE184" s="104">
        <v>5349366.87</v>
      </c>
      <c r="AF184" s="105">
        <v>0</v>
      </c>
      <c r="AG184" s="27">
        <f>IFERROR((TABLA_AVANCE_INDICADORES[[#This Row],[AVANCE 3°. TRIM]]/TABLA_AVANCE_INDICADORES[[#This Row],[PROGR. 3° TRIM]])*100,"0")</f>
        <v>0</v>
      </c>
      <c r="AH184"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84" s="104">
        <v>5349366.87</v>
      </c>
      <c r="AJ184" s="105">
        <v>0</v>
      </c>
      <c r="AK184" s="82">
        <f>IFERROR((TABLA_AVANCE_INDICADORES[[#This Row],[AVANCE 4°. TRIM]]/TABLA_AVANCE_INDICADORES[[#This Row],[PROGR. 4° TRIM]])*100,"0")</f>
        <v>0</v>
      </c>
      <c r="AL184"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84"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10466152.58</v>
      </c>
      <c r="AN184"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9551321.3300000001</v>
      </c>
      <c r="AO184" s="27">
        <f>IFERROR((TABLA_AVANCE_INDICADORES[[#This Row],[AVANCE ACUM. TRIM.]]/TABLA_AVANCE_INDICADORES[[#This Row],[PROG. ACUM]])*100,"N/A")</f>
        <v>91.259144723838915</v>
      </c>
      <c r="AP184"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84" s="106">
        <f>TABLA_AVANCE_INDICADORES[[#This Row],[AVANCE ACUM. TRIM.]]-TABLA_AVANCE_INDICADORES[[#This Row],[PROG. ACUM]]</f>
        <v>-914831.25</v>
      </c>
      <c r="AR184" s="32">
        <f>IFERROR((TABLA_AVANCE_INDICADORES[[#This Row],[DIFERENCIA ABSOLUTA SEMESTRAL]]/TABLA_AVANCE_INDICADORES[[#This Row],[PROG. ACUM]])*100,"N/A")</f>
        <v>-8.7408552761610903</v>
      </c>
      <c r="AS184"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9551321.3300000001</v>
      </c>
      <c r="AT184" s="27">
        <f>IFERROR((TABLA_AVANCE_INDICADORES[[#This Row],[AVANCE ACUM. ANUAL]]/TABLA_AVANCE_INDICADORES[[#This Row],[PROGRAMADO ANUAL]])*100,"N/A")</f>
        <v>45.128148507815844</v>
      </c>
      <c r="AU184"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84" s="106">
        <f>TABLA_AVANCE_INDICADORES[[#This Row],[AVANCE ACUM. ANUAL]]-TABLA_AVANCE_INDICADORES[[#This Row],[PROGRAMADO ANUAL]]</f>
        <v>-11613564.99</v>
      </c>
      <c r="AW184" s="32">
        <f>IFERROR((TABLA_AVANCE_INDICADORES[[#This Row],[DIFERENCIA ABSOLUTA ANUAL]]/TABLA_AVANCE_INDICADORES[[#This Row],[PROGRAMADO ANUAL]])*100,"N/A")</f>
        <v>-54.871851492184156</v>
      </c>
      <c r="AX184" s="132" t="s">
        <v>1363</v>
      </c>
      <c r="AY184" s="86"/>
      <c r="AZ184" s="86"/>
      <c r="BA184" s="86"/>
      <c r="BB184"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85" spans="1:54" ht="150" hidden="1" customHeight="1" x14ac:dyDescent="0.35">
      <c r="A185" s="19" t="s">
        <v>1364</v>
      </c>
      <c r="B185" s="99" t="s">
        <v>603</v>
      </c>
      <c r="C185" s="20" t="s">
        <v>444</v>
      </c>
      <c r="D185" s="100" t="s">
        <v>445</v>
      </c>
      <c r="E185" s="20" t="s">
        <v>525</v>
      </c>
      <c r="F185" s="101" t="s">
        <v>526</v>
      </c>
      <c r="G185" s="130" t="s">
        <v>604</v>
      </c>
      <c r="H185" s="80" t="s">
        <v>1302</v>
      </c>
      <c r="I185" s="22" t="s">
        <v>1203</v>
      </c>
      <c r="J185" s="22" t="s">
        <v>176</v>
      </c>
      <c r="K185" s="80" t="s">
        <v>177</v>
      </c>
      <c r="L185" s="22" t="s">
        <v>517</v>
      </c>
      <c r="M185" s="80" t="s">
        <v>518</v>
      </c>
      <c r="N185" s="21">
        <v>2</v>
      </c>
      <c r="O185" s="21" t="s">
        <v>805</v>
      </c>
      <c r="P185" s="110" t="s">
        <v>1360</v>
      </c>
      <c r="Q185" s="110" t="s">
        <v>1365</v>
      </c>
      <c r="R185" s="102" t="s">
        <v>1362</v>
      </c>
      <c r="S185" s="22" t="s">
        <v>1207</v>
      </c>
      <c r="T185" s="42" t="s">
        <v>727</v>
      </c>
      <c r="U185" s="42" t="s">
        <v>1130</v>
      </c>
      <c r="V185" s="81">
        <v>21164886.32</v>
      </c>
      <c r="W185" s="81">
        <v>5174931</v>
      </c>
      <c r="X185" s="112">
        <v>5174931</v>
      </c>
      <c r="Y185" s="25">
        <f>IFERROR((TABLA_AVANCE_INDICADORES[[#This Row],[AVANCE 1°. TRIM]]/TABLA_AVANCE_INDICADORES[[#This Row],[PROGR. 1° TRIM]])*100,"0")</f>
        <v>100</v>
      </c>
      <c r="Z185"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85" s="104">
        <v>5291221.58</v>
      </c>
      <c r="AB185" s="113">
        <v>5291221.58</v>
      </c>
      <c r="AC185" s="27">
        <f t="shared" si="4"/>
        <v>100</v>
      </c>
      <c r="AD185" s="26" t="str">
        <f t="shared" si="5"/>
        <v>ADECUADO</v>
      </c>
      <c r="AE185" s="104">
        <v>5349366.87</v>
      </c>
      <c r="AF185" s="113">
        <f>AE185</f>
        <v>5349366.87</v>
      </c>
      <c r="AG185" s="27">
        <f>IFERROR((TABLA_AVANCE_INDICADORES[[#This Row],[AVANCE 3°. TRIM]]/TABLA_AVANCE_INDICADORES[[#This Row],[PROGR. 3° TRIM]])*100,"0")</f>
        <v>100</v>
      </c>
      <c r="AH185"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ADECUADO</v>
      </c>
      <c r="AI185" s="104">
        <v>5349366.87</v>
      </c>
      <c r="AJ185" s="113">
        <f>AI185</f>
        <v>5349366.87</v>
      </c>
      <c r="AK185" s="82">
        <f>IFERROR((TABLA_AVANCE_INDICADORES[[#This Row],[AVANCE 4°. TRIM]]/TABLA_AVANCE_INDICADORES[[#This Row],[PROGR. 4° TRIM]])*100,"0")</f>
        <v>100</v>
      </c>
      <c r="AL185"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85"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10466152.58</v>
      </c>
      <c r="AN185"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10466152.58</v>
      </c>
      <c r="AO185" s="27">
        <f>IFERROR((TABLA_AVANCE_INDICADORES[[#This Row],[AVANCE ACUM. TRIM.]]/TABLA_AVANCE_INDICADORES[[#This Row],[PROG. ACUM]])*100,"N/A")</f>
        <v>100</v>
      </c>
      <c r="AP185"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85" s="106">
        <f>TABLA_AVANCE_INDICADORES[[#This Row],[AVANCE ACUM. TRIM.]]-TABLA_AVANCE_INDICADORES[[#This Row],[PROG. ACUM]]</f>
        <v>0</v>
      </c>
      <c r="AR185" s="32">
        <f>IFERROR((TABLA_AVANCE_INDICADORES[[#This Row],[DIFERENCIA ABSOLUTA SEMESTRAL]]/TABLA_AVANCE_INDICADORES[[#This Row],[PROG. ACUM]])*100,"N/A")</f>
        <v>0</v>
      </c>
      <c r="AS185"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10466152.58</v>
      </c>
      <c r="AT185" s="27">
        <f>IFERROR((TABLA_AVANCE_INDICADORES[[#This Row],[AVANCE ACUM. ANUAL]]/TABLA_AVANCE_INDICADORES[[#This Row],[PROGRAMADO ANUAL]])*100,"N/A")</f>
        <v>49.450549470279412</v>
      </c>
      <c r="AU185"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85" s="106">
        <f>TABLA_AVANCE_INDICADORES[[#This Row],[AVANCE ACUM. ANUAL]]-TABLA_AVANCE_INDICADORES[[#This Row],[PROGRAMADO ANUAL]]</f>
        <v>-10698733.74</v>
      </c>
      <c r="AW185" s="32">
        <f>IFERROR((TABLA_AVANCE_INDICADORES[[#This Row],[DIFERENCIA ABSOLUTA ANUAL]]/TABLA_AVANCE_INDICADORES[[#This Row],[PROGRAMADO ANUAL]])*100,"N/A")</f>
        <v>-50.549450529720588</v>
      </c>
      <c r="AX185" s="132" t="s">
        <v>1363</v>
      </c>
      <c r="AY185" s="86"/>
      <c r="AZ185" s="86"/>
      <c r="BA185" s="86"/>
      <c r="BB185"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86" spans="1:54" ht="150" hidden="1" customHeight="1" x14ac:dyDescent="0.35">
      <c r="A186" s="19" t="s">
        <v>1366</v>
      </c>
      <c r="B186" s="99" t="s">
        <v>603</v>
      </c>
      <c r="C186" s="20" t="s">
        <v>444</v>
      </c>
      <c r="D186" s="100" t="s">
        <v>445</v>
      </c>
      <c r="E186" s="20" t="s">
        <v>525</v>
      </c>
      <c r="F186" s="101" t="s">
        <v>526</v>
      </c>
      <c r="G186" s="130" t="s">
        <v>604</v>
      </c>
      <c r="H186" s="80" t="s">
        <v>1302</v>
      </c>
      <c r="I186" s="22" t="s">
        <v>1203</v>
      </c>
      <c r="J186" s="22" t="s">
        <v>176</v>
      </c>
      <c r="K186" s="80" t="s">
        <v>177</v>
      </c>
      <c r="L186" s="22" t="s">
        <v>517</v>
      </c>
      <c r="M186" s="80" t="s">
        <v>518</v>
      </c>
      <c r="N186" s="21">
        <v>1</v>
      </c>
      <c r="O186" s="21" t="s">
        <v>1077</v>
      </c>
      <c r="P186" s="110" t="s">
        <v>1367</v>
      </c>
      <c r="Q186" s="110" t="s">
        <v>1368</v>
      </c>
      <c r="R186" s="102" t="s">
        <v>1369</v>
      </c>
      <c r="S186" s="22" t="s">
        <v>1207</v>
      </c>
      <c r="T186" s="42" t="s">
        <v>727</v>
      </c>
      <c r="U186" s="42" t="s">
        <v>1130</v>
      </c>
      <c r="V186" s="81">
        <v>52912215.799999997</v>
      </c>
      <c r="W186" s="81">
        <v>12937327.49</v>
      </c>
      <c r="X186" s="103">
        <v>11682016.84</v>
      </c>
      <c r="Y186" s="25">
        <f>IFERROR((TABLA_AVANCE_INDICADORES[[#This Row],[AVANCE 1°. TRIM]]/TABLA_AVANCE_INDICADORES[[#This Row],[PROGR. 1° TRIM]])*100,"0")</f>
        <v>90.296986367777251</v>
      </c>
      <c r="Z186"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86" s="104">
        <v>13228053.949999999</v>
      </c>
      <c r="AB186" s="105">
        <v>12593069.82</v>
      </c>
      <c r="AC186" s="27">
        <f t="shared" si="4"/>
        <v>95.199716206177115</v>
      </c>
      <c r="AD186" s="26" t="str">
        <f t="shared" si="5"/>
        <v>ADECUADO</v>
      </c>
      <c r="AE186" s="104">
        <v>13373417.18</v>
      </c>
      <c r="AF186" s="105">
        <v>0</v>
      </c>
      <c r="AG186" s="27">
        <f>IFERROR((TABLA_AVANCE_INDICADORES[[#This Row],[AVANCE 3°. TRIM]]/TABLA_AVANCE_INDICADORES[[#This Row],[PROGR. 3° TRIM]])*100,"0")</f>
        <v>0</v>
      </c>
      <c r="AH186"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86" s="104">
        <v>13373417.18</v>
      </c>
      <c r="AJ186" s="105">
        <v>0</v>
      </c>
      <c r="AK186" s="82">
        <f>IFERROR((TABLA_AVANCE_INDICADORES[[#This Row],[AVANCE 4°. TRIM]]/TABLA_AVANCE_INDICADORES[[#This Row],[PROGR. 4° TRIM]])*100,"0")</f>
        <v>0</v>
      </c>
      <c r="AL186"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86"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26165381.439999998</v>
      </c>
      <c r="AN186"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24275086.66</v>
      </c>
      <c r="AO186" s="27">
        <f>IFERROR((TABLA_AVANCE_INDICADORES[[#This Row],[AVANCE ACUM. TRIM.]]/TABLA_AVANCE_INDICADORES[[#This Row],[PROG. ACUM]])*100,"N/A")</f>
        <v>92.775588674926652</v>
      </c>
      <c r="AP186"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86" s="106">
        <f>TABLA_AVANCE_INDICADORES[[#This Row],[AVANCE ACUM. TRIM.]]-TABLA_AVANCE_INDICADORES[[#This Row],[PROG. ACUM]]</f>
        <v>-1890294.7799999975</v>
      </c>
      <c r="AR186" s="32">
        <f>IFERROR((TABLA_AVANCE_INDICADORES[[#This Row],[DIFERENCIA ABSOLUTA SEMESTRAL]]/TABLA_AVANCE_INDICADORES[[#This Row],[PROG. ACUM]])*100,"N/A")</f>
        <v>-7.2244113250733388</v>
      </c>
      <c r="AS186"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24275086.66</v>
      </c>
      <c r="AT186" s="27">
        <f>IFERROR((TABLA_AVANCE_INDICADORES[[#This Row],[AVANCE ACUM. ANUAL]]/TABLA_AVANCE_INDICADORES[[#This Row],[PROGRAMADO ANUAL]])*100,"N/A")</f>
        <v>45.87803835650368</v>
      </c>
      <c r="AU186"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86" s="106">
        <f>TABLA_AVANCE_INDICADORES[[#This Row],[AVANCE ACUM. ANUAL]]-TABLA_AVANCE_INDICADORES[[#This Row],[PROGRAMADO ANUAL]]</f>
        <v>-28637129.139999997</v>
      </c>
      <c r="AW186" s="32">
        <f>IFERROR((TABLA_AVANCE_INDICADORES[[#This Row],[DIFERENCIA ABSOLUTA ANUAL]]/TABLA_AVANCE_INDICADORES[[#This Row],[PROGRAMADO ANUAL]])*100,"N/A")</f>
        <v>-54.12196164349632</v>
      </c>
      <c r="AX186" s="132"/>
      <c r="AY186" s="86"/>
      <c r="AZ186" s="86"/>
      <c r="BA186" s="86"/>
      <c r="BB186"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87" spans="1:54" ht="150" hidden="1" customHeight="1" x14ac:dyDescent="0.35">
      <c r="A187" s="19" t="s">
        <v>1370</v>
      </c>
      <c r="B187" s="99" t="s">
        <v>603</v>
      </c>
      <c r="C187" s="20" t="s">
        <v>444</v>
      </c>
      <c r="D187" s="100" t="s">
        <v>445</v>
      </c>
      <c r="E187" s="20" t="s">
        <v>525</v>
      </c>
      <c r="F187" s="101" t="s">
        <v>526</v>
      </c>
      <c r="G187" s="130" t="s">
        <v>604</v>
      </c>
      <c r="H187" s="80" t="s">
        <v>1302</v>
      </c>
      <c r="I187" s="22" t="s">
        <v>1203</v>
      </c>
      <c r="J187" s="22" t="s">
        <v>176</v>
      </c>
      <c r="K187" s="80" t="s">
        <v>177</v>
      </c>
      <c r="L187" s="22" t="s">
        <v>517</v>
      </c>
      <c r="M187" s="80" t="s">
        <v>518</v>
      </c>
      <c r="N187" s="21">
        <v>2</v>
      </c>
      <c r="O187" s="21" t="s">
        <v>1077</v>
      </c>
      <c r="P187" s="110" t="s">
        <v>1367</v>
      </c>
      <c r="Q187" s="110" t="s">
        <v>1371</v>
      </c>
      <c r="R187" s="102" t="s">
        <v>1369</v>
      </c>
      <c r="S187" s="22" t="s">
        <v>1207</v>
      </c>
      <c r="T187" s="42" t="s">
        <v>727</v>
      </c>
      <c r="U187" s="42" t="s">
        <v>1130</v>
      </c>
      <c r="V187" s="81">
        <v>52912215.799999997</v>
      </c>
      <c r="W187" s="81">
        <v>12937327.49</v>
      </c>
      <c r="X187" s="112">
        <v>12937327.49</v>
      </c>
      <c r="Y187" s="25">
        <f>IFERROR((TABLA_AVANCE_INDICADORES[[#This Row],[AVANCE 1°. TRIM]]/TABLA_AVANCE_INDICADORES[[#This Row],[PROGR. 1° TRIM]])*100,"0")</f>
        <v>100</v>
      </c>
      <c r="Z187"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87" s="104">
        <v>13228053.949999999</v>
      </c>
      <c r="AB187" s="113">
        <v>13228053.949999999</v>
      </c>
      <c r="AC187" s="27">
        <f t="shared" si="4"/>
        <v>100</v>
      </c>
      <c r="AD187" s="26" t="str">
        <f t="shared" si="5"/>
        <v>ADECUADO</v>
      </c>
      <c r="AE187" s="104">
        <v>13373417.18</v>
      </c>
      <c r="AF187" s="113">
        <f>AE187</f>
        <v>13373417.18</v>
      </c>
      <c r="AG187" s="27">
        <f>IFERROR((TABLA_AVANCE_INDICADORES[[#This Row],[AVANCE 3°. TRIM]]/TABLA_AVANCE_INDICADORES[[#This Row],[PROGR. 3° TRIM]])*100,"0")</f>
        <v>100</v>
      </c>
      <c r="AH187"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ADECUADO</v>
      </c>
      <c r="AI187" s="104">
        <v>13373417.18</v>
      </c>
      <c r="AJ187" s="113">
        <f>AI187</f>
        <v>13373417.18</v>
      </c>
      <c r="AK187" s="82">
        <f>IFERROR((TABLA_AVANCE_INDICADORES[[#This Row],[AVANCE 4°. TRIM]]/TABLA_AVANCE_INDICADORES[[#This Row],[PROGR. 4° TRIM]])*100,"0")</f>
        <v>100</v>
      </c>
      <c r="AL187"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87"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26165381.439999998</v>
      </c>
      <c r="AN187"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26165381.439999998</v>
      </c>
      <c r="AO187" s="27">
        <f>IFERROR((TABLA_AVANCE_INDICADORES[[#This Row],[AVANCE ACUM. TRIM.]]/TABLA_AVANCE_INDICADORES[[#This Row],[PROG. ACUM]])*100,"N/A")</f>
        <v>100</v>
      </c>
      <c r="AP187"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87" s="106">
        <f>TABLA_AVANCE_INDICADORES[[#This Row],[AVANCE ACUM. TRIM.]]-TABLA_AVANCE_INDICADORES[[#This Row],[PROG. ACUM]]</f>
        <v>0</v>
      </c>
      <c r="AR187" s="32">
        <f>IFERROR((TABLA_AVANCE_INDICADORES[[#This Row],[DIFERENCIA ABSOLUTA SEMESTRAL]]/TABLA_AVANCE_INDICADORES[[#This Row],[PROG. ACUM]])*100,"N/A")</f>
        <v>0</v>
      </c>
      <c r="AS187"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26165381.439999998</v>
      </c>
      <c r="AT187" s="27">
        <f>IFERROR((TABLA_AVANCE_INDICADORES[[#This Row],[AVANCE ACUM. ANUAL]]/TABLA_AVANCE_INDICADORES[[#This Row],[PROGRAMADO ANUAL]])*100,"N/A")</f>
        <v>49.450549451380184</v>
      </c>
      <c r="AU187"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87" s="106">
        <f>TABLA_AVANCE_INDICADORES[[#This Row],[AVANCE ACUM. ANUAL]]-TABLA_AVANCE_INDICADORES[[#This Row],[PROGRAMADO ANUAL]]</f>
        <v>-26746834.359999999</v>
      </c>
      <c r="AW187" s="32">
        <f>IFERROR((TABLA_AVANCE_INDICADORES[[#This Row],[DIFERENCIA ABSOLUTA ANUAL]]/TABLA_AVANCE_INDICADORES[[#This Row],[PROGRAMADO ANUAL]])*100,"N/A")</f>
        <v>-50.549450548619809</v>
      </c>
      <c r="AX187" s="132"/>
      <c r="AY187" s="86"/>
      <c r="AZ187" s="86"/>
      <c r="BA187" s="86"/>
      <c r="BB187"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88" spans="1:54" ht="150" hidden="1" customHeight="1" x14ac:dyDescent="0.35">
      <c r="A188" s="19" t="s">
        <v>1372</v>
      </c>
      <c r="B188" s="99" t="s">
        <v>603</v>
      </c>
      <c r="C188" s="20" t="s">
        <v>444</v>
      </c>
      <c r="D188" s="100" t="s">
        <v>445</v>
      </c>
      <c r="E188" s="20" t="s">
        <v>525</v>
      </c>
      <c r="F188" s="101" t="s">
        <v>526</v>
      </c>
      <c r="G188" s="130" t="s">
        <v>604</v>
      </c>
      <c r="H188" s="80" t="s">
        <v>1302</v>
      </c>
      <c r="I188" s="22" t="s">
        <v>1203</v>
      </c>
      <c r="J188" s="22" t="s">
        <v>176</v>
      </c>
      <c r="K188" s="80" t="s">
        <v>177</v>
      </c>
      <c r="L188" s="22" t="s">
        <v>517</v>
      </c>
      <c r="M188" s="80" t="s">
        <v>518</v>
      </c>
      <c r="N188" s="21">
        <v>1</v>
      </c>
      <c r="O188" s="21" t="s">
        <v>937</v>
      </c>
      <c r="P188" s="110" t="s">
        <v>1373</v>
      </c>
      <c r="Q188" s="110" t="s">
        <v>1374</v>
      </c>
      <c r="R188" s="102" t="s">
        <v>1375</v>
      </c>
      <c r="S188" s="22" t="s">
        <v>549</v>
      </c>
      <c r="T188" s="42" t="s">
        <v>727</v>
      </c>
      <c r="U188" s="42" t="s">
        <v>1130</v>
      </c>
      <c r="V188" s="81">
        <v>13000</v>
      </c>
      <c r="W188" s="81">
        <v>3650</v>
      </c>
      <c r="X188" s="103">
        <v>2769</v>
      </c>
      <c r="Y188" s="25">
        <f>IFERROR((TABLA_AVANCE_INDICADORES[[#This Row],[AVANCE 1°. TRIM]]/TABLA_AVANCE_INDICADORES[[#This Row],[PROGR. 1° TRIM]])*100,"0")</f>
        <v>75.863013698630127</v>
      </c>
      <c r="Z188"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REGULAR</v>
      </c>
      <c r="AA188" s="104">
        <v>3950</v>
      </c>
      <c r="AB188" s="105">
        <v>2921</v>
      </c>
      <c r="AC188" s="27">
        <f t="shared" si="4"/>
        <v>73.949367088607602</v>
      </c>
      <c r="AD188" s="26" t="str">
        <f t="shared" si="5"/>
        <v>REGULAR</v>
      </c>
      <c r="AE188" s="104">
        <v>3050</v>
      </c>
      <c r="AF188" s="105">
        <v>0</v>
      </c>
      <c r="AG188" s="27">
        <f>IFERROR((TABLA_AVANCE_INDICADORES[[#This Row],[AVANCE 3°. TRIM]]/TABLA_AVANCE_INDICADORES[[#This Row],[PROGR. 3° TRIM]])*100,"0")</f>
        <v>0</v>
      </c>
      <c r="AH188"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88" s="104">
        <v>2350</v>
      </c>
      <c r="AJ188" s="105">
        <v>0</v>
      </c>
      <c r="AK188" s="82">
        <f>IFERROR((TABLA_AVANCE_INDICADORES[[#This Row],[AVANCE 4°. TRIM]]/TABLA_AVANCE_INDICADORES[[#This Row],[PROGR. 4° TRIM]])*100,"0")</f>
        <v>0</v>
      </c>
      <c r="AL188"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88"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7600</v>
      </c>
      <c r="AN188"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5690</v>
      </c>
      <c r="AO188" s="27">
        <f>IFERROR((TABLA_AVANCE_INDICADORES[[#This Row],[AVANCE ACUM. TRIM.]]/TABLA_AVANCE_INDICADORES[[#This Row],[PROG. ACUM]])*100,"N/A")</f>
        <v>74.868421052631589</v>
      </c>
      <c r="AP188"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REGULAR</v>
      </c>
      <c r="AQ188" s="106">
        <f>TABLA_AVANCE_INDICADORES[[#This Row],[AVANCE ACUM. TRIM.]]-TABLA_AVANCE_INDICADORES[[#This Row],[PROG. ACUM]]</f>
        <v>-1910</v>
      </c>
      <c r="AR188" s="32">
        <f>IFERROR((TABLA_AVANCE_INDICADORES[[#This Row],[DIFERENCIA ABSOLUTA SEMESTRAL]]/TABLA_AVANCE_INDICADORES[[#This Row],[PROG. ACUM]])*100,"N/A")</f>
        <v>-25.131578947368421</v>
      </c>
      <c r="AS188"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5690</v>
      </c>
      <c r="AT188" s="27">
        <f>IFERROR((TABLA_AVANCE_INDICADORES[[#This Row],[AVANCE ACUM. ANUAL]]/TABLA_AVANCE_INDICADORES[[#This Row],[PROGRAMADO ANUAL]])*100,"N/A")</f>
        <v>43.769230769230774</v>
      </c>
      <c r="AU188"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88" s="106">
        <f>TABLA_AVANCE_INDICADORES[[#This Row],[AVANCE ACUM. ANUAL]]-TABLA_AVANCE_INDICADORES[[#This Row],[PROGRAMADO ANUAL]]</f>
        <v>-7310</v>
      </c>
      <c r="AW188" s="32">
        <f>IFERROR((TABLA_AVANCE_INDICADORES[[#This Row],[DIFERENCIA ABSOLUTA ANUAL]]/TABLA_AVANCE_INDICADORES[[#This Row],[PROGRAMADO ANUAL]])*100,"N/A")</f>
        <v>-56.230769230769226</v>
      </c>
      <c r="AX188" s="132" t="s">
        <v>1376</v>
      </c>
      <c r="AY188" s="86"/>
      <c r="AZ188" s="86"/>
      <c r="BA188" s="86"/>
      <c r="BB188"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89" spans="1:54" ht="150" hidden="1" customHeight="1" x14ac:dyDescent="0.35">
      <c r="A189" s="19" t="s">
        <v>1377</v>
      </c>
      <c r="B189" s="99" t="s">
        <v>603</v>
      </c>
      <c r="C189" s="20" t="s">
        <v>444</v>
      </c>
      <c r="D189" s="100" t="s">
        <v>445</v>
      </c>
      <c r="E189" s="20" t="s">
        <v>525</v>
      </c>
      <c r="F189" s="101" t="s">
        <v>526</v>
      </c>
      <c r="G189" s="130" t="s">
        <v>604</v>
      </c>
      <c r="H189" s="80" t="s">
        <v>1302</v>
      </c>
      <c r="I189" s="22" t="s">
        <v>1203</v>
      </c>
      <c r="J189" s="22" t="s">
        <v>176</v>
      </c>
      <c r="K189" s="80" t="s">
        <v>177</v>
      </c>
      <c r="L189" s="22" t="s">
        <v>517</v>
      </c>
      <c r="M189" s="80" t="s">
        <v>518</v>
      </c>
      <c r="N189" s="21">
        <v>2</v>
      </c>
      <c r="O189" s="21" t="s">
        <v>937</v>
      </c>
      <c r="P189" s="110" t="s">
        <v>1373</v>
      </c>
      <c r="Q189" s="110" t="s">
        <v>1378</v>
      </c>
      <c r="R189" s="102" t="s">
        <v>1375</v>
      </c>
      <c r="S189" s="22" t="s">
        <v>549</v>
      </c>
      <c r="T189" s="42" t="s">
        <v>727</v>
      </c>
      <c r="U189" s="42" t="s">
        <v>1130</v>
      </c>
      <c r="V189" s="81">
        <v>13000</v>
      </c>
      <c r="W189" s="81">
        <v>3650</v>
      </c>
      <c r="X189" s="103">
        <v>2769</v>
      </c>
      <c r="Y189" s="25">
        <f>IFERROR((TABLA_AVANCE_INDICADORES[[#This Row],[AVANCE 1°. TRIM]]/TABLA_AVANCE_INDICADORES[[#This Row],[PROGR. 1° TRIM]])*100,"0")</f>
        <v>75.863013698630127</v>
      </c>
      <c r="Z189"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REGULAR</v>
      </c>
      <c r="AA189" s="104">
        <v>3950</v>
      </c>
      <c r="AB189" s="105">
        <v>2921</v>
      </c>
      <c r="AC189" s="27">
        <f t="shared" si="4"/>
        <v>73.949367088607602</v>
      </c>
      <c r="AD189" s="26" t="str">
        <f t="shared" si="5"/>
        <v>REGULAR</v>
      </c>
      <c r="AE189" s="104">
        <v>3050</v>
      </c>
      <c r="AF189" s="105">
        <v>0</v>
      </c>
      <c r="AG189" s="27">
        <f>IFERROR((TABLA_AVANCE_INDICADORES[[#This Row],[AVANCE 3°. TRIM]]/TABLA_AVANCE_INDICADORES[[#This Row],[PROGR. 3° TRIM]])*100,"0")</f>
        <v>0</v>
      </c>
      <c r="AH189"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89" s="104">
        <v>2350</v>
      </c>
      <c r="AJ189" s="105">
        <v>0</v>
      </c>
      <c r="AK189" s="82">
        <f>IFERROR((TABLA_AVANCE_INDICADORES[[#This Row],[AVANCE 4°. TRIM]]/TABLA_AVANCE_INDICADORES[[#This Row],[PROGR. 4° TRIM]])*100,"0")</f>
        <v>0</v>
      </c>
      <c r="AL189"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89"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7600</v>
      </c>
      <c r="AN189"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5690</v>
      </c>
      <c r="AO189" s="27">
        <f>IFERROR((TABLA_AVANCE_INDICADORES[[#This Row],[AVANCE ACUM. TRIM.]]/TABLA_AVANCE_INDICADORES[[#This Row],[PROG. ACUM]])*100,"N/A")</f>
        <v>74.868421052631589</v>
      </c>
      <c r="AP189"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REGULAR</v>
      </c>
      <c r="AQ189" s="106">
        <f>TABLA_AVANCE_INDICADORES[[#This Row],[AVANCE ACUM. TRIM.]]-TABLA_AVANCE_INDICADORES[[#This Row],[PROG. ACUM]]</f>
        <v>-1910</v>
      </c>
      <c r="AR189" s="32">
        <f>IFERROR((TABLA_AVANCE_INDICADORES[[#This Row],[DIFERENCIA ABSOLUTA SEMESTRAL]]/TABLA_AVANCE_INDICADORES[[#This Row],[PROG. ACUM]])*100,"N/A")</f>
        <v>-25.131578947368421</v>
      </c>
      <c r="AS189"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5690</v>
      </c>
      <c r="AT189" s="27">
        <f>IFERROR((TABLA_AVANCE_INDICADORES[[#This Row],[AVANCE ACUM. ANUAL]]/TABLA_AVANCE_INDICADORES[[#This Row],[PROGRAMADO ANUAL]])*100,"N/A")</f>
        <v>43.769230769230774</v>
      </c>
      <c r="AU189"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89" s="106">
        <f>TABLA_AVANCE_INDICADORES[[#This Row],[AVANCE ACUM. ANUAL]]-TABLA_AVANCE_INDICADORES[[#This Row],[PROGRAMADO ANUAL]]</f>
        <v>-7310</v>
      </c>
      <c r="AW189" s="32">
        <f>IFERROR((TABLA_AVANCE_INDICADORES[[#This Row],[DIFERENCIA ABSOLUTA ANUAL]]/TABLA_AVANCE_INDICADORES[[#This Row],[PROGRAMADO ANUAL]])*100,"N/A")</f>
        <v>-56.230769230769226</v>
      </c>
      <c r="AX189" s="132" t="s">
        <v>1376</v>
      </c>
      <c r="AY189" s="86"/>
      <c r="AZ189" s="86"/>
      <c r="BA189" s="86"/>
      <c r="BB189"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90" spans="1:54" ht="150" hidden="1" customHeight="1" x14ac:dyDescent="0.35">
      <c r="A190" s="19" t="s">
        <v>1379</v>
      </c>
      <c r="B190" s="99" t="s">
        <v>603</v>
      </c>
      <c r="C190" s="20" t="s">
        <v>444</v>
      </c>
      <c r="D190" s="100" t="s">
        <v>445</v>
      </c>
      <c r="E190" s="20" t="s">
        <v>525</v>
      </c>
      <c r="F190" s="101" t="s">
        <v>526</v>
      </c>
      <c r="G190" s="130" t="s">
        <v>604</v>
      </c>
      <c r="H190" s="80" t="s">
        <v>1302</v>
      </c>
      <c r="I190" s="22" t="s">
        <v>1203</v>
      </c>
      <c r="J190" s="22" t="s">
        <v>176</v>
      </c>
      <c r="K190" s="80" t="s">
        <v>177</v>
      </c>
      <c r="L190" s="22" t="s">
        <v>517</v>
      </c>
      <c r="M190" s="80" t="s">
        <v>518</v>
      </c>
      <c r="N190" s="21">
        <v>1</v>
      </c>
      <c r="O190" s="21" t="s">
        <v>1258</v>
      </c>
      <c r="P190" s="110" t="s">
        <v>1380</v>
      </c>
      <c r="Q190" s="110" t="s">
        <v>1381</v>
      </c>
      <c r="R190" s="102" t="s">
        <v>1382</v>
      </c>
      <c r="S190" s="22" t="s">
        <v>1207</v>
      </c>
      <c r="T190" s="42" t="s">
        <v>727</v>
      </c>
      <c r="U190" s="42" t="s">
        <v>1130</v>
      </c>
      <c r="V190" s="81">
        <v>52912215.799999997</v>
      </c>
      <c r="W190" s="81">
        <v>12937327.49</v>
      </c>
      <c r="X190" s="103">
        <v>11682016.84</v>
      </c>
      <c r="Y190" s="25">
        <f>IFERROR((TABLA_AVANCE_INDICADORES[[#This Row],[AVANCE 1°. TRIM]]/TABLA_AVANCE_INDICADORES[[#This Row],[PROGR. 1° TRIM]])*100,"0")</f>
        <v>90.296986367777251</v>
      </c>
      <c r="Z190"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90" s="104">
        <v>13228053.949999999</v>
      </c>
      <c r="AB190" s="105">
        <v>12593069</v>
      </c>
      <c r="AC190" s="27">
        <f t="shared" si="4"/>
        <v>95.199710007230507</v>
      </c>
      <c r="AD190" s="26" t="str">
        <f t="shared" si="5"/>
        <v>ADECUADO</v>
      </c>
      <c r="AE190" s="104">
        <v>13373417.18</v>
      </c>
      <c r="AF190" s="105">
        <v>0</v>
      </c>
      <c r="AG190" s="27">
        <f>IFERROR((TABLA_AVANCE_INDICADORES[[#This Row],[AVANCE 3°. TRIM]]/TABLA_AVANCE_INDICADORES[[#This Row],[PROGR. 3° TRIM]])*100,"0")</f>
        <v>0</v>
      </c>
      <c r="AH190"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90" s="104">
        <v>13373417.18</v>
      </c>
      <c r="AJ190" s="105">
        <v>0</v>
      </c>
      <c r="AK190" s="82">
        <f>IFERROR((TABLA_AVANCE_INDICADORES[[#This Row],[AVANCE 4°. TRIM]]/TABLA_AVANCE_INDICADORES[[#This Row],[PROGR. 4° TRIM]])*100,"0")</f>
        <v>0</v>
      </c>
      <c r="AL190"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90"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26165381.439999998</v>
      </c>
      <c r="AN190"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24275085.84</v>
      </c>
      <c r="AO190" s="27">
        <f>IFERROR((TABLA_AVANCE_INDICADORES[[#This Row],[AVANCE ACUM. TRIM.]]/TABLA_AVANCE_INDICADORES[[#This Row],[PROG. ACUM]])*100,"N/A")</f>
        <v>92.775585541014777</v>
      </c>
      <c r="AP190"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90" s="106">
        <f>TABLA_AVANCE_INDICADORES[[#This Row],[AVANCE ACUM. TRIM.]]-TABLA_AVANCE_INDICADORES[[#This Row],[PROG. ACUM]]</f>
        <v>-1890295.5999999978</v>
      </c>
      <c r="AR190" s="32">
        <f>IFERROR((TABLA_AVANCE_INDICADORES[[#This Row],[DIFERENCIA ABSOLUTA SEMESTRAL]]/TABLA_AVANCE_INDICADORES[[#This Row],[PROG. ACUM]])*100,"N/A")</f>
        <v>-7.2244144589852306</v>
      </c>
      <c r="AS190"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24275085.84</v>
      </c>
      <c r="AT190" s="27">
        <f>IFERROR((TABLA_AVANCE_INDICADORES[[#This Row],[AVANCE ACUM. ANUAL]]/TABLA_AVANCE_INDICADORES[[#This Row],[PROGRAMADO ANUAL]])*100,"N/A")</f>
        <v>45.878036806767028</v>
      </c>
      <c r="AU190"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90" s="106">
        <f>TABLA_AVANCE_INDICADORES[[#This Row],[AVANCE ACUM. ANUAL]]-TABLA_AVANCE_INDICADORES[[#This Row],[PROGRAMADO ANUAL]]</f>
        <v>-28637129.959999997</v>
      </c>
      <c r="AW190" s="32">
        <f>IFERROR((TABLA_AVANCE_INDICADORES[[#This Row],[DIFERENCIA ABSOLUTA ANUAL]]/TABLA_AVANCE_INDICADORES[[#This Row],[PROGRAMADO ANUAL]])*100,"N/A")</f>
        <v>-54.121963193232972</v>
      </c>
      <c r="AX190" s="132"/>
      <c r="AY190" s="86"/>
      <c r="AZ190" s="86"/>
      <c r="BA190" s="86"/>
      <c r="BB190"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91" spans="1:54" ht="150" hidden="1" customHeight="1" x14ac:dyDescent="0.35">
      <c r="A191" s="19" t="s">
        <v>1383</v>
      </c>
      <c r="B191" s="99" t="s">
        <v>603</v>
      </c>
      <c r="C191" s="20" t="s">
        <v>444</v>
      </c>
      <c r="D191" s="100" t="s">
        <v>445</v>
      </c>
      <c r="E191" s="20" t="s">
        <v>525</v>
      </c>
      <c r="F191" s="101" t="s">
        <v>526</v>
      </c>
      <c r="G191" s="130" t="s">
        <v>604</v>
      </c>
      <c r="H191" s="80" t="s">
        <v>1302</v>
      </c>
      <c r="I191" s="22" t="s">
        <v>1203</v>
      </c>
      <c r="J191" s="22" t="s">
        <v>176</v>
      </c>
      <c r="K191" s="80" t="s">
        <v>177</v>
      </c>
      <c r="L191" s="22" t="s">
        <v>517</v>
      </c>
      <c r="M191" s="80" t="s">
        <v>518</v>
      </c>
      <c r="N191" s="21">
        <v>2</v>
      </c>
      <c r="O191" s="21" t="s">
        <v>1258</v>
      </c>
      <c r="P191" s="110" t="s">
        <v>1380</v>
      </c>
      <c r="Q191" s="110" t="s">
        <v>1384</v>
      </c>
      <c r="R191" s="102" t="s">
        <v>1382</v>
      </c>
      <c r="S191" s="22" t="s">
        <v>1207</v>
      </c>
      <c r="T191" s="42" t="s">
        <v>727</v>
      </c>
      <c r="U191" s="42" t="s">
        <v>1130</v>
      </c>
      <c r="V191" s="81">
        <v>52912215.799999997</v>
      </c>
      <c r="W191" s="81">
        <v>12937327.49</v>
      </c>
      <c r="X191" s="103">
        <v>11682016.84</v>
      </c>
      <c r="Y191" s="25">
        <f>IFERROR((TABLA_AVANCE_INDICADORES[[#This Row],[AVANCE 1°. TRIM]]/TABLA_AVANCE_INDICADORES[[#This Row],[PROGR. 1° TRIM]])*100,"0")</f>
        <v>90.296986367777251</v>
      </c>
      <c r="Z191"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91" s="104">
        <v>13228053.949999999</v>
      </c>
      <c r="AB191" s="105">
        <v>12593069</v>
      </c>
      <c r="AC191" s="27">
        <f t="shared" si="4"/>
        <v>95.199710007230507</v>
      </c>
      <c r="AD191" s="26" t="str">
        <f t="shared" si="5"/>
        <v>ADECUADO</v>
      </c>
      <c r="AE191" s="104">
        <v>13373417.18</v>
      </c>
      <c r="AF191" s="105">
        <v>0</v>
      </c>
      <c r="AG191" s="27">
        <f>IFERROR((TABLA_AVANCE_INDICADORES[[#This Row],[AVANCE 3°. TRIM]]/TABLA_AVANCE_INDICADORES[[#This Row],[PROGR. 3° TRIM]])*100,"0")</f>
        <v>0</v>
      </c>
      <c r="AH191"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91" s="104">
        <v>13373417.18</v>
      </c>
      <c r="AJ191" s="105">
        <v>0</v>
      </c>
      <c r="AK191" s="82">
        <f>IFERROR((TABLA_AVANCE_INDICADORES[[#This Row],[AVANCE 4°. TRIM]]/TABLA_AVANCE_INDICADORES[[#This Row],[PROGR. 4° TRIM]])*100,"0")</f>
        <v>0</v>
      </c>
      <c r="AL191"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91"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26165381.439999998</v>
      </c>
      <c r="AN191"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24275085.84</v>
      </c>
      <c r="AO191" s="27">
        <f>IFERROR((TABLA_AVANCE_INDICADORES[[#This Row],[AVANCE ACUM. TRIM.]]/TABLA_AVANCE_INDICADORES[[#This Row],[PROG. ACUM]])*100,"N/A")</f>
        <v>92.775585541014777</v>
      </c>
      <c r="AP191"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91" s="106">
        <f>TABLA_AVANCE_INDICADORES[[#This Row],[AVANCE ACUM. TRIM.]]-TABLA_AVANCE_INDICADORES[[#This Row],[PROG. ACUM]]</f>
        <v>-1890295.5999999978</v>
      </c>
      <c r="AR191" s="32">
        <f>IFERROR((TABLA_AVANCE_INDICADORES[[#This Row],[DIFERENCIA ABSOLUTA SEMESTRAL]]/TABLA_AVANCE_INDICADORES[[#This Row],[PROG. ACUM]])*100,"N/A")</f>
        <v>-7.2244144589852306</v>
      </c>
      <c r="AS191"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24275085.84</v>
      </c>
      <c r="AT191" s="27">
        <f>IFERROR((TABLA_AVANCE_INDICADORES[[#This Row],[AVANCE ACUM. ANUAL]]/TABLA_AVANCE_INDICADORES[[#This Row],[PROGRAMADO ANUAL]])*100,"N/A")</f>
        <v>45.878036806767028</v>
      </c>
      <c r="AU191"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91" s="106">
        <f>TABLA_AVANCE_INDICADORES[[#This Row],[AVANCE ACUM. ANUAL]]-TABLA_AVANCE_INDICADORES[[#This Row],[PROGRAMADO ANUAL]]</f>
        <v>-28637129.959999997</v>
      </c>
      <c r="AW191" s="32">
        <f>IFERROR((TABLA_AVANCE_INDICADORES[[#This Row],[DIFERENCIA ABSOLUTA ANUAL]]/TABLA_AVANCE_INDICADORES[[#This Row],[PROGRAMADO ANUAL]])*100,"N/A")</f>
        <v>-54.121963193232972</v>
      </c>
      <c r="AX191" s="132"/>
      <c r="AY191" s="86"/>
      <c r="AZ191" s="86"/>
      <c r="BA191" s="86"/>
      <c r="BB191"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92" spans="1:54" ht="150" hidden="1" customHeight="1" x14ac:dyDescent="0.35">
      <c r="A192" s="19" t="s">
        <v>1385</v>
      </c>
      <c r="B192" s="99" t="s">
        <v>445</v>
      </c>
      <c r="C192" s="20" t="s">
        <v>444</v>
      </c>
      <c r="D192" s="100" t="s">
        <v>445</v>
      </c>
      <c r="E192" s="20" t="s">
        <v>400</v>
      </c>
      <c r="F192" s="101" t="s">
        <v>401</v>
      </c>
      <c r="G192" s="130" t="s">
        <v>596</v>
      </c>
      <c r="H192" s="80" t="s">
        <v>1272</v>
      </c>
      <c r="I192" s="22" t="s">
        <v>1203</v>
      </c>
      <c r="J192" s="22" t="s">
        <v>176</v>
      </c>
      <c r="K192" s="80" t="s">
        <v>177</v>
      </c>
      <c r="L192" s="22" t="s">
        <v>528</v>
      </c>
      <c r="M192" s="80" t="s">
        <v>529</v>
      </c>
      <c r="N192" s="21">
        <v>1</v>
      </c>
      <c r="O192" s="21" t="s">
        <v>944</v>
      </c>
      <c r="P192" s="110" t="s">
        <v>1386</v>
      </c>
      <c r="Q192" s="110" t="s">
        <v>1387</v>
      </c>
      <c r="R192" s="102" t="s">
        <v>1388</v>
      </c>
      <c r="S192" s="22" t="s">
        <v>505</v>
      </c>
      <c r="T192" s="42" t="s">
        <v>727</v>
      </c>
      <c r="U192" s="42" t="s">
        <v>1130</v>
      </c>
      <c r="V192" s="81">
        <v>652</v>
      </c>
      <c r="W192" s="81">
        <v>165</v>
      </c>
      <c r="X192" s="103">
        <v>120</v>
      </c>
      <c r="Y192" s="25">
        <f>IFERROR((TABLA_AVANCE_INDICADORES[[#This Row],[AVANCE 1°. TRIM]]/TABLA_AVANCE_INDICADORES[[#This Row],[PROGR. 1° TRIM]])*100,"0")</f>
        <v>72.727272727272734</v>
      </c>
      <c r="Z192"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REGULAR</v>
      </c>
      <c r="AA192" s="104">
        <v>165</v>
      </c>
      <c r="AB192" s="105">
        <v>94</v>
      </c>
      <c r="AC192" s="27">
        <f t="shared" si="4"/>
        <v>56.969696969696969</v>
      </c>
      <c r="AD192" s="26" t="str">
        <f t="shared" si="5"/>
        <v>DEFICIENTE</v>
      </c>
      <c r="AE192" s="104">
        <v>160</v>
      </c>
      <c r="AF192" s="105">
        <v>0</v>
      </c>
      <c r="AG192" s="27">
        <f>IFERROR((TABLA_AVANCE_INDICADORES[[#This Row],[AVANCE 3°. TRIM]]/TABLA_AVANCE_INDICADORES[[#This Row],[PROGR. 3° TRIM]])*100,"0")</f>
        <v>0</v>
      </c>
      <c r="AH192"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92" s="104">
        <v>162</v>
      </c>
      <c r="AJ192" s="105">
        <v>0</v>
      </c>
      <c r="AK192" s="82">
        <f>IFERROR((TABLA_AVANCE_INDICADORES[[#This Row],[AVANCE 4°. TRIM]]/TABLA_AVANCE_INDICADORES[[#This Row],[PROGR. 4° TRIM]])*100,"0")</f>
        <v>0</v>
      </c>
      <c r="AL192"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92"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330</v>
      </c>
      <c r="AN192"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214</v>
      </c>
      <c r="AO192" s="27">
        <f>IFERROR((TABLA_AVANCE_INDICADORES[[#This Row],[AVANCE ACUM. TRIM.]]/TABLA_AVANCE_INDICADORES[[#This Row],[PROG. ACUM]])*100,"N/A")</f>
        <v>64.848484848484844</v>
      </c>
      <c r="AP192"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DEFICIENTE</v>
      </c>
      <c r="AQ192" s="106">
        <f>TABLA_AVANCE_INDICADORES[[#This Row],[AVANCE ACUM. TRIM.]]-TABLA_AVANCE_INDICADORES[[#This Row],[PROG. ACUM]]</f>
        <v>-116</v>
      </c>
      <c r="AR192" s="32">
        <f>IFERROR((TABLA_AVANCE_INDICADORES[[#This Row],[DIFERENCIA ABSOLUTA SEMESTRAL]]/TABLA_AVANCE_INDICADORES[[#This Row],[PROG. ACUM]])*100,"N/A")</f>
        <v>-35.151515151515149</v>
      </c>
      <c r="AS192"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214</v>
      </c>
      <c r="AT192" s="27">
        <f>IFERROR((TABLA_AVANCE_INDICADORES[[#This Row],[AVANCE ACUM. ANUAL]]/TABLA_AVANCE_INDICADORES[[#This Row],[PROGRAMADO ANUAL]])*100,"N/A")</f>
        <v>32.822085889570552</v>
      </c>
      <c r="AU192"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92" s="106">
        <f>TABLA_AVANCE_INDICADORES[[#This Row],[AVANCE ACUM. ANUAL]]-TABLA_AVANCE_INDICADORES[[#This Row],[PROGRAMADO ANUAL]]</f>
        <v>-438</v>
      </c>
      <c r="AW192" s="32">
        <f>IFERROR((TABLA_AVANCE_INDICADORES[[#This Row],[DIFERENCIA ABSOLUTA ANUAL]]/TABLA_AVANCE_INDICADORES[[#This Row],[PROGRAMADO ANUAL]])*100,"N/A")</f>
        <v>-67.177914110429455</v>
      </c>
      <c r="AX192" s="132" t="s">
        <v>1389</v>
      </c>
      <c r="AY192" s="86"/>
      <c r="AZ192" s="86"/>
      <c r="BA192" s="86"/>
      <c r="BB192"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93" spans="1:54" ht="150" hidden="1" customHeight="1" x14ac:dyDescent="0.35">
      <c r="A193" s="19" t="s">
        <v>1390</v>
      </c>
      <c r="B193" s="99" t="s">
        <v>445</v>
      </c>
      <c r="C193" s="20" t="s">
        <v>444</v>
      </c>
      <c r="D193" s="100" t="s">
        <v>445</v>
      </c>
      <c r="E193" s="20" t="s">
        <v>400</v>
      </c>
      <c r="F193" s="101" t="s">
        <v>401</v>
      </c>
      <c r="G193" s="130" t="s">
        <v>596</v>
      </c>
      <c r="H193" s="80" t="s">
        <v>1272</v>
      </c>
      <c r="I193" s="22" t="s">
        <v>1203</v>
      </c>
      <c r="J193" s="22" t="s">
        <v>176</v>
      </c>
      <c r="K193" s="80" t="s">
        <v>177</v>
      </c>
      <c r="L193" s="22" t="s">
        <v>528</v>
      </c>
      <c r="M193" s="80" t="s">
        <v>529</v>
      </c>
      <c r="N193" s="21">
        <v>2</v>
      </c>
      <c r="O193" s="21" t="s">
        <v>944</v>
      </c>
      <c r="P193" s="110" t="s">
        <v>1386</v>
      </c>
      <c r="Q193" s="110" t="s">
        <v>1391</v>
      </c>
      <c r="R193" s="102" t="s">
        <v>1388</v>
      </c>
      <c r="S193" s="22" t="s">
        <v>505</v>
      </c>
      <c r="T193" s="42" t="s">
        <v>727</v>
      </c>
      <c r="U193" s="42" t="s">
        <v>1130</v>
      </c>
      <c r="V193" s="81">
        <v>650</v>
      </c>
      <c r="W193" s="81">
        <v>165</v>
      </c>
      <c r="X193" s="112">
        <f>TABLA_AVANCE_INDICADORES[[#This Row],[PROGR. 1° TRIM]]</f>
        <v>165</v>
      </c>
      <c r="Y193" s="25">
        <f>IFERROR((TABLA_AVANCE_INDICADORES[[#This Row],[AVANCE 1°. TRIM]]/TABLA_AVANCE_INDICADORES[[#This Row],[PROGR. 1° TRIM]])*100,"0")</f>
        <v>100</v>
      </c>
      <c r="Z193"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93" s="104">
        <v>165</v>
      </c>
      <c r="AB193" s="113">
        <v>165</v>
      </c>
      <c r="AC193" s="27">
        <f t="shared" si="4"/>
        <v>100</v>
      </c>
      <c r="AD193" s="26" t="str">
        <f t="shared" si="5"/>
        <v>ADECUADO</v>
      </c>
      <c r="AE193" s="104">
        <v>160</v>
      </c>
      <c r="AF193" s="113">
        <f>AE193</f>
        <v>160</v>
      </c>
      <c r="AG193" s="27">
        <f>IFERROR((TABLA_AVANCE_INDICADORES[[#This Row],[AVANCE 3°. TRIM]]/TABLA_AVANCE_INDICADORES[[#This Row],[PROGR. 3° TRIM]])*100,"0")</f>
        <v>100</v>
      </c>
      <c r="AH193"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ADECUADO</v>
      </c>
      <c r="AI193" s="104">
        <v>160</v>
      </c>
      <c r="AJ193" s="113">
        <f>AI193</f>
        <v>160</v>
      </c>
      <c r="AK193" s="82">
        <f>IFERROR((TABLA_AVANCE_INDICADORES[[#This Row],[AVANCE 4°. TRIM]]/TABLA_AVANCE_INDICADORES[[#This Row],[PROGR. 4° TRIM]])*100,"0")</f>
        <v>100</v>
      </c>
      <c r="AL193"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93"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330</v>
      </c>
      <c r="AN193"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330</v>
      </c>
      <c r="AO193" s="27">
        <f>IFERROR((TABLA_AVANCE_INDICADORES[[#This Row],[AVANCE ACUM. TRIM.]]/TABLA_AVANCE_INDICADORES[[#This Row],[PROG. ACUM]])*100,"N/A")</f>
        <v>100</v>
      </c>
      <c r="AP193"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93" s="106">
        <f>TABLA_AVANCE_INDICADORES[[#This Row],[AVANCE ACUM. TRIM.]]-TABLA_AVANCE_INDICADORES[[#This Row],[PROG. ACUM]]</f>
        <v>0</v>
      </c>
      <c r="AR193" s="32">
        <f>IFERROR((TABLA_AVANCE_INDICADORES[[#This Row],[DIFERENCIA ABSOLUTA SEMESTRAL]]/TABLA_AVANCE_INDICADORES[[#This Row],[PROG. ACUM]])*100,"N/A")</f>
        <v>0</v>
      </c>
      <c r="AS193"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330</v>
      </c>
      <c r="AT193" s="27">
        <f>IFERROR((TABLA_AVANCE_INDICADORES[[#This Row],[AVANCE ACUM. ANUAL]]/TABLA_AVANCE_INDICADORES[[#This Row],[PROGRAMADO ANUAL]])*100,"N/A")</f>
        <v>50.769230769230766</v>
      </c>
      <c r="AU193"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93" s="106">
        <f>TABLA_AVANCE_INDICADORES[[#This Row],[AVANCE ACUM. ANUAL]]-TABLA_AVANCE_INDICADORES[[#This Row],[PROGRAMADO ANUAL]]</f>
        <v>-320</v>
      </c>
      <c r="AW193" s="32">
        <f>IFERROR((TABLA_AVANCE_INDICADORES[[#This Row],[DIFERENCIA ABSOLUTA ANUAL]]/TABLA_AVANCE_INDICADORES[[#This Row],[PROGRAMADO ANUAL]])*100,"N/A")</f>
        <v>-49.230769230769234</v>
      </c>
      <c r="AX193" s="132" t="s">
        <v>1389</v>
      </c>
      <c r="AY193" s="86"/>
      <c r="AZ193" s="86"/>
      <c r="BA193" s="86"/>
      <c r="BB193"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94" spans="1:54" ht="150" hidden="1" customHeight="1" x14ac:dyDescent="0.35">
      <c r="A194" s="19" t="s">
        <v>1392</v>
      </c>
      <c r="B194" s="99" t="s">
        <v>445</v>
      </c>
      <c r="C194" s="20" t="s">
        <v>444</v>
      </c>
      <c r="D194" s="100" t="s">
        <v>445</v>
      </c>
      <c r="E194" s="20" t="s">
        <v>400</v>
      </c>
      <c r="F194" s="101" t="s">
        <v>401</v>
      </c>
      <c r="G194" s="130" t="s">
        <v>596</v>
      </c>
      <c r="H194" s="80" t="s">
        <v>1272</v>
      </c>
      <c r="I194" s="22" t="s">
        <v>1203</v>
      </c>
      <c r="J194" s="22" t="s">
        <v>176</v>
      </c>
      <c r="K194" s="80" t="s">
        <v>177</v>
      </c>
      <c r="L194" s="22" t="s">
        <v>528</v>
      </c>
      <c r="M194" s="80" t="s">
        <v>529</v>
      </c>
      <c r="N194" s="21">
        <v>1</v>
      </c>
      <c r="O194" s="21" t="s">
        <v>951</v>
      </c>
      <c r="P194" s="110" t="s">
        <v>1393</v>
      </c>
      <c r="Q194" s="110" t="s">
        <v>1394</v>
      </c>
      <c r="R194" s="102" t="s">
        <v>1395</v>
      </c>
      <c r="S194" s="22" t="s">
        <v>505</v>
      </c>
      <c r="T194" s="42" t="s">
        <v>727</v>
      </c>
      <c r="U194" s="42" t="s">
        <v>1130</v>
      </c>
      <c r="V194" s="81">
        <v>652</v>
      </c>
      <c r="W194" s="81">
        <v>165</v>
      </c>
      <c r="X194" s="103">
        <v>120</v>
      </c>
      <c r="Y194" s="25">
        <f>IFERROR((TABLA_AVANCE_INDICADORES[[#This Row],[AVANCE 1°. TRIM]]/TABLA_AVANCE_INDICADORES[[#This Row],[PROGR. 1° TRIM]])*100,"0")</f>
        <v>72.727272727272734</v>
      </c>
      <c r="Z194"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REGULAR</v>
      </c>
      <c r="AA194" s="104">
        <v>165</v>
      </c>
      <c r="AB194" s="105">
        <v>94</v>
      </c>
      <c r="AC194" s="27">
        <f t="shared" si="4"/>
        <v>56.969696969696969</v>
      </c>
      <c r="AD194" s="26" t="str">
        <f t="shared" si="5"/>
        <v>DEFICIENTE</v>
      </c>
      <c r="AE194" s="104">
        <v>160</v>
      </c>
      <c r="AF194" s="105">
        <v>0</v>
      </c>
      <c r="AG194" s="27">
        <f>IFERROR((TABLA_AVANCE_INDICADORES[[#This Row],[AVANCE 3°. TRIM]]/TABLA_AVANCE_INDICADORES[[#This Row],[PROGR. 3° TRIM]])*100,"0")</f>
        <v>0</v>
      </c>
      <c r="AH194"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194" s="104">
        <v>162</v>
      </c>
      <c r="AJ194" s="105">
        <v>0</v>
      </c>
      <c r="AK194" s="82">
        <f>IFERROR((TABLA_AVANCE_INDICADORES[[#This Row],[AVANCE 4°. TRIM]]/TABLA_AVANCE_INDICADORES[[#This Row],[PROGR. 4° TRIM]])*100,"0")</f>
        <v>0</v>
      </c>
      <c r="AL194"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94"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330</v>
      </c>
      <c r="AN194"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214</v>
      </c>
      <c r="AO194" s="27">
        <f>IFERROR((TABLA_AVANCE_INDICADORES[[#This Row],[AVANCE ACUM. TRIM.]]/TABLA_AVANCE_INDICADORES[[#This Row],[PROG. ACUM]])*100,"N/A")</f>
        <v>64.848484848484844</v>
      </c>
      <c r="AP194"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DEFICIENTE</v>
      </c>
      <c r="AQ194" s="106">
        <f>TABLA_AVANCE_INDICADORES[[#This Row],[AVANCE ACUM. TRIM.]]-TABLA_AVANCE_INDICADORES[[#This Row],[PROG. ACUM]]</f>
        <v>-116</v>
      </c>
      <c r="AR194" s="32">
        <f>IFERROR((TABLA_AVANCE_INDICADORES[[#This Row],[DIFERENCIA ABSOLUTA SEMESTRAL]]/TABLA_AVANCE_INDICADORES[[#This Row],[PROG. ACUM]])*100,"N/A")</f>
        <v>-35.151515151515149</v>
      </c>
      <c r="AS194"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214</v>
      </c>
      <c r="AT194" s="27">
        <f>IFERROR((TABLA_AVANCE_INDICADORES[[#This Row],[AVANCE ACUM. ANUAL]]/TABLA_AVANCE_INDICADORES[[#This Row],[PROGRAMADO ANUAL]])*100,"N/A")</f>
        <v>32.822085889570552</v>
      </c>
      <c r="AU194"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94" s="106">
        <f>TABLA_AVANCE_INDICADORES[[#This Row],[AVANCE ACUM. ANUAL]]-TABLA_AVANCE_INDICADORES[[#This Row],[PROGRAMADO ANUAL]]</f>
        <v>-438</v>
      </c>
      <c r="AW194" s="32">
        <f>IFERROR((TABLA_AVANCE_INDICADORES[[#This Row],[DIFERENCIA ABSOLUTA ANUAL]]/TABLA_AVANCE_INDICADORES[[#This Row],[PROGRAMADO ANUAL]])*100,"N/A")</f>
        <v>-67.177914110429455</v>
      </c>
      <c r="AX194" s="132" t="s">
        <v>1389</v>
      </c>
      <c r="AY194" s="86"/>
      <c r="AZ194" s="86"/>
      <c r="BA194" s="86"/>
      <c r="BB194"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95" spans="1:54" ht="150" hidden="1" customHeight="1" x14ac:dyDescent="0.35">
      <c r="A195" s="19" t="s">
        <v>1396</v>
      </c>
      <c r="B195" s="99" t="s">
        <v>445</v>
      </c>
      <c r="C195" s="20" t="s">
        <v>444</v>
      </c>
      <c r="D195" s="100" t="s">
        <v>445</v>
      </c>
      <c r="E195" s="20" t="s">
        <v>400</v>
      </c>
      <c r="F195" s="101" t="s">
        <v>401</v>
      </c>
      <c r="G195" s="130" t="s">
        <v>596</v>
      </c>
      <c r="H195" s="80" t="s">
        <v>1272</v>
      </c>
      <c r="I195" s="22" t="s">
        <v>1203</v>
      </c>
      <c r="J195" s="22" t="s">
        <v>176</v>
      </c>
      <c r="K195" s="80" t="s">
        <v>177</v>
      </c>
      <c r="L195" s="22" t="s">
        <v>528</v>
      </c>
      <c r="M195" s="80" t="s">
        <v>529</v>
      </c>
      <c r="N195" s="21">
        <v>2</v>
      </c>
      <c r="O195" s="21" t="s">
        <v>951</v>
      </c>
      <c r="P195" s="110" t="s">
        <v>1393</v>
      </c>
      <c r="Q195" s="110" t="s">
        <v>1397</v>
      </c>
      <c r="R195" s="102" t="s">
        <v>1395</v>
      </c>
      <c r="S195" s="22" t="s">
        <v>505</v>
      </c>
      <c r="T195" s="42" t="s">
        <v>727</v>
      </c>
      <c r="U195" s="42" t="s">
        <v>1130</v>
      </c>
      <c r="V195" s="81">
        <v>650</v>
      </c>
      <c r="W195" s="81">
        <v>165</v>
      </c>
      <c r="X195" s="112">
        <f>TABLA_AVANCE_INDICADORES[[#This Row],[PROGR. 1° TRIM]]</f>
        <v>165</v>
      </c>
      <c r="Y195" s="25">
        <f>IFERROR((TABLA_AVANCE_INDICADORES[[#This Row],[AVANCE 1°. TRIM]]/TABLA_AVANCE_INDICADORES[[#This Row],[PROGR. 1° TRIM]])*100,"0")</f>
        <v>100</v>
      </c>
      <c r="Z195"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195" s="104">
        <v>165</v>
      </c>
      <c r="AB195" s="113">
        <v>165</v>
      </c>
      <c r="AC195" s="27">
        <f t="shared" si="4"/>
        <v>100</v>
      </c>
      <c r="AD195" s="26" t="str">
        <f t="shared" si="5"/>
        <v>ADECUADO</v>
      </c>
      <c r="AE195" s="104">
        <v>160</v>
      </c>
      <c r="AF195" s="113">
        <f>AE195</f>
        <v>160</v>
      </c>
      <c r="AG195" s="27">
        <f>IFERROR((TABLA_AVANCE_INDICADORES[[#This Row],[AVANCE 3°. TRIM]]/TABLA_AVANCE_INDICADORES[[#This Row],[PROGR. 3° TRIM]])*100,"0")</f>
        <v>100</v>
      </c>
      <c r="AH195"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ADECUADO</v>
      </c>
      <c r="AI195" s="104">
        <v>160</v>
      </c>
      <c r="AJ195" s="113">
        <f>AI195</f>
        <v>160</v>
      </c>
      <c r="AK195" s="82">
        <f>IFERROR((TABLA_AVANCE_INDICADORES[[#This Row],[AVANCE 4°. TRIM]]/TABLA_AVANCE_INDICADORES[[#This Row],[PROGR. 4° TRIM]])*100,"0")</f>
        <v>100</v>
      </c>
      <c r="AL195"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195"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330</v>
      </c>
      <c r="AN195"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330</v>
      </c>
      <c r="AO195" s="27">
        <f>IFERROR((TABLA_AVANCE_INDICADORES[[#This Row],[AVANCE ACUM. TRIM.]]/TABLA_AVANCE_INDICADORES[[#This Row],[PROG. ACUM]])*100,"N/A")</f>
        <v>100</v>
      </c>
      <c r="AP195"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195" s="106">
        <f>TABLA_AVANCE_INDICADORES[[#This Row],[AVANCE ACUM. TRIM.]]-TABLA_AVANCE_INDICADORES[[#This Row],[PROG. ACUM]]</f>
        <v>0</v>
      </c>
      <c r="AR195" s="32">
        <f>IFERROR((TABLA_AVANCE_INDICADORES[[#This Row],[DIFERENCIA ABSOLUTA SEMESTRAL]]/TABLA_AVANCE_INDICADORES[[#This Row],[PROG. ACUM]])*100,"N/A")</f>
        <v>0</v>
      </c>
      <c r="AS195"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330</v>
      </c>
      <c r="AT195" s="27">
        <f>IFERROR((TABLA_AVANCE_INDICADORES[[#This Row],[AVANCE ACUM. ANUAL]]/TABLA_AVANCE_INDICADORES[[#This Row],[PROGRAMADO ANUAL]])*100,"N/A")</f>
        <v>50.769230769230766</v>
      </c>
      <c r="AU195"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195" s="106">
        <f>TABLA_AVANCE_INDICADORES[[#This Row],[AVANCE ACUM. ANUAL]]-TABLA_AVANCE_INDICADORES[[#This Row],[PROGRAMADO ANUAL]]</f>
        <v>-320</v>
      </c>
      <c r="AW195" s="32">
        <f>IFERROR((TABLA_AVANCE_INDICADORES[[#This Row],[DIFERENCIA ABSOLUTA ANUAL]]/TABLA_AVANCE_INDICADORES[[#This Row],[PROGRAMADO ANUAL]])*100,"N/A")</f>
        <v>-49.230769230769234</v>
      </c>
      <c r="AX195" s="132" t="s">
        <v>1389</v>
      </c>
      <c r="AY195" s="86"/>
      <c r="AZ195" s="86"/>
      <c r="BA195" s="86"/>
      <c r="BB195"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96" spans="1:54" ht="112.5" hidden="1" customHeight="1" x14ac:dyDescent="0.35">
      <c r="A196" s="19" t="s">
        <v>1398</v>
      </c>
      <c r="B196" s="99" t="s">
        <v>195</v>
      </c>
      <c r="C196" s="20" t="s">
        <v>74</v>
      </c>
      <c r="D196" s="100" t="s">
        <v>75</v>
      </c>
      <c r="E196" s="20" t="s">
        <v>196</v>
      </c>
      <c r="F196" s="101" t="s">
        <v>197</v>
      </c>
      <c r="G196" s="130" t="s">
        <v>198</v>
      </c>
      <c r="H196" s="80" t="s">
        <v>1399</v>
      </c>
      <c r="I196" s="22" t="s">
        <v>722</v>
      </c>
      <c r="J196" s="22" t="s">
        <v>187</v>
      </c>
      <c r="K196" s="80" t="s">
        <v>188</v>
      </c>
      <c r="L196" s="22" t="s">
        <v>199</v>
      </c>
      <c r="M196" s="80" t="s">
        <v>200</v>
      </c>
      <c r="N196" s="21">
        <v>1</v>
      </c>
      <c r="O196" s="21" t="s">
        <v>723</v>
      </c>
      <c r="P196" s="110" t="s">
        <v>1400</v>
      </c>
      <c r="Q196" s="110" t="s">
        <v>1401</v>
      </c>
      <c r="R196" s="102" t="s">
        <v>1402</v>
      </c>
      <c r="S196" s="22" t="s">
        <v>205</v>
      </c>
      <c r="T196" s="42" t="s">
        <v>727</v>
      </c>
      <c r="U196" s="42" t="s">
        <v>738</v>
      </c>
      <c r="V196" s="81">
        <v>11</v>
      </c>
      <c r="W196" s="81">
        <v>0</v>
      </c>
      <c r="X196" s="103">
        <v>0</v>
      </c>
      <c r="Y196" s="25" t="str">
        <f>IFERROR((TABLA_AVANCE_INDICADORES[[#This Row],[AVANCE 1°. TRIM]]/TABLA_AVANCE_INDICADORES[[#This Row],[PROGR. 1° TRIM]])*100,"0")</f>
        <v>0</v>
      </c>
      <c r="Z196"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96" s="104">
        <v>0</v>
      </c>
      <c r="AB196" s="105">
        <v>0</v>
      </c>
      <c r="AC196" s="27" t="str">
        <f t="shared" ref="AC196:AC259" si="6">IFERROR((AB196/AA196)*100,"0")</f>
        <v>0</v>
      </c>
      <c r="AD196" s="26" t="str">
        <f t="shared" ref="AD196:AD259" si="7">IF(AND(AC196&gt;=0,AC196&lt;=49.9999999999999),"CRÍTICO",IF(AND(AC196&gt;=50,AC196&lt;=69.9999999999999),"DEFICIENTE",IF(AND(AC196&gt;=70,AC196&lt;=89.9999999999999),"REGULAR",IF(AND(AC196&gt;=90,AC196&lt;=110.999999999999),"ADECUADO",IF(AND(AC196&gt;=111,AC196&lt;=999999),"SOBREPASADO","NO PROG.")))))</f>
        <v>NO PROG.</v>
      </c>
      <c r="AE196" s="104">
        <v>0</v>
      </c>
      <c r="AF196" s="105">
        <v>0</v>
      </c>
      <c r="AG196" s="27" t="str">
        <f>IFERROR((TABLA_AVANCE_INDICADORES[[#This Row],[AVANCE 3°. TRIM]]/TABLA_AVANCE_INDICADORES[[#This Row],[PROGR. 3° TRIM]])*100,"0")</f>
        <v>0</v>
      </c>
      <c r="AH196"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96" s="104">
        <v>11</v>
      </c>
      <c r="AJ196" s="105">
        <v>0</v>
      </c>
      <c r="AK196" s="82">
        <f>IFERROR((TABLA_AVANCE_INDICADORES[[#This Row],[AVANCE 4°. TRIM]]/TABLA_AVANCE_INDICADORES[[#This Row],[PROGR. 4° TRIM]])*100,"0")</f>
        <v>0</v>
      </c>
      <c r="AL196"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96"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96"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96" s="27" t="str">
        <f>IFERROR((TABLA_AVANCE_INDICADORES[[#This Row],[AVANCE ACUM. TRIM.]]/TABLA_AVANCE_INDICADORES[[#This Row],[PROG. ACUM]])*100,"N/A")</f>
        <v>N/A</v>
      </c>
      <c r="AP196"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96" s="106">
        <f>TABLA_AVANCE_INDICADORES[[#This Row],[AVANCE ACUM. TRIM.]]-TABLA_AVANCE_INDICADORES[[#This Row],[PROG. ACUM]]</f>
        <v>0</v>
      </c>
      <c r="AR196" s="32" t="str">
        <f>IFERROR((TABLA_AVANCE_INDICADORES[[#This Row],[DIFERENCIA ABSOLUTA SEMESTRAL]]/TABLA_AVANCE_INDICADORES[[#This Row],[PROG. ACUM]])*100,"N/A")</f>
        <v>N/A</v>
      </c>
      <c r="AS196"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96" s="27">
        <f>IFERROR((TABLA_AVANCE_INDICADORES[[#This Row],[AVANCE ACUM. ANUAL]]/TABLA_AVANCE_INDICADORES[[#This Row],[PROGRAMADO ANUAL]])*100,"N/A")</f>
        <v>0</v>
      </c>
      <c r="AU196"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96" s="106">
        <f>TABLA_AVANCE_INDICADORES[[#This Row],[AVANCE ACUM. ANUAL]]-TABLA_AVANCE_INDICADORES[[#This Row],[PROGRAMADO ANUAL]]</f>
        <v>-11</v>
      </c>
      <c r="AW196" s="32">
        <f>IFERROR((TABLA_AVANCE_INDICADORES[[#This Row],[DIFERENCIA ABSOLUTA ANUAL]]/TABLA_AVANCE_INDICADORES[[#This Row],[PROGRAMADO ANUAL]])*100,"N/A")</f>
        <v>-100</v>
      </c>
      <c r="AX196" s="132"/>
      <c r="AY196" s="86"/>
      <c r="AZ196" s="86"/>
      <c r="BA196" s="86"/>
      <c r="BB196"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97" spans="1:54" ht="112.5" hidden="1" customHeight="1" x14ac:dyDescent="0.35">
      <c r="A197" s="19" t="s">
        <v>1403</v>
      </c>
      <c r="B197" s="99" t="s">
        <v>195</v>
      </c>
      <c r="C197" s="20" t="s">
        <v>74</v>
      </c>
      <c r="D197" s="100" t="s">
        <v>75</v>
      </c>
      <c r="E197" s="20" t="s">
        <v>196</v>
      </c>
      <c r="F197" s="101" t="s">
        <v>197</v>
      </c>
      <c r="G197" s="130" t="s">
        <v>198</v>
      </c>
      <c r="H197" s="80" t="s">
        <v>1399</v>
      </c>
      <c r="I197" s="22" t="s">
        <v>722</v>
      </c>
      <c r="J197" s="22" t="s">
        <v>187</v>
      </c>
      <c r="K197" s="80" t="s">
        <v>188</v>
      </c>
      <c r="L197" s="22" t="s">
        <v>199</v>
      </c>
      <c r="M197" s="80" t="s">
        <v>200</v>
      </c>
      <c r="N197" s="21">
        <v>2</v>
      </c>
      <c r="O197" s="21" t="s">
        <v>723</v>
      </c>
      <c r="P197" s="110" t="s">
        <v>1400</v>
      </c>
      <c r="Q197" s="110" t="s">
        <v>1404</v>
      </c>
      <c r="R197" s="102" t="s">
        <v>1402</v>
      </c>
      <c r="S197" s="22" t="s">
        <v>205</v>
      </c>
      <c r="T197" s="42" t="s">
        <v>727</v>
      </c>
      <c r="U197" s="42" t="s">
        <v>738</v>
      </c>
      <c r="V197" s="81">
        <v>11</v>
      </c>
      <c r="W197" s="81">
        <v>0</v>
      </c>
      <c r="X197" s="103">
        <v>0</v>
      </c>
      <c r="Y197" s="25" t="str">
        <f>IFERROR((TABLA_AVANCE_INDICADORES[[#This Row],[AVANCE 1°. TRIM]]/TABLA_AVANCE_INDICADORES[[#This Row],[PROGR. 1° TRIM]])*100,"0")</f>
        <v>0</v>
      </c>
      <c r="Z197"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97" s="104">
        <v>0</v>
      </c>
      <c r="AB197" s="105">
        <v>0</v>
      </c>
      <c r="AC197" s="27" t="str">
        <f t="shared" si="6"/>
        <v>0</v>
      </c>
      <c r="AD197" s="26" t="str">
        <f t="shared" si="7"/>
        <v>NO PROG.</v>
      </c>
      <c r="AE197" s="104">
        <v>0</v>
      </c>
      <c r="AF197" s="105">
        <v>0</v>
      </c>
      <c r="AG197" s="27" t="str">
        <f>IFERROR((TABLA_AVANCE_INDICADORES[[#This Row],[AVANCE 3°. TRIM]]/TABLA_AVANCE_INDICADORES[[#This Row],[PROGR. 3° TRIM]])*100,"0")</f>
        <v>0</v>
      </c>
      <c r="AH197"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97" s="104">
        <v>11</v>
      </c>
      <c r="AJ197" s="105">
        <v>0</v>
      </c>
      <c r="AK197" s="82">
        <f>IFERROR((TABLA_AVANCE_INDICADORES[[#This Row],[AVANCE 4°. TRIM]]/TABLA_AVANCE_INDICADORES[[#This Row],[PROGR. 4° TRIM]])*100,"0")</f>
        <v>0</v>
      </c>
      <c r="AL197"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97"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97"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97" s="27" t="str">
        <f>IFERROR((TABLA_AVANCE_INDICADORES[[#This Row],[AVANCE ACUM. TRIM.]]/TABLA_AVANCE_INDICADORES[[#This Row],[PROG. ACUM]])*100,"N/A")</f>
        <v>N/A</v>
      </c>
      <c r="AP197"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97" s="106">
        <f>TABLA_AVANCE_INDICADORES[[#This Row],[AVANCE ACUM. TRIM.]]-TABLA_AVANCE_INDICADORES[[#This Row],[PROG. ACUM]]</f>
        <v>0</v>
      </c>
      <c r="AR197" s="32" t="str">
        <f>IFERROR((TABLA_AVANCE_INDICADORES[[#This Row],[DIFERENCIA ABSOLUTA SEMESTRAL]]/TABLA_AVANCE_INDICADORES[[#This Row],[PROG. ACUM]])*100,"N/A")</f>
        <v>N/A</v>
      </c>
      <c r="AS197"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97" s="27">
        <f>IFERROR((TABLA_AVANCE_INDICADORES[[#This Row],[AVANCE ACUM. ANUAL]]/TABLA_AVANCE_INDICADORES[[#This Row],[PROGRAMADO ANUAL]])*100,"N/A")</f>
        <v>0</v>
      </c>
      <c r="AU197"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97" s="106">
        <f>TABLA_AVANCE_INDICADORES[[#This Row],[AVANCE ACUM. ANUAL]]-TABLA_AVANCE_INDICADORES[[#This Row],[PROGRAMADO ANUAL]]</f>
        <v>-11</v>
      </c>
      <c r="AW197" s="32">
        <f>IFERROR((TABLA_AVANCE_INDICADORES[[#This Row],[DIFERENCIA ABSOLUTA ANUAL]]/TABLA_AVANCE_INDICADORES[[#This Row],[PROGRAMADO ANUAL]])*100,"N/A")</f>
        <v>-100</v>
      </c>
      <c r="AX197" s="132"/>
      <c r="AY197" s="86"/>
      <c r="AZ197" s="86"/>
      <c r="BA197" s="86"/>
      <c r="BB197"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98" spans="1:54" ht="112.5" hidden="1" customHeight="1" x14ac:dyDescent="0.35">
      <c r="A198" s="19" t="s">
        <v>1405</v>
      </c>
      <c r="B198" s="99" t="s">
        <v>195</v>
      </c>
      <c r="C198" s="20" t="s">
        <v>74</v>
      </c>
      <c r="D198" s="100" t="s">
        <v>75</v>
      </c>
      <c r="E198" s="20" t="s">
        <v>196</v>
      </c>
      <c r="F198" s="101" t="s">
        <v>197</v>
      </c>
      <c r="G198" s="130" t="s">
        <v>198</v>
      </c>
      <c r="H198" s="80" t="s">
        <v>1399</v>
      </c>
      <c r="I198" s="22" t="s">
        <v>722</v>
      </c>
      <c r="J198" s="22" t="s">
        <v>187</v>
      </c>
      <c r="K198" s="80" t="s">
        <v>188</v>
      </c>
      <c r="L198" s="22" t="s">
        <v>199</v>
      </c>
      <c r="M198" s="80" t="s">
        <v>200</v>
      </c>
      <c r="N198" s="21">
        <v>1</v>
      </c>
      <c r="O198" s="21" t="s">
        <v>733</v>
      </c>
      <c r="P198" s="110" t="s">
        <v>1406</v>
      </c>
      <c r="Q198" s="110" t="s">
        <v>1407</v>
      </c>
      <c r="R198" s="102" t="s">
        <v>1408</v>
      </c>
      <c r="S198" s="22" t="s">
        <v>205</v>
      </c>
      <c r="T198" s="42" t="s">
        <v>727</v>
      </c>
      <c r="U198" s="42" t="s">
        <v>738</v>
      </c>
      <c r="V198" s="81">
        <v>11</v>
      </c>
      <c r="W198" s="81">
        <v>0</v>
      </c>
      <c r="X198" s="103">
        <v>0</v>
      </c>
      <c r="Y198" s="25" t="str">
        <f>IFERROR((TABLA_AVANCE_INDICADORES[[#This Row],[AVANCE 1°. TRIM]]/TABLA_AVANCE_INDICADORES[[#This Row],[PROGR. 1° TRIM]])*100,"0")</f>
        <v>0</v>
      </c>
      <c r="Z198"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98" s="104">
        <v>0</v>
      </c>
      <c r="AB198" s="105">
        <v>0</v>
      </c>
      <c r="AC198" s="27" t="str">
        <f t="shared" si="6"/>
        <v>0</v>
      </c>
      <c r="AD198" s="26" t="str">
        <f t="shared" si="7"/>
        <v>NO PROG.</v>
      </c>
      <c r="AE198" s="104">
        <v>0</v>
      </c>
      <c r="AF198" s="105">
        <v>0</v>
      </c>
      <c r="AG198" s="27" t="str">
        <f>IFERROR((TABLA_AVANCE_INDICADORES[[#This Row],[AVANCE 3°. TRIM]]/TABLA_AVANCE_INDICADORES[[#This Row],[PROGR. 3° TRIM]])*100,"0")</f>
        <v>0</v>
      </c>
      <c r="AH198"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98" s="104">
        <v>11</v>
      </c>
      <c r="AJ198" s="105">
        <v>0</v>
      </c>
      <c r="AK198" s="82">
        <f>IFERROR((TABLA_AVANCE_INDICADORES[[#This Row],[AVANCE 4°. TRIM]]/TABLA_AVANCE_INDICADORES[[#This Row],[PROGR. 4° TRIM]])*100,"0")</f>
        <v>0</v>
      </c>
      <c r="AL198"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98"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98"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98" s="27" t="str">
        <f>IFERROR((TABLA_AVANCE_INDICADORES[[#This Row],[AVANCE ACUM. TRIM.]]/TABLA_AVANCE_INDICADORES[[#This Row],[PROG. ACUM]])*100,"N/A")</f>
        <v>N/A</v>
      </c>
      <c r="AP198"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98" s="106">
        <f>TABLA_AVANCE_INDICADORES[[#This Row],[AVANCE ACUM. TRIM.]]-TABLA_AVANCE_INDICADORES[[#This Row],[PROG. ACUM]]</f>
        <v>0</v>
      </c>
      <c r="AR198" s="32" t="str">
        <f>IFERROR((TABLA_AVANCE_INDICADORES[[#This Row],[DIFERENCIA ABSOLUTA SEMESTRAL]]/TABLA_AVANCE_INDICADORES[[#This Row],[PROG. ACUM]])*100,"N/A")</f>
        <v>N/A</v>
      </c>
      <c r="AS198"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98" s="27">
        <f>IFERROR((TABLA_AVANCE_INDICADORES[[#This Row],[AVANCE ACUM. ANUAL]]/TABLA_AVANCE_INDICADORES[[#This Row],[PROGRAMADO ANUAL]])*100,"N/A")</f>
        <v>0</v>
      </c>
      <c r="AU198"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98" s="106">
        <f>TABLA_AVANCE_INDICADORES[[#This Row],[AVANCE ACUM. ANUAL]]-TABLA_AVANCE_INDICADORES[[#This Row],[PROGRAMADO ANUAL]]</f>
        <v>-11</v>
      </c>
      <c r="AW198" s="32">
        <f>IFERROR((TABLA_AVANCE_INDICADORES[[#This Row],[DIFERENCIA ABSOLUTA ANUAL]]/TABLA_AVANCE_INDICADORES[[#This Row],[PROGRAMADO ANUAL]])*100,"N/A")</f>
        <v>-100</v>
      </c>
      <c r="AX198" s="132"/>
      <c r="AY198" s="86"/>
      <c r="AZ198" s="86"/>
      <c r="BA198" s="86"/>
      <c r="BB198"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199" spans="1:54" ht="112.5" hidden="1" customHeight="1" x14ac:dyDescent="0.35">
      <c r="A199" s="19" t="s">
        <v>1409</v>
      </c>
      <c r="B199" s="99" t="s">
        <v>195</v>
      </c>
      <c r="C199" s="20" t="s">
        <v>74</v>
      </c>
      <c r="D199" s="100" t="s">
        <v>75</v>
      </c>
      <c r="E199" s="20" t="s">
        <v>196</v>
      </c>
      <c r="F199" s="101" t="s">
        <v>197</v>
      </c>
      <c r="G199" s="130" t="s">
        <v>198</v>
      </c>
      <c r="H199" s="80" t="s">
        <v>1399</v>
      </c>
      <c r="I199" s="22" t="s">
        <v>722</v>
      </c>
      <c r="J199" s="22" t="s">
        <v>187</v>
      </c>
      <c r="K199" s="80" t="s">
        <v>188</v>
      </c>
      <c r="L199" s="22" t="s">
        <v>199</v>
      </c>
      <c r="M199" s="80" t="s">
        <v>200</v>
      </c>
      <c r="N199" s="21">
        <v>2</v>
      </c>
      <c r="O199" s="21" t="s">
        <v>733</v>
      </c>
      <c r="P199" s="110" t="s">
        <v>1406</v>
      </c>
      <c r="Q199" s="110" t="s">
        <v>1410</v>
      </c>
      <c r="R199" s="102" t="s">
        <v>1408</v>
      </c>
      <c r="S199" s="22" t="s">
        <v>205</v>
      </c>
      <c r="T199" s="42" t="s">
        <v>727</v>
      </c>
      <c r="U199" s="42" t="s">
        <v>738</v>
      </c>
      <c r="V199" s="81">
        <v>11</v>
      </c>
      <c r="W199" s="81">
        <v>0</v>
      </c>
      <c r="X199" s="103">
        <v>0</v>
      </c>
      <c r="Y199" s="25" t="str">
        <f>IFERROR((TABLA_AVANCE_INDICADORES[[#This Row],[AVANCE 1°. TRIM]]/TABLA_AVANCE_INDICADORES[[#This Row],[PROGR. 1° TRIM]])*100,"0")</f>
        <v>0</v>
      </c>
      <c r="Z199"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199" s="104">
        <v>0</v>
      </c>
      <c r="AB199" s="105">
        <v>0</v>
      </c>
      <c r="AC199" s="27" t="str">
        <f t="shared" si="6"/>
        <v>0</v>
      </c>
      <c r="AD199" s="26" t="str">
        <f t="shared" si="7"/>
        <v>NO PROG.</v>
      </c>
      <c r="AE199" s="104">
        <v>0</v>
      </c>
      <c r="AF199" s="105">
        <v>0</v>
      </c>
      <c r="AG199" s="27" t="str">
        <f>IFERROR((TABLA_AVANCE_INDICADORES[[#This Row],[AVANCE 3°. TRIM]]/TABLA_AVANCE_INDICADORES[[#This Row],[PROGR. 3° TRIM]])*100,"0")</f>
        <v>0</v>
      </c>
      <c r="AH199"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199" s="104">
        <v>11</v>
      </c>
      <c r="AJ199" s="105">
        <v>0</v>
      </c>
      <c r="AK199" s="82">
        <f>IFERROR((TABLA_AVANCE_INDICADORES[[#This Row],[AVANCE 4°. TRIM]]/TABLA_AVANCE_INDICADORES[[#This Row],[PROGR. 4° TRIM]])*100,"0")</f>
        <v>0</v>
      </c>
      <c r="AL199"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199"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199"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199" s="27" t="str">
        <f>IFERROR((TABLA_AVANCE_INDICADORES[[#This Row],[AVANCE ACUM. TRIM.]]/TABLA_AVANCE_INDICADORES[[#This Row],[PROG. ACUM]])*100,"N/A")</f>
        <v>N/A</v>
      </c>
      <c r="AP199"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199" s="106">
        <f>TABLA_AVANCE_INDICADORES[[#This Row],[AVANCE ACUM. TRIM.]]-TABLA_AVANCE_INDICADORES[[#This Row],[PROG. ACUM]]</f>
        <v>0</v>
      </c>
      <c r="AR199" s="32" t="str">
        <f>IFERROR((TABLA_AVANCE_INDICADORES[[#This Row],[DIFERENCIA ABSOLUTA SEMESTRAL]]/TABLA_AVANCE_INDICADORES[[#This Row],[PROG. ACUM]])*100,"N/A")</f>
        <v>N/A</v>
      </c>
      <c r="AS199"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199" s="27">
        <f>IFERROR((TABLA_AVANCE_INDICADORES[[#This Row],[AVANCE ACUM. ANUAL]]/TABLA_AVANCE_INDICADORES[[#This Row],[PROGRAMADO ANUAL]])*100,"N/A")</f>
        <v>0</v>
      </c>
      <c r="AU199"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199" s="106">
        <f>TABLA_AVANCE_INDICADORES[[#This Row],[AVANCE ACUM. ANUAL]]-TABLA_AVANCE_INDICADORES[[#This Row],[PROGRAMADO ANUAL]]</f>
        <v>-11</v>
      </c>
      <c r="AW199" s="32">
        <f>IFERROR((TABLA_AVANCE_INDICADORES[[#This Row],[DIFERENCIA ABSOLUTA ANUAL]]/TABLA_AVANCE_INDICADORES[[#This Row],[PROGRAMADO ANUAL]])*100,"N/A")</f>
        <v>-100</v>
      </c>
      <c r="AX199" s="132"/>
      <c r="AY199" s="86"/>
      <c r="AZ199" s="86"/>
      <c r="BA199" s="86"/>
      <c r="BB199"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00" spans="1:54" ht="112.5" hidden="1" customHeight="1" x14ac:dyDescent="0.35">
      <c r="A200" s="19" t="s">
        <v>1411</v>
      </c>
      <c r="B200" s="99" t="s">
        <v>195</v>
      </c>
      <c r="C200" s="20" t="s">
        <v>74</v>
      </c>
      <c r="D200" s="100" t="s">
        <v>75</v>
      </c>
      <c r="E200" s="20" t="s">
        <v>196</v>
      </c>
      <c r="F200" s="101" t="s">
        <v>197</v>
      </c>
      <c r="G200" s="130" t="s">
        <v>198</v>
      </c>
      <c r="H200" s="80" t="s">
        <v>1399</v>
      </c>
      <c r="I200" s="22" t="s">
        <v>722</v>
      </c>
      <c r="J200" s="22" t="s">
        <v>187</v>
      </c>
      <c r="K200" s="80" t="s">
        <v>188</v>
      </c>
      <c r="L200" s="22" t="s">
        <v>199</v>
      </c>
      <c r="M200" s="80" t="s">
        <v>200</v>
      </c>
      <c r="N200" s="21">
        <v>1</v>
      </c>
      <c r="O200" s="21" t="s">
        <v>742</v>
      </c>
      <c r="P200" s="110" t="s">
        <v>1412</v>
      </c>
      <c r="Q200" s="110" t="s">
        <v>1413</v>
      </c>
      <c r="R200" s="102" t="s">
        <v>1414</v>
      </c>
      <c r="S200" s="22" t="s">
        <v>1415</v>
      </c>
      <c r="T200" s="42" t="s">
        <v>727</v>
      </c>
      <c r="U200" s="42" t="s">
        <v>738</v>
      </c>
      <c r="V200" s="81">
        <v>13</v>
      </c>
      <c r="W200" s="81">
        <v>0</v>
      </c>
      <c r="X200" s="103">
        <v>0</v>
      </c>
      <c r="Y200" s="25" t="str">
        <f>IFERROR((TABLA_AVANCE_INDICADORES[[#This Row],[AVANCE 1°. TRIM]]/TABLA_AVANCE_INDICADORES[[#This Row],[PROGR. 1° TRIM]])*100,"0")</f>
        <v>0</v>
      </c>
      <c r="Z200"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200" s="104">
        <v>0</v>
      </c>
      <c r="AB200" s="105">
        <v>0</v>
      </c>
      <c r="AC200" s="27" t="str">
        <f t="shared" si="6"/>
        <v>0</v>
      </c>
      <c r="AD200" s="26" t="str">
        <f t="shared" si="7"/>
        <v>NO PROG.</v>
      </c>
      <c r="AE200" s="104">
        <v>0</v>
      </c>
      <c r="AF200" s="105">
        <v>0</v>
      </c>
      <c r="AG200" s="27" t="str">
        <f>IFERROR((TABLA_AVANCE_INDICADORES[[#This Row],[AVANCE 3°. TRIM]]/TABLA_AVANCE_INDICADORES[[#This Row],[PROGR. 3° TRIM]])*100,"0")</f>
        <v>0</v>
      </c>
      <c r="AH200"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200" s="104">
        <v>13</v>
      </c>
      <c r="AJ200" s="105">
        <v>0</v>
      </c>
      <c r="AK200" s="82">
        <f>IFERROR((TABLA_AVANCE_INDICADORES[[#This Row],[AVANCE 4°. TRIM]]/TABLA_AVANCE_INDICADORES[[#This Row],[PROGR. 4° TRIM]])*100,"0")</f>
        <v>0</v>
      </c>
      <c r="AL200"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00"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200"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200" s="27" t="str">
        <f>IFERROR((TABLA_AVANCE_INDICADORES[[#This Row],[AVANCE ACUM. TRIM.]]/TABLA_AVANCE_INDICADORES[[#This Row],[PROG. ACUM]])*100,"N/A")</f>
        <v>N/A</v>
      </c>
      <c r="AP200"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200" s="106">
        <f>TABLA_AVANCE_INDICADORES[[#This Row],[AVANCE ACUM. TRIM.]]-TABLA_AVANCE_INDICADORES[[#This Row],[PROG. ACUM]]</f>
        <v>0</v>
      </c>
      <c r="AR200" s="32" t="str">
        <f>IFERROR((TABLA_AVANCE_INDICADORES[[#This Row],[DIFERENCIA ABSOLUTA SEMESTRAL]]/TABLA_AVANCE_INDICADORES[[#This Row],[PROG. ACUM]])*100,"N/A")</f>
        <v>N/A</v>
      </c>
      <c r="AS200"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200" s="27">
        <f>IFERROR((TABLA_AVANCE_INDICADORES[[#This Row],[AVANCE ACUM. ANUAL]]/TABLA_AVANCE_INDICADORES[[#This Row],[PROGRAMADO ANUAL]])*100,"N/A")</f>
        <v>0</v>
      </c>
      <c r="AU200"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200" s="106">
        <f>TABLA_AVANCE_INDICADORES[[#This Row],[AVANCE ACUM. ANUAL]]-TABLA_AVANCE_INDICADORES[[#This Row],[PROGRAMADO ANUAL]]</f>
        <v>-13</v>
      </c>
      <c r="AW200" s="32">
        <f>IFERROR((TABLA_AVANCE_INDICADORES[[#This Row],[DIFERENCIA ABSOLUTA ANUAL]]/TABLA_AVANCE_INDICADORES[[#This Row],[PROGRAMADO ANUAL]])*100,"N/A")</f>
        <v>-100</v>
      </c>
      <c r="AX200" s="132"/>
      <c r="AY200" s="86"/>
      <c r="AZ200" s="86"/>
      <c r="BA200" s="86"/>
      <c r="BB200"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01" spans="1:54" ht="112.5" hidden="1" customHeight="1" x14ac:dyDescent="0.35">
      <c r="A201" s="19" t="s">
        <v>1416</v>
      </c>
      <c r="B201" s="99" t="s">
        <v>195</v>
      </c>
      <c r="C201" s="20" t="s">
        <v>74</v>
      </c>
      <c r="D201" s="100" t="s">
        <v>75</v>
      </c>
      <c r="E201" s="20" t="s">
        <v>196</v>
      </c>
      <c r="F201" s="101" t="s">
        <v>197</v>
      </c>
      <c r="G201" s="130" t="s">
        <v>198</v>
      </c>
      <c r="H201" s="80" t="s">
        <v>1399</v>
      </c>
      <c r="I201" s="22" t="s">
        <v>722</v>
      </c>
      <c r="J201" s="22" t="s">
        <v>187</v>
      </c>
      <c r="K201" s="80" t="s">
        <v>188</v>
      </c>
      <c r="L201" s="22" t="s">
        <v>199</v>
      </c>
      <c r="M201" s="80" t="s">
        <v>200</v>
      </c>
      <c r="N201" s="21">
        <v>2</v>
      </c>
      <c r="O201" s="21" t="s">
        <v>742</v>
      </c>
      <c r="P201" s="110" t="s">
        <v>1412</v>
      </c>
      <c r="Q201" s="110" t="s">
        <v>1417</v>
      </c>
      <c r="R201" s="102" t="s">
        <v>1414</v>
      </c>
      <c r="S201" s="22" t="s">
        <v>1415</v>
      </c>
      <c r="T201" s="42" t="s">
        <v>727</v>
      </c>
      <c r="U201" s="42" t="s">
        <v>738</v>
      </c>
      <c r="V201" s="81">
        <v>13</v>
      </c>
      <c r="W201" s="81">
        <v>0</v>
      </c>
      <c r="X201" s="103">
        <v>0</v>
      </c>
      <c r="Y201" s="25" t="str">
        <f>IFERROR((TABLA_AVANCE_INDICADORES[[#This Row],[AVANCE 1°. TRIM]]/TABLA_AVANCE_INDICADORES[[#This Row],[PROGR. 1° TRIM]])*100,"0")</f>
        <v>0</v>
      </c>
      <c r="Z201"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201" s="104">
        <v>0</v>
      </c>
      <c r="AB201" s="105">
        <v>0</v>
      </c>
      <c r="AC201" s="27" t="str">
        <f t="shared" si="6"/>
        <v>0</v>
      </c>
      <c r="AD201" s="26" t="str">
        <f t="shared" si="7"/>
        <v>NO PROG.</v>
      </c>
      <c r="AE201" s="104">
        <v>0</v>
      </c>
      <c r="AF201" s="105">
        <v>0</v>
      </c>
      <c r="AG201" s="27" t="str">
        <f>IFERROR((TABLA_AVANCE_INDICADORES[[#This Row],[AVANCE 3°. TRIM]]/TABLA_AVANCE_INDICADORES[[#This Row],[PROGR. 3° TRIM]])*100,"0")</f>
        <v>0</v>
      </c>
      <c r="AH201"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201" s="104">
        <v>13</v>
      </c>
      <c r="AJ201" s="105">
        <v>0</v>
      </c>
      <c r="AK201" s="82">
        <f>IFERROR((TABLA_AVANCE_INDICADORES[[#This Row],[AVANCE 4°. TRIM]]/TABLA_AVANCE_INDICADORES[[#This Row],[PROGR. 4° TRIM]])*100,"0")</f>
        <v>0</v>
      </c>
      <c r="AL201"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01"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201"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201" s="27" t="str">
        <f>IFERROR((TABLA_AVANCE_INDICADORES[[#This Row],[AVANCE ACUM. TRIM.]]/TABLA_AVANCE_INDICADORES[[#This Row],[PROG. ACUM]])*100,"N/A")</f>
        <v>N/A</v>
      </c>
      <c r="AP201"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201" s="106">
        <f>TABLA_AVANCE_INDICADORES[[#This Row],[AVANCE ACUM. TRIM.]]-TABLA_AVANCE_INDICADORES[[#This Row],[PROG. ACUM]]</f>
        <v>0</v>
      </c>
      <c r="AR201" s="32" t="str">
        <f>IFERROR((TABLA_AVANCE_INDICADORES[[#This Row],[DIFERENCIA ABSOLUTA SEMESTRAL]]/TABLA_AVANCE_INDICADORES[[#This Row],[PROG. ACUM]])*100,"N/A")</f>
        <v>N/A</v>
      </c>
      <c r="AS201"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201" s="27">
        <f>IFERROR((TABLA_AVANCE_INDICADORES[[#This Row],[AVANCE ACUM. ANUAL]]/TABLA_AVANCE_INDICADORES[[#This Row],[PROGRAMADO ANUAL]])*100,"N/A")</f>
        <v>0</v>
      </c>
      <c r="AU201"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201" s="106">
        <f>TABLA_AVANCE_INDICADORES[[#This Row],[AVANCE ACUM. ANUAL]]-TABLA_AVANCE_INDICADORES[[#This Row],[PROGRAMADO ANUAL]]</f>
        <v>-13</v>
      </c>
      <c r="AW201" s="32">
        <f>IFERROR((TABLA_AVANCE_INDICADORES[[#This Row],[DIFERENCIA ABSOLUTA ANUAL]]/TABLA_AVANCE_INDICADORES[[#This Row],[PROGRAMADO ANUAL]])*100,"N/A")</f>
        <v>-100</v>
      </c>
      <c r="AX201" s="132"/>
      <c r="AY201" s="86"/>
      <c r="AZ201" s="86"/>
      <c r="BA201" s="86"/>
      <c r="BB201"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02" spans="1:54" ht="112.5" hidden="1" customHeight="1" x14ac:dyDescent="0.35">
      <c r="A202" s="19" t="s">
        <v>1418</v>
      </c>
      <c r="B202" s="99" t="s">
        <v>195</v>
      </c>
      <c r="C202" s="20" t="s">
        <v>74</v>
      </c>
      <c r="D202" s="100" t="s">
        <v>75</v>
      </c>
      <c r="E202" s="20" t="s">
        <v>196</v>
      </c>
      <c r="F202" s="101" t="s">
        <v>197</v>
      </c>
      <c r="G202" s="130" t="s">
        <v>198</v>
      </c>
      <c r="H202" s="80" t="s">
        <v>1399</v>
      </c>
      <c r="I202" s="22" t="s">
        <v>722</v>
      </c>
      <c r="J202" s="22" t="s">
        <v>187</v>
      </c>
      <c r="K202" s="80" t="s">
        <v>188</v>
      </c>
      <c r="L202" s="22" t="s">
        <v>199</v>
      </c>
      <c r="M202" s="80" t="s">
        <v>200</v>
      </c>
      <c r="N202" s="21">
        <v>1</v>
      </c>
      <c r="O202" s="21" t="s">
        <v>785</v>
      </c>
      <c r="P202" s="110" t="s">
        <v>1419</v>
      </c>
      <c r="Q202" s="110" t="s">
        <v>1420</v>
      </c>
      <c r="R202" s="102" t="s">
        <v>1421</v>
      </c>
      <c r="S202" s="22" t="s">
        <v>84</v>
      </c>
      <c r="T202" s="42" t="s">
        <v>727</v>
      </c>
      <c r="U202" s="42" t="s">
        <v>754</v>
      </c>
      <c r="V202" s="81">
        <v>4</v>
      </c>
      <c r="W202" s="81">
        <v>1</v>
      </c>
      <c r="X202" s="103">
        <v>1</v>
      </c>
      <c r="Y202" s="25">
        <f>IFERROR((TABLA_AVANCE_INDICADORES[[#This Row],[AVANCE 1°. TRIM]]/TABLA_AVANCE_INDICADORES[[#This Row],[PROGR. 1° TRIM]])*100,"0")</f>
        <v>100</v>
      </c>
      <c r="Z202"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202" s="104">
        <v>1</v>
      </c>
      <c r="AB202" s="105">
        <v>1</v>
      </c>
      <c r="AC202" s="27">
        <f t="shared" si="6"/>
        <v>100</v>
      </c>
      <c r="AD202" s="26" t="str">
        <f t="shared" si="7"/>
        <v>ADECUADO</v>
      </c>
      <c r="AE202" s="104">
        <v>1</v>
      </c>
      <c r="AF202" s="105">
        <v>0</v>
      </c>
      <c r="AG202" s="27">
        <f>IFERROR((TABLA_AVANCE_INDICADORES[[#This Row],[AVANCE 3°. TRIM]]/TABLA_AVANCE_INDICADORES[[#This Row],[PROGR. 3° TRIM]])*100,"0")</f>
        <v>0</v>
      </c>
      <c r="AH202"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202" s="104">
        <v>1</v>
      </c>
      <c r="AJ202" s="105">
        <v>0</v>
      </c>
      <c r="AK202" s="82">
        <f>IFERROR((TABLA_AVANCE_INDICADORES[[#This Row],[AVANCE 4°. TRIM]]/TABLA_AVANCE_INDICADORES[[#This Row],[PROGR. 4° TRIM]])*100,"0")</f>
        <v>0</v>
      </c>
      <c r="AL202"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02"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v>
      </c>
      <c r="AN202"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O202" s="27">
        <f>IFERROR((TABLA_AVANCE_INDICADORES[[#This Row],[AVANCE ACUM. TRIM.]]/TABLA_AVANCE_INDICADORES[[#This Row],[PROG. ACUM]])*100,"N/A")</f>
        <v>100</v>
      </c>
      <c r="AP202"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202" s="106">
        <f>TABLA_AVANCE_INDICADORES[[#This Row],[AVANCE ACUM. TRIM.]]-TABLA_AVANCE_INDICADORES[[#This Row],[PROG. ACUM]]</f>
        <v>0</v>
      </c>
      <c r="AR202" s="32">
        <f>IFERROR((TABLA_AVANCE_INDICADORES[[#This Row],[DIFERENCIA ABSOLUTA SEMESTRAL]]/TABLA_AVANCE_INDICADORES[[#This Row],[PROG. ACUM]])*100,"N/A")</f>
        <v>0</v>
      </c>
      <c r="AS202"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T202" s="27">
        <f>IFERROR((TABLA_AVANCE_INDICADORES[[#This Row],[AVANCE ACUM. ANUAL]]/TABLA_AVANCE_INDICADORES[[#This Row],[PROGRAMADO ANUAL]])*100,"N/A")</f>
        <v>50</v>
      </c>
      <c r="AU202"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202" s="106">
        <f>TABLA_AVANCE_INDICADORES[[#This Row],[AVANCE ACUM. ANUAL]]-TABLA_AVANCE_INDICADORES[[#This Row],[PROGRAMADO ANUAL]]</f>
        <v>-2</v>
      </c>
      <c r="AW202" s="32">
        <f>IFERROR((TABLA_AVANCE_INDICADORES[[#This Row],[DIFERENCIA ABSOLUTA ANUAL]]/TABLA_AVANCE_INDICADORES[[#This Row],[PROGRAMADO ANUAL]])*100,"N/A")</f>
        <v>-50</v>
      </c>
      <c r="AX202" s="132"/>
      <c r="AY202" s="86"/>
      <c r="AZ202" s="86"/>
      <c r="BA202" s="86"/>
      <c r="BB202"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03" spans="1:54" ht="112.5" hidden="1" customHeight="1" x14ac:dyDescent="0.35">
      <c r="A203" s="19" t="s">
        <v>1422</v>
      </c>
      <c r="B203" s="99" t="s">
        <v>195</v>
      </c>
      <c r="C203" s="20" t="s">
        <v>74</v>
      </c>
      <c r="D203" s="100" t="s">
        <v>75</v>
      </c>
      <c r="E203" s="20" t="s">
        <v>196</v>
      </c>
      <c r="F203" s="101" t="s">
        <v>197</v>
      </c>
      <c r="G203" s="130" t="s">
        <v>198</v>
      </c>
      <c r="H203" s="80" t="s">
        <v>1399</v>
      </c>
      <c r="I203" s="22" t="s">
        <v>722</v>
      </c>
      <c r="J203" s="22" t="s">
        <v>187</v>
      </c>
      <c r="K203" s="80" t="s">
        <v>188</v>
      </c>
      <c r="L203" s="22" t="s">
        <v>199</v>
      </c>
      <c r="M203" s="80" t="s">
        <v>200</v>
      </c>
      <c r="N203" s="21">
        <v>2</v>
      </c>
      <c r="O203" s="21" t="s">
        <v>785</v>
      </c>
      <c r="P203" s="110" t="s">
        <v>1419</v>
      </c>
      <c r="Q203" s="110" t="s">
        <v>1423</v>
      </c>
      <c r="R203" s="102" t="s">
        <v>1421</v>
      </c>
      <c r="S203" s="22" t="s">
        <v>84</v>
      </c>
      <c r="T203" s="42" t="s">
        <v>727</v>
      </c>
      <c r="U203" s="42" t="s">
        <v>754</v>
      </c>
      <c r="V203" s="81">
        <v>4</v>
      </c>
      <c r="W203" s="81">
        <v>1</v>
      </c>
      <c r="X203" s="103">
        <v>1</v>
      </c>
      <c r="Y203" s="25">
        <f>IFERROR((TABLA_AVANCE_INDICADORES[[#This Row],[AVANCE 1°. TRIM]]/TABLA_AVANCE_INDICADORES[[#This Row],[PROGR. 1° TRIM]])*100,"0")</f>
        <v>100</v>
      </c>
      <c r="Z203"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203" s="104">
        <v>1</v>
      </c>
      <c r="AB203" s="105">
        <v>1</v>
      </c>
      <c r="AC203" s="27">
        <f t="shared" si="6"/>
        <v>100</v>
      </c>
      <c r="AD203" s="26" t="str">
        <f t="shared" si="7"/>
        <v>ADECUADO</v>
      </c>
      <c r="AE203" s="104">
        <v>1</v>
      </c>
      <c r="AF203" s="105">
        <v>0</v>
      </c>
      <c r="AG203" s="27">
        <f>IFERROR((TABLA_AVANCE_INDICADORES[[#This Row],[AVANCE 3°. TRIM]]/TABLA_AVANCE_INDICADORES[[#This Row],[PROGR. 3° TRIM]])*100,"0")</f>
        <v>0</v>
      </c>
      <c r="AH203"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203" s="104">
        <v>1</v>
      </c>
      <c r="AJ203" s="105">
        <v>0</v>
      </c>
      <c r="AK203" s="82">
        <f>IFERROR((TABLA_AVANCE_INDICADORES[[#This Row],[AVANCE 4°. TRIM]]/TABLA_AVANCE_INDICADORES[[#This Row],[PROGR. 4° TRIM]])*100,"0")</f>
        <v>0</v>
      </c>
      <c r="AL203"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03"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v>
      </c>
      <c r="AN203"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O203" s="27">
        <f>IFERROR((TABLA_AVANCE_INDICADORES[[#This Row],[AVANCE ACUM. TRIM.]]/TABLA_AVANCE_INDICADORES[[#This Row],[PROG. ACUM]])*100,"N/A")</f>
        <v>100</v>
      </c>
      <c r="AP203"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203" s="106">
        <f>TABLA_AVANCE_INDICADORES[[#This Row],[AVANCE ACUM. TRIM.]]-TABLA_AVANCE_INDICADORES[[#This Row],[PROG. ACUM]]</f>
        <v>0</v>
      </c>
      <c r="AR203" s="32">
        <f>IFERROR((TABLA_AVANCE_INDICADORES[[#This Row],[DIFERENCIA ABSOLUTA SEMESTRAL]]/TABLA_AVANCE_INDICADORES[[#This Row],[PROG. ACUM]])*100,"N/A")</f>
        <v>0</v>
      </c>
      <c r="AS203"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T203" s="27">
        <f>IFERROR((TABLA_AVANCE_INDICADORES[[#This Row],[AVANCE ACUM. ANUAL]]/TABLA_AVANCE_INDICADORES[[#This Row],[PROGRAMADO ANUAL]])*100,"N/A")</f>
        <v>50</v>
      </c>
      <c r="AU203"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203" s="106">
        <f>TABLA_AVANCE_INDICADORES[[#This Row],[AVANCE ACUM. ANUAL]]-TABLA_AVANCE_INDICADORES[[#This Row],[PROGRAMADO ANUAL]]</f>
        <v>-2</v>
      </c>
      <c r="AW203" s="32">
        <f>IFERROR((TABLA_AVANCE_INDICADORES[[#This Row],[DIFERENCIA ABSOLUTA ANUAL]]/TABLA_AVANCE_INDICADORES[[#This Row],[PROGRAMADO ANUAL]])*100,"N/A")</f>
        <v>-50</v>
      </c>
      <c r="AX203" s="132"/>
      <c r="AY203" s="86"/>
      <c r="AZ203" s="86"/>
      <c r="BA203" s="86"/>
      <c r="BB203"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04" spans="1:54" ht="112.5" hidden="1" customHeight="1" x14ac:dyDescent="0.35">
      <c r="A204" s="19" t="s">
        <v>1424</v>
      </c>
      <c r="B204" s="99" t="s">
        <v>195</v>
      </c>
      <c r="C204" s="20" t="s">
        <v>74</v>
      </c>
      <c r="D204" s="100" t="s">
        <v>75</v>
      </c>
      <c r="E204" s="20" t="s">
        <v>196</v>
      </c>
      <c r="F204" s="101" t="s">
        <v>197</v>
      </c>
      <c r="G204" s="130" t="s">
        <v>198</v>
      </c>
      <c r="H204" s="80" t="s">
        <v>1399</v>
      </c>
      <c r="I204" s="22" t="s">
        <v>722</v>
      </c>
      <c r="J204" s="22" t="s">
        <v>187</v>
      </c>
      <c r="K204" s="80" t="s">
        <v>188</v>
      </c>
      <c r="L204" s="22" t="s">
        <v>199</v>
      </c>
      <c r="M204" s="80" t="s">
        <v>200</v>
      </c>
      <c r="N204" s="21">
        <v>1</v>
      </c>
      <c r="O204" s="21" t="s">
        <v>897</v>
      </c>
      <c r="P204" s="110" t="s">
        <v>1425</v>
      </c>
      <c r="Q204" s="110" t="s">
        <v>1426</v>
      </c>
      <c r="R204" s="102" t="s">
        <v>1427</v>
      </c>
      <c r="S204" s="22" t="s">
        <v>209</v>
      </c>
      <c r="T204" s="42" t="s">
        <v>727</v>
      </c>
      <c r="U204" s="42" t="s">
        <v>754</v>
      </c>
      <c r="V204" s="81">
        <v>1</v>
      </c>
      <c r="W204" s="81">
        <v>0</v>
      </c>
      <c r="X204" s="103">
        <v>0</v>
      </c>
      <c r="Y204" s="25" t="str">
        <f>IFERROR((TABLA_AVANCE_INDICADORES[[#This Row],[AVANCE 1°. TRIM]]/TABLA_AVANCE_INDICADORES[[#This Row],[PROGR. 1° TRIM]])*100,"0")</f>
        <v>0</v>
      </c>
      <c r="Z204"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204" s="104">
        <v>1</v>
      </c>
      <c r="AB204" s="105">
        <v>1</v>
      </c>
      <c r="AC204" s="27">
        <f t="shared" si="6"/>
        <v>100</v>
      </c>
      <c r="AD204" s="26" t="str">
        <f t="shared" si="7"/>
        <v>ADECUADO</v>
      </c>
      <c r="AE204" s="104">
        <v>0</v>
      </c>
      <c r="AF204" s="105">
        <v>0</v>
      </c>
      <c r="AG204" s="27" t="str">
        <f>IFERROR((TABLA_AVANCE_INDICADORES[[#This Row],[AVANCE 3°. TRIM]]/TABLA_AVANCE_INDICADORES[[#This Row],[PROGR. 3° TRIM]])*100,"0")</f>
        <v>0</v>
      </c>
      <c r="AH204"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204" s="104">
        <v>0</v>
      </c>
      <c r="AJ204" s="105">
        <v>0</v>
      </c>
      <c r="AK204" s="82" t="str">
        <f>IFERROR((TABLA_AVANCE_INDICADORES[[#This Row],[AVANCE 4°. TRIM]]/TABLA_AVANCE_INDICADORES[[#This Row],[PROGR. 4° TRIM]])*100,"0")</f>
        <v>0</v>
      </c>
      <c r="AL204"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NO PROG.</v>
      </c>
      <c r="AM204"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v>
      </c>
      <c r="AN204"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O204" s="27">
        <f>IFERROR((TABLA_AVANCE_INDICADORES[[#This Row],[AVANCE ACUM. TRIM.]]/TABLA_AVANCE_INDICADORES[[#This Row],[PROG. ACUM]])*100,"N/A")</f>
        <v>100</v>
      </c>
      <c r="AP204"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204" s="106">
        <f>TABLA_AVANCE_INDICADORES[[#This Row],[AVANCE ACUM. TRIM.]]-TABLA_AVANCE_INDICADORES[[#This Row],[PROG. ACUM]]</f>
        <v>0</v>
      </c>
      <c r="AR204" s="32">
        <f>IFERROR((TABLA_AVANCE_INDICADORES[[#This Row],[DIFERENCIA ABSOLUTA SEMESTRAL]]/TABLA_AVANCE_INDICADORES[[#This Row],[PROG. ACUM]])*100,"N/A")</f>
        <v>0</v>
      </c>
      <c r="AS204"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T204" s="27">
        <f>IFERROR((TABLA_AVANCE_INDICADORES[[#This Row],[AVANCE ACUM. ANUAL]]/TABLA_AVANCE_INDICADORES[[#This Row],[PROGRAMADO ANUAL]])*100,"N/A")</f>
        <v>100</v>
      </c>
      <c r="AU204"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ADECUADO</v>
      </c>
      <c r="AV204" s="106">
        <f>TABLA_AVANCE_INDICADORES[[#This Row],[AVANCE ACUM. ANUAL]]-TABLA_AVANCE_INDICADORES[[#This Row],[PROGRAMADO ANUAL]]</f>
        <v>0</v>
      </c>
      <c r="AW204" s="32">
        <f>IFERROR((TABLA_AVANCE_INDICADORES[[#This Row],[DIFERENCIA ABSOLUTA ANUAL]]/TABLA_AVANCE_INDICADORES[[#This Row],[PROGRAMADO ANUAL]])*100,"N/A")</f>
        <v>0</v>
      </c>
      <c r="AX204" s="132"/>
      <c r="AY204" s="86"/>
      <c r="AZ204" s="86"/>
      <c r="BA204" s="86"/>
      <c r="BB204"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05" spans="1:54" ht="112.5" hidden="1" customHeight="1" x14ac:dyDescent="0.35">
      <c r="A205" s="19" t="s">
        <v>1428</v>
      </c>
      <c r="B205" s="99" t="s">
        <v>195</v>
      </c>
      <c r="C205" s="20" t="s">
        <v>74</v>
      </c>
      <c r="D205" s="100" t="s">
        <v>75</v>
      </c>
      <c r="E205" s="20" t="s">
        <v>196</v>
      </c>
      <c r="F205" s="101" t="s">
        <v>197</v>
      </c>
      <c r="G205" s="130" t="s">
        <v>198</v>
      </c>
      <c r="H205" s="80" t="s">
        <v>1399</v>
      </c>
      <c r="I205" s="22" t="s">
        <v>722</v>
      </c>
      <c r="J205" s="22" t="s">
        <v>187</v>
      </c>
      <c r="K205" s="80" t="s">
        <v>188</v>
      </c>
      <c r="L205" s="22" t="s">
        <v>199</v>
      </c>
      <c r="M205" s="80" t="s">
        <v>200</v>
      </c>
      <c r="N205" s="21">
        <v>2</v>
      </c>
      <c r="O205" s="21" t="s">
        <v>897</v>
      </c>
      <c r="P205" s="110" t="s">
        <v>1425</v>
      </c>
      <c r="Q205" s="110" t="s">
        <v>917</v>
      </c>
      <c r="R205" s="102" t="s">
        <v>1427</v>
      </c>
      <c r="S205" s="22" t="s">
        <v>209</v>
      </c>
      <c r="T205" s="42" t="s">
        <v>727</v>
      </c>
      <c r="U205" s="42" t="s">
        <v>754</v>
      </c>
      <c r="V205" s="81">
        <v>1</v>
      </c>
      <c r="W205" s="81">
        <v>0</v>
      </c>
      <c r="X205" s="112">
        <v>0</v>
      </c>
      <c r="Y205" s="25" t="str">
        <f>IFERROR((TABLA_AVANCE_INDICADORES[[#This Row],[AVANCE 1°. TRIM]]/TABLA_AVANCE_INDICADORES[[#This Row],[PROGR. 1° TRIM]])*100,"0")</f>
        <v>0</v>
      </c>
      <c r="Z205"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205" s="104">
        <v>1</v>
      </c>
      <c r="AB205" s="113">
        <v>1</v>
      </c>
      <c r="AC205" s="27">
        <f t="shared" si="6"/>
        <v>100</v>
      </c>
      <c r="AD205" s="26" t="str">
        <f t="shared" si="7"/>
        <v>ADECUADO</v>
      </c>
      <c r="AE205" s="104">
        <v>0</v>
      </c>
      <c r="AF205" s="113">
        <f>AE205</f>
        <v>0</v>
      </c>
      <c r="AG205" s="27" t="str">
        <f>IFERROR((TABLA_AVANCE_INDICADORES[[#This Row],[AVANCE 3°. TRIM]]/TABLA_AVANCE_INDICADORES[[#This Row],[PROGR. 3° TRIM]])*100,"0")</f>
        <v>0</v>
      </c>
      <c r="AH205"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205" s="104">
        <v>0</v>
      </c>
      <c r="AJ205" s="113">
        <f>AI205</f>
        <v>0</v>
      </c>
      <c r="AK205" s="82" t="str">
        <f>IFERROR((TABLA_AVANCE_INDICADORES[[#This Row],[AVANCE 4°. TRIM]]/TABLA_AVANCE_INDICADORES[[#This Row],[PROGR. 4° TRIM]])*100,"0")</f>
        <v>0</v>
      </c>
      <c r="AL205"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NO PROG.</v>
      </c>
      <c r="AM205"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v>
      </c>
      <c r="AN205"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O205" s="27">
        <f>IFERROR((TABLA_AVANCE_INDICADORES[[#This Row],[AVANCE ACUM. TRIM.]]/TABLA_AVANCE_INDICADORES[[#This Row],[PROG. ACUM]])*100,"N/A")</f>
        <v>100</v>
      </c>
      <c r="AP205"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205" s="106">
        <f>TABLA_AVANCE_INDICADORES[[#This Row],[AVANCE ACUM. TRIM.]]-TABLA_AVANCE_INDICADORES[[#This Row],[PROG. ACUM]]</f>
        <v>0</v>
      </c>
      <c r="AR205" s="32">
        <f>IFERROR((TABLA_AVANCE_INDICADORES[[#This Row],[DIFERENCIA ABSOLUTA SEMESTRAL]]/TABLA_AVANCE_INDICADORES[[#This Row],[PROG. ACUM]])*100,"N/A")</f>
        <v>0</v>
      </c>
      <c r="AS205"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T205" s="27">
        <f>IFERROR((TABLA_AVANCE_INDICADORES[[#This Row],[AVANCE ACUM. ANUAL]]/TABLA_AVANCE_INDICADORES[[#This Row],[PROGRAMADO ANUAL]])*100,"N/A")</f>
        <v>100</v>
      </c>
      <c r="AU205"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ADECUADO</v>
      </c>
      <c r="AV205" s="106">
        <f>TABLA_AVANCE_INDICADORES[[#This Row],[AVANCE ACUM. ANUAL]]-TABLA_AVANCE_INDICADORES[[#This Row],[PROGRAMADO ANUAL]]</f>
        <v>0</v>
      </c>
      <c r="AW205" s="32">
        <f>IFERROR((TABLA_AVANCE_INDICADORES[[#This Row],[DIFERENCIA ABSOLUTA ANUAL]]/TABLA_AVANCE_INDICADORES[[#This Row],[PROGRAMADO ANUAL]])*100,"N/A")</f>
        <v>0</v>
      </c>
      <c r="AX205" s="132"/>
      <c r="AY205" s="86"/>
      <c r="AZ205" s="86"/>
      <c r="BA205" s="86"/>
      <c r="BB205"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06" spans="1:54" ht="112.5" hidden="1" customHeight="1" x14ac:dyDescent="0.35">
      <c r="A206" s="19" t="s">
        <v>1429</v>
      </c>
      <c r="B206" s="99" t="s">
        <v>195</v>
      </c>
      <c r="C206" s="20" t="s">
        <v>74</v>
      </c>
      <c r="D206" s="100" t="s">
        <v>75</v>
      </c>
      <c r="E206" s="20" t="s">
        <v>196</v>
      </c>
      <c r="F206" s="101" t="s">
        <v>197</v>
      </c>
      <c r="G206" s="130" t="s">
        <v>198</v>
      </c>
      <c r="H206" s="80" t="s">
        <v>1399</v>
      </c>
      <c r="I206" s="22" t="s">
        <v>722</v>
      </c>
      <c r="J206" s="22" t="s">
        <v>187</v>
      </c>
      <c r="K206" s="80" t="s">
        <v>188</v>
      </c>
      <c r="L206" s="22" t="s">
        <v>199</v>
      </c>
      <c r="M206" s="80" t="s">
        <v>200</v>
      </c>
      <c r="N206" s="21">
        <v>1</v>
      </c>
      <c r="O206" s="21" t="s">
        <v>750</v>
      </c>
      <c r="P206" s="110" t="s">
        <v>1430</v>
      </c>
      <c r="Q206" s="110" t="s">
        <v>1431</v>
      </c>
      <c r="R206" s="102" t="s">
        <v>1432</v>
      </c>
      <c r="S206" s="22" t="s">
        <v>585</v>
      </c>
      <c r="T206" s="42" t="s">
        <v>727</v>
      </c>
      <c r="U206" s="42" t="s">
        <v>754</v>
      </c>
      <c r="V206" s="81">
        <v>12</v>
      </c>
      <c r="W206" s="81">
        <v>6</v>
      </c>
      <c r="X206" s="103">
        <v>6</v>
      </c>
      <c r="Y206" s="25">
        <f>IFERROR((TABLA_AVANCE_INDICADORES[[#This Row],[AVANCE 1°. TRIM]]/TABLA_AVANCE_INDICADORES[[#This Row],[PROGR. 1° TRIM]])*100,"0")</f>
        <v>100</v>
      </c>
      <c r="Z206"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206" s="104">
        <v>2</v>
      </c>
      <c r="AB206" s="105">
        <v>2</v>
      </c>
      <c r="AC206" s="27">
        <f t="shared" si="6"/>
        <v>100</v>
      </c>
      <c r="AD206" s="26" t="str">
        <f t="shared" si="7"/>
        <v>ADECUADO</v>
      </c>
      <c r="AE206" s="104">
        <v>2</v>
      </c>
      <c r="AF206" s="105">
        <v>0</v>
      </c>
      <c r="AG206" s="27">
        <f>IFERROR((TABLA_AVANCE_INDICADORES[[#This Row],[AVANCE 3°. TRIM]]/TABLA_AVANCE_INDICADORES[[#This Row],[PROGR. 3° TRIM]])*100,"0")</f>
        <v>0</v>
      </c>
      <c r="AH206"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206" s="104">
        <v>2</v>
      </c>
      <c r="AJ206" s="105">
        <v>0</v>
      </c>
      <c r="AK206" s="82">
        <f>IFERROR((TABLA_AVANCE_INDICADORES[[#This Row],[AVANCE 4°. TRIM]]/TABLA_AVANCE_INDICADORES[[#This Row],[PROGR. 4° TRIM]])*100,"0")</f>
        <v>0</v>
      </c>
      <c r="AL206"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06"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8</v>
      </c>
      <c r="AN206"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8</v>
      </c>
      <c r="AO206" s="27">
        <f>IFERROR((TABLA_AVANCE_INDICADORES[[#This Row],[AVANCE ACUM. TRIM.]]/TABLA_AVANCE_INDICADORES[[#This Row],[PROG. ACUM]])*100,"N/A")</f>
        <v>100</v>
      </c>
      <c r="AP206"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206" s="106">
        <f>TABLA_AVANCE_INDICADORES[[#This Row],[AVANCE ACUM. TRIM.]]-TABLA_AVANCE_INDICADORES[[#This Row],[PROG. ACUM]]</f>
        <v>0</v>
      </c>
      <c r="AR206" s="32">
        <f>IFERROR((TABLA_AVANCE_INDICADORES[[#This Row],[DIFERENCIA ABSOLUTA SEMESTRAL]]/TABLA_AVANCE_INDICADORES[[#This Row],[PROG. ACUM]])*100,"N/A")</f>
        <v>0</v>
      </c>
      <c r="AS206"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8</v>
      </c>
      <c r="AT206" s="27">
        <f>IFERROR((TABLA_AVANCE_INDICADORES[[#This Row],[AVANCE ACUM. ANUAL]]/TABLA_AVANCE_INDICADORES[[#This Row],[PROGRAMADO ANUAL]])*100,"N/A")</f>
        <v>66.666666666666657</v>
      </c>
      <c r="AU206"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206" s="106">
        <f>TABLA_AVANCE_INDICADORES[[#This Row],[AVANCE ACUM. ANUAL]]-TABLA_AVANCE_INDICADORES[[#This Row],[PROGRAMADO ANUAL]]</f>
        <v>-4</v>
      </c>
      <c r="AW206" s="32">
        <f>IFERROR((TABLA_AVANCE_INDICADORES[[#This Row],[DIFERENCIA ABSOLUTA ANUAL]]/TABLA_AVANCE_INDICADORES[[#This Row],[PROGRAMADO ANUAL]])*100,"N/A")</f>
        <v>-33.333333333333329</v>
      </c>
      <c r="AX206" s="132"/>
      <c r="AY206" s="86"/>
      <c r="AZ206" s="86"/>
      <c r="BA206" s="86"/>
      <c r="BB206"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07" spans="1:54" ht="112.5" hidden="1" customHeight="1" x14ac:dyDescent="0.35">
      <c r="A207" s="19" t="s">
        <v>1433</v>
      </c>
      <c r="B207" s="99" t="s">
        <v>195</v>
      </c>
      <c r="C207" s="20" t="s">
        <v>74</v>
      </c>
      <c r="D207" s="100" t="s">
        <v>75</v>
      </c>
      <c r="E207" s="20" t="s">
        <v>196</v>
      </c>
      <c r="F207" s="101" t="s">
        <v>197</v>
      </c>
      <c r="G207" s="130" t="s">
        <v>198</v>
      </c>
      <c r="H207" s="80" t="s">
        <v>1399</v>
      </c>
      <c r="I207" s="22" t="s">
        <v>722</v>
      </c>
      <c r="J207" s="22" t="s">
        <v>187</v>
      </c>
      <c r="K207" s="80" t="s">
        <v>188</v>
      </c>
      <c r="L207" s="22" t="s">
        <v>199</v>
      </c>
      <c r="M207" s="80" t="s">
        <v>200</v>
      </c>
      <c r="N207" s="21">
        <v>2</v>
      </c>
      <c r="O207" s="21" t="s">
        <v>750</v>
      </c>
      <c r="P207" s="110" t="s">
        <v>1430</v>
      </c>
      <c r="Q207" s="110" t="s">
        <v>1434</v>
      </c>
      <c r="R207" s="102" t="s">
        <v>1432</v>
      </c>
      <c r="S207" s="22" t="s">
        <v>585</v>
      </c>
      <c r="T207" s="42" t="s">
        <v>727</v>
      </c>
      <c r="U207" s="42" t="s">
        <v>754</v>
      </c>
      <c r="V207" s="81">
        <v>12</v>
      </c>
      <c r="W207" s="81">
        <v>6</v>
      </c>
      <c r="X207" s="103">
        <v>6</v>
      </c>
      <c r="Y207" s="25">
        <f>IFERROR((TABLA_AVANCE_INDICADORES[[#This Row],[AVANCE 1°. TRIM]]/TABLA_AVANCE_INDICADORES[[#This Row],[PROGR. 1° TRIM]])*100,"0")</f>
        <v>100</v>
      </c>
      <c r="Z207"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207" s="104">
        <v>2</v>
      </c>
      <c r="AB207" s="105">
        <v>2</v>
      </c>
      <c r="AC207" s="27">
        <f t="shared" si="6"/>
        <v>100</v>
      </c>
      <c r="AD207" s="26" t="str">
        <f t="shared" si="7"/>
        <v>ADECUADO</v>
      </c>
      <c r="AE207" s="104">
        <v>2</v>
      </c>
      <c r="AF207" s="105">
        <v>0</v>
      </c>
      <c r="AG207" s="27">
        <f>IFERROR((TABLA_AVANCE_INDICADORES[[#This Row],[AVANCE 3°. TRIM]]/TABLA_AVANCE_INDICADORES[[#This Row],[PROGR. 3° TRIM]])*100,"0")</f>
        <v>0</v>
      </c>
      <c r="AH207"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207" s="104">
        <v>2</v>
      </c>
      <c r="AJ207" s="105">
        <v>0</v>
      </c>
      <c r="AK207" s="82">
        <f>IFERROR((TABLA_AVANCE_INDICADORES[[#This Row],[AVANCE 4°. TRIM]]/TABLA_AVANCE_INDICADORES[[#This Row],[PROGR. 4° TRIM]])*100,"0")</f>
        <v>0</v>
      </c>
      <c r="AL207"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07"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8</v>
      </c>
      <c r="AN207"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8</v>
      </c>
      <c r="AO207" s="27">
        <f>IFERROR((TABLA_AVANCE_INDICADORES[[#This Row],[AVANCE ACUM. TRIM.]]/TABLA_AVANCE_INDICADORES[[#This Row],[PROG. ACUM]])*100,"N/A")</f>
        <v>100</v>
      </c>
      <c r="AP207"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207" s="106">
        <f>TABLA_AVANCE_INDICADORES[[#This Row],[AVANCE ACUM. TRIM.]]-TABLA_AVANCE_INDICADORES[[#This Row],[PROG. ACUM]]</f>
        <v>0</v>
      </c>
      <c r="AR207" s="32">
        <f>IFERROR((TABLA_AVANCE_INDICADORES[[#This Row],[DIFERENCIA ABSOLUTA SEMESTRAL]]/TABLA_AVANCE_INDICADORES[[#This Row],[PROG. ACUM]])*100,"N/A")</f>
        <v>0</v>
      </c>
      <c r="AS207"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8</v>
      </c>
      <c r="AT207" s="27">
        <f>IFERROR((TABLA_AVANCE_INDICADORES[[#This Row],[AVANCE ACUM. ANUAL]]/TABLA_AVANCE_INDICADORES[[#This Row],[PROGRAMADO ANUAL]])*100,"N/A")</f>
        <v>66.666666666666657</v>
      </c>
      <c r="AU207"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207" s="106">
        <f>TABLA_AVANCE_INDICADORES[[#This Row],[AVANCE ACUM. ANUAL]]-TABLA_AVANCE_INDICADORES[[#This Row],[PROGRAMADO ANUAL]]</f>
        <v>-4</v>
      </c>
      <c r="AW207" s="32">
        <f>IFERROR((TABLA_AVANCE_INDICADORES[[#This Row],[DIFERENCIA ABSOLUTA ANUAL]]/TABLA_AVANCE_INDICADORES[[#This Row],[PROGRAMADO ANUAL]])*100,"N/A")</f>
        <v>-33.333333333333329</v>
      </c>
      <c r="AX207" s="132"/>
      <c r="AY207" s="86"/>
      <c r="AZ207" s="86"/>
      <c r="BA207" s="86"/>
      <c r="BB207"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08" spans="1:54" ht="112.5" hidden="1" customHeight="1" x14ac:dyDescent="0.35">
      <c r="A208" s="19" t="s">
        <v>1435</v>
      </c>
      <c r="B208" s="99" t="s">
        <v>195</v>
      </c>
      <c r="C208" s="20" t="s">
        <v>74</v>
      </c>
      <c r="D208" s="100" t="s">
        <v>75</v>
      </c>
      <c r="E208" s="20" t="s">
        <v>196</v>
      </c>
      <c r="F208" s="101" t="s">
        <v>197</v>
      </c>
      <c r="G208" s="130" t="s">
        <v>198</v>
      </c>
      <c r="H208" s="80" t="s">
        <v>1399</v>
      </c>
      <c r="I208" s="22" t="s">
        <v>722</v>
      </c>
      <c r="J208" s="22" t="s">
        <v>187</v>
      </c>
      <c r="K208" s="80" t="s">
        <v>188</v>
      </c>
      <c r="L208" s="22" t="s">
        <v>199</v>
      </c>
      <c r="M208" s="80" t="s">
        <v>200</v>
      </c>
      <c r="N208" s="21">
        <v>1</v>
      </c>
      <c r="O208" s="21" t="s">
        <v>758</v>
      </c>
      <c r="P208" s="110" t="s">
        <v>1436</v>
      </c>
      <c r="Q208" s="110" t="s">
        <v>1437</v>
      </c>
      <c r="R208" s="102" t="s">
        <v>1438</v>
      </c>
      <c r="S208" s="22" t="s">
        <v>84</v>
      </c>
      <c r="T208" s="42" t="s">
        <v>727</v>
      </c>
      <c r="U208" s="42" t="s">
        <v>754</v>
      </c>
      <c r="V208" s="81">
        <v>4</v>
      </c>
      <c r="W208" s="81">
        <v>1</v>
      </c>
      <c r="X208" s="103">
        <v>1</v>
      </c>
      <c r="Y208" s="25">
        <f>IFERROR((TABLA_AVANCE_INDICADORES[[#This Row],[AVANCE 1°. TRIM]]/TABLA_AVANCE_INDICADORES[[#This Row],[PROGR. 1° TRIM]])*100,"0")</f>
        <v>100</v>
      </c>
      <c r="Z208"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208" s="104">
        <v>1</v>
      </c>
      <c r="AB208" s="105">
        <v>1</v>
      </c>
      <c r="AC208" s="27">
        <f t="shared" si="6"/>
        <v>100</v>
      </c>
      <c r="AD208" s="26" t="str">
        <f t="shared" si="7"/>
        <v>ADECUADO</v>
      </c>
      <c r="AE208" s="104">
        <v>1</v>
      </c>
      <c r="AF208" s="105">
        <v>0</v>
      </c>
      <c r="AG208" s="27">
        <f>IFERROR((TABLA_AVANCE_INDICADORES[[#This Row],[AVANCE 3°. TRIM]]/TABLA_AVANCE_INDICADORES[[#This Row],[PROGR. 3° TRIM]])*100,"0")</f>
        <v>0</v>
      </c>
      <c r="AH208"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208" s="104">
        <v>1</v>
      </c>
      <c r="AJ208" s="105">
        <v>0</v>
      </c>
      <c r="AK208" s="82">
        <f>IFERROR((TABLA_AVANCE_INDICADORES[[#This Row],[AVANCE 4°. TRIM]]/TABLA_AVANCE_INDICADORES[[#This Row],[PROGR. 4° TRIM]])*100,"0")</f>
        <v>0</v>
      </c>
      <c r="AL208"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08"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v>
      </c>
      <c r="AN208"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O208" s="27">
        <f>IFERROR((TABLA_AVANCE_INDICADORES[[#This Row],[AVANCE ACUM. TRIM.]]/TABLA_AVANCE_INDICADORES[[#This Row],[PROG. ACUM]])*100,"N/A")</f>
        <v>100</v>
      </c>
      <c r="AP208"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208" s="106">
        <f>TABLA_AVANCE_INDICADORES[[#This Row],[AVANCE ACUM. TRIM.]]-TABLA_AVANCE_INDICADORES[[#This Row],[PROG. ACUM]]</f>
        <v>0</v>
      </c>
      <c r="AR208" s="32">
        <f>IFERROR((TABLA_AVANCE_INDICADORES[[#This Row],[DIFERENCIA ABSOLUTA SEMESTRAL]]/TABLA_AVANCE_INDICADORES[[#This Row],[PROG. ACUM]])*100,"N/A")</f>
        <v>0</v>
      </c>
      <c r="AS208"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T208" s="27">
        <f>IFERROR((TABLA_AVANCE_INDICADORES[[#This Row],[AVANCE ACUM. ANUAL]]/TABLA_AVANCE_INDICADORES[[#This Row],[PROGRAMADO ANUAL]])*100,"N/A")</f>
        <v>50</v>
      </c>
      <c r="AU208"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208" s="106">
        <f>TABLA_AVANCE_INDICADORES[[#This Row],[AVANCE ACUM. ANUAL]]-TABLA_AVANCE_INDICADORES[[#This Row],[PROGRAMADO ANUAL]]</f>
        <v>-2</v>
      </c>
      <c r="AW208" s="32">
        <f>IFERROR((TABLA_AVANCE_INDICADORES[[#This Row],[DIFERENCIA ABSOLUTA ANUAL]]/TABLA_AVANCE_INDICADORES[[#This Row],[PROGRAMADO ANUAL]])*100,"N/A")</f>
        <v>-50</v>
      </c>
      <c r="AX208" s="132"/>
      <c r="AY208" s="86"/>
      <c r="AZ208" s="86"/>
      <c r="BA208" s="86"/>
      <c r="BB208"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09" spans="1:54" ht="112.5" hidden="1" customHeight="1" x14ac:dyDescent="0.35">
      <c r="A209" s="19" t="s">
        <v>1439</v>
      </c>
      <c r="B209" s="99" t="s">
        <v>195</v>
      </c>
      <c r="C209" s="20" t="s">
        <v>74</v>
      </c>
      <c r="D209" s="100" t="s">
        <v>75</v>
      </c>
      <c r="E209" s="20" t="s">
        <v>196</v>
      </c>
      <c r="F209" s="101" t="s">
        <v>197</v>
      </c>
      <c r="G209" s="130" t="s">
        <v>198</v>
      </c>
      <c r="H209" s="80" t="s">
        <v>1399</v>
      </c>
      <c r="I209" s="22" t="s">
        <v>722</v>
      </c>
      <c r="J209" s="22" t="s">
        <v>187</v>
      </c>
      <c r="K209" s="80" t="s">
        <v>188</v>
      </c>
      <c r="L209" s="22" t="s">
        <v>199</v>
      </c>
      <c r="M209" s="80" t="s">
        <v>200</v>
      </c>
      <c r="N209" s="21">
        <v>2</v>
      </c>
      <c r="O209" s="21" t="s">
        <v>758</v>
      </c>
      <c r="P209" s="110" t="s">
        <v>1436</v>
      </c>
      <c r="Q209" s="110" t="s">
        <v>1440</v>
      </c>
      <c r="R209" s="102" t="s">
        <v>1438</v>
      </c>
      <c r="S209" s="22" t="s">
        <v>84</v>
      </c>
      <c r="T209" s="42" t="s">
        <v>727</v>
      </c>
      <c r="U209" s="42" t="s">
        <v>754</v>
      </c>
      <c r="V209" s="81">
        <v>4</v>
      </c>
      <c r="W209" s="81">
        <v>1</v>
      </c>
      <c r="X209" s="103">
        <v>1</v>
      </c>
      <c r="Y209" s="25">
        <f>IFERROR((TABLA_AVANCE_INDICADORES[[#This Row],[AVANCE 1°. TRIM]]/TABLA_AVANCE_INDICADORES[[#This Row],[PROGR. 1° TRIM]])*100,"0")</f>
        <v>100</v>
      </c>
      <c r="Z209"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209" s="104">
        <v>1</v>
      </c>
      <c r="AB209" s="105">
        <v>1</v>
      </c>
      <c r="AC209" s="27">
        <f t="shared" si="6"/>
        <v>100</v>
      </c>
      <c r="AD209" s="26" t="str">
        <f t="shared" si="7"/>
        <v>ADECUADO</v>
      </c>
      <c r="AE209" s="104">
        <v>1</v>
      </c>
      <c r="AF209" s="105">
        <v>0</v>
      </c>
      <c r="AG209" s="27">
        <f>IFERROR((TABLA_AVANCE_INDICADORES[[#This Row],[AVANCE 3°. TRIM]]/TABLA_AVANCE_INDICADORES[[#This Row],[PROGR. 3° TRIM]])*100,"0")</f>
        <v>0</v>
      </c>
      <c r="AH209"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209" s="104">
        <v>1</v>
      </c>
      <c r="AJ209" s="105">
        <v>0</v>
      </c>
      <c r="AK209" s="82">
        <f>IFERROR((TABLA_AVANCE_INDICADORES[[#This Row],[AVANCE 4°. TRIM]]/TABLA_AVANCE_INDICADORES[[#This Row],[PROGR. 4° TRIM]])*100,"0")</f>
        <v>0</v>
      </c>
      <c r="AL209"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09"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v>
      </c>
      <c r="AN209"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O209" s="27">
        <f>IFERROR((TABLA_AVANCE_INDICADORES[[#This Row],[AVANCE ACUM. TRIM.]]/TABLA_AVANCE_INDICADORES[[#This Row],[PROG. ACUM]])*100,"N/A")</f>
        <v>100</v>
      </c>
      <c r="AP209"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209" s="106">
        <f>TABLA_AVANCE_INDICADORES[[#This Row],[AVANCE ACUM. TRIM.]]-TABLA_AVANCE_INDICADORES[[#This Row],[PROG. ACUM]]</f>
        <v>0</v>
      </c>
      <c r="AR209" s="32">
        <f>IFERROR((TABLA_AVANCE_INDICADORES[[#This Row],[DIFERENCIA ABSOLUTA SEMESTRAL]]/TABLA_AVANCE_INDICADORES[[#This Row],[PROG. ACUM]])*100,"N/A")</f>
        <v>0</v>
      </c>
      <c r="AS209"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v>
      </c>
      <c r="AT209" s="27">
        <f>IFERROR((TABLA_AVANCE_INDICADORES[[#This Row],[AVANCE ACUM. ANUAL]]/TABLA_AVANCE_INDICADORES[[#This Row],[PROGRAMADO ANUAL]])*100,"N/A")</f>
        <v>50</v>
      </c>
      <c r="AU209"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209" s="106">
        <f>TABLA_AVANCE_INDICADORES[[#This Row],[AVANCE ACUM. ANUAL]]-TABLA_AVANCE_INDICADORES[[#This Row],[PROGRAMADO ANUAL]]</f>
        <v>-2</v>
      </c>
      <c r="AW209" s="32">
        <f>IFERROR((TABLA_AVANCE_INDICADORES[[#This Row],[DIFERENCIA ABSOLUTA ANUAL]]/TABLA_AVANCE_INDICADORES[[#This Row],[PROGRAMADO ANUAL]])*100,"N/A")</f>
        <v>-50</v>
      </c>
      <c r="AX209" s="132"/>
      <c r="AY209" s="86"/>
      <c r="AZ209" s="86"/>
      <c r="BA209" s="86"/>
      <c r="BB209"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10" spans="1:54" ht="112.5" hidden="1" customHeight="1" x14ac:dyDescent="0.35">
      <c r="A210" s="19" t="s">
        <v>1441</v>
      </c>
      <c r="B210" s="99" t="s">
        <v>195</v>
      </c>
      <c r="C210" s="20" t="s">
        <v>74</v>
      </c>
      <c r="D210" s="100" t="s">
        <v>75</v>
      </c>
      <c r="E210" s="20" t="s">
        <v>196</v>
      </c>
      <c r="F210" s="101" t="s">
        <v>197</v>
      </c>
      <c r="G210" s="130" t="s">
        <v>198</v>
      </c>
      <c r="H210" s="80" t="s">
        <v>1399</v>
      </c>
      <c r="I210" s="22" t="s">
        <v>722</v>
      </c>
      <c r="J210" s="22" t="s">
        <v>187</v>
      </c>
      <c r="K210" s="80" t="s">
        <v>188</v>
      </c>
      <c r="L210" s="22" t="s">
        <v>199</v>
      </c>
      <c r="M210" s="80" t="s">
        <v>200</v>
      </c>
      <c r="N210" s="21">
        <v>1</v>
      </c>
      <c r="O210" s="21" t="s">
        <v>798</v>
      </c>
      <c r="P210" s="110" t="s">
        <v>1442</v>
      </c>
      <c r="Q210" s="110" t="s">
        <v>1443</v>
      </c>
      <c r="R210" s="102" t="s">
        <v>1444</v>
      </c>
      <c r="S210" s="22" t="s">
        <v>599</v>
      </c>
      <c r="T210" s="42" t="s">
        <v>727</v>
      </c>
      <c r="U210" s="42" t="s">
        <v>754</v>
      </c>
      <c r="V210" s="81">
        <v>2</v>
      </c>
      <c r="W210" s="81">
        <v>0</v>
      </c>
      <c r="X210" s="103">
        <v>0</v>
      </c>
      <c r="Y210" s="25" t="str">
        <f>IFERROR((TABLA_AVANCE_INDICADORES[[#This Row],[AVANCE 1°. TRIM]]/TABLA_AVANCE_INDICADORES[[#This Row],[PROGR. 1° TRIM]])*100,"0")</f>
        <v>0</v>
      </c>
      <c r="Z210"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210" s="104">
        <v>1</v>
      </c>
      <c r="AB210" s="105">
        <v>1</v>
      </c>
      <c r="AC210" s="27">
        <f t="shared" si="6"/>
        <v>100</v>
      </c>
      <c r="AD210" s="26" t="str">
        <f t="shared" si="7"/>
        <v>ADECUADO</v>
      </c>
      <c r="AE210" s="104">
        <v>1</v>
      </c>
      <c r="AF210" s="105">
        <v>0</v>
      </c>
      <c r="AG210" s="27">
        <f>IFERROR((TABLA_AVANCE_INDICADORES[[#This Row],[AVANCE 3°. TRIM]]/TABLA_AVANCE_INDICADORES[[#This Row],[PROGR. 3° TRIM]])*100,"0")</f>
        <v>0</v>
      </c>
      <c r="AH210"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210" s="104">
        <v>0</v>
      </c>
      <c r="AJ210" s="105">
        <v>0</v>
      </c>
      <c r="AK210" s="82" t="str">
        <f>IFERROR((TABLA_AVANCE_INDICADORES[[#This Row],[AVANCE 4°. TRIM]]/TABLA_AVANCE_INDICADORES[[#This Row],[PROGR. 4° TRIM]])*100,"0")</f>
        <v>0</v>
      </c>
      <c r="AL210"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NO PROG.</v>
      </c>
      <c r="AM210"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v>
      </c>
      <c r="AN210"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O210" s="27">
        <f>IFERROR((TABLA_AVANCE_INDICADORES[[#This Row],[AVANCE ACUM. TRIM.]]/TABLA_AVANCE_INDICADORES[[#This Row],[PROG. ACUM]])*100,"N/A")</f>
        <v>100</v>
      </c>
      <c r="AP210"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210" s="106">
        <f>TABLA_AVANCE_INDICADORES[[#This Row],[AVANCE ACUM. TRIM.]]-TABLA_AVANCE_INDICADORES[[#This Row],[PROG. ACUM]]</f>
        <v>0</v>
      </c>
      <c r="AR210" s="32">
        <f>IFERROR((TABLA_AVANCE_INDICADORES[[#This Row],[DIFERENCIA ABSOLUTA SEMESTRAL]]/TABLA_AVANCE_INDICADORES[[#This Row],[PROG. ACUM]])*100,"N/A")</f>
        <v>0</v>
      </c>
      <c r="AS210"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T210" s="27">
        <f>IFERROR((TABLA_AVANCE_INDICADORES[[#This Row],[AVANCE ACUM. ANUAL]]/TABLA_AVANCE_INDICADORES[[#This Row],[PROGRAMADO ANUAL]])*100,"N/A")</f>
        <v>50</v>
      </c>
      <c r="AU210"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210" s="106">
        <f>TABLA_AVANCE_INDICADORES[[#This Row],[AVANCE ACUM. ANUAL]]-TABLA_AVANCE_INDICADORES[[#This Row],[PROGRAMADO ANUAL]]</f>
        <v>-1</v>
      </c>
      <c r="AW210" s="32">
        <f>IFERROR((TABLA_AVANCE_INDICADORES[[#This Row],[DIFERENCIA ABSOLUTA ANUAL]]/TABLA_AVANCE_INDICADORES[[#This Row],[PROGRAMADO ANUAL]])*100,"N/A")</f>
        <v>-50</v>
      </c>
      <c r="AX210" s="132"/>
      <c r="AY210" s="86"/>
      <c r="AZ210" s="86"/>
      <c r="BA210" s="86"/>
      <c r="BB210"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11" spans="1:54" ht="112.5" hidden="1" customHeight="1" x14ac:dyDescent="0.35">
      <c r="A211" s="19" t="s">
        <v>1445</v>
      </c>
      <c r="B211" s="99" t="s">
        <v>195</v>
      </c>
      <c r="C211" s="20" t="s">
        <v>74</v>
      </c>
      <c r="D211" s="100" t="s">
        <v>75</v>
      </c>
      <c r="E211" s="20" t="s">
        <v>196</v>
      </c>
      <c r="F211" s="101" t="s">
        <v>197</v>
      </c>
      <c r="G211" s="130" t="s">
        <v>198</v>
      </c>
      <c r="H211" s="80" t="s">
        <v>1399</v>
      </c>
      <c r="I211" s="22" t="s">
        <v>722</v>
      </c>
      <c r="J211" s="22" t="s">
        <v>187</v>
      </c>
      <c r="K211" s="80" t="s">
        <v>188</v>
      </c>
      <c r="L211" s="22" t="s">
        <v>199</v>
      </c>
      <c r="M211" s="80" t="s">
        <v>200</v>
      </c>
      <c r="N211" s="21">
        <v>2</v>
      </c>
      <c r="O211" s="21" t="s">
        <v>798</v>
      </c>
      <c r="P211" s="110" t="s">
        <v>1442</v>
      </c>
      <c r="Q211" s="110" t="s">
        <v>1440</v>
      </c>
      <c r="R211" s="102" t="s">
        <v>1444</v>
      </c>
      <c r="S211" s="22" t="s">
        <v>599</v>
      </c>
      <c r="T211" s="42" t="s">
        <v>727</v>
      </c>
      <c r="U211" s="42" t="s">
        <v>754</v>
      </c>
      <c r="V211" s="81">
        <v>2</v>
      </c>
      <c r="W211" s="81">
        <v>0</v>
      </c>
      <c r="X211" s="103">
        <v>0</v>
      </c>
      <c r="Y211" s="25" t="str">
        <f>IFERROR((TABLA_AVANCE_INDICADORES[[#This Row],[AVANCE 1°. TRIM]]/TABLA_AVANCE_INDICADORES[[#This Row],[PROGR. 1° TRIM]])*100,"0")</f>
        <v>0</v>
      </c>
      <c r="Z211"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211" s="104">
        <v>1</v>
      </c>
      <c r="AB211" s="105">
        <v>1</v>
      </c>
      <c r="AC211" s="27">
        <f t="shared" si="6"/>
        <v>100</v>
      </c>
      <c r="AD211" s="26" t="str">
        <f t="shared" si="7"/>
        <v>ADECUADO</v>
      </c>
      <c r="AE211" s="104">
        <v>1</v>
      </c>
      <c r="AF211" s="105">
        <v>0</v>
      </c>
      <c r="AG211" s="27">
        <f>IFERROR((TABLA_AVANCE_INDICADORES[[#This Row],[AVANCE 3°. TRIM]]/TABLA_AVANCE_INDICADORES[[#This Row],[PROGR. 3° TRIM]])*100,"0")</f>
        <v>0</v>
      </c>
      <c r="AH211"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211" s="104">
        <v>0</v>
      </c>
      <c r="AJ211" s="105">
        <v>0</v>
      </c>
      <c r="AK211" s="82" t="str">
        <f>IFERROR((TABLA_AVANCE_INDICADORES[[#This Row],[AVANCE 4°. TRIM]]/TABLA_AVANCE_INDICADORES[[#This Row],[PROGR. 4° TRIM]])*100,"0")</f>
        <v>0</v>
      </c>
      <c r="AL211"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NO PROG.</v>
      </c>
      <c r="AM211"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v>
      </c>
      <c r="AN211"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O211" s="27">
        <f>IFERROR((TABLA_AVANCE_INDICADORES[[#This Row],[AVANCE ACUM. TRIM.]]/TABLA_AVANCE_INDICADORES[[#This Row],[PROG. ACUM]])*100,"N/A")</f>
        <v>100</v>
      </c>
      <c r="AP211"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211" s="106">
        <f>TABLA_AVANCE_INDICADORES[[#This Row],[AVANCE ACUM. TRIM.]]-TABLA_AVANCE_INDICADORES[[#This Row],[PROG. ACUM]]</f>
        <v>0</v>
      </c>
      <c r="AR211" s="32">
        <f>IFERROR((TABLA_AVANCE_INDICADORES[[#This Row],[DIFERENCIA ABSOLUTA SEMESTRAL]]/TABLA_AVANCE_INDICADORES[[#This Row],[PROG. ACUM]])*100,"N/A")</f>
        <v>0</v>
      </c>
      <c r="AS211"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T211" s="27">
        <f>IFERROR((TABLA_AVANCE_INDICADORES[[#This Row],[AVANCE ACUM. ANUAL]]/TABLA_AVANCE_INDICADORES[[#This Row],[PROGRAMADO ANUAL]])*100,"N/A")</f>
        <v>50</v>
      </c>
      <c r="AU211"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211" s="106">
        <f>TABLA_AVANCE_INDICADORES[[#This Row],[AVANCE ACUM. ANUAL]]-TABLA_AVANCE_INDICADORES[[#This Row],[PROGRAMADO ANUAL]]</f>
        <v>-1</v>
      </c>
      <c r="AW211" s="32">
        <f>IFERROR((TABLA_AVANCE_INDICADORES[[#This Row],[DIFERENCIA ABSOLUTA ANUAL]]/TABLA_AVANCE_INDICADORES[[#This Row],[PROGRAMADO ANUAL]])*100,"N/A")</f>
        <v>-50</v>
      </c>
      <c r="AX211" s="132"/>
      <c r="AY211" s="86"/>
      <c r="AZ211" s="86"/>
      <c r="BA211" s="86"/>
      <c r="BB211"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12" spans="1:54" ht="112.5" hidden="1" customHeight="1" x14ac:dyDescent="0.35">
      <c r="A212" s="19" t="s">
        <v>1446</v>
      </c>
      <c r="B212" s="99" t="s">
        <v>195</v>
      </c>
      <c r="C212" s="20" t="s">
        <v>74</v>
      </c>
      <c r="D212" s="100" t="s">
        <v>75</v>
      </c>
      <c r="E212" s="20" t="s">
        <v>196</v>
      </c>
      <c r="F212" s="101" t="s">
        <v>197</v>
      </c>
      <c r="G212" s="130" t="s">
        <v>198</v>
      </c>
      <c r="H212" s="80" t="s">
        <v>1399</v>
      </c>
      <c r="I212" s="22" t="s">
        <v>722</v>
      </c>
      <c r="J212" s="22" t="s">
        <v>187</v>
      </c>
      <c r="K212" s="80" t="s">
        <v>188</v>
      </c>
      <c r="L212" s="22" t="s">
        <v>199</v>
      </c>
      <c r="M212" s="80" t="s">
        <v>200</v>
      </c>
      <c r="N212" s="21">
        <v>1</v>
      </c>
      <c r="O212" s="21" t="s">
        <v>1077</v>
      </c>
      <c r="P212" s="110" t="s">
        <v>1447</v>
      </c>
      <c r="Q212" s="110" t="s">
        <v>1448</v>
      </c>
      <c r="R212" s="102" t="s">
        <v>1449</v>
      </c>
      <c r="S212" s="22" t="s">
        <v>84</v>
      </c>
      <c r="T212" s="42" t="s">
        <v>727</v>
      </c>
      <c r="U212" s="42" t="s">
        <v>754</v>
      </c>
      <c r="V212" s="81">
        <v>1</v>
      </c>
      <c r="W212" s="81">
        <v>0</v>
      </c>
      <c r="X212" s="103">
        <v>0</v>
      </c>
      <c r="Y212" s="25" t="str">
        <f>IFERROR((TABLA_AVANCE_INDICADORES[[#This Row],[AVANCE 1°. TRIM]]/TABLA_AVANCE_INDICADORES[[#This Row],[PROGR. 1° TRIM]])*100,"0")</f>
        <v>0</v>
      </c>
      <c r="Z212"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212" s="104">
        <v>0</v>
      </c>
      <c r="AB212" s="105">
        <v>0</v>
      </c>
      <c r="AC212" s="27" t="str">
        <f t="shared" si="6"/>
        <v>0</v>
      </c>
      <c r="AD212" s="26" t="str">
        <f t="shared" si="7"/>
        <v>NO PROG.</v>
      </c>
      <c r="AE212" s="104">
        <v>1</v>
      </c>
      <c r="AF212" s="105">
        <v>0</v>
      </c>
      <c r="AG212" s="27">
        <f>IFERROR((TABLA_AVANCE_INDICADORES[[#This Row],[AVANCE 3°. TRIM]]/TABLA_AVANCE_INDICADORES[[#This Row],[PROGR. 3° TRIM]])*100,"0")</f>
        <v>0</v>
      </c>
      <c r="AH212"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212" s="104">
        <v>0</v>
      </c>
      <c r="AJ212" s="105">
        <v>0</v>
      </c>
      <c r="AK212" s="82" t="str">
        <f>IFERROR((TABLA_AVANCE_INDICADORES[[#This Row],[AVANCE 4°. TRIM]]/TABLA_AVANCE_INDICADORES[[#This Row],[PROGR. 4° TRIM]])*100,"0")</f>
        <v>0</v>
      </c>
      <c r="AL212"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NO PROG.</v>
      </c>
      <c r="AM212"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212"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212" s="27" t="str">
        <f>IFERROR((TABLA_AVANCE_INDICADORES[[#This Row],[AVANCE ACUM. TRIM.]]/TABLA_AVANCE_INDICADORES[[#This Row],[PROG. ACUM]])*100,"N/A")</f>
        <v>N/A</v>
      </c>
      <c r="AP212"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212" s="106">
        <f>TABLA_AVANCE_INDICADORES[[#This Row],[AVANCE ACUM. TRIM.]]-TABLA_AVANCE_INDICADORES[[#This Row],[PROG. ACUM]]</f>
        <v>0</v>
      </c>
      <c r="AR212" s="32" t="str">
        <f>IFERROR((TABLA_AVANCE_INDICADORES[[#This Row],[DIFERENCIA ABSOLUTA SEMESTRAL]]/TABLA_AVANCE_INDICADORES[[#This Row],[PROG. ACUM]])*100,"N/A")</f>
        <v>N/A</v>
      </c>
      <c r="AS212"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212" s="27">
        <f>IFERROR((TABLA_AVANCE_INDICADORES[[#This Row],[AVANCE ACUM. ANUAL]]/TABLA_AVANCE_INDICADORES[[#This Row],[PROGRAMADO ANUAL]])*100,"N/A")</f>
        <v>0</v>
      </c>
      <c r="AU212"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212" s="106">
        <f>TABLA_AVANCE_INDICADORES[[#This Row],[AVANCE ACUM. ANUAL]]-TABLA_AVANCE_INDICADORES[[#This Row],[PROGRAMADO ANUAL]]</f>
        <v>-1</v>
      </c>
      <c r="AW212" s="32">
        <f>IFERROR((TABLA_AVANCE_INDICADORES[[#This Row],[DIFERENCIA ABSOLUTA ANUAL]]/TABLA_AVANCE_INDICADORES[[#This Row],[PROGRAMADO ANUAL]])*100,"N/A")</f>
        <v>-100</v>
      </c>
      <c r="AX212" s="132"/>
      <c r="AY212" s="86"/>
      <c r="AZ212" s="86"/>
      <c r="BA212" s="86"/>
      <c r="BB212"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13" spans="1:54" ht="112.5" hidden="1" customHeight="1" x14ac:dyDescent="0.35">
      <c r="A213" s="19" t="s">
        <v>1450</v>
      </c>
      <c r="B213" s="99" t="s">
        <v>195</v>
      </c>
      <c r="C213" s="20" t="s">
        <v>74</v>
      </c>
      <c r="D213" s="100" t="s">
        <v>75</v>
      </c>
      <c r="E213" s="20" t="s">
        <v>196</v>
      </c>
      <c r="F213" s="101" t="s">
        <v>197</v>
      </c>
      <c r="G213" s="130" t="s">
        <v>198</v>
      </c>
      <c r="H213" s="80" t="s">
        <v>1399</v>
      </c>
      <c r="I213" s="22" t="s">
        <v>722</v>
      </c>
      <c r="J213" s="22" t="s">
        <v>187</v>
      </c>
      <c r="K213" s="80" t="s">
        <v>188</v>
      </c>
      <c r="L213" s="22" t="s">
        <v>199</v>
      </c>
      <c r="M213" s="80" t="s">
        <v>200</v>
      </c>
      <c r="N213" s="21">
        <v>2</v>
      </c>
      <c r="O213" s="21" t="s">
        <v>1077</v>
      </c>
      <c r="P213" s="110" t="s">
        <v>1447</v>
      </c>
      <c r="Q213" s="110" t="s">
        <v>1451</v>
      </c>
      <c r="R213" s="102" t="s">
        <v>1449</v>
      </c>
      <c r="S213" s="22" t="s">
        <v>84</v>
      </c>
      <c r="T213" s="42" t="s">
        <v>727</v>
      </c>
      <c r="U213" s="42" t="s">
        <v>754</v>
      </c>
      <c r="V213" s="81">
        <v>1</v>
      </c>
      <c r="W213" s="81">
        <v>0</v>
      </c>
      <c r="X213" s="103">
        <v>0</v>
      </c>
      <c r="Y213" s="25" t="str">
        <f>IFERROR((TABLA_AVANCE_INDICADORES[[#This Row],[AVANCE 1°. TRIM]]/TABLA_AVANCE_INDICADORES[[#This Row],[PROGR. 1° TRIM]])*100,"0")</f>
        <v>0</v>
      </c>
      <c r="Z213"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213" s="104">
        <v>0</v>
      </c>
      <c r="AB213" s="105">
        <v>0</v>
      </c>
      <c r="AC213" s="27" t="str">
        <f t="shared" si="6"/>
        <v>0</v>
      </c>
      <c r="AD213" s="26" t="str">
        <f t="shared" si="7"/>
        <v>NO PROG.</v>
      </c>
      <c r="AE213" s="104">
        <v>1</v>
      </c>
      <c r="AF213" s="105">
        <v>0</v>
      </c>
      <c r="AG213" s="27">
        <f>IFERROR((TABLA_AVANCE_INDICADORES[[#This Row],[AVANCE 3°. TRIM]]/TABLA_AVANCE_INDICADORES[[#This Row],[PROGR. 3° TRIM]])*100,"0")</f>
        <v>0</v>
      </c>
      <c r="AH213"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213" s="104">
        <v>0</v>
      </c>
      <c r="AJ213" s="105">
        <v>0</v>
      </c>
      <c r="AK213" s="82" t="str">
        <f>IFERROR((TABLA_AVANCE_INDICADORES[[#This Row],[AVANCE 4°. TRIM]]/TABLA_AVANCE_INDICADORES[[#This Row],[PROGR. 4° TRIM]])*100,"0")</f>
        <v>0</v>
      </c>
      <c r="AL213"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NO PROG.</v>
      </c>
      <c r="AM213"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213"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213" s="27" t="str">
        <f>IFERROR((TABLA_AVANCE_INDICADORES[[#This Row],[AVANCE ACUM. TRIM.]]/TABLA_AVANCE_INDICADORES[[#This Row],[PROG. ACUM]])*100,"N/A")</f>
        <v>N/A</v>
      </c>
      <c r="AP213"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213" s="106">
        <f>TABLA_AVANCE_INDICADORES[[#This Row],[AVANCE ACUM. TRIM.]]-TABLA_AVANCE_INDICADORES[[#This Row],[PROG. ACUM]]</f>
        <v>0</v>
      </c>
      <c r="AR213" s="32" t="str">
        <f>IFERROR((TABLA_AVANCE_INDICADORES[[#This Row],[DIFERENCIA ABSOLUTA SEMESTRAL]]/TABLA_AVANCE_INDICADORES[[#This Row],[PROG. ACUM]])*100,"N/A")</f>
        <v>N/A</v>
      </c>
      <c r="AS213"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213" s="27">
        <f>IFERROR((TABLA_AVANCE_INDICADORES[[#This Row],[AVANCE ACUM. ANUAL]]/TABLA_AVANCE_INDICADORES[[#This Row],[PROGRAMADO ANUAL]])*100,"N/A")</f>
        <v>0</v>
      </c>
      <c r="AU213"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213" s="106">
        <f>TABLA_AVANCE_INDICADORES[[#This Row],[AVANCE ACUM. ANUAL]]-TABLA_AVANCE_INDICADORES[[#This Row],[PROGRAMADO ANUAL]]</f>
        <v>-1</v>
      </c>
      <c r="AW213" s="32">
        <f>IFERROR((TABLA_AVANCE_INDICADORES[[#This Row],[DIFERENCIA ABSOLUTA ANUAL]]/TABLA_AVANCE_INDICADORES[[#This Row],[PROGRAMADO ANUAL]])*100,"N/A")</f>
        <v>-100</v>
      </c>
      <c r="AX213" s="132"/>
      <c r="AY213" s="86"/>
      <c r="AZ213" s="86"/>
      <c r="BA213" s="86"/>
      <c r="BB213"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14" spans="1:54" ht="112.5" hidden="1" customHeight="1" x14ac:dyDescent="0.35">
      <c r="A214" s="19" t="s">
        <v>1452</v>
      </c>
      <c r="B214" s="99" t="s">
        <v>660</v>
      </c>
      <c r="C214" s="20" t="s">
        <v>629</v>
      </c>
      <c r="D214" s="100" t="s">
        <v>628</v>
      </c>
      <c r="E214" s="20" t="s">
        <v>613</v>
      </c>
      <c r="F214" s="101" t="s">
        <v>614</v>
      </c>
      <c r="G214" s="130" t="s">
        <v>661</v>
      </c>
      <c r="H214" s="80" t="s">
        <v>1453</v>
      </c>
      <c r="I214" s="22" t="s">
        <v>722</v>
      </c>
      <c r="J214" s="22" t="s">
        <v>662</v>
      </c>
      <c r="K214" s="80" t="s">
        <v>663</v>
      </c>
      <c r="L214" s="22" t="s">
        <v>664</v>
      </c>
      <c r="M214" s="80" t="s">
        <v>665</v>
      </c>
      <c r="N214" s="21">
        <v>1</v>
      </c>
      <c r="O214" s="21" t="s">
        <v>723</v>
      </c>
      <c r="P214" s="110" t="s">
        <v>1454</v>
      </c>
      <c r="Q214" s="110" t="s">
        <v>1455</v>
      </c>
      <c r="R214" s="102" t="s">
        <v>1456</v>
      </c>
      <c r="S214" s="22" t="s">
        <v>1457</v>
      </c>
      <c r="T214" s="42" t="s">
        <v>727</v>
      </c>
      <c r="U214" s="42" t="s">
        <v>728</v>
      </c>
      <c r="V214" s="81">
        <v>0</v>
      </c>
      <c r="W214" s="81">
        <v>0</v>
      </c>
      <c r="X214" s="103">
        <v>0</v>
      </c>
      <c r="Y214" s="25" t="str">
        <f>IFERROR((TABLA_AVANCE_INDICADORES[[#This Row],[AVANCE 1°. TRIM]]/TABLA_AVANCE_INDICADORES[[#This Row],[PROGR. 1° TRIM]])*100,"0")</f>
        <v>0</v>
      </c>
      <c r="Z214"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214" s="104">
        <v>0</v>
      </c>
      <c r="AB214" s="105">
        <v>0</v>
      </c>
      <c r="AC214" s="27" t="str">
        <f t="shared" si="6"/>
        <v>0</v>
      </c>
      <c r="AD214" s="26" t="str">
        <f t="shared" si="7"/>
        <v>NO PROG.</v>
      </c>
      <c r="AE214" s="104">
        <v>0</v>
      </c>
      <c r="AF214" s="105">
        <v>0</v>
      </c>
      <c r="AG214" s="27" t="str">
        <f>IFERROR((TABLA_AVANCE_INDICADORES[[#This Row],[AVANCE 3°. TRIM]]/TABLA_AVANCE_INDICADORES[[#This Row],[PROGR. 3° TRIM]])*100,"0")</f>
        <v>0</v>
      </c>
      <c r="AH214"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214" s="104">
        <v>0</v>
      </c>
      <c r="AJ214" s="105">
        <v>0</v>
      </c>
      <c r="AK214" s="82" t="str">
        <f>IFERROR((TABLA_AVANCE_INDICADORES[[#This Row],[AVANCE 4°. TRIM]]/TABLA_AVANCE_INDICADORES[[#This Row],[PROGR. 4° TRIM]])*100,"0")</f>
        <v>0</v>
      </c>
      <c r="AL214"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NO PROG.</v>
      </c>
      <c r="AM214"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214"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214" s="27" t="str">
        <f>IFERROR((TABLA_AVANCE_INDICADORES[[#This Row],[AVANCE ACUM. TRIM.]]/TABLA_AVANCE_INDICADORES[[#This Row],[PROG. ACUM]])*100,"N/A")</f>
        <v>N/A</v>
      </c>
      <c r="AP214"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214" s="106">
        <f>TABLA_AVANCE_INDICADORES[[#This Row],[AVANCE ACUM. TRIM.]]-TABLA_AVANCE_INDICADORES[[#This Row],[PROG. ACUM]]</f>
        <v>0</v>
      </c>
      <c r="AR214" s="32" t="str">
        <f>IFERROR((TABLA_AVANCE_INDICADORES[[#This Row],[DIFERENCIA ABSOLUTA SEMESTRAL]]/TABLA_AVANCE_INDICADORES[[#This Row],[PROG. ACUM]])*100,"N/A")</f>
        <v>N/A</v>
      </c>
      <c r="AS214"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214" s="27" t="str">
        <f>IFERROR((TABLA_AVANCE_INDICADORES[[#This Row],[AVANCE ACUM. ANUAL]]/TABLA_AVANCE_INDICADORES[[#This Row],[PROGRAMADO ANUAL]])*100,"N/A")</f>
        <v>N/A</v>
      </c>
      <c r="AU214"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NO PROG.</v>
      </c>
      <c r="AV214" s="106">
        <f>TABLA_AVANCE_INDICADORES[[#This Row],[AVANCE ACUM. ANUAL]]-TABLA_AVANCE_INDICADORES[[#This Row],[PROGRAMADO ANUAL]]</f>
        <v>0</v>
      </c>
      <c r="AW214" s="32" t="str">
        <f>IFERROR((TABLA_AVANCE_INDICADORES[[#This Row],[DIFERENCIA ABSOLUTA ANUAL]]/TABLA_AVANCE_INDICADORES[[#This Row],[PROGRAMADO ANUAL]])*100,"N/A")</f>
        <v>N/A</v>
      </c>
      <c r="AX214" s="132"/>
      <c r="AY214" s="86"/>
      <c r="AZ214" s="86"/>
      <c r="BA214" s="86"/>
      <c r="BB214"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15" spans="1:54" ht="112.5" hidden="1" customHeight="1" x14ac:dyDescent="0.35">
      <c r="A215" s="19" t="s">
        <v>1458</v>
      </c>
      <c r="B215" s="99" t="s">
        <v>660</v>
      </c>
      <c r="C215" s="20" t="s">
        <v>629</v>
      </c>
      <c r="D215" s="100" t="s">
        <v>628</v>
      </c>
      <c r="E215" s="20" t="s">
        <v>613</v>
      </c>
      <c r="F215" s="101" t="s">
        <v>614</v>
      </c>
      <c r="G215" s="130" t="s">
        <v>661</v>
      </c>
      <c r="H215" s="80" t="s">
        <v>1453</v>
      </c>
      <c r="I215" s="22" t="s">
        <v>722</v>
      </c>
      <c r="J215" s="22" t="s">
        <v>662</v>
      </c>
      <c r="K215" s="80" t="s">
        <v>663</v>
      </c>
      <c r="L215" s="22" t="s">
        <v>664</v>
      </c>
      <c r="M215" s="80" t="s">
        <v>665</v>
      </c>
      <c r="N215" s="21">
        <v>2</v>
      </c>
      <c r="O215" s="21" t="s">
        <v>723</v>
      </c>
      <c r="P215" s="110" t="s">
        <v>1454</v>
      </c>
      <c r="Q215" s="110" t="s">
        <v>1459</v>
      </c>
      <c r="R215" s="102" t="s">
        <v>1456</v>
      </c>
      <c r="S215" s="22" t="s">
        <v>1460</v>
      </c>
      <c r="T215" s="42" t="s">
        <v>884</v>
      </c>
      <c r="U215" s="42" t="s">
        <v>728</v>
      </c>
      <c r="V215" s="81">
        <v>415998</v>
      </c>
      <c r="W215" s="81">
        <v>0</v>
      </c>
      <c r="X215" s="103">
        <v>0</v>
      </c>
      <c r="Y215" s="25" t="str">
        <f>IFERROR((TABLA_AVANCE_INDICADORES[[#This Row],[AVANCE 1°. TRIM]]/TABLA_AVANCE_INDICADORES[[#This Row],[PROGR. 1° TRIM]])*100,"0")</f>
        <v>0</v>
      </c>
      <c r="Z215"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215" s="104">
        <v>0</v>
      </c>
      <c r="AB215" s="105">
        <v>0</v>
      </c>
      <c r="AC215" s="27" t="str">
        <f t="shared" si="6"/>
        <v>0</v>
      </c>
      <c r="AD215" s="26" t="str">
        <f t="shared" si="7"/>
        <v>NO PROG.</v>
      </c>
      <c r="AE215" s="104">
        <v>0</v>
      </c>
      <c r="AF215" s="105">
        <v>0</v>
      </c>
      <c r="AG215" s="27" t="str">
        <f>IFERROR((TABLA_AVANCE_INDICADORES[[#This Row],[AVANCE 3°. TRIM]]/TABLA_AVANCE_INDICADORES[[#This Row],[PROGR. 3° TRIM]])*100,"0")</f>
        <v>0</v>
      </c>
      <c r="AH215"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215" s="104">
        <v>415998</v>
      </c>
      <c r="AJ215" s="105">
        <v>0</v>
      </c>
      <c r="AK215" s="82">
        <f>IFERROR((TABLA_AVANCE_INDICADORES[[#This Row],[AVANCE 4°. TRIM]]/TABLA_AVANCE_INDICADORES[[#This Row],[PROGR. 4° TRIM]])*100,"0")</f>
        <v>0</v>
      </c>
      <c r="AL215"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15"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215"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215" s="27" t="str">
        <f>IFERROR((TABLA_AVANCE_INDICADORES[[#This Row],[AVANCE ACUM. TRIM.]]/TABLA_AVANCE_INDICADORES[[#This Row],[PROG. ACUM]])*100,"N/A")</f>
        <v>N/A</v>
      </c>
      <c r="AP215"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215" s="106">
        <f>TABLA_AVANCE_INDICADORES[[#This Row],[AVANCE ACUM. TRIM.]]-TABLA_AVANCE_INDICADORES[[#This Row],[PROG. ACUM]]</f>
        <v>0</v>
      </c>
      <c r="AR215" s="32" t="str">
        <f>IFERROR((TABLA_AVANCE_INDICADORES[[#This Row],[DIFERENCIA ABSOLUTA SEMESTRAL]]/TABLA_AVANCE_INDICADORES[[#This Row],[PROG. ACUM]])*100,"N/A")</f>
        <v>N/A</v>
      </c>
      <c r="AS215"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215" s="27">
        <f>IFERROR((TABLA_AVANCE_INDICADORES[[#This Row],[AVANCE ACUM. ANUAL]]/TABLA_AVANCE_INDICADORES[[#This Row],[PROGRAMADO ANUAL]])*100,"N/A")</f>
        <v>0</v>
      </c>
      <c r="AU215"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215" s="106">
        <f>TABLA_AVANCE_INDICADORES[[#This Row],[AVANCE ACUM. ANUAL]]-TABLA_AVANCE_INDICADORES[[#This Row],[PROGRAMADO ANUAL]]</f>
        <v>-415998</v>
      </c>
      <c r="AW215" s="32">
        <f>IFERROR((TABLA_AVANCE_INDICADORES[[#This Row],[DIFERENCIA ABSOLUTA ANUAL]]/TABLA_AVANCE_INDICADORES[[#This Row],[PROGRAMADO ANUAL]])*100,"N/A")</f>
        <v>-100</v>
      </c>
      <c r="AX215" s="132"/>
      <c r="AY215" s="86"/>
      <c r="AZ215" s="86"/>
      <c r="BA215" s="86"/>
      <c r="BB215" s="109">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0</v>
      </c>
    </row>
    <row r="216" spans="1:54" ht="112.5" hidden="1" customHeight="1" x14ac:dyDescent="0.35">
      <c r="A216" s="19" t="s">
        <v>1461</v>
      </c>
      <c r="B216" s="99" t="s">
        <v>660</v>
      </c>
      <c r="C216" s="20" t="s">
        <v>629</v>
      </c>
      <c r="D216" s="100" t="s">
        <v>628</v>
      </c>
      <c r="E216" s="20" t="s">
        <v>613</v>
      </c>
      <c r="F216" s="101" t="s">
        <v>614</v>
      </c>
      <c r="G216" s="130" t="s">
        <v>661</v>
      </c>
      <c r="H216" s="80" t="s">
        <v>1453</v>
      </c>
      <c r="I216" s="22" t="s">
        <v>722</v>
      </c>
      <c r="J216" s="22" t="s">
        <v>662</v>
      </c>
      <c r="K216" s="80" t="s">
        <v>663</v>
      </c>
      <c r="L216" s="22" t="s">
        <v>664</v>
      </c>
      <c r="M216" s="80" t="s">
        <v>665</v>
      </c>
      <c r="N216" s="21">
        <v>1</v>
      </c>
      <c r="O216" s="21" t="s">
        <v>733</v>
      </c>
      <c r="P216" s="110" t="s">
        <v>1462</v>
      </c>
      <c r="Q216" s="110" t="s">
        <v>1455</v>
      </c>
      <c r="R216" s="102" t="s">
        <v>1463</v>
      </c>
      <c r="S216" s="22" t="s">
        <v>1457</v>
      </c>
      <c r="T216" s="42" t="s">
        <v>727</v>
      </c>
      <c r="U216" s="42" t="s">
        <v>728</v>
      </c>
      <c r="V216" s="81">
        <v>0</v>
      </c>
      <c r="W216" s="81">
        <v>0</v>
      </c>
      <c r="X216" s="103">
        <v>0</v>
      </c>
      <c r="Y216" s="25" t="str">
        <f>IFERROR((TABLA_AVANCE_INDICADORES[[#This Row],[AVANCE 1°. TRIM]]/TABLA_AVANCE_INDICADORES[[#This Row],[PROGR. 1° TRIM]])*100,"0")</f>
        <v>0</v>
      </c>
      <c r="Z216"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216" s="104">
        <v>0</v>
      </c>
      <c r="AB216" s="105">
        <v>0</v>
      </c>
      <c r="AC216" s="27" t="str">
        <f t="shared" si="6"/>
        <v>0</v>
      </c>
      <c r="AD216" s="26" t="str">
        <f t="shared" si="7"/>
        <v>NO PROG.</v>
      </c>
      <c r="AE216" s="104">
        <v>0</v>
      </c>
      <c r="AF216" s="105">
        <v>0</v>
      </c>
      <c r="AG216" s="27" t="str">
        <f>IFERROR((TABLA_AVANCE_INDICADORES[[#This Row],[AVANCE 3°. TRIM]]/TABLA_AVANCE_INDICADORES[[#This Row],[PROGR. 3° TRIM]])*100,"0")</f>
        <v>0</v>
      </c>
      <c r="AH216"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216" s="104">
        <v>0</v>
      </c>
      <c r="AJ216" s="105">
        <v>0</v>
      </c>
      <c r="AK216" s="82" t="str">
        <f>IFERROR((TABLA_AVANCE_INDICADORES[[#This Row],[AVANCE 4°. TRIM]]/TABLA_AVANCE_INDICADORES[[#This Row],[PROGR. 4° TRIM]])*100,"0")</f>
        <v>0</v>
      </c>
      <c r="AL216"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NO PROG.</v>
      </c>
      <c r="AM216"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216"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216" s="27" t="str">
        <f>IFERROR((TABLA_AVANCE_INDICADORES[[#This Row],[AVANCE ACUM. TRIM.]]/TABLA_AVANCE_INDICADORES[[#This Row],[PROG. ACUM]])*100,"N/A")</f>
        <v>N/A</v>
      </c>
      <c r="AP216"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216" s="106">
        <f>TABLA_AVANCE_INDICADORES[[#This Row],[AVANCE ACUM. TRIM.]]-TABLA_AVANCE_INDICADORES[[#This Row],[PROG. ACUM]]</f>
        <v>0</v>
      </c>
      <c r="AR216" s="32" t="str">
        <f>IFERROR((TABLA_AVANCE_INDICADORES[[#This Row],[DIFERENCIA ABSOLUTA SEMESTRAL]]/TABLA_AVANCE_INDICADORES[[#This Row],[PROG. ACUM]])*100,"N/A")</f>
        <v>N/A</v>
      </c>
      <c r="AS216"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216" s="27" t="str">
        <f>IFERROR((TABLA_AVANCE_INDICADORES[[#This Row],[AVANCE ACUM. ANUAL]]/TABLA_AVANCE_INDICADORES[[#This Row],[PROGRAMADO ANUAL]])*100,"N/A")</f>
        <v>N/A</v>
      </c>
      <c r="AU216"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NO PROG.</v>
      </c>
      <c r="AV216" s="106">
        <f>TABLA_AVANCE_INDICADORES[[#This Row],[AVANCE ACUM. ANUAL]]-TABLA_AVANCE_INDICADORES[[#This Row],[PROGRAMADO ANUAL]]</f>
        <v>0</v>
      </c>
      <c r="AW216" s="32" t="str">
        <f>IFERROR((TABLA_AVANCE_INDICADORES[[#This Row],[DIFERENCIA ABSOLUTA ANUAL]]/TABLA_AVANCE_INDICADORES[[#This Row],[PROGRAMADO ANUAL]])*100,"N/A")</f>
        <v>N/A</v>
      </c>
      <c r="AX216" s="132"/>
      <c r="AY216" s="86"/>
      <c r="AZ216" s="86"/>
      <c r="BA216" s="86"/>
      <c r="BB216"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17" spans="1:54" ht="112.5" hidden="1" customHeight="1" x14ac:dyDescent="0.35">
      <c r="A217" s="19" t="s">
        <v>1464</v>
      </c>
      <c r="B217" s="99" t="s">
        <v>660</v>
      </c>
      <c r="C217" s="20" t="s">
        <v>629</v>
      </c>
      <c r="D217" s="100" t="s">
        <v>628</v>
      </c>
      <c r="E217" s="20" t="s">
        <v>613</v>
      </c>
      <c r="F217" s="101" t="s">
        <v>614</v>
      </c>
      <c r="G217" s="130" t="s">
        <v>661</v>
      </c>
      <c r="H217" s="80" t="s">
        <v>1453</v>
      </c>
      <c r="I217" s="22" t="s">
        <v>722</v>
      </c>
      <c r="J217" s="22" t="s">
        <v>662</v>
      </c>
      <c r="K217" s="80" t="s">
        <v>663</v>
      </c>
      <c r="L217" s="22" t="s">
        <v>664</v>
      </c>
      <c r="M217" s="80" t="s">
        <v>665</v>
      </c>
      <c r="N217" s="21">
        <v>2</v>
      </c>
      <c r="O217" s="21" t="s">
        <v>733</v>
      </c>
      <c r="P217" s="110" t="s">
        <v>1462</v>
      </c>
      <c r="Q217" s="110" t="s">
        <v>1465</v>
      </c>
      <c r="R217" s="102" t="s">
        <v>1463</v>
      </c>
      <c r="S217" s="22" t="s">
        <v>1466</v>
      </c>
      <c r="T217" s="42" t="s">
        <v>727</v>
      </c>
      <c r="U217" s="42" t="s">
        <v>728</v>
      </c>
      <c r="V217" s="81">
        <v>0</v>
      </c>
      <c r="W217" s="81">
        <v>0</v>
      </c>
      <c r="X217" s="103">
        <v>0</v>
      </c>
      <c r="Y217" s="25" t="str">
        <f>IFERROR((TABLA_AVANCE_INDICADORES[[#This Row],[AVANCE 1°. TRIM]]/TABLA_AVANCE_INDICADORES[[#This Row],[PROGR. 1° TRIM]])*100,"0")</f>
        <v>0</v>
      </c>
      <c r="Z217"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217" s="104">
        <v>0</v>
      </c>
      <c r="AB217" s="105">
        <v>0</v>
      </c>
      <c r="AC217" s="27" t="str">
        <f t="shared" si="6"/>
        <v>0</v>
      </c>
      <c r="AD217" s="26" t="str">
        <f t="shared" si="7"/>
        <v>NO PROG.</v>
      </c>
      <c r="AE217" s="104">
        <v>0</v>
      </c>
      <c r="AF217" s="105">
        <v>0</v>
      </c>
      <c r="AG217" s="27" t="str">
        <f>IFERROR((TABLA_AVANCE_INDICADORES[[#This Row],[AVANCE 3°. TRIM]]/TABLA_AVANCE_INDICADORES[[#This Row],[PROGR. 3° TRIM]])*100,"0")</f>
        <v>0</v>
      </c>
      <c r="AH217"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217" s="104">
        <v>0</v>
      </c>
      <c r="AJ217" s="105">
        <v>0</v>
      </c>
      <c r="AK217" s="82" t="str">
        <f>IFERROR((TABLA_AVANCE_INDICADORES[[#This Row],[AVANCE 4°. TRIM]]/TABLA_AVANCE_INDICADORES[[#This Row],[PROGR. 4° TRIM]])*100,"0")</f>
        <v>0</v>
      </c>
      <c r="AL217"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NO PROG.</v>
      </c>
      <c r="AM217"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217"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217" s="27" t="str">
        <f>IFERROR((TABLA_AVANCE_INDICADORES[[#This Row],[AVANCE ACUM. TRIM.]]/TABLA_AVANCE_INDICADORES[[#This Row],[PROG. ACUM]])*100,"N/A")</f>
        <v>N/A</v>
      </c>
      <c r="AP217"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217" s="106">
        <f>TABLA_AVANCE_INDICADORES[[#This Row],[AVANCE ACUM. TRIM.]]-TABLA_AVANCE_INDICADORES[[#This Row],[PROG. ACUM]]</f>
        <v>0</v>
      </c>
      <c r="AR217" s="32" t="str">
        <f>IFERROR((TABLA_AVANCE_INDICADORES[[#This Row],[DIFERENCIA ABSOLUTA SEMESTRAL]]/TABLA_AVANCE_INDICADORES[[#This Row],[PROG. ACUM]])*100,"N/A")</f>
        <v>N/A</v>
      </c>
      <c r="AS217"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217" s="27" t="str">
        <f>IFERROR((TABLA_AVANCE_INDICADORES[[#This Row],[AVANCE ACUM. ANUAL]]/TABLA_AVANCE_INDICADORES[[#This Row],[PROGRAMADO ANUAL]])*100,"N/A")</f>
        <v>N/A</v>
      </c>
      <c r="AU217"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NO PROG.</v>
      </c>
      <c r="AV217" s="106">
        <f>TABLA_AVANCE_INDICADORES[[#This Row],[AVANCE ACUM. ANUAL]]-TABLA_AVANCE_INDICADORES[[#This Row],[PROGRAMADO ANUAL]]</f>
        <v>0</v>
      </c>
      <c r="AW217" s="32" t="str">
        <f>IFERROR((TABLA_AVANCE_INDICADORES[[#This Row],[DIFERENCIA ABSOLUTA ANUAL]]/TABLA_AVANCE_INDICADORES[[#This Row],[PROGRAMADO ANUAL]])*100,"N/A")</f>
        <v>N/A</v>
      </c>
      <c r="AX217" s="132"/>
      <c r="AY217" s="86"/>
      <c r="AZ217" s="86"/>
      <c r="BA217" s="86"/>
      <c r="BB217"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18" spans="1:54" ht="112.5" hidden="1" customHeight="1" x14ac:dyDescent="0.35">
      <c r="A218" s="19" t="s">
        <v>1467</v>
      </c>
      <c r="B218" s="99" t="s">
        <v>660</v>
      </c>
      <c r="C218" s="20" t="s">
        <v>629</v>
      </c>
      <c r="D218" s="100" t="s">
        <v>628</v>
      </c>
      <c r="E218" s="20" t="s">
        <v>613</v>
      </c>
      <c r="F218" s="101" t="s">
        <v>614</v>
      </c>
      <c r="G218" s="130" t="s">
        <v>661</v>
      </c>
      <c r="H218" s="80" t="s">
        <v>1453</v>
      </c>
      <c r="I218" s="22" t="s">
        <v>722</v>
      </c>
      <c r="J218" s="22" t="s">
        <v>662</v>
      </c>
      <c r="K218" s="80" t="s">
        <v>663</v>
      </c>
      <c r="L218" s="22" t="s">
        <v>664</v>
      </c>
      <c r="M218" s="80" t="s">
        <v>665</v>
      </c>
      <c r="N218" s="21">
        <v>1</v>
      </c>
      <c r="O218" s="21" t="s">
        <v>905</v>
      </c>
      <c r="P218" s="110" t="s">
        <v>1468</v>
      </c>
      <c r="Q218" s="110" t="s">
        <v>1469</v>
      </c>
      <c r="R218" s="102" t="s">
        <v>1470</v>
      </c>
      <c r="S218" s="22" t="s">
        <v>130</v>
      </c>
      <c r="T218" s="42" t="s">
        <v>727</v>
      </c>
      <c r="U218" s="42" t="s">
        <v>746</v>
      </c>
      <c r="V218" s="81">
        <v>2</v>
      </c>
      <c r="W218" s="81">
        <v>0</v>
      </c>
      <c r="X218" s="103">
        <v>0</v>
      </c>
      <c r="Y218" s="25" t="str">
        <f>IFERROR((TABLA_AVANCE_INDICADORES[[#This Row],[AVANCE 1°. TRIM]]/TABLA_AVANCE_INDICADORES[[#This Row],[PROGR. 1° TRIM]])*100,"0")</f>
        <v>0</v>
      </c>
      <c r="Z218"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218" s="104">
        <v>1</v>
      </c>
      <c r="AB218" s="105">
        <v>1</v>
      </c>
      <c r="AC218" s="27">
        <f t="shared" si="6"/>
        <v>100</v>
      </c>
      <c r="AD218" s="26" t="str">
        <f t="shared" si="7"/>
        <v>ADECUADO</v>
      </c>
      <c r="AE218" s="104">
        <v>0</v>
      </c>
      <c r="AF218" s="105">
        <v>0</v>
      </c>
      <c r="AG218" s="27" t="str">
        <f>IFERROR((TABLA_AVANCE_INDICADORES[[#This Row],[AVANCE 3°. TRIM]]/TABLA_AVANCE_INDICADORES[[#This Row],[PROGR. 3° TRIM]])*100,"0")</f>
        <v>0</v>
      </c>
      <c r="AH218"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218" s="104">
        <v>1</v>
      </c>
      <c r="AJ218" s="105">
        <v>0</v>
      </c>
      <c r="AK218" s="82">
        <f>IFERROR((TABLA_AVANCE_INDICADORES[[#This Row],[AVANCE 4°. TRIM]]/TABLA_AVANCE_INDICADORES[[#This Row],[PROGR. 4° TRIM]])*100,"0")</f>
        <v>0</v>
      </c>
      <c r="AL218"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18"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v>
      </c>
      <c r="AN218"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O218" s="27">
        <f>IFERROR((TABLA_AVANCE_INDICADORES[[#This Row],[AVANCE ACUM. TRIM.]]/TABLA_AVANCE_INDICADORES[[#This Row],[PROG. ACUM]])*100,"N/A")</f>
        <v>100</v>
      </c>
      <c r="AP218"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218" s="106">
        <f>TABLA_AVANCE_INDICADORES[[#This Row],[AVANCE ACUM. TRIM.]]-TABLA_AVANCE_INDICADORES[[#This Row],[PROG. ACUM]]</f>
        <v>0</v>
      </c>
      <c r="AR218" s="32">
        <f>IFERROR((TABLA_AVANCE_INDICADORES[[#This Row],[DIFERENCIA ABSOLUTA SEMESTRAL]]/TABLA_AVANCE_INDICADORES[[#This Row],[PROG. ACUM]])*100,"N/A")</f>
        <v>0</v>
      </c>
      <c r="AS218"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T218" s="27">
        <f>IFERROR((TABLA_AVANCE_INDICADORES[[#This Row],[AVANCE ACUM. ANUAL]]/TABLA_AVANCE_INDICADORES[[#This Row],[PROGRAMADO ANUAL]])*100,"N/A")</f>
        <v>50</v>
      </c>
      <c r="AU218"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218" s="106">
        <f>TABLA_AVANCE_INDICADORES[[#This Row],[AVANCE ACUM. ANUAL]]-TABLA_AVANCE_INDICADORES[[#This Row],[PROGRAMADO ANUAL]]</f>
        <v>-1</v>
      </c>
      <c r="AW218" s="32">
        <f>IFERROR((TABLA_AVANCE_INDICADORES[[#This Row],[DIFERENCIA ABSOLUTA ANUAL]]/TABLA_AVANCE_INDICADORES[[#This Row],[PROGRAMADO ANUAL]])*100,"N/A")</f>
        <v>-50</v>
      </c>
      <c r="AX218" s="132"/>
      <c r="AY218" s="86" t="s">
        <v>1471</v>
      </c>
      <c r="AZ218" s="86"/>
      <c r="BA218" s="86"/>
      <c r="BB218"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19" spans="1:54" ht="112.5" hidden="1" customHeight="1" x14ac:dyDescent="0.35">
      <c r="A219" s="19" t="s">
        <v>1472</v>
      </c>
      <c r="B219" s="99" t="s">
        <v>660</v>
      </c>
      <c r="C219" s="20" t="s">
        <v>629</v>
      </c>
      <c r="D219" s="100" t="s">
        <v>628</v>
      </c>
      <c r="E219" s="20" t="s">
        <v>613</v>
      </c>
      <c r="F219" s="101" t="s">
        <v>614</v>
      </c>
      <c r="G219" s="130" t="s">
        <v>661</v>
      </c>
      <c r="H219" s="80" t="s">
        <v>1453</v>
      </c>
      <c r="I219" s="22" t="s">
        <v>722</v>
      </c>
      <c r="J219" s="22" t="s">
        <v>662</v>
      </c>
      <c r="K219" s="80" t="s">
        <v>663</v>
      </c>
      <c r="L219" s="22" t="s">
        <v>664</v>
      </c>
      <c r="M219" s="80" t="s">
        <v>665</v>
      </c>
      <c r="N219" s="21">
        <v>2</v>
      </c>
      <c r="O219" s="21" t="s">
        <v>905</v>
      </c>
      <c r="P219" s="110" t="s">
        <v>1468</v>
      </c>
      <c r="Q219" s="110" t="s">
        <v>1473</v>
      </c>
      <c r="R219" s="102" t="s">
        <v>1470</v>
      </c>
      <c r="S219" s="22" t="s">
        <v>130</v>
      </c>
      <c r="T219" s="42" t="s">
        <v>727</v>
      </c>
      <c r="U219" s="42" t="s">
        <v>746</v>
      </c>
      <c r="V219" s="81">
        <v>2</v>
      </c>
      <c r="W219" s="81">
        <v>0</v>
      </c>
      <c r="X219" s="112">
        <v>0</v>
      </c>
      <c r="Y219" s="25" t="str">
        <f>IFERROR((TABLA_AVANCE_INDICADORES[[#This Row],[AVANCE 1°. TRIM]]/TABLA_AVANCE_INDICADORES[[#This Row],[PROGR. 1° TRIM]])*100,"0")</f>
        <v>0</v>
      </c>
      <c r="Z219"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219" s="104">
        <v>1</v>
      </c>
      <c r="AB219" s="113">
        <v>1</v>
      </c>
      <c r="AC219" s="27">
        <f t="shared" si="6"/>
        <v>100</v>
      </c>
      <c r="AD219" s="26" t="str">
        <f t="shared" si="7"/>
        <v>ADECUADO</v>
      </c>
      <c r="AE219" s="104">
        <v>0</v>
      </c>
      <c r="AF219" s="113">
        <f>AE219</f>
        <v>0</v>
      </c>
      <c r="AG219" s="27" t="str">
        <f>IFERROR((TABLA_AVANCE_INDICADORES[[#This Row],[AVANCE 3°. TRIM]]/TABLA_AVANCE_INDICADORES[[#This Row],[PROGR. 3° TRIM]])*100,"0")</f>
        <v>0</v>
      </c>
      <c r="AH219"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219" s="104">
        <v>1</v>
      </c>
      <c r="AJ219" s="113">
        <f>AI219</f>
        <v>1</v>
      </c>
      <c r="AK219" s="82">
        <f>IFERROR((TABLA_AVANCE_INDICADORES[[#This Row],[AVANCE 4°. TRIM]]/TABLA_AVANCE_INDICADORES[[#This Row],[PROGR. 4° TRIM]])*100,"0")</f>
        <v>100</v>
      </c>
      <c r="AL219"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219"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v>
      </c>
      <c r="AN219"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O219" s="27">
        <f>IFERROR((TABLA_AVANCE_INDICADORES[[#This Row],[AVANCE ACUM. TRIM.]]/TABLA_AVANCE_INDICADORES[[#This Row],[PROG. ACUM]])*100,"N/A")</f>
        <v>100</v>
      </c>
      <c r="AP219"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219" s="106">
        <f>TABLA_AVANCE_INDICADORES[[#This Row],[AVANCE ACUM. TRIM.]]-TABLA_AVANCE_INDICADORES[[#This Row],[PROG. ACUM]]</f>
        <v>0</v>
      </c>
      <c r="AR219" s="32">
        <f>IFERROR((TABLA_AVANCE_INDICADORES[[#This Row],[DIFERENCIA ABSOLUTA SEMESTRAL]]/TABLA_AVANCE_INDICADORES[[#This Row],[PROG. ACUM]])*100,"N/A")</f>
        <v>0</v>
      </c>
      <c r="AS219"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T219" s="27">
        <f>IFERROR((TABLA_AVANCE_INDICADORES[[#This Row],[AVANCE ACUM. ANUAL]]/TABLA_AVANCE_INDICADORES[[#This Row],[PROGRAMADO ANUAL]])*100,"N/A")</f>
        <v>50</v>
      </c>
      <c r="AU219"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219" s="106">
        <f>TABLA_AVANCE_INDICADORES[[#This Row],[AVANCE ACUM. ANUAL]]-TABLA_AVANCE_INDICADORES[[#This Row],[PROGRAMADO ANUAL]]</f>
        <v>-1</v>
      </c>
      <c r="AW219" s="32">
        <f>IFERROR((TABLA_AVANCE_INDICADORES[[#This Row],[DIFERENCIA ABSOLUTA ANUAL]]/TABLA_AVANCE_INDICADORES[[#This Row],[PROGRAMADO ANUAL]])*100,"N/A")</f>
        <v>-50</v>
      </c>
      <c r="AX219" s="132"/>
      <c r="AY219" s="86" t="s">
        <v>1471</v>
      </c>
      <c r="AZ219" s="86"/>
      <c r="BA219" s="86"/>
      <c r="BB219"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20" spans="1:54" ht="112.5" hidden="1" customHeight="1" x14ac:dyDescent="0.35">
      <c r="A220" s="19" t="s">
        <v>1474</v>
      </c>
      <c r="B220" s="99" t="s">
        <v>660</v>
      </c>
      <c r="C220" s="20" t="s">
        <v>629</v>
      </c>
      <c r="D220" s="100" t="s">
        <v>628</v>
      </c>
      <c r="E220" s="20" t="s">
        <v>613</v>
      </c>
      <c r="F220" s="101" t="s">
        <v>614</v>
      </c>
      <c r="G220" s="130" t="s">
        <v>661</v>
      </c>
      <c r="H220" s="80" t="s">
        <v>1453</v>
      </c>
      <c r="I220" s="22" t="s">
        <v>722</v>
      </c>
      <c r="J220" s="22" t="s">
        <v>662</v>
      </c>
      <c r="K220" s="80" t="s">
        <v>663</v>
      </c>
      <c r="L220" s="22" t="s">
        <v>664</v>
      </c>
      <c r="M220" s="80" t="s">
        <v>665</v>
      </c>
      <c r="N220" s="21">
        <v>1</v>
      </c>
      <c r="O220" s="21" t="s">
        <v>944</v>
      </c>
      <c r="P220" s="110" t="s">
        <v>1475</v>
      </c>
      <c r="Q220" s="110" t="s">
        <v>1476</v>
      </c>
      <c r="R220" s="102" t="s">
        <v>1477</v>
      </c>
      <c r="S220" s="22" t="s">
        <v>184</v>
      </c>
      <c r="T220" s="42" t="s">
        <v>727</v>
      </c>
      <c r="U220" s="42" t="s">
        <v>754</v>
      </c>
      <c r="V220" s="81">
        <v>40</v>
      </c>
      <c r="W220" s="81">
        <v>0</v>
      </c>
      <c r="X220" s="103">
        <v>0</v>
      </c>
      <c r="Y220" s="25" t="str">
        <f>IFERROR((TABLA_AVANCE_INDICADORES[[#This Row],[AVANCE 1°. TRIM]]/TABLA_AVANCE_INDICADORES[[#This Row],[PROGR. 1° TRIM]])*100,"0")</f>
        <v>0</v>
      </c>
      <c r="Z220"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220" s="104">
        <v>20</v>
      </c>
      <c r="AB220" s="105">
        <v>20</v>
      </c>
      <c r="AC220" s="27">
        <f t="shared" si="6"/>
        <v>100</v>
      </c>
      <c r="AD220" s="26" t="str">
        <f t="shared" si="7"/>
        <v>ADECUADO</v>
      </c>
      <c r="AE220" s="104">
        <v>0</v>
      </c>
      <c r="AF220" s="105">
        <v>0</v>
      </c>
      <c r="AG220" s="27" t="str">
        <f>IFERROR((TABLA_AVANCE_INDICADORES[[#This Row],[AVANCE 3°. TRIM]]/TABLA_AVANCE_INDICADORES[[#This Row],[PROGR. 3° TRIM]])*100,"0")</f>
        <v>0</v>
      </c>
      <c r="AH220"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220" s="104">
        <v>20</v>
      </c>
      <c r="AJ220" s="105">
        <v>0</v>
      </c>
      <c r="AK220" s="82">
        <f>IFERROR((TABLA_AVANCE_INDICADORES[[#This Row],[AVANCE 4°. TRIM]]/TABLA_AVANCE_INDICADORES[[#This Row],[PROGR. 4° TRIM]])*100,"0")</f>
        <v>0</v>
      </c>
      <c r="AL220"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20"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20</v>
      </c>
      <c r="AN220"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20</v>
      </c>
      <c r="AO220" s="27">
        <f>IFERROR((TABLA_AVANCE_INDICADORES[[#This Row],[AVANCE ACUM. TRIM.]]/TABLA_AVANCE_INDICADORES[[#This Row],[PROG. ACUM]])*100,"N/A")</f>
        <v>100</v>
      </c>
      <c r="AP220"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220" s="106">
        <f>TABLA_AVANCE_INDICADORES[[#This Row],[AVANCE ACUM. TRIM.]]-TABLA_AVANCE_INDICADORES[[#This Row],[PROG. ACUM]]</f>
        <v>0</v>
      </c>
      <c r="AR220" s="32">
        <f>IFERROR((TABLA_AVANCE_INDICADORES[[#This Row],[DIFERENCIA ABSOLUTA SEMESTRAL]]/TABLA_AVANCE_INDICADORES[[#This Row],[PROG. ACUM]])*100,"N/A")</f>
        <v>0</v>
      </c>
      <c r="AS220"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20</v>
      </c>
      <c r="AT220" s="27">
        <f>IFERROR((TABLA_AVANCE_INDICADORES[[#This Row],[AVANCE ACUM. ANUAL]]/TABLA_AVANCE_INDICADORES[[#This Row],[PROGRAMADO ANUAL]])*100,"N/A")</f>
        <v>50</v>
      </c>
      <c r="AU220"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DEFICIENTE</v>
      </c>
      <c r="AV220" s="106">
        <f>TABLA_AVANCE_INDICADORES[[#This Row],[AVANCE ACUM. ANUAL]]-TABLA_AVANCE_INDICADORES[[#This Row],[PROGRAMADO ANUAL]]</f>
        <v>-20</v>
      </c>
      <c r="AW220" s="32">
        <f>IFERROR((TABLA_AVANCE_INDICADORES[[#This Row],[DIFERENCIA ABSOLUTA ANUAL]]/TABLA_AVANCE_INDICADORES[[#This Row],[PROGRAMADO ANUAL]])*100,"N/A")</f>
        <v>-50</v>
      </c>
      <c r="AX220" s="132"/>
      <c r="AY220" s="86" t="s">
        <v>1478</v>
      </c>
      <c r="AZ220" s="86"/>
      <c r="BA220" s="86"/>
      <c r="BB220"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21" spans="1:54" ht="112.5" hidden="1" customHeight="1" x14ac:dyDescent="0.35">
      <c r="A221" s="19" t="s">
        <v>1479</v>
      </c>
      <c r="B221" s="99" t="s">
        <v>660</v>
      </c>
      <c r="C221" s="20" t="s">
        <v>629</v>
      </c>
      <c r="D221" s="100" t="s">
        <v>628</v>
      </c>
      <c r="E221" s="20" t="s">
        <v>613</v>
      </c>
      <c r="F221" s="101" t="s">
        <v>614</v>
      </c>
      <c r="G221" s="130" t="s">
        <v>661</v>
      </c>
      <c r="H221" s="80" t="s">
        <v>1453</v>
      </c>
      <c r="I221" s="22" t="s">
        <v>722</v>
      </c>
      <c r="J221" s="22" t="s">
        <v>662</v>
      </c>
      <c r="K221" s="80" t="s">
        <v>663</v>
      </c>
      <c r="L221" s="22" t="s">
        <v>664</v>
      </c>
      <c r="M221" s="80" t="s">
        <v>665</v>
      </c>
      <c r="N221" s="21">
        <v>2</v>
      </c>
      <c r="O221" s="21" t="s">
        <v>944</v>
      </c>
      <c r="P221" s="110" t="s">
        <v>1475</v>
      </c>
      <c r="Q221" s="110" t="s">
        <v>1480</v>
      </c>
      <c r="R221" s="102" t="s">
        <v>1477</v>
      </c>
      <c r="S221" s="22" t="s">
        <v>184</v>
      </c>
      <c r="T221" s="42" t="s">
        <v>727</v>
      </c>
      <c r="U221" s="42" t="s">
        <v>754</v>
      </c>
      <c r="V221" s="81">
        <v>4</v>
      </c>
      <c r="W221" s="81">
        <v>0</v>
      </c>
      <c r="X221" s="103">
        <v>0</v>
      </c>
      <c r="Y221" s="25" t="str">
        <f>IFERROR((TABLA_AVANCE_INDICADORES[[#This Row],[AVANCE 1°. TRIM]]/TABLA_AVANCE_INDICADORES[[#This Row],[PROGR. 1° TRIM]])*100,"0")</f>
        <v>0</v>
      </c>
      <c r="Z221"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221" s="104">
        <v>2</v>
      </c>
      <c r="AB221" s="105">
        <v>1</v>
      </c>
      <c r="AC221" s="27">
        <f t="shared" si="6"/>
        <v>50</v>
      </c>
      <c r="AD221" s="26" t="str">
        <f t="shared" si="7"/>
        <v>DEFICIENTE</v>
      </c>
      <c r="AE221" s="104">
        <v>0</v>
      </c>
      <c r="AF221" s="105">
        <v>0</v>
      </c>
      <c r="AG221" s="27" t="str">
        <f>IFERROR((TABLA_AVANCE_INDICADORES[[#This Row],[AVANCE 3°. TRIM]]/TABLA_AVANCE_INDICADORES[[#This Row],[PROGR. 3° TRIM]])*100,"0")</f>
        <v>0</v>
      </c>
      <c r="AH221"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221" s="104">
        <v>2</v>
      </c>
      <c r="AJ221" s="105">
        <v>0</v>
      </c>
      <c r="AK221" s="82">
        <f>IFERROR((TABLA_AVANCE_INDICADORES[[#This Row],[AVANCE 4°. TRIM]]/TABLA_AVANCE_INDICADORES[[#This Row],[PROGR. 4° TRIM]])*100,"0")</f>
        <v>0</v>
      </c>
      <c r="AL221"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21"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v>
      </c>
      <c r="AN221"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O221" s="27">
        <f>IFERROR((TABLA_AVANCE_INDICADORES[[#This Row],[AVANCE ACUM. TRIM.]]/TABLA_AVANCE_INDICADORES[[#This Row],[PROG. ACUM]])*100,"N/A")</f>
        <v>50</v>
      </c>
      <c r="AP221"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DEFICIENTE</v>
      </c>
      <c r="AQ221" s="106">
        <f>TABLA_AVANCE_INDICADORES[[#This Row],[AVANCE ACUM. TRIM.]]-TABLA_AVANCE_INDICADORES[[#This Row],[PROG. ACUM]]</f>
        <v>-1</v>
      </c>
      <c r="AR221" s="32">
        <f>IFERROR((TABLA_AVANCE_INDICADORES[[#This Row],[DIFERENCIA ABSOLUTA SEMESTRAL]]/TABLA_AVANCE_INDICADORES[[#This Row],[PROG. ACUM]])*100,"N/A")</f>
        <v>-50</v>
      </c>
      <c r="AS221"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v>
      </c>
      <c r="AT221" s="27">
        <f>IFERROR((TABLA_AVANCE_INDICADORES[[#This Row],[AVANCE ACUM. ANUAL]]/TABLA_AVANCE_INDICADORES[[#This Row],[PROGRAMADO ANUAL]])*100,"N/A")</f>
        <v>25</v>
      </c>
      <c r="AU221"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221" s="106">
        <f>TABLA_AVANCE_INDICADORES[[#This Row],[AVANCE ACUM. ANUAL]]-TABLA_AVANCE_INDICADORES[[#This Row],[PROGRAMADO ANUAL]]</f>
        <v>-3</v>
      </c>
      <c r="AW221" s="32">
        <f>IFERROR((TABLA_AVANCE_INDICADORES[[#This Row],[DIFERENCIA ABSOLUTA ANUAL]]/TABLA_AVANCE_INDICADORES[[#This Row],[PROGRAMADO ANUAL]])*100,"N/A")</f>
        <v>-75</v>
      </c>
      <c r="AX221" s="132"/>
      <c r="AY221" s="86" t="s">
        <v>1478</v>
      </c>
      <c r="AZ221" s="86"/>
      <c r="BA221" s="86"/>
      <c r="BB221"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22" spans="1:54" ht="131.25" customHeight="1" x14ac:dyDescent="0.35">
      <c r="A222" s="19" t="s">
        <v>1481</v>
      </c>
      <c r="B222" s="99" t="s">
        <v>87</v>
      </c>
      <c r="C222" s="20" t="s">
        <v>52</v>
      </c>
      <c r="D222" s="100" t="s">
        <v>51</v>
      </c>
      <c r="E222" s="20" t="s">
        <v>88</v>
      </c>
      <c r="F222" s="101" t="s">
        <v>89</v>
      </c>
      <c r="G222" s="130" t="s">
        <v>90</v>
      </c>
      <c r="H222" s="80" t="s">
        <v>1482</v>
      </c>
      <c r="I222" s="22" t="s">
        <v>722</v>
      </c>
      <c r="J222" s="22" t="s">
        <v>91</v>
      </c>
      <c r="K222" s="80" t="s">
        <v>92</v>
      </c>
      <c r="L222" s="22" t="s">
        <v>93</v>
      </c>
      <c r="M222" s="80" t="s">
        <v>94</v>
      </c>
      <c r="N222" s="21">
        <v>1</v>
      </c>
      <c r="O222" s="21" t="s">
        <v>723</v>
      </c>
      <c r="P222" s="110" t="s">
        <v>1483</v>
      </c>
      <c r="Q222" s="110" t="s">
        <v>1484</v>
      </c>
      <c r="R222" s="102" t="s">
        <v>1485</v>
      </c>
      <c r="S222" s="22" t="s">
        <v>503</v>
      </c>
      <c r="T222" s="42" t="s">
        <v>727</v>
      </c>
      <c r="U222" s="42" t="s">
        <v>738</v>
      </c>
      <c r="V222" s="81">
        <v>100</v>
      </c>
      <c r="W222" s="81">
        <v>0</v>
      </c>
      <c r="X222" s="103">
        <v>0</v>
      </c>
      <c r="Y222" s="25" t="str">
        <f>IFERROR((TABLA_AVANCE_INDICADORES[[#This Row],[AVANCE 1°. TRIM]]/TABLA_AVANCE_INDICADORES[[#This Row],[PROGR. 1° TRIM]])*100,"0")</f>
        <v>0</v>
      </c>
      <c r="Z222"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222" s="104">
        <v>0</v>
      </c>
      <c r="AB222" s="105">
        <v>0</v>
      </c>
      <c r="AC222" s="27" t="str">
        <f t="shared" si="6"/>
        <v>0</v>
      </c>
      <c r="AD222" s="26" t="str">
        <f t="shared" si="7"/>
        <v>NO PROG.</v>
      </c>
      <c r="AE222" s="104">
        <v>0</v>
      </c>
      <c r="AF222" s="105">
        <v>0</v>
      </c>
      <c r="AG222" s="27" t="str">
        <f>IFERROR((TABLA_AVANCE_INDICADORES[[#This Row],[AVANCE 3°. TRIM]]/TABLA_AVANCE_INDICADORES[[#This Row],[PROGR. 3° TRIM]])*100,"0")</f>
        <v>0</v>
      </c>
      <c r="AH222"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222" s="104">
        <v>100</v>
      </c>
      <c r="AJ222" s="105">
        <v>0</v>
      </c>
      <c r="AK222" s="82">
        <f>IFERROR((TABLA_AVANCE_INDICADORES[[#This Row],[AVANCE 4°. TRIM]]/TABLA_AVANCE_INDICADORES[[#This Row],[PROGR. 4° TRIM]])*100,"0")</f>
        <v>0</v>
      </c>
      <c r="AL222"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22"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222"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222" s="27" t="str">
        <f>IFERROR((TABLA_AVANCE_INDICADORES[[#This Row],[AVANCE ACUM. TRIM.]]/TABLA_AVANCE_INDICADORES[[#This Row],[PROG. ACUM]])*100,"N/A")</f>
        <v>N/A</v>
      </c>
      <c r="AP222"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222" s="106">
        <f>TABLA_AVANCE_INDICADORES[[#This Row],[AVANCE ACUM. TRIM.]]-TABLA_AVANCE_INDICADORES[[#This Row],[PROG. ACUM]]</f>
        <v>0</v>
      </c>
      <c r="AR222" s="32" t="str">
        <f>IFERROR((TABLA_AVANCE_INDICADORES[[#This Row],[DIFERENCIA ABSOLUTA SEMESTRAL]]/TABLA_AVANCE_INDICADORES[[#This Row],[PROG. ACUM]])*100,"N/A")</f>
        <v>N/A</v>
      </c>
      <c r="AS222"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222" s="27">
        <f>IFERROR((TABLA_AVANCE_INDICADORES[[#This Row],[AVANCE ACUM. ANUAL]]/TABLA_AVANCE_INDICADORES[[#This Row],[PROGRAMADO ANUAL]])*100,"N/A")</f>
        <v>0</v>
      </c>
      <c r="AU222"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222" s="106">
        <f>TABLA_AVANCE_INDICADORES[[#This Row],[AVANCE ACUM. ANUAL]]-TABLA_AVANCE_INDICADORES[[#This Row],[PROGRAMADO ANUAL]]</f>
        <v>-100</v>
      </c>
      <c r="AW222" s="32">
        <f>IFERROR((TABLA_AVANCE_INDICADORES[[#This Row],[DIFERENCIA ABSOLUTA ANUAL]]/TABLA_AVANCE_INDICADORES[[#This Row],[PROGRAMADO ANUAL]])*100,"N/A")</f>
        <v>-100</v>
      </c>
      <c r="AX222" s="132"/>
      <c r="AY222" s="86"/>
      <c r="AZ222" s="86"/>
      <c r="BA222" s="86"/>
      <c r="BB222"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23" spans="1:54" ht="131.25" customHeight="1" x14ac:dyDescent="0.35">
      <c r="A223" s="19" t="s">
        <v>1486</v>
      </c>
      <c r="B223" s="99" t="s">
        <v>87</v>
      </c>
      <c r="C223" s="20" t="s">
        <v>52</v>
      </c>
      <c r="D223" s="100" t="s">
        <v>51</v>
      </c>
      <c r="E223" s="20" t="s">
        <v>88</v>
      </c>
      <c r="F223" s="101" t="s">
        <v>89</v>
      </c>
      <c r="G223" s="130" t="s">
        <v>90</v>
      </c>
      <c r="H223" s="80" t="s">
        <v>1482</v>
      </c>
      <c r="I223" s="22" t="s">
        <v>722</v>
      </c>
      <c r="J223" s="22" t="s">
        <v>91</v>
      </c>
      <c r="K223" s="80" t="s">
        <v>92</v>
      </c>
      <c r="L223" s="22" t="s">
        <v>93</v>
      </c>
      <c r="M223" s="80" t="s">
        <v>94</v>
      </c>
      <c r="N223" s="21">
        <v>2</v>
      </c>
      <c r="O223" s="21" t="s">
        <v>723</v>
      </c>
      <c r="P223" s="110" t="s">
        <v>1483</v>
      </c>
      <c r="Q223" s="110" t="s">
        <v>1487</v>
      </c>
      <c r="R223" s="102" t="s">
        <v>1485</v>
      </c>
      <c r="S223" s="22" t="s">
        <v>503</v>
      </c>
      <c r="T223" s="42" t="s">
        <v>727</v>
      </c>
      <c r="U223" s="42" t="s">
        <v>738</v>
      </c>
      <c r="V223" s="81">
        <v>100</v>
      </c>
      <c r="W223" s="81">
        <v>0</v>
      </c>
      <c r="X223" s="103">
        <v>0</v>
      </c>
      <c r="Y223" s="25" t="str">
        <f>IFERROR((TABLA_AVANCE_INDICADORES[[#This Row],[AVANCE 1°. TRIM]]/TABLA_AVANCE_INDICADORES[[#This Row],[PROGR. 1° TRIM]])*100,"0")</f>
        <v>0</v>
      </c>
      <c r="Z223"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223" s="104">
        <v>0</v>
      </c>
      <c r="AB223" s="105">
        <v>0</v>
      </c>
      <c r="AC223" s="27" t="str">
        <f t="shared" si="6"/>
        <v>0</v>
      </c>
      <c r="AD223" s="26" t="str">
        <f t="shared" si="7"/>
        <v>NO PROG.</v>
      </c>
      <c r="AE223" s="104">
        <v>0</v>
      </c>
      <c r="AF223" s="105">
        <v>0</v>
      </c>
      <c r="AG223" s="27" t="str">
        <f>IFERROR((TABLA_AVANCE_INDICADORES[[#This Row],[AVANCE 3°. TRIM]]/TABLA_AVANCE_INDICADORES[[#This Row],[PROGR. 3° TRIM]])*100,"0")</f>
        <v>0</v>
      </c>
      <c r="AH223"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223" s="104">
        <v>100</v>
      </c>
      <c r="AJ223" s="111">
        <v>100</v>
      </c>
      <c r="AK223" s="82">
        <f>IFERROR((TABLA_AVANCE_INDICADORES[[#This Row],[AVANCE 4°. TRIM]]/TABLA_AVANCE_INDICADORES[[#This Row],[PROGR. 4° TRIM]])*100,"0")</f>
        <v>100</v>
      </c>
      <c r="AL223"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223"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223"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223" s="27" t="str">
        <f>IFERROR((TABLA_AVANCE_INDICADORES[[#This Row],[AVANCE ACUM. TRIM.]]/TABLA_AVANCE_INDICADORES[[#This Row],[PROG. ACUM]])*100,"N/A")</f>
        <v>N/A</v>
      </c>
      <c r="AP223"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223" s="106">
        <f>TABLA_AVANCE_INDICADORES[[#This Row],[AVANCE ACUM. TRIM.]]-TABLA_AVANCE_INDICADORES[[#This Row],[PROG. ACUM]]</f>
        <v>0</v>
      </c>
      <c r="AR223" s="32" t="str">
        <f>IFERROR((TABLA_AVANCE_INDICADORES[[#This Row],[DIFERENCIA ABSOLUTA SEMESTRAL]]/TABLA_AVANCE_INDICADORES[[#This Row],[PROG. ACUM]])*100,"N/A")</f>
        <v>N/A</v>
      </c>
      <c r="AS223"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223" s="27">
        <f>IFERROR((TABLA_AVANCE_INDICADORES[[#This Row],[AVANCE ACUM. ANUAL]]/TABLA_AVANCE_INDICADORES[[#This Row],[PROGRAMADO ANUAL]])*100,"N/A")</f>
        <v>0</v>
      </c>
      <c r="AU223"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223" s="106">
        <f>TABLA_AVANCE_INDICADORES[[#This Row],[AVANCE ACUM. ANUAL]]-TABLA_AVANCE_INDICADORES[[#This Row],[PROGRAMADO ANUAL]]</f>
        <v>-100</v>
      </c>
      <c r="AW223" s="32">
        <f>IFERROR((TABLA_AVANCE_INDICADORES[[#This Row],[DIFERENCIA ABSOLUTA ANUAL]]/TABLA_AVANCE_INDICADORES[[#This Row],[PROGRAMADO ANUAL]])*100,"N/A")</f>
        <v>-100</v>
      </c>
      <c r="AX223" s="132"/>
      <c r="AY223" s="86"/>
      <c r="AZ223" s="86"/>
      <c r="BA223" s="86"/>
      <c r="BB223"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24" spans="1:54" ht="93.75" customHeight="1" x14ac:dyDescent="0.35">
      <c r="A224" s="19" t="s">
        <v>1488</v>
      </c>
      <c r="B224" s="99" t="s">
        <v>87</v>
      </c>
      <c r="C224" s="20" t="s">
        <v>52</v>
      </c>
      <c r="D224" s="100" t="s">
        <v>51</v>
      </c>
      <c r="E224" s="20" t="s">
        <v>88</v>
      </c>
      <c r="F224" s="101" t="s">
        <v>89</v>
      </c>
      <c r="G224" s="130" t="s">
        <v>90</v>
      </c>
      <c r="H224" s="80" t="s">
        <v>1482</v>
      </c>
      <c r="I224" s="22" t="s">
        <v>722</v>
      </c>
      <c r="J224" s="22" t="s">
        <v>91</v>
      </c>
      <c r="K224" s="80" t="s">
        <v>92</v>
      </c>
      <c r="L224" s="22" t="s">
        <v>93</v>
      </c>
      <c r="M224" s="80" t="s">
        <v>94</v>
      </c>
      <c r="N224" s="21">
        <v>1</v>
      </c>
      <c r="O224" s="21" t="s">
        <v>733</v>
      </c>
      <c r="P224" s="110" t="s">
        <v>1489</v>
      </c>
      <c r="Q224" s="110" t="s">
        <v>1490</v>
      </c>
      <c r="R224" s="102" t="s">
        <v>1491</v>
      </c>
      <c r="S224" s="22" t="s">
        <v>96</v>
      </c>
      <c r="T224" s="42" t="s">
        <v>727</v>
      </c>
      <c r="U224" s="42" t="s">
        <v>738</v>
      </c>
      <c r="V224" s="81">
        <v>220</v>
      </c>
      <c r="W224" s="81">
        <v>0</v>
      </c>
      <c r="X224" s="103">
        <v>0</v>
      </c>
      <c r="Y224" s="25" t="str">
        <f>IFERROR((TABLA_AVANCE_INDICADORES[[#This Row],[AVANCE 1°. TRIM]]/TABLA_AVANCE_INDICADORES[[#This Row],[PROGR. 1° TRIM]])*100,"0")</f>
        <v>0</v>
      </c>
      <c r="Z224"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224" s="104">
        <v>0</v>
      </c>
      <c r="AB224" s="105">
        <v>0</v>
      </c>
      <c r="AC224" s="27" t="str">
        <f t="shared" si="6"/>
        <v>0</v>
      </c>
      <c r="AD224" s="26" t="str">
        <f t="shared" si="7"/>
        <v>NO PROG.</v>
      </c>
      <c r="AE224" s="104">
        <v>0</v>
      </c>
      <c r="AF224" s="105">
        <v>0</v>
      </c>
      <c r="AG224" s="27" t="str">
        <f>IFERROR((TABLA_AVANCE_INDICADORES[[#This Row],[AVANCE 3°. TRIM]]/TABLA_AVANCE_INDICADORES[[#This Row],[PROGR. 3° TRIM]])*100,"0")</f>
        <v>0</v>
      </c>
      <c r="AH224"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224" s="104">
        <v>220</v>
      </c>
      <c r="AJ224" s="105">
        <v>0</v>
      </c>
      <c r="AK224" s="82">
        <f>IFERROR((TABLA_AVANCE_INDICADORES[[#This Row],[AVANCE 4°. TRIM]]/TABLA_AVANCE_INDICADORES[[#This Row],[PROGR. 4° TRIM]])*100,"0")</f>
        <v>0</v>
      </c>
      <c r="AL224"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24"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224"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224" s="27" t="str">
        <f>IFERROR((TABLA_AVANCE_INDICADORES[[#This Row],[AVANCE ACUM. TRIM.]]/TABLA_AVANCE_INDICADORES[[#This Row],[PROG. ACUM]])*100,"N/A")</f>
        <v>N/A</v>
      </c>
      <c r="AP224"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224" s="106">
        <f>TABLA_AVANCE_INDICADORES[[#This Row],[AVANCE ACUM. TRIM.]]-TABLA_AVANCE_INDICADORES[[#This Row],[PROG. ACUM]]</f>
        <v>0</v>
      </c>
      <c r="AR224" s="32" t="str">
        <f>IFERROR((TABLA_AVANCE_INDICADORES[[#This Row],[DIFERENCIA ABSOLUTA SEMESTRAL]]/TABLA_AVANCE_INDICADORES[[#This Row],[PROG. ACUM]])*100,"N/A")</f>
        <v>N/A</v>
      </c>
      <c r="AS224"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224" s="27">
        <f>IFERROR((TABLA_AVANCE_INDICADORES[[#This Row],[AVANCE ACUM. ANUAL]]/TABLA_AVANCE_INDICADORES[[#This Row],[PROGRAMADO ANUAL]])*100,"N/A")</f>
        <v>0</v>
      </c>
      <c r="AU224"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224" s="106">
        <f>TABLA_AVANCE_INDICADORES[[#This Row],[AVANCE ACUM. ANUAL]]-TABLA_AVANCE_INDICADORES[[#This Row],[PROGRAMADO ANUAL]]</f>
        <v>-220</v>
      </c>
      <c r="AW224" s="32">
        <f>IFERROR((TABLA_AVANCE_INDICADORES[[#This Row],[DIFERENCIA ABSOLUTA ANUAL]]/TABLA_AVANCE_INDICADORES[[#This Row],[PROGRAMADO ANUAL]])*100,"N/A")</f>
        <v>-100</v>
      </c>
      <c r="AX224" s="132"/>
      <c r="AY224" s="86"/>
      <c r="AZ224" s="86"/>
      <c r="BA224" s="86"/>
      <c r="BB224"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25" spans="1:54" ht="93.75" customHeight="1" x14ac:dyDescent="0.35">
      <c r="A225" s="19" t="s">
        <v>1492</v>
      </c>
      <c r="B225" s="99" t="s">
        <v>87</v>
      </c>
      <c r="C225" s="20" t="s">
        <v>52</v>
      </c>
      <c r="D225" s="100" t="s">
        <v>51</v>
      </c>
      <c r="E225" s="20" t="s">
        <v>88</v>
      </c>
      <c r="F225" s="101" t="s">
        <v>89</v>
      </c>
      <c r="G225" s="130" t="s">
        <v>90</v>
      </c>
      <c r="H225" s="80" t="s">
        <v>1482</v>
      </c>
      <c r="I225" s="22" t="s">
        <v>722</v>
      </c>
      <c r="J225" s="22" t="s">
        <v>91</v>
      </c>
      <c r="K225" s="80" t="s">
        <v>92</v>
      </c>
      <c r="L225" s="22" t="s">
        <v>93</v>
      </c>
      <c r="M225" s="80" t="s">
        <v>94</v>
      </c>
      <c r="N225" s="21">
        <v>2</v>
      </c>
      <c r="O225" s="21" t="s">
        <v>733</v>
      </c>
      <c r="P225" s="110" t="s">
        <v>1489</v>
      </c>
      <c r="Q225" s="110" t="s">
        <v>1493</v>
      </c>
      <c r="R225" s="102" t="s">
        <v>1491</v>
      </c>
      <c r="S225" s="22" t="s">
        <v>96</v>
      </c>
      <c r="T225" s="42" t="s">
        <v>727</v>
      </c>
      <c r="U225" s="42" t="s">
        <v>738</v>
      </c>
      <c r="V225" s="81">
        <v>220</v>
      </c>
      <c r="W225" s="81">
        <v>0</v>
      </c>
      <c r="X225" s="103">
        <v>0</v>
      </c>
      <c r="Y225" s="25" t="str">
        <f>IFERROR((TABLA_AVANCE_INDICADORES[[#This Row],[AVANCE 1°. TRIM]]/TABLA_AVANCE_INDICADORES[[#This Row],[PROGR. 1° TRIM]])*100,"0")</f>
        <v>0</v>
      </c>
      <c r="Z225"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225" s="104">
        <v>0</v>
      </c>
      <c r="AB225" s="105">
        <v>0</v>
      </c>
      <c r="AC225" s="27" t="str">
        <f t="shared" si="6"/>
        <v>0</v>
      </c>
      <c r="AD225" s="26" t="str">
        <f t="shared" si="7"/>
        <v>NO PROG.</v>
      </c>
      <c r="AE225" s="104">
        <v>0</v>
      </c>
      <c r="AF225" s="105">
        <v>0</v>
      </c>
      <c r="AG225" s="27" t="str">
        <f>IFERROR((TABLA_AVANCE_INDICADORES[[#This Row],[AVANCE 3°. TRIM]]/TABLA_AVANCE_INDICADORES[[#This Row],[PROGR. 3° TRIM]])*100,"0")</f>
        <v>0</v>
      </c>
      <c r="AH225"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225" s="104">
        <v>220</v>
      </c>
      <c r="AJ225" s="105">
        <v>0</v>
      </c>
      <c r="AK225" s="82">
        <f>IFERROR((TABLA_AVANCE_INDICADORES[[#This Row],[AVANCE 4°. TRIM]]/TABLA_AVANCE_INDICADORES[[#This Row],[PROGR. 4° TRIM]])*100,"0")</f>
        <v>0</v>
      </c>
      <c r="AL225"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25"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0</v>
      </c>
      <c r="AN225"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O225" s="27" t="str">
        <f>IFERROR((TABLA_AVANCE_INDICADORES[[#This Row],[AVANCE ACUM. TRIM.]]/TABLA_AVANCE_INDICADORES[[#This Row],[PROG. ACUM]])*100,"N/A")</f>
        <v>N/A</v>
      </c>
      <c r="AP225"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NO PROG.</v>
      </c>
      <c r="AQ225" s="106">
        <f>TABLA_AVANCE_INDICADORES[[#This Row],[AVANCE ACUM. TRIM.]]-TABLA_AVANCE_INDICADORES[[#This Row],[PROG. ACUM]]</f>
        <v>0</v>
      </c>
      <c r="AR225" s="32" t="str">
        <f>IFERROR((TABLA_AVANCE_INDICADORES[[#This Row],[DIFERENCIA ABSOLUTA SEMESTRAL]]/TABLA_AVANCE_INDICADORES[[#This Row],[PROG. ACUM]])*100,"N/A")</f>
        <v>N/A</v>
      </c>
      <c r="AS225"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0</v>
      </c>
      <c r="AT225" s="27">
        <f>IFERROR((TABLA_AVANCE_INDICADORES[[#This Row],[AVANCE ACUM. ANUAL]]/TABLA_AVANCE_INDICADORES[[#This Row],[PROGRAMADO ANUAL]])*100,"N/A")</f>
        <v>0</v>
      </c>
      <c r="AU225"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225" s="106">
        <f>TABLA_AVANCE_INDICADORES[[#This Row],[AVANCE ACUM. ANUAL]]-TABLA_AVANCE_INDICADORES[[#This Row],[PROGRAMADO ANUAL]]</f>
        <v>-220</v>
      </c>
      <c r="AW225" s="32">
        <f>IFERROR((TABLA_AVANCE_INDICADORES[[#This Row],[DIFERENCIA ABSOLUTA ANUAL]]/TABLA_AVANCE_INDICADORES[[#This Row],[PROGRAMADO ANUAL]])*100,"N/A")</f>
        <v>-100</v>
      </c>
      <c r="AX225" s="132"/>
      <c r="AY225" s="86"/>
      <c r="AZ225" s="86"/>
      <c r="BA225" s="86"/>
      <c r="BB225"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26" spans="1:54" ht="93.75" customHeight="1" x14ac:dyDescent="0.35">
      <c r="A226" s="19" t="s">
        <v>1494</v>
      </c>
      <c r="B226" s="99" t="s">
        <v>87</v>
      </c>
      <c r="C226" s="20" t="s">
        <v>52</v>
      </c>
      <c r="D226" s="100" t="s">
        <v>51</v>
      </c>
      <c r="E226" s="20" t="s">
        <v>88</v>
      </c>
      <c r="F226" s="101" t="s">
        <v>89</v>
      </c>
      <c r="G226" s="130" t="s">
        <v>90</v>
      </c>
      <c r="H226" s="80" t="s">
        <v>1482</v>
      </c>
      <c r="I226" s="22" t="s">
        <v>722</v>
      </c>
      <c r="J226" s="22" t="s">
        <v>91</v>
      </c>
      <c r="K226" s="80" t="s">
        <v>92</v>
      </c>
      <c r="L226" s="22" t="s">
        <v>93</v>
      </c>
      <c r="M226" s="80" t="s">
        <v>94</v>
      </c>
      <c r="N226" s="21">
        <v>1</v>
      </c>
      <c r="O226" s="21" t="s">
        <v>742</v>
      </c>
      <c r="P226" s="110" t="s">
        <v>1495</v>
      </c>
      <c r="Q226" s="110" t="s">
        <v>1496</v>
      </c>
      <c r="R226" s="102" t="s">
        <v>1497</v>
      </c>
      <c r="S226" s="22" t="s">
        <v>1498</v>
      </c>
      <c r="T226" s="42" t="s">
        <v>887</v>
      </c>
      <c r="U226" s="42" t="s">
        <v>746</v>
      </c>
      <c r="V226" s="81">
        <v>79</v>
      </c>
      <c r="W226" s="81">
        <v>0</v>
      </c>
      <c r="X226" s="103">
        <v>0</v>
      </c>
      <c r="Y226" s="25" t="str">
        <f>IFERROR((TABLA_AVANCE_INDICADORES[[#This Row],[AVANCE 1°. TRIM]]/TABLA_AVANCE_INDICADORES[[#This Row],[PROGR. 1° TRIM]])*100,"0")</f>
        <v>0</v>
      </c>
      <c r="Z226"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226" s="104">
        <v>79</v>
      </c>
      <c r="AB226" s="105">
        <v>79</v>
      </c>
      <c r="AC226" s="27">
        <f t="shared" si="6"/>
        <v>100</v>
      </c>
      <c r="AD226" s="26" t="str">
        <f t="shared" si="7"/>
        <v>ADECUADO</v>
      </c>
      <c r="AE226" s="104">
        <v>0</v>
      </c>
      <c r="AF226" s="105">
        <v>0</v>
      </c>
      <c r="AG226" s="27" t="str">
        <f>IFERROR((TABLA_AVANCE_INDICADORES[[#This Row],[AVANCE 3°. TRIM]]/TABLA_AVANCE_INDICADORES[[#This Row],[PROGR. 3° TRIM]])*100,"0")</f>
        <v>0</v>
      </c>
      <c r="AH226"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226" s="104">
        <v>79</v>
      </c>
      <c r="AJ226" s="105">
        <v>0</v>
      </c>
      <c r="AK226" s="82">
        <f>IFERROR((TABLA_AVANCE_INDICADORES[[#This Row],[AVANCE 4°. TRIM]]/TABLA_AVANCE_INDICADORES[[#This Row],[PROGR. 4° TRIM]])*100,"0")</f>
        <v>0</v>
      </c>
      <c r="AL226"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26"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79</v>
      </c>
      <c r="AN226"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79</v>
      </c>
      <c r="AO226" s="27">
        <f>IFERROR((TABLA_AVANCE_INDICADORES[[#This Row],[AVANCE ACUM. TRIM.]]/TABLA_AVANCE_INDICADORES[[#This Row],[PROG. ACUM]])*100,"N/A")</f>
        <v>100</v>
      </c>
      <c r="AP226"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226" s="106">
        <f>TABLA_AVANCE_INDICADORES[[#This Row],[AVANCE ACUM. TRIM.]]-TABLA_AVANCE_INDICADORES[[#This Row],[PROG. ACUM]]</f>
        <v>0</v>
      </c>
      <c r="AR226" s="32">
        <f>IFERROR((TABLA_AVANCE_INDICADORES[[#This Row],[DIFERENCIA ABSOLUTA SEMESTRAL]]/TABLA_AVANCE_INDICADORES[[#This Row],[PROG. ACUM]])*100,"N/A")</f>
        <v>0</v>
      </c>
      <c r="AS226"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79</v>
      </c>
      <c r="AT226" s="27">
        <f>IFERROR((TABLA_AVANCE_INDICADORES[[#This Row],[AVANCE ACUM. ANUAL]]/TABLA_AVANCE_INDICADORES[[#This Row],[PROGRAMADO ANUAL]])*100,"N/A")</f>
        <v>100</v>
      </c>
      <c r="AU226"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ADECUADO</v>
      </c>
      <c r="AV226" s="106">
        <f>TABLA_AVANCE_INDICADORES[[#This Row],[AVANCE ACUM. ANUAL]]-TABLA_AVANCE_INDICADORES[[#This Row],[PROGRAMADO ANUAL]]</f>
        <v>0</v>
      </c>
      <c r="AW226" s="32">
        <f>IFERROR((TABLA_AVANCE_INDICADORES[[#This Row],[DIFERENCIA ABSOLUTA ANUAL]]/TABLA_AVANCE_INDICADORES[[#This Row],[PROGRAMADO ANUAL]])*100,"N/A")</f>
        <v>0</v>
      </c>
      <c r="AX226" s="132"/>
      <c r="AY226" s="86"/>
      <c r="AZ226" s="86"/>
      <c r="BA226" s="86"/>
      <c r="BB226" s="109">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79</v>
      </c>
    </row>
    <row r="227" spans="1:54" ht="93.75" customHeight="1" x14ac:dyDescent="0.35">
      <c r="A227" s="19" t="s">
        <v>1499</v>
      </c>
      <c r="B227" s="99" t="s">
        <v>87</v>
      </c>
      <c r="C227" s="20" t="s">
        <v>52</v>
      </c>
      <c r="D227" s="100" t="s">
        <v>51</v>
      </c>
      <c r="E227" s="20" t="s">
        <v>88</v>
      </c>
      <c r="F227" s="101" t="s">
        <v>89</v>
      </c>
      <c r="G227" s="130" t="s">
        <v>90</v>
      </c>
      <c r="H227" s="80" t="s">
        <v>1482</v>
      </c>
      <c r="I227" s="22" t="s">
        <v>722</v>
      </c>
      <c r="J227" s="22" t="s">
        <v>91</v>
      </c>
      <c r="K227" s="80" t="s">
        <v>92</v>
      </c>
      <c r="L227" s="22" t="s">
        <v>93</v>
      </c>
      <c r="M227" s="80" t="s">
        <v>94</v>
      </c>
      <c r="N227" s="21">
        <v>2</v>
      </c>
      <c r="O227" s="21" t="s">
        <v>742</v>
      </c>
      <c r="P227" s="110" t="s">
        <v>1495</v>
      </c>
      <c r="Q227" s="110" t="s">
        <v>1500</v>
      </c>
      <c r="R227" s="102" t="s">
        <v>1497</v>
      </c>
      <c r="S227" s="22" t="s">
        <v>1498</v>
      </c>
      <c r="T227" s="42" t="s">
        <v>887</v>
      </c>
      <c r="U227" s="42" t="s">
        <v>746</v>
      </c>
      <c r="V227" s="81">
        <v>79</v>
      </c>
      <c r="W227" s="81">
        <v>0</v>
      </c>
      <c r="X227" s="103">
        <v>0</v>
      </c>
      <c r="Y227" s="25" t="str">
        <f>IFERROR((TABLA_AVANCE_INDICADORES[[#This Row],[AVANCE 1°. TRIM]]/TABLA_AVANCE_INDICADORES[[#This Row],[PROGR. 1° TRIM]])*100,"0")</f>
        <v>0</v>
      </c>
      <c r="Z227"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227" s="104">
        <v>113</v>
      </c>
      <c r="AB227" s="105">
        <v>113</v>
      </c>
      <c r="AC227" s="27">
        <f t="shared" si="6"/>
        <v>100</v>
      </c>
      <c r="AD227" s="26" t="str">
        <f t="shared" si="7"/>
        <v>ADECUADO</v>
      </c>
      <c r="AE227" s="104">
        <v>0</v>
      </c>
      <c r="AF227" s="105">
        <v>0</v>
      </c>
      <c r="AG227" s="27" t="str">
        <f>IFERROR((TABLA_AVANCE_INDICADORES[[#This Row],[AVANCE 3°. TRIM]]/TABLA_AVANCE_INDICADORES[[#This Row],[PROGR. 3° TRIM]])*100,"0")</f>
        <v>0</v>
      </c>
      <c r="AH227"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227" s="104">
        <v>113</v>
      </c>
      <c r="AJ227" s="105">
        <v>0</v>
      </c>
      <c r="AK227" s="82">
        <f>IFERROR((TABLA_AVANCE_INDICADORES[[#This Row],[AVANCE 4°. TRIM]]/TABLA_AVANCE_INDICADORES[[#This Row],[PROGR. 4° TRIM]])*100,"0")</f>
        <v>0</v>
      </c>
      <c r="AL227"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27"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113</v>
      </c>
      <c r="AN227"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113</v>
      </c>
      <c r="AO227" s="27">
        <f>IFERROR((TABLA_AVANCE_INDICADORES[[#This Row],[AVANCE ACUM. TRIM.]]/TABLA_AVANCE_INDICADORES[[#This Row],[PROG. ACUM]])*100,"N/A")</f>
        <v>100</v>
      </c>
      <c r="AP227"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227" s="106">
        <f>TABLA_AVANCE_INDICADORES[[#This Row],[AVANCE ACUM. TRIM.]]-TABLA_AVANCE_INDICADORES[[#This Row],[PROG. ACUM]]</f>
        <v>0</v>
      </c>
      <c r="AR227" s="32">
        <f>IFERROR((TABLA_AVANCE_INDICADORES[[#This Row],[DIFERENCIA ABSOLUTA SEMESTRAL]]/TABLA_AVANCE_INDICADORES[[#This Row],[PROG. ACUM]])*100,"N/A")</f>
        <v>0</v>
      </c>
      <c r="AS227"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113</v>
      </c>
      <c r="AT227" s="27">
        <f>IFERROR((TABLA_AVANCE_INDICADORES[[#This Row],[AVANCE ACUM. ANUAL]]/TABLA_AVANCE_INDICADORES[[#This Row],[PROGRAMADO ANUAL]])*100,"N/A")</f>
        <v>143.03797468354432</v>
      </c>
      <c r="AU227"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SOBREPASADO</v>
      </c>
      <c r="AV227" s="106">
        <f>TABLA_AVANCE_INDICADORES[[#This Row],[AVANCE ACUM. ANUAL]]-TABLA_AVANCE_INDICADORES[[#This Row],[PROGRAMADO ANUAL]]</f>
        <v>34</v>
      </c>
      <c r="AW227" s="32">
        <f>IFERROR((TABLA_AVANCE_INDICADORES[[#This Row],[DIFERENCIA ABSOLUTA ANUAL]]/TABLA_AVANCE_INDICADORES[[#This Row],[PROGRAMADO ANUAL]])*100,"N/A")</f>
        <v>43.037974683544306</v>
      </c>
      <c r="AX227" s="132"/>
      <c r="AY227" s="86"/>
      <c r="AZ227" s="86"/>
      <c r="BA227" s="86"/>
      <c r="BB227" s="109">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113</v>
      </c>
    </row>
    <row r="228" spans="1:54" ht="93.75" customHeight="1" x14ac:dyDescent="0.35">
      <c r="A228" s="19" t="s">
        <v>1501</v>
      </c>
      <c r="B228" s="99" t="s">
        <v>87</v>
      </c>
      <c r="C228" s="20" t="s">
        <v>52</v>
      </c>
      <c r="D228" s="100" t="s">
        <v>51</v>
      </c>
      <c r="E228" s="20" t="s">
        <v>88</v>
      </c>
      <c r="F228" s="101" t="s">
        <v>89</v>
      </c>
      <c r="G228" s="130" t="s">
        <v>90</v>
      </c>
      <c r="H228" s="80" t="s">
        <v>1482</v>
      </c>
      <c r="I228" s="22" t="s">
        <v>722</v>
      </c>
      <c r="J228" s="22" t="s">
        <v>91</v>
      </c>
      <c r="K228" s="80" t="s">
        <v>92</v>
      </c>
      <c r="L228" s="22" t="s">
        <v>93</v>
      </c>
      <c r="M228" s="80" t="s">
        <v>94</v>
      </c>
      <c r="N228" s="21">
        <v>1</v>
      </c>
      <c r="O228" s="21" t="s">
        <v>785</v>
      </c>
      <c r="P228" s="110" t="s">
        <v>1502</v>
      </c>
      <c r="Q228" s="110" t="s">
        <v>1503</v>
      </c>
      <c r="R228" s="102" t="s">
        <v>1504</v>
      </c>
      <c r="S228" s="22" t="s">
        <v>102</v>
      </c>
      <c r="T228" s="42" t="s">
        <v>727</v>
      </c>
      <c r="U228" s="42" t="s">
        <v>754</v>
      </c>
      <c r="V228" s="81">
        <v>40</v>
      </c>
      <c r="W228" s="81">
        <v>10</v>
      </c>
      <c r="X228" s="103">
        <v>4</v>
      </c>
      <c r="Y228" s="25">
        <f>IFERROR((TABLA_AVANCE_INDICADORES[[#This Row],[AVANCE 1°. TRIM]]/TABLA_AVANCE_INDICADORES[[#This Row],[PROGR. 1° TRIM]])*100,"0")</f>
        <v>40</v>
      </c>
      <c r="Z228"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CRÍTICO</v>
      </c>
      <c r="AA228" s="104">
        <v>10</v>
      </c>
      <c r="AB228" s="105">
        <v>5</v>
      </c>
      <c r="AC228" s="27">
        <f t="shared" si="6"/>
        <v>50</v>
      </c>
      <c r="AD228" s="26" t="str">
        <f t="shared" si="7"/>
        <v>DEFICIENTE</v>
      </c>
      <c r="AE228" s="104">
        <v>10</v>
      </c>
      <c r="AF228" s="105">
        <v>0</v>
      </c>
      <c r="AG228" s="27">
        <f>IFERROR((TABLA_AVANCE_INDICADORES[[#This Row],[AVANCE 3°. TRIM]]/TABLA_AVANCE_INDICADORES[[#This Row],[PROGR. 3° TRIM]])*100,"0")</f>
        <v>0</v>
      </c>
      <c r="AH228"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228" s="104">
        <v>10</v>
      </c>
      <c r="AJ228" s="105">
        <v>0</v>
      </c>
      <c r="AK228" s="82">
        <f>IFERROR((TABLA_AVANCE_INDICADORES[[#This Row],[AVANCE 4°. TRIM]]/TABLA_AVANCE_INDICADORES[[#This Row],[PROGR. 4° TRIM]])*100,"0")</f>
        <v>0</v>
      </c>
      <c r="AL228"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28"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20</v>
      </c>
      <c r="AN228"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9</v>
      </c>
      <c r="AO228" s="27">
        <f>IFERROR((TABLA_AVANCE_INDICADORES[[#This Row],[AVANCE ACUM. TRIM.]]/TABLA_AVANCE_INDICADORES[[#This Row],[PROG. ACUM]])*100,"N/A")</f>
        <v>45</v>
      </c>
      <c r="AP228"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CRÍTICO</v>
      </c>
      <c r="AQ228" s="106">
        <f>TABLA_AVANCE_INDICADORES[[#This Row],[AVANCE ACUM. TRIM.]]-TABLA_AVANCE_INDICADORES[[#This Row],[PROG. ACUM]]</f>
        <v>-11</v>
      </c>
      <c r="AR228" s="32">
        <f>IFERROR((TABLA_AVANCE_INDICADORES[[#This Row],[DIFERENCIA ABSOLUTA SEMESTRAL]]/TABLA_AVANCE_INDICADORES[[#This Row],[PROG. ACUM]])*100,"N/A")</f>
        <v>-55.000000000000007</v>
      </c>
      <c r="AS228"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9</v>
      </c>
      <c r="AT228" s="27">
        <f>IFERROR((TABLA_AVANCE_INDICADORES[[#This Row],[AVANCE ACUM. ANUAL]]/TABLA_AVANCE_INDICADORES[[#This Row],[PROGRAMADO ANUAL]])*100,"N/A")</f>
        <v>22.5</v>
      </c>
      <c r="AU228"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228" s="106">
        <f>TABLA_AVANCE_INDICADORES[[#This Row],[AVANCE ACUM. ANUAL]]-TABLA_AVANCE_INDICADORES[[#This Row],[PROGRAMADO ANUAL]]</f>
        <v>-31</v>
      </c>
      <c r="AW228" s="32">
        <f>IFERROR((TABLA_AVANCE_INDICADORES[[#This Row],[DIFERENCIA ABSOLUTA ANUAL]]/TABLA_AVANCE_INDICADORES[[#This Row],[PROGRAMADO ANUAL]])*100,"N/A")</f>
        <v>-77.5</v>
      </c>
      <c r="AX228" s="132" t="s">
        <v>103</v>
      </c>
      <c r="AY228" s="86" t="s">
        <v>1505</v>
      </c>
      <c r="AZ228" s="86"/>
      <c r="BA228" s="86"/>
      <c r="BB228"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29" spans="1:54" ht="93.75" customHeight="1" x14ac:dyDescent="0.35">
      <c r="A229" s="19" t="s">
        <v>1506</v>
      </c>
      <c r="B229" s="99" t="s">
        <v>87</v>
      </c>
      <c r="C229" s="20" t="s">
        <v>52</v>
      </c>
      <c r="D229" s="100" t="s">
        <v>51</v>
      </c>
      <c r="E229" s="20" t="s">
        <v>88</v>
      </c>
      <c r="F229" s="101" t="s">
        <v>89</v>
      </c>
      <c r="G229" s="130" t="s">
        <v>90</v>
      </c>
      <c r="H229" s="80" t="s">
        <v>1482</v>
      </c>
      <c r="I229" s="22" t="s">
        <v>722</v>
      </c>
      <c r="J229" s="22" t="s">
        <v>91</v>
      </c>
      <c r="K229" s="80" t="s">
        <v>92</v>
      </c>
      <c r="L229" s="22" t="s">
        <v>93</v>
      </c>
      <c r="M229" s="80" t="s">
        <v>94</v>
      </c>
      <c r="N229" s="21">
        <v>2</v>
      </c>
      <c r="O229" s="21" t="s">
        <v>785</v>
      </c>
      <c r="P229" s="110" t="s">
        <v>1502</v>
      </c>
      <c r="Q229" s="110" t="s">
        <v>1507</v>
      </c>
      <c r="R229" s="102" t="s">
        <v>1504</v>
      </c>
      <c r="S229" s="22" t="s">
        <v>102</v>
      </c>
      <c r="T229" s="42" t="s">
        <v>727</v>
      </c>
      <c r="U229" s="42" t="s">
        <v>754</v>
      </c>
      <c r="V229" s="81">
        <v>40</v>
      </c>
      <c r="W229" s="81">
        <v>10</v>
      </c>
      <c r="X229" s="103">
        <v>4</v>
      </c>
      <c r="Y229" s="25">
        <f>IFERROR((TABLA_AVANCE_INDICADORES[[#This Row],[AVANCE 1°. TRIM]]/TABLA_AVANCE_INDICADORES[[#This Row],[PROGR. 1° TRIM]])*100,"0")</f>
        <v>40</v>
      </c>
      <c r="Z229"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CRÍTICO</v>
      </c>
      <c r="AA229" s="104">
        <v>10</v>
      </c>
      <c r="AB229" s="105">
        <v>5</v>
      </c>
      <c r="AC229" s="27">
        <f t="shared" si="6"/>
        <v>50</v>
      </c>
      <c r="AD229" s="26" t="str">
        <f t="shared" si="7"/>
        <v>DEFICIENTE</v>
      </c>
      <c r="AE229" s="104">
        <v>10</v>
      </c>
      <c r="AF229" s="105">
        <v>0</v>
      </c>
      <c r="AG229" s="27">
        <f>IFERROR((TABLA_AVANCE_INDICADORES[[#This Row],[AVANCE 3°. TRIM]]/TABLA_AVANCE_INDICADORES[[#This Row],[PROGR. 3° TRIM]])*100,"0")</f>
        <v>0</v>
      </c>
      <c r="AH229"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229" s="104">
        <v>10</v>
      </c>
      <c r="AJ229" s="105">
        <v>0</v>
      </c>
      <c r="AK229" s="82">
        <f>IFERROR((TABLA_AVANCE_INDICADORES[[#This Row],[AVANCE 4°. TRIM]]/TABLA_AVANCE_INDICADORES[[#This Row],[PROGR. 4° TRIM]])*100,"0")</f>
        <v>0</v>
      </c>
      <c r="AL229"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29"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20</v>
      </c>
      <c r="AN229"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9</v>
      </c>
      <c r="AO229" s="27">
        <f>IFERROR((TABLA_AVANCE_INDICADORES[[#This Row],[AVANCE ACUM. TRIM.]]/TABLA_AVANCE_INDICADORES[[#This Row],[PROG. ACUM]])*100,"N/A")</f>
        <v>45</v>
      </c>
      <c r="AP229"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CRÍTICO</v>
      </c>
      <c r="AQ229" s="106">
        <f>TABLA_AVANCE_INDICADORES[[#This Row],[AVANCE ACUM. TRIM.]]-TABLA_AVANCE_INDICADORES[[#This Row],[PROG. ACUM]]</f>
        <v>-11</v>
      </c>
      <c r="AR229" s="32">
        <f>IFERROR((TABLA_AVANCE_INDICADORES[[#This Row],[DIFERENCIA ABSOLUTA SEMESTRAL]]/TABLA_AVANCE_INDICADORES[[#This Row],[PROG. ACUM]])*100,"N/A")</f>
        <v>-55.000000000000007</v>
      </c>
      <c r="AS229"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9</v>
      </c>
      <c r="AT229" s="27">
        <f>IFERROR((TABLA_AVANCE_INDICADORES[[#This Row],[AVANCE ACUM. ANUAL]]/TABLA_AVANCE_INDICADORES[[#This Row],[PROGRAMADO ANUAL]])*100,"N/A")</f>
        <v>22.5</v>
      </c>
      <c r="AU229"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229" s="106">
        <f>TABLA_AVANCE_INDICADORES[[#This Row],[AVANCE ACUM. ANUAL]]-TABLA_AVANCE_INDICADORES[[#This Row],[PROGRAMADO ANUAL]]</f>
        <v>-31</v>
      </c>
      <c r="AW229" s="32">
        <f>IFERROR((TABLA_AVANCE_INDICADORES[[#This Row],[DIFERENCIA ABSOLUTA ANUAL]]/TABLA_AVANCE_INDICADORES[[#This Row],[PROGRAMADO ANUAL]])*100,"N/A")</f>
        <v>-77.5</v>
      </c>
      <c r="AX229" s="132" t="s">
        <v>103</v>
      </c>
      <c r="AY229" s="86" t="s">
        <v>1505</v>
      </c>
      <c r="AZ229" s="86"/>
      <c r="BA229" s="86"/>
      <c r="BB229"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30" spans="1:54" ht="93.75" customHeight="1" x14ac:dyDescent="0.35">
      <c r="A230" s="19" t="s">
        <v>1508</v>
      </c>
      <c r="B230" s="99" t="s">
        <v>87</v>
      </c>
      <c r="C230" s="20" t="s">
        <v>52</v>
      </c>
      <c r="D230" s="100" t="s">
        <v>51</v>
      </c>
      <c r="E230" s="20" t="s">
        <v>88</v>
      </c>
      <c r="F230" s="101" t="s">
        <v>89</v>
      </c>
      <c r="G230" s="130" t="s">
        <v>90</v>
      </c>
      <c r="H230" s="80" t="s">
        <v>1482</v>
      </c>
      <c r="I230" s="22" t="s">
        <v>722</v>
      </c>
      <c r="J230" s="22" t="s">
        <v>91</v>
      </c>
      <c r="K230" s="80" t="s">
        <v>92</v>
      </c>
      <c r="L230" s="22" t="s">
        <v>93</v>
      </c>
      <c r="M230" s="80" t="s">
        <v>94</v>
      </c>
      <c r="N230" s="21">
        <v>1</v>
      </c>
      <c r="O230" s="21" t="s">
        <v>750</v>
      </c>
      <c r="P230" s="110" t="s">
        <v>1509</v>
      </c>
      <c r="Q230" s="110" t="s">
        <v>1510</v>
      </c>
      <c r="R230" s="102" t="s">
        <v>1511</v>
      </c>
      <c r="S230" s="22" t="s">
        <v>1512</v>
      </c>
      <c r="T230" s="42" t="s">
        <v>887</v>
      </c>
      <c r="U230" s="42" t="s">
        <v>746</v>
      </c>
      <c r="V230" s="81">
        <v>8</v>
      </c>
      <c r="W230" s="81">
        <v>0</v>
      </c>
      <c r="X230" s="103">
        <v>0</v>
      </c>
      <c r="Y230" s="25" t="str">
        <f>IFERROR((TABLA_AVANCE_INDICADORES[[#This Row],[AVANCE 1°. TRIM]]/TABLA_AVANCE_INDICADORES[[#This Row],[PROGR. 1° TRIM]])*100,"0")</f>
        <v>0</v>
      </c>
      <c r="Z230"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230" s="104">
        <v>8</v>
      </c>
      <c r="AB230" s="105">
        <v>8</v>
      </c>
      <c r="AC230" s="27">
        <f t="shared" si="6"/>
        <v>100</v>
      </c>
      <c r="AD230" s="26" t="str">
        <f t="shared" si="7"/>
        <v>ADECUADO</v>
      </c>
      <c r="AE230" s="104">
        <v>0</v>
      </c>
      <c r="AF230" s="105">
        <v>0</v>
      </c>
      <c r="AG230" s="27" t="str">
        <f>IFERROR((TABLA_AVANCE_INDICADORES[[#This Row],[AVANCE 3°. TRIM]]/TABLA_AVANCE_INDICADORES[[#This Row],[PROGR. 3° TRIM]])*100,"0")</f>
        <v>0</v>
      </c>
      <c r="AH230"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230" s="104">
        <v>8</v>
      </c>
      <c r="AJ230" s="105">
        <v>0</v>
      </c>
      <c r="AK230" s="82">
        <f>IFERROR((TABLA_AVANCE_INDICADORES[[#This Row],[AVANCE 4°. TRIM]]/TABLA_AVANCE_INDICADORES[[#This Row],[PROGR. 4° TRIM]])*100,"0")</f>
        <v>0</v>
      </c>
      <c r="AL230"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30"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8</v>
      </c>
      <c r="AN230"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8</v>
      </c>
      <c r="AO230" s="27">
        <f>IFERROR((TABLA_AVANCE_INDICADORES[[#This Row],[AVANCE ACUM. TRIM.]]/TABLA_AVANCE_INDICADORES[[#This Row],[PROG. ACUM]])*100,"N/A")</f>
        <v>100</v>
      </c>
      <c r="AP230"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230" s="106">
        <f>TABLA_AVANCE_INDICADORES[[#This Row],[AVANCE ACUM. TRIM.]]-TABLA_AVANCE_INDICADORES[[#This Row],[PROG. ACUM]]</f>
        <v>0</v>
      </c>
      <c r="AR230" s="32">
        <f>IFERROR((TABLA_AVANCE_INDICADORES[[#This Row],[DIFERENCIA ABSOLUTA SEMESTRAL]]/TABLA_AVANCE_INDICADORES[[#This Row],[PROG. ACUM]])*100,"N/A")</f>
        <v>0</v>
      </c>
      <c r="AS230"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8</v>
      </c>
      <c r="AT230" s="27">
        <f>IFERROR((TABLA_AVANCE_INDICADORES[[#This Row],[AVANCE ACUM. ANUAL]]/TABLA_AVANCE_INDICADORES[[#This Row],[PROGRAMADO ANUAL]])*100,"N/A")</f>
        <v>100</v>
      </c>
      <c r="AU230"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ADECUADO</v>
      </c>
      <c r="AV230" s="106">
        <f>TABLA_AVANCE_INDICADORES[[#This Row],[AVANCE ACUM. ANUAL]]-TABLA_AVANCE_INDICADORES[[#This Row],[PROGRAMADO ANUAL]]</f>
        <v>0</v>
      </c>
      <c r="AW230" s="32">
        <f>IFERROR((TABLA_AVANCE_INDICADORES[[#This Row],[DIFERENCIA ABSOLUTA ANUAL]]/TABLA_AVANCE_INDICADORES[[#This Row],[PROGRAMADO ANUAL]])*100,"N/A")</f>
        <v>0</v>
      </c>
      <c r="AX230" s="132"/>
      <c r="AY230" s="86"/>
      <c r="AZ230" s="86"/>
      <c r="BA230" s="86"/>
      <c r="BB230" s="109">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8</v>
      </c>
    </row>
    <row r="231" spans="1:54" ht="93.75" customHeight="1" x14ac:dyDescent="0.35">
      <c r="A231" s="19" t="s">
        <v>1513</v>
      </c>
      <c r="B231" s="99" t="s">
        <v>87</v>
      </c>
      <c r="C231" s="20" t="s">
        <v>52</v>
      </c>
      <c r="D231" s="100" t="s">
        <v>51</v>
      </c>
      <c r="E231" s="20" t="s">
        <v>88</v>
      </c>
      <c r="F231" s="101" t="s">
        <v>89</v>
      </c>
      <c r="G231" s="130" t="s">
        <v>90</v>
      </c>
      <c r="H231" s="80" t="s">
        <v>1482</v>
      </c>
      <c r="I231" s="22" t="s">
        <v>722</v>
      </c>
      <c r="J231" s="22" t="s">
        <v>91</v>
      </c>
      <c r="K231" s="80" t="s">
        <v>92</v>
      </c>
      <c r="L231" s="22" t="s">
        <v>93</v>
      </c>
      <c r="M231" s="80" t="s">
        <v>94</v>
      </c>
      <c r="N231" s="21">
        <v>2</v>
      </c>
      <c r="O231" s="21" t="s">
        <v>750</v>
      </c>
      <c r="P231" s="110" t="s">
        <v>1509</v>
      </c>
      <c r="Q231" s="110" t="s">
        <v>1514</v>
      </c>
      <c r="R231" s="102" t="s">
        <v>1511</v>
      </c>
      <c r="S231" s="22" t="s">
        <v>1512</v>
      </c>
      <c r="T231" s="42" t="s">
        <v>887</v>
      </c>
      <c r="U231" s="42" t="s">
        <v>746</v>
      </c>
      <c r="V231" s="81">
        <v>8</v>
      </c>
      <c r="W231" s="81">
        <v>0</v>
      </c>
      <c r="X231" s="112">
        <v>0</v>
      </c>
      <c r="Y231" s="25" t="str">
        <f>IFERROR((TABLA_AVANCE_INDICADORES[[#This Row],[AVANCE 1°. TRIM]]/TABLA_AVANCE_INDICADORES[[#This Row],[PROGR. 1° TRIM]])*100,"0")</f>
        <v>0</v>
      </c>
      <c r="Z231"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NO PROG.</v>
      </c>
      <c r="AA231" s="104">
        <v>8</v>
      </c>
      <c r="AB231" s="113">
        <v>8</v>
      </c>
      <c r="AC231" s="27">
        <f t="shared" si="6"/>
        <v>100</v>
      </c>
      <c r="AD231" s="26" t="str">
        <f t="shared" si="7"/>
        <v>ADECUADO</v>
      </c>
      <c r="AE231" s="104">
        <v>0</v>
      </c>
      <c r="AF231" s="113">
        <f>AE231</f>
        <v>0</v>
      </c>
      <c r="AG231" s="27" t="str">
        <f>IFERROR((TABLA_AVANCE_INDICADORES[[#This Row],[AVANCE 3°. TRIM]]/TABLA_AVANCE_INDICADORES[[#This Row],[PROGR. 3° TRIM]])*100,"0")</f>
        <v>0</v>
      </c>
      <c r="AH231"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NO PROG.</v>
      </c>
      <c r="AI231" s="104">
        <v>8</v>
      </c>
      <c r="AJ231" s="113">
        <f>AI231</f>
        <v>8</v>
      </c>
      <c r="AK231" s="82">
        <f>IFERROR((TABLA_AVANCE_INDICADORES[[#This Row],[AVANCE 4°. TRIM]]/TABLA_AVANCE_INDICADORES[[#This Row],[PROGR. 4° TRIM]])*100,"0")</f>
        <v>100</v>
      </c>
      <c r="AL231"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ADECUADO</v>
      </c>
      <c r="AM231"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8</v>
      </c>
      <c r="AN231"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8</v>
      </c>
      <c r="AO231" s="27">
        <f>IFERROR((TABLA_AVANCE_INDICADORES[[#This Row],[AVANCE ACUM. TRIM.]]/TABLA_AVANCE_INDICADORES[[#This Row],[PROG. ACUM]])*100,"N/A")</f>
        <v>100</v>
      </c>
      <c r="AP231"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231" s="106">
        <f>TABLA_AVANCE_INDICADORES[[#This Row],[AVANCE ACUM. TRIM.]]-TABLA_AVANCE_INDICADORES[[#This Row],[PROG. ACUM]]</f>
        <v>0</v>
      </c>
      <c r="AR231" s="32">
        <f>IFERROR((TABLA_AVANCE_INDICADORES[[#This Row],[DIFERENCIA ABSOLUTA SEMESTRAL]]/TABLA_AVANCE_INDICADORES[[#This Row],[PROG. ACUM]])*100,"N/A")</f>
        <v>0</v>
      </c>
      <c r="AS231"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8</v>
      </c>
      <c r="AT231" s="27">
        <f>IFERROR((TABLA_AVANCE_INDICADORES[[#This Row],[AVANCE ACUM. ANUAL]]/TABLA_AVANCE_INDICADORES[[#This Row],[PROGRAMADO ANUAL]])*100,"N/A")</f>
        <v>100</v>
      </c>
      <c r="AU231"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ADECUADO</v>
      </c>
      <c r="AV231" s="106">
        <f>TABLA_AVANCE_INDICADORES[[#This Row],[AVANCE ACUM. ANUAL]]-TABLA_AVANCE_INDICADORES[[#This Row],[PROGRAMADO ANUAL]]</f>
        <v>0</v>
      </c>
      <c r="AW231" s="32">
        <f>IFERROR((TABLA_AVANCE_INDICADORES[[#This Row],[DIFERENCIA ABSOLUTA ANUAL]]/TABLA_AVANCE_INDICADORES[[#This Row],[PROGRAMADO ANUAL]])*100,"N/A")</f>
        <v>0</v>
      </c>
      <c r="AX231" s="132"/>
      <c r="AY231" s="86"/>
      <c r="AZ231" s="86"/>
      <c r="BA231" s="86"/>
      <c r="BB231" s="109">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8</v>
      </c>
    </row>
    <row r="232" spans="1:54" ht="187.5" customHeight="1" x14ac:dyDescent="0.35">
      <c r="A232" s="19" t="s">
        <v>1515</v>
      </c>
      <c r="B232" s="99" t="s">
        <v>87</v>
      </c>
      <c r="C232" s="20" t="s">
        <v>52</v>
      </c>
      <c r="D232" s="100" t="s">
        <v>51</v>
      </c>
      <c r="E232" s="20" t="s">
        <v>88</v>
      </c>
      <c r="F232" s="101" t="s">
        <v>89</v>
      </c>
      <c r="G232" s="130" t="s">
        <v>90</v>
      </c>
      <c r="H232" s="80" t="s">
        <v>1482</v>
      </c>
      <c r="I232" s="22" t="s">
        <v>722</v>
      </c>
      <c r="J232" s="22" t="s">
        <v>91</v>
      </c>
      <c r="K232" s="80" t="s">
        <v>92</v>
      </c>
      <c r="L232" s="22" t="s">
        <v>93</v>
      </c>
      <c r="M232" s="80" t="s">
        <v>94</v>
      </c>
      <c r="N232" s="21">
        <v>1</v>
      </c>
      <c r="O232" s="21" t="s">
        <v>857</v>
      </c>
      <c r="P232" s="110" t="s">
        <v>1516</v>
      </c>
      <c r="Q232" s="110" t="s">
        <v>1517</v>
      </c>
      <c r="R232" s="102" t="s">
        <v>1518</v>
      </c>
      <c r="S232" s="22" t="s">
        <v>503</v>
      </c>
      <c r="T232" s="42" t="s">
        <v>887</v>
      </c>
      <c r="U232" s="42" t="s">
        <v>1130</v>
      </c>
      <c r="V232" s="81">
        <v>8</v>
      </c>
      <c r="W232" s="81">
        <v>8</v>
      </c>
      <c r="X232" s="103">
        <v>8</v>
      </c>
      <c r="Y232" s="25">
        <f>IFERROR((TABLA_AVANCE_INDICADORES[[#This Row],[AVANCE 1°. TRIM]]/TABLA_AVANCE_INDICADORES[[#This Row],[PROGR. 1° TRIM]])*100,"0")</f>
        <v>100</v>
      </c>
      <c r="Z232"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232" s="104">
        <v>8</v>
      </c>
      <c r="AB232" s="105">
        <v>8</v>
      </c>
      <c r="AC232" s="27">
        <f t="shared" si="6"/>
        <v>100</v>
      </c>
      <c r="AD232" s="26" t="str">
        <f t="shared" si="7"/>
        <v>ADECUADO</v>
      </c>
      <c r="AE232" s="104">
        <v>8</v>
      </c>
      <c r="AF232" s="105">
        <v>0</v>
      </c>
      <c r="AG232" s="27">
        <f>IFERROR((TABLA_AVANCE_INDICADORES[[#This Row],[AVANCE 3°. TRIM]]/TABLA_AVANCE_INDICADORES[[#This Row],[PROGR. 3° TRIM]])*100,"0")</f>
        <v>0</v>
      </c>
      <c r="AH232"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232" s="104">
        <v>8</v>
      </c>
      <c r="AJ232" s="105">
        <v>0</v>
      </c>
      <c r="AK232" s="82">
        <f>IFERROR((TABLA_AVANCE_INDICADORES[[#This Row],[AVANCE 4°. TRIM]]/TABLA_AVANCE_INDICADORES[[#This Row],[PROGR. 4° TRIM]])*100,"0")</f>
        <v>0</v>
      </c>
      <c r="AL232"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32"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8</v>
      </c>
      <c r="AN232"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8</v>
      </c>
      <c r="AO232" s="27">
        <f>IFERROR((TABLA_AVANCE_INDICADORES[[#This Row],[AVANCE ACUM. TRIM.]]/TABLA_AVANCE_INDICADORES[[#This Row],[PROG. ACUM]])*100,"N/A")</f>
        <v>100</v>
      </c>
      <c r="AP232"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232" s="106">
        <f>TABLA_AVANCE_INDICADORES[[#This Row],[AVANCE ACUM. TRIM.]]-TABLA_AVANCE_INDICADORES[[#This Row],[PROG. ACUM]]</f>
        <v>0</v>
      </c>
      <c r="AR232" s="32">
        <f>IFERROR((TABLA_AVANCE_INDICADORES[[#This Row],[DIFERENCIA ABSOLUTA SEMESTRAL]]/TABLA_AVANCE_INDICADORES[[#This Row],[PROG. ACUM]])*100,"N/A")</f>
        <v>0</v>
      </c>
      <c r="AS232"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8</v>
      </c>
      <c r="AT232" s="27">
        <f>IFERROR((TABLA_AVANCE_INDICADORES[[#This Row],[AVANCE ACUM. ANUAL]]/TABLA_AVANCE_INDICADORES[[#This Row],[PROGRAMADO ANUAL]])*100,"N/A")</f>
        <v>100</v>
      </c>
      <c r="AU232"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ADECUADO</v>
      </c>
      <c r="AV232" s="106">
        <f>TABLA_AVANCE_INDICADORES[[#This Row],[AVANCE ACUM. ANUAL]]-TABLA_AVANCE_INDICADORES[[#This Row],[PROGRAMADO ANUAL]]</f>
        <v>0</v>
      </c>
      <c r="AW232" s="32">
        <f>IFERROR((TABLA_AVANCE_INDICADORES[[#This Row],[DIFERENCIA ABSOLUTA ANUAL]]/TABLA_AVANCE_INDICADORES[[#This Row],[PROGRAMADO ANUAL]])*100,"N/A")</f>
        <v>0</v>
      </c>
      <c r="AX232" s="132"/>
      <c r="AY232" s="86"/>
      <c r="AZ232" s="86"/>
      <c r="BA232" s="86"/>
      <c r="BB232" s="109">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8</v>
      </c>
    </row>
    <row r="233" spans="1:54" ht="187.5" customHeight="1" x14ac:dyDescent="0.35">
      <c r="A233" s="19" t="s">
        <v>1519</v>
      </c>
      <c r="B233" s="99" t="s">
        <v>87</v>
      </c>
      <c r="C233" s="20" t="s">
        <v>52</v>
      </c>
      <c r="D233" s="100" t="s">
        <v>51</v>
      </c>
      <c r="E233" s="20" t="s">
        <v>88</v>
      </c>
      <c r="F233" s="101" t="s">
        <v>89</v>
      </c>
      <c r="G233" s="130" t="s">
        <v>90</v>
      </c>
      <c r="H233" s="80" t="s">
        <v>1482</v>
      </c>
      <c r="I233" s="22" t="s">
        <v>722</v>
      </c>
      <c r="J233" s="22" t="s">
        <v>91</v>
      </c>
      <c r="K233" s="80" t="s">
        <v>92</v>
      </c>
      <c r="L233" s="22" t="s">
        <v>93</v>
      </c>
      <c r="M233" s="80" t="s">
        <v>94</v>
      </c>
      <c r="N233" s="21">
        <v>2</v>
      </c>
      <c r="O233" s="21" t="s">
        <v>857</v>
      </c>
      <c r="P233" s="110" t="s">
        <v>1516</v>
      </c>
      <c r="Q233" s="110" t="s">
        <v>1520</v>
      </c>
      <c r="R233" s="102" t="s">
        <v>1518</v>
      </c>
      <c r="S233" s="22" t="s">
        <v>503</v>
      </c>
      <c r="T233" s="42" t="s">
        <v>887</v>
      </c>
      <c r="U233" s="42" t="s">
        <v>1130</v>
      </c>
      <c r="V233" s="81">
        <v>8</v>
      </c>
      <c r="W233" s="81">
        <v>8</v>
      </c>
      <c r="X233" s="103">
        <v>8</v>
      </c>
      <c r="Y233" s="25">
        <f>IFERROR((TABLA_AVANCE_INDICADORES[[#This Row],[AVANCE 1°. TRIM]]/TABLA_AVANCE_INDICADORES[[#This Row],[PROGR. 1° TRIM]])*100,"0")</f>
        <v>100</v>
      </c>
      <c r="Z233"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ADECUADO</v>
      </c>
      <c r="AA233" s="104">
        <v>8</v>
      </c>
      <c r="AB233" s="105">
        <v>8</v>
      </c>
      <c r="AC233" s="27">
        <f t="shared" si="6"/>
        <v>100</v>
      </c>
      <c r="AD233" s="26" t="str">
        <f t="shared" si="7"/>
        <v>ADECUADO</v>
      </c>
      <c r="AE233" s="104">
        <v>8</v>
      </c>
      <c r="AF233" s="105">
        <v>0</v>
      </c>
      <c r="AG233" s="27">
        <f>IFERROR((TABLA_AVANCE_INDICADORES[[#This Row],[AVANCE 3°. TRIM]]/TABLA_AVANCE_INDICADORES[[#This Row],[PROGR. 3° TRIM]])*100,"0")</f>
        <v>0</v>
      </c>
      <c r="AH233"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233" s="104">
        <v>8</v>
      </c>
      <c r="AJ233" s="105">
        <v>0</v>
      </c>
      <c r="AK233" s="82">
        <f>IFERROR((TABLA_AVANCE_INDICADORES[[#This Row],[AVANCE 4°. TRIM]]/TABLA_AVANCE_INDICADORES[[#This Row],[PROGR. 4° TRIM]])*100,"0")</f>
        <v>0</v>
      </c>
      <c r="AL233"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33"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8</v>
      </c>
      <c r="AN233"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8</v>
      </c>
      <c r="AO233" s="27">
        <f>IFERROR((TABLA_AVANCE_INDICADORES[[#This Row],[AVANCE ACUM. TRIM.]]/TABLA_AVANCE_INDICADORES[[#This Row],[PROG. ACUM]])*100,"N/A")</f>
        <v>100</v>
      </c>
      <c r="AP233"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ADECUADO</v>
      </c>
      <c r="AQ233" s="106">
        <f>TABLA_AVANCE_INDICADORES[[#This Row],[AVANCE ACUM. TRIM.]]-TABLA_AVANCE_INDICADORES[[#This Row],[PROG. ACUM]]</f>
        <v>0</v>
      </c>
      <c r="AR233" s="32">
        <f>IFERROR((TABLA_AVANCE_INDICADORES[[#This Row],[DIFERENCIA ABSOLUTA SEMESTRAL]]/TABLA_AVANCE_INDICADORES[[#This Row],[PROG. ACUM]])*100,"N/A")</f>
        <v>0</v>
      </c>
      <c r="AS233"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8</v>
      </c>
      <c r="AT233" s="27">
        <f>IFERROR((TABLA_AVANCE_INDICADORES[[#This Row],[AVANCE ACUM. ANUAL]]/TABLA_AVANCE_INDICADORES[[#This Row],[PROGRAMADO ANUAL]])*100,"N/A")</f>
        <v>100</v>
      </c>
      <c r="AU233"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ADECUADO</v>
      </c>
      <c r="AV233" s="106">
        <f>TABLA_AVANCE_INDICADORES[[#This Row],[AVANCE ACUM. ANUAL]]-TABLA_AVANCE_INDICADORES[[#This Row],[PROGRAMADO ANUAL]]</f>
        <v>0</v>
      </c>
      <c r="AW233" s="32">
        <f>IFERROR((TABLA_AVANCE_INDICADORES[[#This Row],[DIFERENCIA ABSOLUTA ANUAL]]/TABLA_AVANCE_INDICADORES[[#This Row],[PROGRAMADO ANUAL]])*100,"N/A")</f>
        <v>0</v>
      </c>
      <c r="AX233" s="132"/>
      <c r="AY233" s="86"/>
      <c r="AZ233" s="86"/>
      <c r="BA233" s="86"/>
      <c r="BB233" s="109">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8</v>
      </c>
    </row>
    <row r="234" spans="1:54" ht="93.75" customHeight="1" x14ac:dyDescent="0.35">
      <c r="A234" s="19" t="s">
        <v>1521</v>
      </c>
      <c r="B234" s="99" t="s">
        <v>87</v>
      </c>
      <c r="C234" s="20" t="s">
        <v>52</v>
      </c>
      <c r="D234" s="100" t="s">
        <v>51</v>
      </c>
      <c r="E234" s="20" t="s">
        <v>88</v>
      </c>
      <c r="F234" s="101" t="s">
        <v>89</v>
      </c>
      <c r="G234" s="130" t="s">
        <v>90</v>
      </c>
      <c r="H234" s="80" t="s">
        <v>1482</v>
      </c>
      <c r="I234" s="22" t="s">
        <v>722</v>
      </c>
      <c r="J234" s="22" t="s">
        <v>91</v>
      </c>
      <c r="K234" s="80" t="s">
        <v>92</v>
      </c>
      <c r="L234" s="22" t="s">
        <v>93</v>
      </c>
      <c r="M234" s="80" t="s">
        <v>94</v>
      </c>
      <c r="N234" s="21">
        <v>1</v>
      </c>
      <c r="O234" s="21" t="s">
        <v>758</v>
      </c>
      <c r="P234" s="110" t="s">
        <v>1522</v>
      </c>
      <c r="Q234" s="110" t="s">
        <v>1523</v>
      </c>
      <c r="R234" s="102" t="s">
        <v>1524</v>
      </c>
      <c r="S234" s="22" t="s">
        <v>102</v>
      </c>
      <c r="T234" s="42" t="s">
        <v>727</v>
      </c>
      <c r="U234" s="42" t="s">
        <v>754</v>
      </c>
      <c r="V234" s="81">
        <v>40</v>
      </c>
      <c r="W234" s="81">
        <v>10</v>
      </c>
      <c r="X234" s="103">
        <v>4</v>
      </c>
      <c r="Y234" s="25">
        <f>IFERROR((TABLA_AVANCE_INDICADORES[[#This Row],[AVANCE 1°. TRIM]]/TABLA_AVANCE_INDICADORES[[#This Row],[PROGR. 1° TRIM]])*100,"0")</f>
        <v>40</v>
      </c>
      <c r="Z234"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CRÍTICO</v>
      </c>
      <c r="AA234" s="104">
        <v>10</v>
      </c>
      <c r="AB234" s="105">
        <v>5</v>
      </c>
      <c r="AC234" s="27">
        <f t="shared" si="6"/>
        <v>50</v>
      </c>
      <c r="AD234" s="26" t="str">
        <f t="shared" si="7"/>
        <v>DEFICIENTE</v>
      </c>
      <c r="AE234" s="104">
        <v>10</v>
      </c>
      <c r="AF234" s="105">
        <v>0</v>
      </c>
      <c r="AG234" s="27">
        <f>IFERROR((TABLA_AVANCE_INDICADORES[[#This Row],[AVANCE 3°. TRIM]]/TABLA_AVANCE_INDICADORES[[#This Row],[PROGR. 3° TRIM]])*100,"0")</f>
        <v>0</v>
      </c>
      <c r="AH234"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234" s="104">
        <v>10</v>
      </c>
      <c r="AJ234" s="105">
        <v>0</v>
      </c>
      <c r="AK234" s="82">
        <f>IFERROR((TABLA_AVANCE_INDICADORES[[#This Row],[AVANCE 4°. TRIM]]/TABLA_AVANCE_INDICADORES[[#This Row],[PROGR. 4° TRIM]])*100,"0")</f>
        <v>0</v>
      </c>
      <c r="AL234"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34"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20</v>
      </c>
      <c r="AN234"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9</v>
      </c>
      <c r="AO234" s="27">
        <f>IFERROR((TABLA_AVANCE_INDICADORES[[#This Row],[AVANCE ACUM. TRIM.]]/TABLA_AVANCE_INDICADORES[[#This Row],[PROG. ACUM]])*100,"N/A")</f>
        <v>45</v>
      </c>
      <c r="AP234"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CRÍTICO</v>
      </c>
      <c r="AQ234" s="106">
        <f>TABLA_AVANCE_INDICADORES[[#This Row],[AVANCE ACUM. TRIM.]]-TABLA_AVANCE_INDICADORES[[#This Row],[PROG. ACUM]]</f>
        <v>-11</v>
      </c>
      <c r="AR234" s="32">
        <f>IFERROR((TABLA_AVANCE_INDICADORES[[#This Row],[DIFERENCIA ABSOLUTA SEMESTRAL]]/TABLA_AVANCE_INDICADORES[[#This Row],[PROG. ACUM]])*100,"N/A")</f>
        <v>-55.000000000000007</v>
      </c>
      <c r="AS234"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9</v>
      </c>
      <c r="AT234" s="27">
        <f>IFERROR((TABLA_AVANCE_INDICADORES[[#This Row],[AVANCE ACUM. ANUAL]]/TABLA_AVANCE_INDICADORES[[#This Row],[PROGRAMADO ANUAL]])*100,"N/A")</f>
        <v>22.5</v>
      </c>
      <c r="AU234"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234" s="106">
        <f>TABLA_AVANCE_INDICADORES[[#This Row],[AVANCE ACUM. ANUAL]]-TABLA_AVANCE_INDICADORES[[#This Row],[PROGRAMADO ANUAL]]</f>
        <v>-31</v>
      </c>
      <c r="AW234" s="32">
        <f>IFERROR((TABLA_AVANCE_INDICADORES[[#This Row],[DIFERENCIA ABSOLUTA ANUAL]]/TABLA_AVANCE_INDICADORES[[#This Row],[PROGRAMADO ANUAL]])*100,"N/A")</f>
        <v>-77.5</v>
      </c>
      <c r="AX234" s="132" t="s">
        <v>103</v>
      </c>
      <c r="AY234" s="86" t="s">
        <v>1505</v>
      </c>
      <c r="AZ234" s="86"/>
      <c r="BA234" s="86"/>
      <c r="BB234"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row r="235" spans="1:54" ht="93.75" customHeight="1" x14ac:dyDescent="0.35">
      <c r="A235" s="19" t="s">
        <v>1525</v>
      </c>
      <c r="B235" s="99" t="s">
        <v>87</v>
      </c>
      <c r="C235" s="20" t="s">
        <v>52</v>
      </c>
      <c r="D235" s="100" t="s">
        <v>51</v>
      </c>
      <c r="E235" s="20" t="s">
        <v>88</v>
      </c>
      <c r="F235" s="101" t="s">
        <v>89</v>
      </c>
      <c r="G235" s="130" t="s">
        <v>90</v>
      </c>
      <c r="H235" s="80" t="s">
        <v>1482</v>
      </c>
      <c r="I235" s="22" t="s">
        <v>722</v>
      </c>
      <c r="J235" s="22" t="s">
        <v>91</v>
      </c>
      <c r="K235" s="80" t="s">
        <v>92</v>
      </c>
      <c r="L235" s="22" t="s">
        <v>93</v>
      </c>
      <c r="M235" s="80" t="s">
        <v>94</v>
      </c>
      <c r="N235" s="21">
        <v>2</v>
      </c>
      <c r="O235" s="21" t="s">
        <v>758</v>
      </c>
      <c r="P235" s="110" t="s">
        <v>1522</v>
      </c>
      <c r="Q235" s="110" t="s">
        <v>1526</v>
      </c>
      <c r="R235" s="102" t="s">
        <v>1524</v>
      </c>
      <c r="S235" s="22" t="s">
        <v>102</v>
      </c>
      <c r="T235" s="42" t="s">
        <v>727</v>
      </c>
      <c r="U235" s="42" t="s">
        <v>754</v>
      </c>
      <c r="V235" s="81">
        <v>40</v>
      </c>
      <c r="W235" s="81">
        <v>10</v>
      </c>
      <c r="X235" s="103">
        <v>4</v>
      </c>
      <c r="Y235" s="25">
        <f>IFERROR((TABLA_AVANCE_INDICADORES[[#This Row],[AVANCE 1°. TRIM]]/TABLA_AVANCE_INDICADORES[[#This Row],[PROGR. 1° TRIM]])*100,"0")</f>
        <v>40</v>
      </c>
      <c r="Z235" s="26" t="str">
        <f>IF(AND(TABLA_AVANCE_INDICADORES[[#This Row],[% AVANCE 1er. TRIM]]&gt;=0,TABLA_AVANCE_INDICADORES[[#This Row],[% AVANCE 1er. TRIM]]&lt;=49.9999999999999),"CRÍTICO",IF(AND(TABLA_AVANCE_INDICADORES[[#This Row],[% AVANCE 1er. TRIM]]&gt;=50,TABLA_AVANCE_INDICADORES[[#This Row],[% AVANCE 1er. TRIM]]&lt;=69.9999999999999),"DEFICIENTE",IF(AND(TABLA_AVANCE_INDICADORES[[#This Row],[% AVANCE 1er. TRIM]]&gt;=70,TABLA_AVANCE_INDICADORES[[#This Row],[% AVANCE 1er. TRIM]]&lt;=89.9999999999999),"REGULAR",IF(AND(TABLA_AVANCE_INDICADORES[[#This Row],[% AVANCE 1er. TRIM]]&gt;=90,TABLA_AVANCE_INDICADORES[[#This Row],[% AVANCE 1er. TRIM]]&lt;=110.999999999999),"ADECUADO",IF(AND(TABLA_AVANCE_INDICADORES[[#This Row],[% AVANCE 1er. TRIM]]&gt;=111,TABLA_AVANCE_INDICADORES[[#This Row],[% AVANCE 1er. TRIM]]&lt;=999999999),"SOBREPASADO","NO PROG.")))))</f>
        <v>CRÍTICO</v>
      </c>
      <c r="AA235" s="104">
        <v>10</v>
      </c>
      <c r="AB235" s="105">
        <v>5</v>
      </c>
      <c r="AC235" s="27">
        <f t="shared" si="6"/>
        <v>50</v>
      </c>
      <c r="AD235" s="26" t="str">
        <f t="shared" si="7"/>
        <v>DEFICIENTE</v>
      </c>
      <c r="AE235" s="104">
        <v>10</v>
      </c>
      <c r="AF235" s="105">
        <v>0</v>
      </c>
      <c r="AG235" s="27">
        <f>IFERROR((TABLA_AVANCE_INDICADORES[[#This Row],[AVANCE 3°. TRIM]]/TABLA_AVANCE_INDICADORES[[#This Row],[PROGR. 3° TRIM]])*100,"0")</f>
        <v>0</v>
      </c>
      <c r="AH235" s="26" t="str">
        <f>IF(AND(TABLA_AVANCE_INDICADORES[[#This Row],[% AVANCE 3o. TRIM]]&gt;=0,TABLA_AVANCE_INDICADORES[[#This Row],[% AVANCE 3o. TRIM]]&lt;=49.9999999999999),"CRÍTICO",IF(AND(TABLA_AVANCE_INDICADORES[[#This Row],[% AVANCE 3o. TRIM]]&gt;=50,TABLA_AVANCE_INDICADORES[[#This Row],[% AVANCE 3o. TRIM]]&lt;=69.9999999999999),"DEFICIENTE",IF(AND(TABLA_AVANCE_INDICADORES[[#This Row],[% AVANCE 3o. TRIM]]&gt;=70,TABLA_AVANCE_INDICADORES[[#This Row],[% AVANCE 3o. TRIM]]&lt;=89.9999999999999),"REGULAR",IF(AND(TABLA_AVANCE_INDICADORES[[#This Row],[% AVANCE 3o. TRIM]]&gt;=90,TABLA_AVANCE_INDICADORES[[#This Row],[% AVANCE 3o. TRIM]]&lt;=110.999999999999),"ADECUADO",IF(AND(TABLA_AVANCE_INDICADORES[[#This Row],[% AVANCE 3o. TRIM]]&gt;=111,TABLA_AVANCE_INDICADORES[[#This Row],[% AVANCE 3o. TRIM]]&lt;=999999),"SOBREPASADO","NO PROG.")))))</f>
        <v>CRÍTICO</v>
      </c>
      <c r="AI235" s="104">
        <v>10</v>
      </c>
      <c r="AJ235" s="105">
        <v>0</v>
      </c>
      <c r="AK235" s="82">
        <f>IFERROR((TABLA_AVANCE_INDICADORES[[#This Row],[AVANCE 4°. TRIM]]/TABLA_AVANCE_INDICADORES[[#This Row],[PROGR. 4° TRIM]])*100,"0")</f>
        <v>0</v>
      </c>
      <c r="AL235" s="83" t="str">
        <f>IF(AND(TABLA_AVANCE_INDICADORES[[#This Row],[% AVANCE 4o. TRIM]]&gt;=0,TABLA_AVANCE_INDICADORES[[#This Row],[% AVANCE 4o. TRIM]]&lt;=49.9999999999999),"CRÍTICO",IF(AND(TABLA_AVANCE_INDICADORES[[#This Row],[% AVANCE 4o. TRIM]]&gt;=50,TABLA_AVANCE_INDICADORES[[#This Row],[% AVANCE 4o. TRIM]]&lt;=69.9999999999999),"DEFICIENTE",IF(AND(TABLA_AVANCE_INDICADORES[[#This Row],[% AVANCE 4o. TRIM]]&gt;=70,TABLA_AVANCE_INDICADORES[[#This Row],[% AVANCE 4o. TRIM]]&lt;=89.9999999999999),"REGULAQ",IF(AND(TABLA_AVANCE_INDICADORES[[#This Row],[% AVANCE 4o. TRIM]]&gt;=90,TABLA_AVANCE_INDICADORES[[#This Row],[% AVANCE 4o. TRIM]]&lt;=110.999999999999),"ADECUADO",IF(AND(TABLA_AVANCE_INDICADORES[[#This Row],[% AVANCE 4o. TRIM]]&gt;=111,TABLA_AVANCE_INDICADORES[[#This Row],[% AVANCE 4o. TRIM]]&lt;=999999),"SOBREPASADO","NO PROG.")))))</f>
        <v>CRÍTICO</v>
      </c>
      <c r="AM235" s="30">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TRIM]])))),IF(AM$2="RESULTADO ACUMULADO AL 1° TRIMESTRE",TABLA_AVANCE_INDICADORES[[#This Row],[PROGR. 1° TRIM]],IF(AM$2="RESULTADO ACUMULADO AL 2° TRIMESTRE",TABLA_AVANCE_INDICADORES[[#This Row],[PROGR. 1° TRIM]]+TABLA_AVANCE_INDICADORES[[#This Row],[PROGR. 2° TRIM]],IF(AM$2="RESULTADO ACUMULADO AL 3° TRIMESTRE",TABLA_AVANCE_INDICADORES[[#This Row],[PROGR. 1° TRIM]]+TABLA_AVANCE_INDICADORES[[#This Row],[PROGR. 2° TRIM]]+TABLA_AVANCE_INDICADORES[[#This Row],[PROGR. 3° TRIM]],IF(AM$2="RESULTADO ACUMULADO AL 4° TRIMESTRE",TABLA_AVANCE_INDICADORES[[#This Row],[PROGR. 1° TRIM]]+TABLA_AVANCE_INDICADORES[[#This Row],[PROGR. 2° TRIM]]+TABLA_AVANCE_INDICADORES[[#This Row],[PROGR. 3° TRIM]]+TABLA_AVANCE_INDICADORES[[#This Row],[PROGR. 4° TRIM]])))))</f>
        <v>20</v>
      </c>
      <c r="AN235" s="131">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9</v>
      </c>
      <c r="AO235" s="27">
        <f>IFERROR((TABLA_AVANCE_INDICADORES[[#This Row],[AVANCE ACUM. TRIM.]]/TABLA_AVANCE_INDICADORES[[#This Row],[PROG. ACUM]])*100,"N/A")</f>
        <v>45</v>
      </c>
      <c r="AP235" s="26" t="str">
        <f>IF(AND(TABLA_AVANCE_INDICADORES[[#This Row],[% ACUMULADO SEM.]]&gt;=0,TABLA_AVANCE_INDICADORES[[#This Row],[% ACUMULADO SEM.]]&lt;=49.9999999999999),"CRÍTICO",IF(AND(TABLA_AVANCE_INDICADORES[[#This Row],[% ACUMULADO SEM.]]&gt;=50,TABLA_AVANCE_INDICADORES[[#This Row],[% ACUMULADO SEM.]]&lt;=69.9999999999999),"DEFICIENTE",IF(AND(TABLA_AVANCE_INDICADORES[[#This Row],[% ACUMULADO SEM.]]&gt;=70,TABLA_AVANCE_INDICADORES[[#This Row],[% ACUMULADO SEM.]]&lt;=89.9999999999999),"REGULAR",IF(AND(TABLA_AVANCE_INDICADORES[[#This Row],[% ACUMULADO SEM.]]&gt;=90,TABLA_AVANCE_INDICADORES[[#This Row],[% ACUMULADO SEM.]]&lt;=110.999999999999),"ADECUADO",IF(AND(TABLA_AVANCE_INDICADORES[[#This Row],[% ACUMULADO SEM.]]&gt;=111,TABLA_AVANCE_INDICADORES[[#This Row],[% ACUMULADO SEM.]]&lt;=999999),"SOBREPASADO","NO PROG.")))))</f>
        <v>CRÍTICO</v>
      </c>
      <c r="AQ235" s="106">
        <f>TABLA_AVANCE_INDICADORES[[#This Row],[AVANCE ACUM. TRIM.]]-TABLA_AVANCE_INDICADORES[[#This Row],[PROG. ACUM]]</f>
        <v>-11</v>
      </c>
      <c r="AR235" s="32">
        <f>IFERROR((TABLA_AVANCE_INDICADORES[[#This Row],[DIFERENCIA ABSOLUTA SEMESTRAL]]/TABLA_AVANCE_INDICADORES[[#This Row],[PROG. ACUM]])*100,"N/A")</f>
        <v>-55.000000000000007</v>
      </c>
      <c r="AS235" s="107">
        <f>IF(OR(TABLA_AVANCE_INDICADORES[[#This Row],[TIPO DE OPERACIÓN]]="Constante",AND(TABLA_AVANCE_INDICADORES[[#This Row],[TIPO DE OPERACIÓN]]="NO Sumable"),AND(TABLA_AVANCE_INDICADORES[[#This Row],[TIPO DE OPERACIÓN]]="Valor actual")),IF($AM$2="RESULTADO ACUMULADO AL 1° TRIMESTRE",TABLA_AVANCE_INDICADORES[[#This Row],[AVANCE 1°. TRIM]],IF($AM$2="RESULTADO ACUMULADO AL 2° TRIMESTRE",TABLA_AVANCE_INDICADORES[[#This Row],[AVANCE 2°. TRIM]],IF($AM$2="RESULTADO ACUMULADO AL 3° TRIMESTRE",TABLA_AVANCE_INDICADORES[[#This Row],[AVANCE 3°. TRIM]],IF($AM$2="RESULTADO ACUMULADO AL 4° TRIMESTRE",TABLA_AVANCE_INDICADORES[[#This Row],[AVANCE 4°. TRIM]])))),IF($AM$2="RESULTADO ACUMULADO AL 1° TRIMESTRE",TABLA_AVANCE_INDICADORES[[#This Row],[AVANCE 1°. TRIM]],IF($AM$2="RESULTADO ACUMULADO AL 2° TRIMESTRE",TABLA_AVANCE_INDICADORES[[#This Row],[AVANCE 1°. TRIM]]+TABLA_AVANCE_INDICADORES[[#This Row],[AVANCE 2°. TRIM]],IF($AM$2="RESULTADO ACUMULADO AL 3° TRIMESTRE",TABLA_AVANCE_INDICADORES[[#This Row],[AVANCE 1°. TRIM]]+TABLA_AVANCE_INDICADORES[[#This Row],[AVANCE 2°. TRIM]]+TABLA_AVANCE_INDICADORES[[#This Row],[AVANCE 3°. TRIM]],IF($AM$2="RESULTADO ACUMULADO AL 4° TRIMESTRE",TABLA_AVANCE_INDICADORES[[#This Row],[AVANCE 1°. TRIM]]+TABLA_AVANCE_INDICADORES[[#This Row],[AVANCE 2°. TRIM]]+TABLA_AVANCE_INDICADORES[[#This Row],[AVANCE 3°. TRIM]]+TABLA_AVANCE_INDICADORES[[#This Row],[AVANCE 4°. TRIM]])))))</f>
        <v>9</v>
      </c>
      <c r="AT235" s="27">
        <f>IFERROR((TABLA_AVANCE_INDICADORES[[#This Row],[AVANCE ACUM. ANUAL]]/TABLA_AVANCE_INDICADORES[[#This Row],[PROGRAMADO ANUAL]])*100,"N/A")</f>
        <v>22.5</v>
      </c>
      <c r="AU235" s="26" t="str">
        <f>IF(AND(TABLA_AVANCE_INDICADORES[[#This Row],[% ACUMULADO ANUAL]]&gt;=0,TABLA_AVANCE_INDICADORES[[#This Row],[% ACUMULADO ANUAL]]&lt;=49.9999999999999),"CRÍTICO",IF(AND(TABLA_AVANCE_INDICADORES[[#This Row],[% ACUMULADO ANUAL]]&gt;=50,TABLA_AVANCE_INDICADORES[[#This Row],[% ACUMULADO ANUAL]]&lt;=69.9999999999999),"DEFICIENTE",IF(AND(TABLA_AVANCE_INDICADORES[[#This Row],[% ACUMULADO ANUAL]]&gt;=70,TABLA_AVANCE_INDICADORES[[#This Row],[% ACUMULADO ANUAL]]&lt;=89.9999999999999),"REGULAR",IF(AND(TABLA_AVANCE_INDICADORES[[#This Row],[% ACUMULADO ANUAL]]&gt;=90,TABLA_AVANCE_INDICADORES[[#This Row],[% ACUMULADO ANUAL]]&lt;=110.999999999999),"ADECUADO",IF(AND(TABLA_AVANCE_INDICADORES[[#This Row],[% ACUMULADO ANUAL]]&gt;=111,TABLA_AVANCE_INDICADORES[[#This Row],[% ACUMULADO ANUAL]]&lt;=999999),"SOBREPASADO","NO PROG.")))))</f>
        <v>CRÍTICO</v>
      </c>
      <c r="AV235" s="106">
        <f>TABLA_AVANCE_INDICADORES[[#This Row],[AVANCE ACUM. ANUAL]]-TABLA_AVANCE_INDICADORES[[#This Row],[PROGRAMADO ANUAL]]</f>
        <v>-31</v>
      </c>
      <c r="AW235" s="32">
        <f>IFERROR((TABLA_AVANCE_INDICADORES[[#This Row],[DIFERENCIA ABSOLUTA ANUAL]]/TABLA_AVANCE_INDICADORES[[#This Row],[PROGRAMADO ANUAL]])*100,"N/A")</f>
        <v>-77.5</v>
      </c>
      <c r="AX235" s="132" t="s">
        <v>103</v>
      </c>
      <c r="AY235" s="86" t="s">
        <v>1505</v>
      </c>
      <c r="AZ235" s="86"/>
      <c r="BA235" s="86"/>
      <c r="BB235" s="109" t="str">
        <f>IF(OR(TABLA_AVANCE_INDICADORES[[#This Row],[TIPO DE OPERACIÓN]]="Constante",AND(TABLA_AVANCE_INDICADORES[[#This Row],[TIPO DE OPERACIÓN]]="NO Sumable"),AND(TABLA_AVANCE_INDICADORES[[#This Row],[TIPO DE OPERACIÓN]]="Valor actual")),IF(AM$2="RESULTADO ACUMULADO AL 1° TRIMESTRE",TABLA_AVANCE_INDICADORES[[#This Row],[PROGR. 1° TRIM]],IF(AM$2="RESULTADO ACUMULADO AL 2° TRIMESTRE",TABLA_AVANCE_INDICADORES[[#This Row],[PROGR. 2° TRIM]],IF(AM$2="RESULTADO ACUMULADO AL 3° TRIMESTRE",TABLA_AVANCE_INDICADORES[[#This Row],[PROGR. 3° TRIM]],IF(AM$2="RESULTADO ACUMULADO AL 4° TRIMESTRE",TABLA_AVANCE_INDICADORES[[#This Row],[PROGR. 4° TRIM]])))),IF(TABLA_AVANCE_INDICADORES[[#This Row],[PROGRAMADO ANUAL]]=TABLA_AVANCE_INDICADORES[[#This Row],[PROGR. 1° TRIM]]+TABLA_AVANCE_INDICADORES[[#This Row],[PROGR. 2° TRIM]]+TABLA_AVANCE_INDICADORES[[#This Row],[PROGR. 3° TRIM]]+TABLA_AVANCE_INDICADORES[[#This Row],[PROGR. 4° TRIM]],"CORRECTO","ERROR"))</f>
        <v>CORRECTO</v>
      </c>
    </row>
  </sheetData>
  <mergeCells count="8">
    <mergeCell ref="AS2:AW2"/>
    <mergeCell ref="W2:Z2"/>
    <mergeCell ref="AA2:AD2"/>
    <mergeCell ref="A1:BA1"/>
    <mergeCell ref="AE2:AH2"/>
    <mergeCell ref="AI2:AL2"/>
    <mergeCell ref="AX2:BA2"/>
    <mergeCell ref="AM2:AR2"/>
  </mergeCells>
  <conditionalFormatting sqref="Y4:Y235 AC4:AC235 AG4:AG235 AK4:AK235 AO4:AO235 AT4:AT235">
    <cfRule type="cellIs" dxfId="61" priority="1" operator="between">
      <formula>111</formula>
      <formula>9999999999</formula>
    </cfRule>
    <cfRule type="cellIs" dxfId="60" priority="2" operator="between">
      <formula>90</formula>
      <formula>110.999999999999</formula>
    </cfRule>
    <cfRule type="cellIs" dxfId="59" priority="3" operator="between">
      <formula>70</formula>
      <formula>89.9999999999999</formula>
    </cfRule>
    <cfRule type="cellIs" dxfId="58" priority="4" operator="between">
      <formula>50</formula>
      <formula>69.9999999999999</formula>
    </cfRule>
    <cfRule type="cellIs" dxfId="57" priority="5" operator="between">
      <formula>0</formula>
      <formula>49.9999999999999</formula>
    </cfRule>
  </conditionalFormatting>
  <printOptions horizontalCentered="1"/>
  <pageMargins left="0.23622047244094491" right="0.82677165354330717" top="0.74803149606299213" bottom="0.74803149606299213" header="0.31496062992125978" footer="0.31496062992125978"/>
  <pageSetup paperSize="5" scale="14" fitToHeight="0" orientation="landscape"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9">
    <tabColor rgb="FF92D050"/>
  </sheetPr>
  <dimension ref="A1:M76"/>
  <sheetViews>
    <sheetView workbookViewId="0">
      <selection activeCell="M21" sqref="M21"/>
    </sheetView>
  </sheetViews>
  <sheetFormatPr baseColWidth="10" defaultRowHeight="13.2" x14ac:dyDescent="0.25"/>
  <cols>
    <col min="1" max="1" width="5.109375" bestFit="1" customWidth="1"/>
    <col min="13" max="13" width="20.44140625" bestFit="1" customWidth="1"/>
  </cols>
  <sheetData>
    <row r="1" spans="1:11" x14ac:dyDescent="0.25">
      <c r="A1" t="s">
        <v>1527</v>
      </c>
      <c r="B1" t="s">
        <v>1528</v>
      </c>
      <c r="C1" t="s">
        <v>62</v>
      </c>
      <c r="D1" t="s">
        <v>1529</v>
      </c>
      <c r="E1" t="s">
        <v>1530</v>
      </c>
      <c r="F1" t="s">
        <v>1531</v>
      </c>
      <c r="G1" t="s">
        <v>1532</v>
      </c>
      <c r="H1" t="s">
        <v>1533</v>
      </c>
      <c r="I1" t="s">
        <v>1534</v>
      </c>
      <c r="J1" t="s">
        <v>1535</v>
      </c>
      <c r="K1" t="s">
        <v>713</v>
      </c>
    </row>
    <row r="2" spans="1:11" x14ac:dyDescent="0.25">
      <c r="A2" s="134" t="s">
        <v>628</v>
      </c>
      <c r="B2" t="s">
        <v>628</v>
      </c>
      <c r="C2">
        <v>1</v>
      </c>
      <c r="F2">
        <v>2</v>
      </c>
      <c r="H2" s="135">
        <f t="shared" ref="H2:H33" si="0">(J2/I2)*10</f>
        <v>0</v>
      </c>
      <c r="I2">
        <f t="shared" ref="I2:I33" si="1">SUM(C2:G2)</f>
        <v>3</v>
      </c>
      <c r="J2">
        <f>N11</f>
        <v>0</v>
      </c>
      <c r="K2" t="str">
        <f t="shared" ref="K2:K33" si="2">IF(AND(H2&gt;=0,H2&lt;=49.9999999999999),"CRÍTICO",IF(AND(H2&gt;=50,H2&lt;=69.9999999999999),"DEFICIENTE",IF(AND(H2&gt;=70,H2&lt;=89.9999999999999),"REGULAR",IF(AND(H2&gt;=90,H2&lt;=110.999999999999),"ADECUADO",IF(AND(H2&gt;=111,H2&lt;=999999999),"SOBREPASADO","NO PROG.")))))</f>
        <v>CRÍTICO</v>
      </c>
    </row>
    <row r="3" spans="1:11" x14ac:dyDescent="0.25">
      <c r="A3" s="134" t="s">
        <v>445</v>
      </c>
      <c r="B3" t="s">
        <v>463</v>
      </c>
      <c r="F3">
        <v>4</v>
      </c>
      <c r="G3">
        <v>1</v>
      </c>
      <c r="H3" s="135">
        <f t="shared" si="0"/>
        <v>88</v>
      </c>
      <c r="I3">
        <f t="shared" si="1"/>
        <v>5</v>
      </c>
      <c r="J3">
        <f t="shared" ref="J3:J9" si="3">C3*4+D3*6+E3*8+F3*10+G3*4</f>
        <v>44</v>
      </c>
      <c r="K3" t="str">
        <f t="shared" si="2"/>
        <v>REGULAR</v>
      </c>
    </row>
    <row r="4" spans="1:11" x14ac:dyDescent="0.25">
      <c r="A4" s="134" t="s">
        <v>214</v>
      </c>
      <c r="B4" t="s">
        <v>307</v>
      </c>
      <c r="F4">
        <v>4</v>
      </c>
      <c r="H4" s="135">
        <f t="shared" si="0"/>
        <v>100</v>
      </c>
      <c r="I4">
        <f t="shared" si="1"/>
        <v>4</v>
      </c>
      <c r="J4">
        <f t="shared" si="3"/>
        <v>40</v>
      </c>
      <c r="K4" t="str">
        <f t="shared" si="2"/>
        <v>ADECUADO</v>
      </c>
    </row>
    <row r="5" spans="1:11" x14ac:dyDescent="0.25">
      <c r="A5" s="134" t="s">
        <v>445</v>
      </c>
      <c r="B5" t="s">
        <v>515</v>
      </c>
      <c r="F5">
        <v>3</v>
      </c>
      <c r="H5" s="135">
        <f t="shared" si="0"/>
        <v>100</v>
      </c>
      <c r="I5">
        <f t="shared" si="1"/>
        <v>3</v>
      </c>
      <c r="J5">
        <f t="shared" si="3"/>
        <v>30</v>
      </c>
      <c r="K5" t="str">
        <f t="shared" si="2"/>
        <v>ADECUADO</v>
      </c>
    </row>
    <row r="6" spans="1:11" x14ac:dyDescent="0.25">
      <c r="A6" s="134" t="s">
        <v>445</v>
      </c>
      <c r="B6" t="s">
        <v>524</v>
      </c>
      <c r="F6">
        <v>4</v>
      </c>
      <c r="H6" s="135">
        <f t="shared" si="0"/>
        <v>100</v>
      </c>
      <c r="I6">
        <f t="shared" si="1"/>
        <v>4</v>
      </c>
      <c r="J6">
        <f t="shared" si="3"/>
        <v>40</v>
      </c>
      <c r="K6" t="str">
        <f t="shared" si="2"/>
        <v>ADECUADO</v>
      </c>
    </row>
    <row r="7" spans="1:11" x14ac:dyDescent="0.25">
      <c r="A7" s="134" t="s">
        <v>367</v>
      </c>
      <c r="B7" t="s">
        <v>365</v>
      </c>
      <c r="F7">
        <v>2</v>
      </c>
      <c r="H7" s="135">
        <f t="shared" si="0"/>
        <v>100</v>
      </c>
      <c r="I7">
        <f t="shared" si="1"/>
        <v>2</v>
      </c>
      <c r="J7">
        <f t="shared" si="3"/>
        <v>20</v>
      </c>
      <c r="K7" t="str">
        <f t="shared" si="2"/>
        <v>ADECUADO</v>
      </c>
    </row>
    <row r="8" spans="1:11" x14ac:dyDescent="0.25">
      <c r="A8" s="134" t="s">
        <v>628</v>
      </c>
      <c r="B8" t="s">
        <v>641</v>
      </c>
      <c r="C8">
        <v>1</v>
      </c>
      <c r="F8">
        <v>7</v>
      </c>
      <c r="H8" s="135">
        <f t="shared" si="0"/>
        <v>92.5</v>
      </c>
      <c r="I8">
        <f t="shared" si="1"/>
        <v>8</v>
      </c>
      <c r="J8">
        <f t="shared" si="3"/>
        <v>74</v>
      </c>
      <c r="K8" t="str">
        <f t="shared" si="2"/>
        <v>ADECUADO</v>
      </c>
    </row>
    <row r="9" spans="1:11" x14ac:dyDescent="0.25">
      <c r="A9" s="134" t="s">
        <v>214</v>
      </c>
      <c r="B9" t="s">
        <v>275</v>
      </c>
      <c r="F9">
        <v>4</v>
      </c>
      <c r="H9" s="135">
        <f t="shared" si="0"/>
        <v>100</v>
      </c>
      <c r="I9">
        <f t="shared" si="1"/>
        <v>4</v>
      </c>
      <c r="J9">
        <f t="shared" si="3"/>
        <v>40</v>
      </c>
      <c r="K9" t="str">
        <f t="shared" si="2"/>
        <v>ADECUADO</v>
      </c>
    </row>
    <row r="10" spans="1:11" x14ac:dyDescent="0.25">
      <c r="A10" s="134" t="s">
        <v>445</v>
      </c>
      <c r="B10" t="s">
        <v>555</v>
      </c>
      <c r="F10">
        <v>3</v>
      </c>
      <c r="H10" s="135">
        <f t="shared" si="0"/>
        <v>100</v>
      </c>
      <c r="I10">
        <f t="shared" si="1"/>
        <v>3</v>
      </c>
      <c r="J10">
        <f>C10*4+D10*6+E10*8+F10*10+G10*6</f>
        <v>30</v>
      </c>
      <c r="K10" t="str">
        <f t="shared" si="2"/>
        <v>ADECUADO</v>
      </c>
    </row>
    <row r="11" spans="1:11" x14ac:dyDescent="0.25">
      <c r="A11" s="134" t="s">
        <v>214</v>
      </c>
      <c r="B11" t="s">
        <v>353</v>
      </c>
      <c r="F11">
        <v>2</v>
      </c>
      <c r="H11" s="135">
        <f t="shared" si="0"/>
        <v>100</v>
      </c>
      <c r="I11">
        <f t="shared" si="1"/>
        <v>2</v>
      </c>
      <c r="J11">
        <f t="shared" ref="J11:J42" si="4">C11*4+D11*6+E11*8+F11*10+G11*4</f>
        <v>20</v>
      </c>
      <c r="K11" t="str">
        <f t="shared" si="2"/>
        <v>ADECUADO</v>
      </c>
    </row>
    <row r="12" spans="1:11" x14ac:dyDescent="0.25">
      <c r="A12" s="134" t="s">
        <v>75</v>
      </c>
      <c r="B12" t="s">
        <v>135</v>
      </c>
      <c r="F12">
        <v>4</v>
      </c>
      <c r="H12" s="135">
        <f t="shared" si="0"/>
        <v>100</v>
      </c>
      <c r="I12">
        <f t="shared" si="1"/>
        <v>4</v>
      </c>
      <c r="J12">
        <f t="shared" si="4"/>
        <v>40</v>
      </c>
      <c r="K12" t="str">
        <f t="shared" si="2"/>
        <v>ADECUADO</v>
      </c>
    </row>
    <row r="13" spans="1:11" x14ac:dyDescent="0.25">
      <c r="A13" s="134" t="s">
        <v>214</v>
      </c>
      <c r="B13" t="s">
        <v>343</v>
      </c>
      <c r="F13">
        <v>1</v>
      </c>
      <c r="H13" s="135">
        <f t="shared" si="0"/>
        <v>100</v>
      </c>
      <c r="I13">
        <f t="shared" si="1"/>
        <v>1</v>
      </c>
      <c r="J13">
        <f t="shared" si="4"/>
        <v>10</v>
      </c>
      <c r="K13" t="str">
        <f t="shared" si="2"/>
        <v>ADECUADO</v>
      </c>
    </row>
    <row r="14" spans="1:11" x14ac:dyDescent="0.25">
      <c r="A14" s="134" t="s">
        <v>445</v>
      </c>
      <c r="B14" t="s">
        <v>565</v>
      </c>
      <c r="E14">
        <v>1</v>
      </c>
      <c r="F14">
        <v>2</v>
      </c>
      <c r="H14" s="135">
        <f t="shared" si="0"/>
        <v>93.333333333333343</v>
      </c>
      <c r="I14">
        <f t="shared" si="1"/>
        <v>3</v>
      </c>
      <c r="J14">
        <f t="shared" si="4"/>
        <v>28</v>
      </c>
      <c r="K14" t="str">
        <f t="shared" si="2"/>
        <v>ADECUADO</v>
      </c>
    </row>
    <row r="15" spans="1:11" x14ac:dyDescent="0.25">
      <c r="A15" s="134" t="s">
        <v>367</v>
      </c>
      <c r="B15" t="s">
        <v>430</v>
      </c>
      <c r="F15">
        <v>3</v>
      </c>
      <c r="H15" s="135">
        <f t="shared" si="0"/>
        <v>100</v>
      </c>
      <c r="I15">
        <f t="shared" si="1"/>
        <v>3</v>
      </c>
      <c r="J15">
        <f t="shared" si="4"/>
        <v>30</v>
      </c>
      <c r="K15" t="str">
        <f t="shared" si="2"/>
        <v>ADECUADO</v>
      </c>
    </row>
    <row r="16" spans="1:11" x14ac:dyDescent="0.25">
      <c r="A16" s="134" t="s">
        <v>445</v>
      </c>
      <c r="B16" t="s">
        <v>475</v>
      </c>
      <c r="F16">
        <v>1</v>
      </c>
      <c r="G16">
        <v>2</v>
      </c>
      <c r="H16" s="135">
        <f t="shared" si="0"/>
        <v>60</v>
      </c>
      <c r="I16">
        <f t="shared" si="1"/>
        <v>3</v>
      </c>
      <c r="J16">
        <f t="shared" si="4"/>
        <v>18</v>
      </c>
      <c r="K16" t="str">
        <f t="shared" si="2"/>
        <v>DEFICIENTE</v>
      </c>
    </row>
    <row r="17" spans="1:13" x14ac:dyDescent="0.25">
      <c r="A17" s="134" t="s">
        <v>445</v>
      </c>
      <c r="B17" t="s">
        <v>574</v>
      </c>
      <c r="F17">
        <v>5</v>
      </c>
      <c r="G17">
        <v>3</v>
      </c>
      <c r="H17" s="135">
        <f t="shared" si="0"/>
        <v>77.5</v>
      </c>
      <c r="I17">
        <f t="shared" si="1"/>
        <v>8</v>
      </c>
      <c r="J17">
        <f t="shared" si="4"/>
        <v>62</v>
      </c>
      <c r="K17" t="str">
        <f t="shared" si="2"/>
        <v>REGULAR</v>
      </c>
    </row>
    <row r="18" spans="1:13" x14ac:dyDescent="0.25">
      <c r="A18" s="134" t="s">
        <v>367</v>
      </c>
      <c r="B18" t="s">
        <v>408</v>
      </c>
      <c r="C18">
        <v>1</v>
      </c>
      <c r="E18">
        <v>1</v>
      </c>
      <c r="F18">
        <v>2</v>
      </c>
      <c r="G18">
        <v>1</v>
      </c>
      <c r="H18" s="135">
        <f t="shared" si="0"/>
        <v>72</v>
      </c>
      <c r="I18">
        <f t="shared" si="1"/>
        <v>5</v>
      </c>
      <c r="J18">
        <f t="shared" si="4"/>
        <v>36</v>
      </c>
      <c r="K18" t="str">
        <f t="shared" si="2"/>
        <v>REGULAR</v>
      </c>
    </row>
    <row r="19" spans="1:13" x14ac:dyDescent="0.25">
      <c r="A19" s="134" t="s">
        <v>445</v>
      </c>
      <c r="B19" t="s">
        <v>443</v>
      </c>
      <c r="F19">
        <v>7</v>
      </c>
      <c r="G19">
        <v>1</v>
      </c>
      <c r="H19" s="135">
        <f t="shared" si="0"/>
        <v>92.5</v>
      </c>
      <c r="I19">
        <f t="shared" si="1"/>
        <v>8</v>
      </c>
      <c r="J19">
        <f t="shared" si="4"/>
        <v>74</v>
      </c>
      <c r="K19" t="str">
        <f t="shared" si="2"/>
        <v>ADECUADO</v>
      </c>
    </row>
    <row r="20" spans="1:13" x14ac:dyDescent="0.25">
      <c r="A20" s="134" t="s">
        <v>367</v>
      </c>
      <c r="B20" t="s">
        <v>399</v>
      </c>
      <c r="F20">
        <v>3</v>
      </c>
      <c r="H20" s="135">
        <f t="shared" si="0"/>
        <v>100</v>
      </c>
      <c r="I20">
        <f t="shared" si="1"/>
        <v>3</v>
      </c>
      <c r="J20">
        <f t="shared" si="4"/>
        <v>30</v>
      </c>
      <c r="K20" t="str">
        <f t="shared" si="2"/>
        <v>ADECUADO</v>
      </c>
    </row>
    <row r="21" spans="1:13" x14ac:dyDescent="0.25">
      <c r="A21" s="134" t="s">
        <v>628</v>
      </c>
      <c r="B21" t="s">
        <v>660</v>
      </c>
      <c r="F21">
        <v>7</v>
      </c>
      <c r="H21" s="135">
        <f t="shared" si="0"/>
        <v>100</v>
      </c>
      <c r="I21">
        <f t="shared" si="1"/>
        <v>7</v>
      </c>
      <c r="J21">
        <f t="shared" si="4"/>
        <v>70</v>
      </c>
      <c r="K21" t="str">
        <f t="shared" si="2"/>
        <v>ADECUADO</v>
      </c>
    </row>
    <row r="22" spans="1:13" x14ac:dyDescent="0.25">
      <c r="A22" s="134" t="s">
        <v>367</v>
      </c>
      <c r="B22" t="s">
        <v>422</v>
      </c>
      <c r="G22">
        <v>1</v>
      </c>
      <c r="H22" s="135">
        <f t="shared" si="0"/>
        <v>40</v>
      </c>
      <c r="I22">
        <f t="shared" si="1"/>
        <v>1</v>
      </c>
      <c r="J22">
        <f t="shared" si="4"/>
        <v>4</v>
      </c>
      <c r="K22" t="str">
        <f t="shared" si="2"/>
        <v>CRÍTICO</v>
      </c>
    </row>
    <row r="23" spans="1:13" x14ac:dyDescent="0.25">
      <c r="A23" s="134" t="s">
        <v>367</v>
      </c>
      <c r="B23" t="s">
        <v>386</v>
      </c>
      <c r="C23">
        <v>2</v>
      </c>
      <c r="F23">
        <v>3</v>
      </c>
      <c r="H23" s="135">
        <f t="shared" si="0"/>
        <v>76</v>
      </c>
      <c r="I23">
        <f t="shared" si="1"/>
        <v>5</v>
      </c>
      <c r="J23">
        <f t="shared" si="4"/>
        <v>38</v>
      </c>
      <c r="K23" t="str">
        <f t="shared" si="2"/>
        <v>REGULAR</v>
      </c>
    </row>
    <row r="24" spans="1:13" x14ac:dyDescent="0.25">
      <c r="A24" s="134" t="s">
        <v>214</v>
      </c>
      <c r="B24" t="s">
        <v>212</v>
      </c>
      <c r="E24">
        <v>1</v>
      </c>
      <c r="F24">
        <v>13</v>
      </c>
      <c r="H24" s="135">
        <f t="shared" si="0"/>
        <v>98.571428571428584</v>
      </c>
      <c r="I24">
        <f t="shared" si="1"/>
        <v>14</v>
      </c>
      <c r="J24">
        <f t="shared" si="4"/>
        <v>138</v>
      </c>
      <c r="K24" t="str">
        <f t="shared" si="2"/>
        <v>ADECUADO</v>
      </c>
    </row>
    <row r="25" spans="1:13" x14ac:dyDescent="0.25">
      <c r="A25" s="134" t="s">
        <v>214</v>
      </c>
      <c r="B25" t="s">
        <v>241</v>
      </c>
      <c r="G25">
        <v>3</v>
      </c>
      <c r="H25" s="135">
        <f t="shared" si="0"/>
        <v>40</v>
      </c>
      <c r="I25">
        <f t="shared" si="1"/>
        <v>3</v>
      </c>
      <c r="J25">
        <f t="shared" si="4"/>
        <v>12</v>
      </c>
      <c r="K25" t="str">
        <f t="shared" si="2"/>
        <v>CRÍTICO</v>
      </c>
    </row>
    <row r="26" spans="1:13" x14ac:dyDescent="0.25">
      <c r="A26" s="134" t="s">
        <v>214</v>
      </c>
      <c r="B26" t="s">
        <v>223</v>
      </c>
      <c r="C26">
        <v>3</v>
      </c>
      <c r="H26" s="135">
        <f t="shared" si="0"/>
        <v>40</v>
      </c>
      <c r="I26">
        <f t="shared" si="1"/>
        <v>3</v>
      </c>
      <c r="J26">
        <f t="shared" si="4"/>
        <v>12</v>
      </c>
      <c r="K26" t="str">
        <f t="shared" si="2"/>
        <v>CRÍTICO</v>
      </c>
    </row>
    <row r="27" spans="1:13" x14ac:dyDescent="0.25">
      <c r="A27" s="134" t="s">
        <v>75</v>
      </c>
      <c r="B27" t="s">
        <v>157</v>
      </c>
      <c r="F27">
        <v>2</v>
      </c>
      <c r="H27" s="135">
        <f t="shared" si="0"/>
        <v>100</v>
      </c>
      <c r="I27">
        <f t="shared" si="1"/>
        <v>2</v>
      </c>
      <c r="J27">
        <f t="shared" si="4"/>
        <v>20</v>
      </c>
      <c r="K27" t="str">
        <f t="shared" si="2"/>
        <v>ADECUADO</v>
      </c>
    </row>
    <row r="28" spans="1:13" x14ac:dyDescent="0.25">
      <c r="A28" s="134" t="s">
        <v>214</v>
      </c>
      <c r="B28" t="s">
        <v>319</v>
      </c>
      <c r="F28">
        <v>4</v>
      </c>
      <c r="H28" s="135">
        <f t="shared" si="0"/>
        <v>100</v>
      </c>
      <c r="I28">
        <f t="shared" si="1"/>
        <v>4</v>
      </c>
      <c r="J28">
        <f t="shared" si="4"/>
        <v>40</v>
      </c>
      <c r="K28" t="str">
        <f t="shared" si="2"/>
        <v>ADECUADO</v>
      </c>
    </row>
    <row r="29" spans="1:13" x14ac:dyDescent="0.25">
      <c r="A29" s="134" t="s">
        <v>445</v>
      </c>
      <c r="B29" t="s">
        <v>493</v>
      </c>
      <c r="C29">
        <v>3</v>
      </c>
      <c r="F29">
        <v>4</v>
      </c>
      <c r="G29">
        <v>1</v>
      </c>
      <c r="H29" s="135">
        <f t="shared" si="0"/>
        <v>70</v>
      </c>
      <c r="I29">
        <f t="shared" si="1"/>
        <v>8</v>
      </c>
      <c r="J29">
        <f t="shared" si="4"/>
        <v>56</v>
      </c>
      <c r="K29" t="str">
        <f t="shared" si="2"/>
        <v>REGULAR</v>
      </c>
    </row>
    <row r="30" spans="1:13" x14ac:dyDescent="0.25">
      <c r="A30" s="134" t="s">
        <v>51</v>
      </c>
      <c r="B30" t="s">
        <v>87</v>
      </c>
      <c r="D30">
        <v>1</v>
      </c>
      <c r="F30">
        <v>3</v>
      </c>
      <c r="H30" s="135">
        <f t="shared" si="0"/>
        <v>90</v>
      </c>
      <c r="I30">
        <f t="shared" si="1"/>
        <v>4</v>
      </c>
      <c r="J30">
        <f t="shared" si="4"/>
        <v>36</v>
      </c>
      <c r="K30" t="str">
        <f t="shared" si="2"/>
        <v>ADECUADO</v>
      </c>
      <c r="M30" s="135">
        <f>((J30+J34)/(I30+I34))*10</f>
        <v>88.888888888888886</v>
      </c>
    </row>
    <row r="31" spans="1:13" x14ac:dyDescent="0.25">
      <c r="A31" s="134" t="s">
        <v>628</v>
      </c>
      <c r="B31" t="s">
        <v>679</v>
      </c>
      <c r="E31">
        <v>1</v>
      </c>
      <c r="F31">
        <v>3</v>
      </c>
      <c r="H31" s="135">
        <f t="shared" si="0"/>
        <v>95</v>
      </c>
      <c r="I31">
        <f t="shared" si="1"/>
        <v>4</v>
      </c>
      <c r="J31">
        <f t="shared" si="4"/>
        <v>38</v>
      </c>
      <c r="K31" t="str">
        <f t="shared" si="2"/>
        <v>ADECUADO</v>
      </c>
    </row>
    <row r="32" spans="1:13" x14ac:dyDescent="0.25">
      <c r="A32" s="134" t="s">
        <v>214</v>
      </c>
      <c r="B32" t="s">
        <v>214</v>
      </c>
      <c r="F32">
        <v>3</v>
      </c>
      <c r="H32" s="135">
        <f t="shared" si="0"/>
        <v>100</v>
      </c>
      <c r="I32">
        <f t="shared" si="1"/>
        <v>3</v>
      </c>
      <c r="J32">
        <f t="shared" si="4"/>
        <v>30</v>
      </c>
      <c r="K32" t="str">
        <f t="shared" si="2"/>
        <v>ADECUADO</v>
      </c>
    </row>
    <row r="33" spans="1:13" x14ac:dyDescent="0.25">
      <c r="A33" s="134" t="s">
        <v>445</v>
      </c>
      <c r="B33" t="s">
        <v>445</v>
      </c>
      <c r="F33">
        <v>5</v>
      </c>
      <c r="H33" s="135">
        <f t="shared" si="0"/>
        <v>100</v>
      </c>
      <c r="I33">
        <f t="shared" si="1"/>
        <v>5</v>
      </c>
      <c r="J33">
        <f t="shared" si="4"/>
        <v>50</v>
      </c>
      <c r="K33" t="str">
        <f t="shared" si="2"/>
        <v>ADECUADO</v>
      </c>
    </row>
    <row r="34" spans="1:13" x14ac:dyDescent="0.25">
      <c r="A34" s="134" t="s">
        <v>51</v>
      </c>
      <c r="B34" t="s">
        <v>51</v>
      </c>
      <c r="F34">
        <v>4</v>
      </c>
      <c r="G34">
        <v>1</v>
      </c>
      <c r="H34" s="135">
        <f t="shared" ref="H34:H65" si="5">(J34/I34)*10</f>
        <v>88</v>
      </c>
      <c r="I34">
        <f t="shared" ref="I34:I67" si="6">SUM(C34:G34)</f>
        <v>5</v>
      </c>
      <c r="J34">
        <f t="shared" si="4"/>
        <v>44</v>
      </c>
      <c r="K34" t="str">
        <f t="shared" ref="K34:K67" si="7">IF(AND(H34&gt;=0,H34&lt;=49.9999999999999),"CRÍTICO",IF(AND(H34&gt;=50,H34&lt;=69.9999999999999),"DEFICIENTE",IF(AND(H34&gt;=70,H34&lt;=89.9999999999999),"REGULAR",IF(AND(H34&gt;=90,H34&lt;=110.999999999999),"ADECUADO",IF(AND(H34&gt;=111,H34&lt;=999999999),"SOBREPASADO","NO PROG.")))))</f>
        <v>REGULAR</v>
      </c>
    </row>
    <row r="35" spans="1:13" x14ac:dyDescent="0.25">
      <c r="A35" s="134" t="s">
        <v>612</v>
      </c>
      <c r="B35" t="s">
        <v>610</v>
      </c>
      <c r="F35">
        <v>8</v>
      </c>
      <c r="H35" s="135">
        <f t="shared" si="5"/>
        <v>100</v>
      </c>
      <c r="I35">
        <f t="shared" si="6"/>
        <v>8</v>
      </c>
      <c r="J35">
        <f t="shared" si="4"/>
        <v>80</v>
      </c>
      <c r="K35" t="str">
        <f t="shared" si="7"/>
        <v>ADECUADO</v>
      </c>
    </row>
    <row r="36" spans="1:13" x14ac:dyDescent="0.25">
      <c r="A36" s="134" t="s">
        <v>75</v>
      </c>
      <c r="B36" t="s">
        <v>75</v>
      </c>
      <c r="F36">
        <v>2</v>
      </c>
      <c r="H36" s="135">
        <f t="shared" si="5"/>
        <v>100</v>
      </c>
      <c r="I36">
        <f t="shared" si="6"/>
        <v>2</v>
      </c>
      <c r="J36">
        <f t="shared" si="4"/>
        <v>20</v>
      </c>
      <c r="K36" t="str">
        <f t="shared" si="7"/>
        <v>ADECUADO</v>
      </c>
    </row>
    <row r="37" spans="1:13" x14ac:dyDescent="0.25">
      <c r="A37" s="134" t="s">
        <v>75</v>
      </c>
      <c r="B37" t="s">
        <v>151</v>
      </c>
      <c r="F37">
        <v>1</v>
      </c>
      <c r="H37" s="135">
        <f t="shared" si="5"/>
        <v>100</v>
      </c>
      <c r="I37">
        <f t="shared" si="6"/>
        <v>1</v>
      </c>
      <c r="J37">
        <f t="shared" si="4"/>
        <v>10</v>
      </c>
      <c r="K37" t="str">
        <f t="shared" si="7"/>
        <v>ADECUADO</v>
      </c>
    </row>
    <row r="38" spans="1:13" x14ac:dyDescent="0.25">
      <c r="A38" s="134" t="s">
        <v>75</v>
      </c>
      <c r="B38" t="s">
        <v>104</v>
      </c>
      <c r="F38">
        <v>11</v>
      </c>
      <c r="H38" s="135">
        <f t="shared" si="5"/>
        <v>100</v>
      </c>
      <c r="I38">
        <f t="shared" si="6"/>
        <v>11</v>
      </c>
      <c r="J38">
        <f t="shared" si="4"/>
        <v>110</v>
      </c>
      <c r="K38" t="str">
        <f t="shared" si="7"/>
        <v>ADECUADO</v>
      </c>
    </row>
    <row r="39" spans="1:13" x14ac:dyDescent="0.25">
      <c r="A39" s="134" t="s">
        <v>75</v>
      </c>
      <c r="B39" t="s">
        <v>195</v>
      </c>
      <c r="F39">
        <v>3</v>
      </c>
      <c r="H39" s="135">
        <f t="shared" si="5"/>
        <v>100</v>
      </c>
      <c r="I39">
        <f t="shared" si="6"/>
        <v>3</v>
      </c>
      <c r="J39">
        <f t="shared" si="4"/>
        <v>30</v>
      </c>
      <c r="K39" t="str">
        <f t="shared" si="7"/>
        <v>ADECUADO</v>
      </c>
    </row>
    <row r="40" spans="1:13" x14ac:dyDescent="0.25">
      <c r="A40" s="134" t="s">
        <v>445</v>
      </c>
      <c r="B40" t="s">
        <v>603</v>
      </c>
      <c r="F40">
        <v>6</v>
      </c>
      <c r="H40" s="135">
        <f t="shared" si="5"/>
        <v>100</v>
      </c>
      <c r="I40">
        <f t="shared" si="6"/>
        <v>6</v>
      </c>
      <c r="J40">
        <f t="shared" si="4"/>
        <v>60</v>
      </c>
      <c r="K40" t="str">
        <f t="shared" si="7"/>
        <v>ADECUADO</v>
      </c>
    </row>
    <row r="41" spans="1:13" x14ac:dyDescent="0.25">
      <c r="A41" s="134" t="s">
        <v>75</v>
      </c>
      <c r="B41" t="s">
        <v>131</v>
      </c>
      <c r="F41">
        <v>2</v>
      </c>
      <c r="H41" s="135">
        <f t="shared" si="5"/>
        <v>100</v>
      </c>
      <c r="I41">
        <f t="shared" si="6"/>
        <v>2</v>
      </c>
      <c r="J41">
        <f t="shared" si="4"/>
        <v>20</v>
      </c>
      <c r="K41" t="str">
        <f t="shared" si="7"/>
        <v>ADECUADO</v>
      </c>
    </row>
    <row r="42" spans="1:13" x14ac:dyDescent="0.25">
      <c r="A42" s="134" t="s">
        <v>445</v>
      </c>
      <c r="B42" t="s">
        <v>544</v>
      </c>
      <c r="F42">
        <v>3</v>
      </c>
      <c r="H42" s="135">
        <f t="shared" si="5"/>
        <v>100</v>
      </c>
      <c r="I42">
        <f t="shared" si="6"/>
        <v>3</v>
      </c>
      <c r="J42">
        <f t="shared" si="4"/>
        <v>30</v>
      </c>
      <c r="K42" t="str">
        <f t="shared" si="7"/>
        <v>ADECUADO</v>
      </c>
    </row>
    <row r="43" spans="1:13" x14ac:dyDescent="0.25">
      <c r="A43" s="134" t="s">
        <v>75</v>
      </c>
      <c r="B43" t="s">
        <v>73</v>
      </c>
      <c r="F43">
        <v>3</v>
      </c>
      <c r="H43" s="135">
        <f t="shared" si="5"/>
        <v>100</v>
      </c>
      <c r="I43">
        <f t="shared" si="6"/>
        <v>3</v>
      </c>
      <c r="J43">
        <f t="shared" ref="J43:J67" si="8">C43*4+D43*6+E43*8+F43*10+G43*4</f>
        <v>30</v>
      </c>
      <c r="K43" t="str">
        <f t="shared" si="7"/>
        <v>ADECUADO</v>
      </c>
    </row>
    <row r="44" spans="1:13" x14ac:dyDescent="0.25">
      <c r="A44" s="136" t="s">
        <v>628</v>
      </c>
      <c r="B44" t="s">
        <v>628</v>
      </c>
      <c r="F44">
        <v>4</v>
      </c>
      <c r="H44" s="135">
        <f t="shared" si="5"/>
        <v>100</v>
      </c>
      <c r="I44">
        <f t="shared" si="6"/>
        <v>4</v>
      </c>
      <c r="J44">
        <f t="shared" si="8"/>
        <v>40</v>
      </c>
      <c r="K44" t="str">
        <f t="shared" si="7"/>
        <v>ADECUADO</v>
      </c>
      <c r="M44">
        <f>(SUM(J2:J31)/SUM(I2:I31))*10</f>
        <v>86.25954198473282</v>
      </c>
    </row>
    <row r="45" spans="1:13" x14ac:dyDescent="0.25">
      <c r="A45" s="136" t="s">
        <v>445</v>
      </c>
      <c r="B45" t="s">
        <v>463</v>
      </c>
      <c r="F45">
        <v>2</v>
      </c>
      <c r="H45" s="135">
        <f t="shared" si="5"/>
        <v>100</v>
      </c>
      <c r="I45">
        <f t="shared" si="6"/>
        <v>2</v>
      </c>
      <c r="J45">
        <f t="shared" si="8"/>
        <v>20</v>
      </c>
      <c r="K45" t="str">
        <f t="shared" si="7"/>
        <v>ADECUADO</v>
      </c>
    </row>
    <row r="46" spans="1:13" x14ac:dyDescent="0.25">
      <c r="A46" s="136" t="s">
        <v>445</v>
      </c>
      <c r="B46" t="s">
        <v>515</v>
      </c>
      <c r="F46">
        <v>2</v>
      </c>
      <c r="H46" s="135">
        <f t="shared" si="5"/>
        <v>100</v>
      </c>
      <c r="I46">
        <f t="shared" si="6"/>
        <v>2</v>
      </c>
      <c r="J46">
        <f t="shared" si="8"/>
        <v>20</v>
      </c>
      <c r="K46" t="str">
        <f t="shared" si="7"/>
        <v>ADECUADO</v>
      </c>
    </row>
    <row r="47" spans="1:13" x14ac:dyDescent="0.25">
      <c r="A47" s="136" t="s">
        <v>628</v>
      </c>
      <c r="B47" t="s">
        <v>641</v>
      </c>
      <c r="F47">
        <v>3</v>
      </c>
      <c r="H47" s="135">
        <f t="shared" si="5"/>
        <v>100</v>
      </c>
      <c r="I47">
        <f t="shared" si="6"/>
        <v>3</v>
      </c>
      <c r="J47">
        <f t="shared" si="8"/>
        <v>30</v>
      </c>
      <c r="K47" t="str">
        <f t="shared" si="7"/>
        <v>ADECUADO</v>
      </c>
    </row>
    <row r="48" spans="1:13" x14ac:dyDescent="0.25">
      <c r="A48" s="136" t="s">
        <v>214</v>
      </c>
      <c r="B48" t="s">
        <v>275</v>
      </c>
      <c r="D48">
        <v>1</v>
      </c>
      <c r="F48">
        <v>1</v>
      </c>
      <c r="G48">
        <v>2</v>
      </c>
      <c r="H48" s="135">
        <f t="shared" si="5"/>
        <v>60</v>
      </c>
      <c r="I48">
        <f t="shared" si="6"/>
        <v>4</v>
      </c>
      <c r="J48">
        <f t="shared" si="8"/>
        <v>24</v>
      </c>
      <c r="K48" t="str">
        <f t="shared" si="7"/>
        <v>DEFICIENTE</v>
      </c>
    </row>
    <row r="49" spans="1:13" x14ac:dyDescent="0.25">
      <c r="A49" s="136" t="s">
        <v>445</v>
      </c>
      <c r="B49" t="s">
        <v>555</v>
      </c>
      <c r="F49">
        <v>2</v>
      </c>
      <c r="H49" s="135">
        <f t="shared" si="5"/>
        <v>100</v>
      </c>
      <c r="I49">
        <f t="shared" si="6"/>
        <v>2</v>
      </c>
      <c r="J49">
        <f t="shared" si="8"/>
        <v>20</v>
      </c>
      <c r="K49" t="str">
        <f t="shared" si="7"/>
        <v>ADECUADO</v>
      </c>
    </row>
    <row r="50" spans="1:13" x14ac:dyDescent="0.25">
      <c r="A50" s="136" t="s">
        <v>75</v>
      </c>
      <c r="B50" t="s">
        <v>135</v>
      </c>
      <c r="F50">
        <v>8</v>
      </c>
      <c r="H50" s="135">
        <f t="shared" si="5"/>
        <v>100</v>
      </c>
      <c r="I50">
        <f t="shared" si="6"/>
        <v>8</v>
      </c>
      <c r="J50">
        <f t="shared" si="8"/>
        <v>80</v>
      </c>
      <c r="K50" t="str">
        <f t="shared" si="7"/>
        <v>ADECUADO</v>
      </c>
    </row>
    <row r="51" spans="1:13" x14ac:dyDescent="0.25">
      <c r="A51" s="136" t="s">
        <v>445</v>
      </c>
      <c r="B51" t="s">
        <v>475</v>
      </c>
      <c r="E51">
        <v>1</v>
      </c>
      <c r="F51">
        <v>2</v>
      </c>
      <c r="G51">
        <v>1</v>
      </c>
      <c r="H51" s="135">
        <f t="shared" si="5"/>
        <v>80</v>
      </c>
      <c r="I51">
        <f t="shared" si="6"/>
        <v>4</v>
      </c>
      <c r="J51">
        <f t="shared" si="8"/>
        <v>32</v>
      </c>
      <c r="K51" t="str">
        <f t="shared" si="7"/>
        <v>REGULAR</v>
      </c>
    </row>
    <row r="52" spans="1:13" x14ac:dyDescent="0.25">
      <c r="A52" s="136" t="s">
        <v>367</v>
      </c>
      <c r="B52" t="s">
        <v>408</v>
      </c>
      <c r="E52">
        <v>1</v>
      </c>
      <c r="F52">
        <v>3</v>
      </c>
      <c r="G52">
        <v>2</v>
      </c>
      <c r="H52" s="135">
        <f t="shared" si="5"/>
        <v>76.666666666666671</v>
      </c>
      <c r="I52">
        <f t="shared" si="6"/>
        <v>6</v>
      </c>
      <c r="J52">
        <f t="shared" si="8"/>
        <v>46</v>
      </c>
      <c r="K52" t="str">
        <f t="shared" si="7"/>
        <v>REGULAR</v>
      </c>
    </row>
    <row r="53" spans="1:13" x14ac:dyDescent="0.25">
      <c r="A53" s="136" t="s">
        <v>628</v>
      </c>
      <c r="B53" t="s">
        <v>660</v>
      </c>
      <c r="D53">
        <v>1</v>
      </c>
      <c r="F53">
        <v>3</v>
      </c>
      <c r="H53" s="135">
        <f t="shared" si="5"/>
        <v>90</v>
      </c>
      <c r="I53">
        <f t="shared" si="6"/>
        <v>4</v>
      </c>
      <c r="J53">
        <f t="shared" si="8"/>
        <v>36</v>
      </c>
      <c r="K53" t="str">
        <f t="shared" si="7"/>
        <v>ADECUADO</v>
      </c>
    </row>
    <row r="54" spans="1:13" x14ac:dyDescent="0.25">
      <c r="A54" s="136" t="s">
        <v>367</v>
      </c>
      <c r="B54" t="s">
        <v>386</v>
      </c>
      <c r="C54">
        <v>1</v>
      </c>
      <c r="D54">
        <v>1</v>
      </c>
      <c r="F54">
        <v>2</v>
      </c>
      <c r="H54" s="135">
        <f t="shared" si="5"/>
        <v>75</v>
      </c>
      <c r="I54">
        <f t="shared" si="6"/>
        <v>4</v>
      </c>
      <c r="J54">
        <f t="shared" si="8"/>
        <v>30</v>
      </c>
      <c r="K54" t="str">
        <f t="shared" si="7"/>
        <v>REGULAR</v>
      </c>
    </row>
    <row r="55" spans="1:13" x14ac:dyDescent="0.25">
      <c r="A55" s="136" t="s">
        <v>214</v>
      </c>
      <c r="B55" t="s">
        <v>212</v>
      </c>
      <c r="E55">
        <v>2</v>
      </c>
      <c r="F55">
        <v>14</v>
      </c>
      <c r="H55" s="135">
        <f t="shared" si="5"/>
        <v>97.5</v>
      </c>
      <c r="I55">
        <f t="shared" si="6"/>
        <v>16</v>
      </c>
      <c r="J55">
        <f t="shared" si="8"/>
        <v>156</v>
      </c>
      <c r="K55" t="str">
        <f t="shared" si="7"/>
        <v>ADECUADO</v>
      </c>
    </row>
    <row r="56" spans="1:13" x14ac:dyDescent="0.25">
      <c r="A56" s="136" t="s">
        <v>214</v>
      </c>
      <c r="B56" t="s">
        <v>241</v>
      </c>
      <c r="C56">
        <v>2</v>
      </c>
      <c r="F56">
        <v>2</v>
      </c>
      <c r="H56" s="135">
        <f t="shared" si="5"/>
        <v>70</v>
      </c>
      <c r="I56">
        <f t="shared" si="6"/>
        <v>4</v>
      </c>
      <c r="J56">
        <f t="shared" si="8"/>
        <v>28</v>
      </c>
      <c r="K56" t="str">
        <f t="shared" si="7"/>
        <v>REGULAR</v>
      </c>
    </row>
    <row r="57" spans="1:13" x14ac:dyDescent="0.25">
      <c r="A57" s="136" t="s">
        <v>75</v>
      </c>
      <c r="B57" t="s">
        <v>157</v>
      </c>
      <c r="F57">
        <v>8</v>
      </c>
      <c r="H57" s="135">
        <f t="shared" si="5"/>
        <v>100</v>
      </c>
      <c r="I57">
        <f t="shared" si="6"/>
        <v>8</v>
      </c>
      <c r="J57">
        <f t="shared" si="8"/>
        <v>80</v>
      </c>
      <c r="K57" t="str">
        <f t="shared" si="7"/>
        <v>ADECUADO</v>
      </c>
    </row>
    <row r="58" spans="1:13" x14ac:dyDescent="0.25">
      <c r="A58" s="136" t="s">
        <v>214</v>
      </c>
      <c r="B58" t="s">
        <v>319</v>
      </c>
      <c r="F58">
        <v>10</v>
      </c>
      <c r="H58" s="135">
        <f t="shared" si="5"/>
        <v>100</v>
      </c>
      <c r="I58">
        <f t="shared" si="6"/>
        <v>10</v>
      </c>
      <c r="J58">
        <f t="shared" si="8"/>
        <v>100</v>
      </c>
      <c r="K58" t="str">
        <f t="shared" si="7"/>
        <v>ADECUADO</v>
      </c>
    </row>
    <row r="59" spans="1:13" x14ac:dyDescent="0.25">
      <c r="A59" s="136" t="s">
        <v>445</v>
      </c>
      <c r="B59" t="s">
        <v>493</v>
      </c>
      <c r="E59">
        <v>4</v>
      </c>
      <c r="F59">
        <v>5</v>
      </c>
      <c r="G59">
        <v>1</v>
      </c>
      <c r="H59" s="135">
        <f t="shared" si="5"/>
        <v>86</v>
      </c>
      <c r="I59">
        <f t="shared" si="6"/>
        <v>10</v>
      </c>
      <c r="J59">
        <f t="shared" si="8"/>
        <v>86</v>
      </c>
      <c r="K59" t="str">
        <f t="shared" si="7"/>
        <v>REGULAR</v>
      </c>
    </row>
    <row r="60" spans="1:13" x14ac:dyDescent="0.25">
      <c r="A60" s="136" t="s">
        <v>51</v>
      </c>
      <c r="B60" t="s">
        <v>87</v>
      </c>
      <c r="D60">
        <v>4</v>
      </c>
      <c r="F60">
        <v>6</v>
      </c>
      <c r="H60" s="135">
        <f t="shared" si="5"/>
        <v>84</v>
      </c>
      <c r="I60">
        <f t="shared" si="6"/>
        <v>10</v>
      </c>
      <c r="J60">
        <f t="shared" si="8"/>
        <v>84</v>
      </c>
      <c r="K60" t="str">
        <f t="shared" si="7"/>
        <v>REGULAR</v>
      </c>
      <c r="M60" s="135">
        <f>((J60+J62)/(I60+I62))*10</f>
        <v>86.666666666666657</v>
      </c>
    </row>
    <row r="61" spans="1:13" x14ac:dyDescent="0.25">
      <c r="A61" s="136" t="s">
        <v>445</v>
      </c>
      <c r="B61" t="s">
        <v>445</v>
      </c>
      <c r="D61">
        <v>2</v>
      </c>
      <c r="E61">
        <v>2</v>
      </c>
      <c r="F61">
        <v>4</v>
      </c>
      <c r="H61" s="135">
        <f t="shared" si="5"/>
        <v>85</v>
      </c>
      <c r="I61">
        <f t="shared" si="6"/>
        <v>8</v>
      </c>
      <c r="J61">
        <f t="shared" si="8"/>
        <v>68</v>
      </c>
      <c r="K61" t="str">
        <f t="shared" si="7"/>
        <v>REGULAR</v>
      </c>
    </row>
    <row r="62" spans="1:13" x14ac:dyDescent="0.25">
      <c r="A62" s="136" t="s">
        <v>51</v>
      </c>
      <c r="B62" t="s">
        <v>51</v>
      </c>
      <c r="F62">
        <v>2</v>
      </c>
      <c r="H62" s="135">
        <f t="shared" si="5"/>
        <v>100</v>
      </c>
      <c r="I62">
        <f t="shared" si="6"/>
        <v>2</v>
      </c>
      <c r="J62">
        <f t="shared" si="8"/>
        <v>20</v>
      </c>
      <c r="K62" t="str">
        <f t="shared" si="7"/>
        <v>ADECUADO</v>
      </c>
    </row>
    <row r="63" spans="1:13" x14ac:dyDescent="0.25">
      <c r="A63" s="136" t="s">
        <v>612</v>
      </c>
      <c r="B63" t="s">
        <v>610</v>
      </c>
      <c r="F63">
        <v>8</v>
      </c>
      <c r="H63" s="135">
        <f t="shared" si="5"/>
        <v>100</v>
      </c>
      <c r="I63">
        <f t="shared" si="6"/>
        <v>8</v>
      </c>
      <c r="J63">
        <f t="shared" si="8"/>
        <v>80</v>
      </c>
      <c r="K63" t="str">
        <f t="shared" si="7"/>
        <v>ADECUADO</v>
      </c>
    </row>
    <row r="64" spans="1:13" x14ac:dyDescent="0.25">
      <c r="A64" s="136" t="s">
        <v>75</v>
      </c>
      <c r="B64" t="s">
        <v>104</v>
      </c>
      <c r="F64">
        <v>12</v>
      </c>
      <c r="H64" s="135">
        <f t="shared" si="5"/>
        <v>100</v>
      </c>
      <c r="I64">
        <f t="shared" si="6"/>
        <v>12</v>
      </c>
      <c r="J64">
        <f t="shared" si="8"/>
        <v>120</v>
      </c>
      <c r="K64" t="str">
        <f t="shared" si="7"/>
        <v>ADECUADO</v>
      </c>
    </row>
    <row r="65" spans="1:11" x14ac:dyDescent="0.25">
      <c r="A65" s="136" t="s">
        <v>75</v>
      </c>
      <c r="B65" t="s">
        <v>195</v>
      </c>
      <c r="F65">
        <v>10</v>
      </c>
      <c r="H65" s="135">
        <f t="shared" si="5"/>
        <v>100</v>
      </c>
      <c r="I65">
        <f t="shared" si="6"/>
        <v>10</v>
      </c>
      <c r="J65">
        <f t="shared" si="8"/>
        <v>100</v>
      </c>
      <c r="K65" t="str">
        <f t="shared" si="7"/>
        <v>ADECUADO</v>
      </c>
    </row>
    <row r="66" spans="1:11" x14ac:dyDescent="0.25">
      <c r="A66" s="136" t="s">
        <v>75</v>
      </c>
      <c r="B66" t="s">
        <v>73</v>
      </c>
      <c r="F66">
        <v>4</v>
      </c>
      <c r="H66" s="135">
        <f t="shared" ref="H66:H97" si="9">(J66/I66)*10</f>
        <v>100</v>
      </c>
      <c r="I66">
        <f t="shared" si="6"/>
        <v>4</v>
      </c>
      <c r="J66">
        <f t="shared" si="8"/>
        <v>40</v>
      </c>
      <c r="K66" t="str">
        <f t="shared" si="7"/>
        <v>ADECUADO</v>
      </c>
    </row>
    <row r="67" spans="1:11" x14ac:dyDescent="0.25">
      <c r="A67" s="136" t="s">
        <v>445</v>
      </c>
      <c r="B67" t="s">
        <v>603</v>
      </c>
      <c r="E67">
        <v>2</v>
      </c>
      <c r="F67">
        <v>8</v>
      </c>
      <c r="H67" s="135">
        <f t="shared" si="9"/>
        <v>96</v>
      </c>
      <c r="I67">
        <f t="shared" si="6"/>
        <v>10</v>
      </c>
      <c r="J67">
        <f t="shared" si="8"/>
        <v>96</v>
      </c>
      <c r="K67" t="str">
        <f t="shared" si="7"/>
        <v>ADECUADO</v>
      </c>
    </row>
    <row r="76" spans="1:11" x14ac:dyDescent="0.25">
      <c r="G76" t="s">
        <v>1536</v>
      </c>
    </row>
  </sheetData>
  <autoFilter ref="A1:K67" xr:uid="{00000000-0009-0000-0000-000002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18</vt:i4>
      </vt:variant>
    </vt:vector>
  </HeadingPairs>
  <TitlesOfParts>
    <vt:vector size="21" baseType="lpstr">
      <vt:lpstr>METAS</vt:lpstr>
      <vt:lpstr>INDICADORES</vt:lpstr>
      <vt:lpstr>resultados general</vt:lpstr>
      <vt:lpstr>INDICADORES!Área_de_impresión</vt:lpstr>
      <vt:lpstr>METAS!Área_de_impresión</vt:lpstr>
      <vt:lpstr>AVANCE_1°._TRIM</vt:lpstr>
      <vt:lpstr>AVANCE_2°._TRIM</vt:lpstr>
      <vt:lpstr>AVANCE_3°._TRIM</vt:lpstr>
      <vt:lpstr>AVANCE_4°._TRIM</vt:lpstr>
      <vt:lpstr>INDICADORES!AVANCE_ACUM_ANUAL</vt:lpstr>
      <vt:lpstr>INDICADORES!CLAVE_UNICA</vt:lpstr>
      <vt:lpstr>DESCRIPCIÓN_DEL_INDICADOR</vt:lpstr>
      <vt:lpstr>ESTRUCTURA_PROGRAMA</vt:lpstr>
      <vt:lpstr>FREC._MEDICIÓN</vt:lpstr>
      <vt:lpstr>NIVEL</vt:lpstr>
      <vt:lpstr>PROGR._1°_TRIM</vt:lpstr>
      <vt:lpstr>PROGR._2°_TRIM</vt:lpstr>
      <vt:lpstr>PROGR._3°_TRIM</vt:lpstr>
      <vt:lpstr>PROGR._4°_TRIM</vt:lpstr>
      <vt:lpstr>PROGRAMADO</vt:lpstr>
      <vt:lpstr>UNIDAD_DE_MEDIDA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GONZÁLEZ MONTAÑEZ</dc:creator>
  <cp:lastModifiedBy>Cristopher Isaac Leon Olvera</cp:lastModifiedBy>
  <dcterms:created xsi:type="dcterms:W3CDTF">2026-09-07T17:27:56Z</dcterms:created>
  <dcterms:modified xsi:type="dcterms:W3CDTF">2026-09-17T18:20:19Z</dcterms:modified>
</cp:coreProperties>
</file>